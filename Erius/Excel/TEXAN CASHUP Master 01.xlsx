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lspa-my.sharepoint.com/personal/henry_olspa_co_za/Documents/Desktop/Erius Shared Folder/"/>
    </mc:Choice>
  </mc:AlternateContent>
  <xr:revisionPtr revIDLastSave="0" documentId="8_{4141C2CF-AB7F-4A0D-B1EE-0374B8FE9731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over" sheetId="5" r:id="rId1"/>
    <sheet name="Totals" sheetId="19" r:id="rId2"/>
    <sheet name="August 2026 Log" sheetId="1" r:id="rId3"/>
    <sheet name="September 2026 Log" sheetId="7" r:id="rId4"/>
    <sheet name="October 2026 Log" sheetId="8" r:id="rId5"/>
    <sheet name="November 2026 Log" sheetId="9" r:id="rId6"/>
    <sheet name="December 2026 Log" sheetId="10" r:id="rId7"/>
    <sheet name="January 2027 Log" sheetId="11" r:id="rId8"/>
    <sheet name="February 2027 Log" sheetId="12" r:id="rId9"/>
    <sheet name="March 2027 Log" sheetId="13" r:id="rId10"/>
    <sheet name="April 2027 Log" sheetId="14" r:id="rId11"/>
    <sheet name="May 2027 Log" sheetId="15" r:id="rId12"/>
    <sheet name="June 2027 Log" sheetId="16" r:id="rId13"/>
    <sheet name="July 2027 Log" sheetId="17" r:id="rId14"/>
    <sheet name="August 2027 Log" sheetId="1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1" i="7" l="1"/>
  <c r="O54" i="7"/>
  <c r="O49" i="7"/>
  <c r="O42" i="7"/>
  <c r="Q30" i="7"/>
  <c r="K22" i="7"/>
  <c r="I22" i="7"/>
  <c r="D77" i="7" l="1"/>
  <c r="E91" i="7"/>
  <c r="C14" i="7" l="1"/>
  <c r="C13" i="7"/>
  <c r="C15" i="7"/>
  <c r="G54" i="1" l="1"/>
  <c r="G58" i="1"/>
  <c r="BI61" i="1"/>
  <c r="K56" i="7"/>
  <c r="E56" i="7"/>
  <c r="E43" i="7"/>
  <c r="E38" i="7"/>
  <c r="Q36" i="7"/>
  <c r="AA34" i="7"/>
  <c r="X34" i="7"/>
  <c r="W34" i="7"/>
  <c r="U34" i="7"/>
  <c r="T34" i="7"/>
  <c r="S34" i="7"/>
  <c r="R34" i="7"/>
  <c r="Q34" i="7"/>
  <c r="O34" i="7"/>
  <c r="M34" i="7"/>
  <c r="K34" i="7"/>
  <c r="I34" i="7"/>
  <c r="E34" i="7"/>
  <c r="AA32" i="7"/>
  <c r="W32" i="7"/>
  <c r="U32" i="7"/>
  <c r="T32" i="7"/>
  <c r="S32" i="7"/>
  <c r="Q32" i="7"/>
  <c r="O32" i="7"/>
  <c r="M32" i="7"/>
  <c r="K32" i="7"/>
  <c r="I32" i="7"/>
  <c r="E32" i="7"/>
  <c r="AC21" i="7"/>
  <c r="AA21" i="7"/>
  <c r="AA22" i="7" s="1"/>
  <c r="X21" i="7"/>
  <c r="W21" i="7"/>
  <c r="U21" i="7"/>
  <c r="T21" i="7"/>
  <c r="S21" i="7"/>
  <c r="R21" i="7"/>
  <c r="Q21" i="7"/>
  <c r="M21" i="7"/>
  <c r="K21" i="7"/>
  <c r="I21" i="7"/>
  <c r="E21" i="7"/>
  <c r="O20" i="7"/>
  <c r="O22" i="7" s="1"/>
  <c r="BQ88" i="18"/>
  <c r="BP88" i="18" s="1"/>
  <c r="C88" i="18"/>
  <c r="D88" i="18" s="1"/>
  <c r="BQ87" i="18"/>
  <c r="BP87" i="18" s="1"/>
  <c r="C87" i="18"/>
  <c r="D87" i="18" s="1"/>
  <c r="BQ86" i="18"/>
  <c r="BP86" i="18" s="1"/>
  <c r="C86" i="18"/>
  <c r="D86" i="18" s="1"/>
  <c r="BQ85" i="18"/>
  <c r="C85" i="18"/>
  <c r="D85" i="18" s="1"/>
  <c r="E99" i="18" s="1"/>
  <c r="BQ84" i="18"/>
  <c r="C84" i="18"/>
  <c r="D84" i="18" s="1"/>
  <c r="E98" i="18" s="1"/>
  <c r="BQ83" i="18"/>
  <c r="BP83" i="18" s="1"/>
  <c r="C83" i="18"/>
  <c r="D83" i="18" s="1"/>
  <c r="E97" i="18" s="1"/>
  <c r="BQ82" i="18"/>
  <c r="C82" i="18"/>
  <c r="BQ81" i="18"/>
  <c r="C81" i="18"/>
  <c r="D81" i="18" s="1"/>
  <c r="E95" i="18" s="1"/>
  <c r="BQ80" i="18"/>
  <c r="BP80" i="18" s="1"/>
  <c r="C80" i="18"/>
  <c r="BQ79" i="18"/>
  <c r="C79" i="18"/>
  <c r="BQ78" i="18"/>
  <c r="C78" i="18"/>
  <c r="BQ77" i="18"/>
  <c r="BP77" i="18" s="1"/>
  <c r="C77" i="18"/>
  <c r="D77" i="18" s="1"/>
  <c r="BQ74" i="18"/>
  <c r="C74" i="18"/>
  <c r="BQ66" i="18"/>
  <c r="BP66" i="18" s="1"/>
  <c r="C66" i="18"/>
  <c r="D66" i="18" s="1"/>
  <c r="BQ65" i="18"/>
  <c r="BP65" i="18" s="1"/>
  <c r="C65" i="18"/>
  <c r="BQ64" i="18"/>
  <c r="C64" i="18"/>
  <c r="D64" i="18" s="1"/>
  <c r="BQ63" i="18"/>
  <c r="C63" i="18"/>
  <c r="D63" i="18" s="1"/>
  <c r="BQ62" i="18"/>
  <c r="C62" i="18"/>
  <c r="BQ56" i="18"/>
  <c r="C56" i="18"/>
  <c r="BQ55" i="18"/>
  <c r="C55" i="18"/>
  <c r="BQ43" i="18"/>
  <c r="C43" i="18"/>
  <c r="BQ39" i="18"/>
  <c r="C39" i="18"/>
  <c r="BQ38" i="18"/>
  <c r="C38" i="18"/>
  <c r="BQ36" i="18"/>
  <c r="C36" i="18"/>
  <c r="BQ34" i="18"/>
  <c r="C34" i="18"/>
  <c r="BQ33" i="18"/>
  <c r="C33" i="18"/>
  <c r="BQ32" i="18"/>
  <c r="C32" i="18"/>
  <c r="BQ28" i="18"/>
  <c r="C28" i="18"/>
  <c r="E30" i="18" s="1"/>
  <c r="BQ27" i="18"/>
  <c r="C27" i="18"/>
  <c r="BQ26" i="18"/>
  <c r="C26" i="18"/>
  <c r="BQ25" i="18"/>
  <c r="C25" i="18"/>
  <c r="BQ21" i="18"/>
  <c r="C21" i="18"/>
  <c r="BQ17" i="18"/>
  <c r="C17" i="18"/>
  <c r="BQ15" i="18"/>
  <c r="C15" i="18"/>
  <c r="BQ14" i="18"/>
  <c r="C14" i="18"/>
  <c r="BQ13" i="18"/>
  <c r="C13" i="18"/>
  <c r="BO120" i="18"/>
  <c r="G215" i="19" s="1"/>
  <c r="BO119" i="18"/>
  <c r="G214" i="19" s="1"/>
  <c r="BO118" i="18"/>
  <c r="G213" i="19" s="1"/>
  <c r="BO117" i="18"/>
  <c r="G212" i="19" s="1"/>
  <c r="BO116" i="18"/>
  <c r="G211" i="19" s="1"/>
  <c r="BO115" i="18"/>
  <c r="G210" i="19" s="1"/>
  <c r="BO114" i="18"/>
  <c r="G209" i="19" s="1"/>
  <c r="BO113" i="18"/>
  <c r="G208" i="19" s="1"/>
  <c r="BO112" i="18"/>
  <c r="G207" i="19" s="1"/>
  <c r="BO111" i="18"/>
  <c r="G206" i="19" s="1"/>
  <c r="BO110" i="18"/>
  <c r="G205" i="19" s="1"/>
  <c r="BO109" i="18"/>
  <c r="G204" i="19" s="1"/>
  <c r="BO108" i="18"/>
  <c r="G203" i="19" s="1"/>
  <c r="BO107" i="18"/>
  <c r="G202" i="19" s="1"/>
  <c r="BO106" i="18"/>
  <c r="G201" i="19" s="1"/>
  <c r="BP104" i="18"/>
  <c r="BL104" i="18"/>
  <c r="BJ104" i="18"/>
  <c r="BH104" i="18"/>
  <c r="BF104" i="18"/>
  <c r="BD104" i="18"/>
  <c r="BB104" i="18"/>
  <c r="AZ104" i="18"/>
  <c r="AX104" i="18"/>
  <c r="AV104" i="18"/>
  <c r="AT104" i="18"/>
  <c r="AR104" i="18"/>
  <c r="AP104" i="18"/>
  <c r="AN104" i="18"/>
  <c r="AL104" i="18"/>
  <c r="AJ104" i="18"/>
  <c r="AH104" i="18"/>
  <c r="AF104" i="18"/>
  <c r="AD104" i="18"/>
  <c r="AB104" i="18"/>
  <c r="Z104" i="18"/>
  <c r="X104" i="18"/>
  <c r="V104" i="18"/>
  <c r="T104" i="18"/>
  <c r="R104" i="18"/>
  <c r="P104" i="18"/>
  <c r="N104" i="18"/>
  <c r="L104" i="18"/>
  <c r="J104" i="18"/>
  <c r="H104" i="18"/>
  <c r="F104" i="18"/>
  <c r="D104" i="18"/>
  <c r="BP103" i="18"/>
  <c r="BL103" i="18"/>
  <c r="BJ103" i="18"/>
  <c r="BH103" i="18"/>
  <c r="BF103" i="18"/>
  <c r="BD103" i="18"/>
  <c r="BB103" i="18"/>
  <c r="AZ103" i="18"/>
  <c r="AX103" i="18"/>
  <c r="AV103" i="18"/>
  <c r="AT103" i="18"/>
  <c r="AR103" i="18"/>
  <c r="AP103" i="18"/>
  <c r="AN103" i="18"/>
  <c r="AL103" i="18"/>
  <c r="AJ103" i="18"/>
  <c r="AH103" i="18"/>
  <c r="AF103" i="18"/>
  <c r="AD103" i="18"/>
  <c r="AB103" i="18"/>
  <c r="Z103" i="18"/>
  <c r="X103" i="18"/>
  <c r="V103" i="18"/>
  <c r="T103" i="18"/>
  <c r="R103" i="18"/>
  <c r="P103" i="18"/>
  <c r="N103" i="18"/>
  <c r="L103" i="18"/>
  <c r="J103" i="18"/>
  <c r="H103" i="18"/>
  <c r="F103" i="18"/>
  <c r="D103" i="18"/>
  <c r="AS92" i="18"/>
  <c r="BM91" i="18"/>
  <c r="O91" i="18"/>
  <c r="BP89" i="18"/>
  <c r="BL89" i="18"/>
  <c r="BJ89" i="18"/>
  <c r="BH89" i="18"/>
  <c r="BF89" i="18"/>
  <c r="BD89" i="18"/>
  <c r="BB89" i="18"/>
  <c r="AZ89" i="18"/>
  <c r="AX89" i="18"/>
  <c r="AV89" i="18"/>
  <c r="AT89" i="18"/>
  <c r="AR89" i="18"/>
  <c r="AP89" i="18"/>
  <c r="AN89" i="18"/>
  <c r="AL89" i="18"/>
  <c r="AJ89" i="18"/>
  <c r="AH89" i="18"/>
  <c r="AF89" i="18"/>
  <c r="AD89" i="18"/>
  <c r="AB89" i="18"/>
  <c r="Z89" i="18"/>
  <c r="X89" i="18"/>
  <c r="V89" i="18"/>
  <c r="T89" i="18"/>
  <c r="R89" i="18"/>
  <c r="P89" i="18"/>
  <c r="N89" i="18"/>
  <c r="L89" i="18"/>
  <c r="J89" i="18"/>
  <c r="H89" i="18"/>
  <c r="F89" i="18"/>
  <c r="D89" i="18"/>
  <c r="BL88" i="18"/>
  <c r="BM102" i="18" s="1"/>
  <c r="BJ88" i="18"/>
  <c r="BK102" i="18" s="1"/>
  <c r="BH88" i="18"/>
  <c r="BI102" i="18" s="1"/>
  <c r="BF88" i="18"/>
  <c r="BG102" i="18" s="1"/>
  <c r="BD88" i="18"/>
  <c r="BE102" i="18" s="1"/>
  <c r="BB88" i="18"/>
  <c r="BC102" i="18" s="1"/>
  <c r="AZ88" i="18"/>
  <c r="BA102" i="18" s="1"/>
  <c r="AX88" i="18"/>
  <c r="AY102" i="18" s="1"/>
  <c r="AV88" i="18"/>
  <c r="AW102" i="18" s="1"/>
  <c r="AT88" i="18"/>
  <c r="AU102" i="18" s="1"/>
  <c r="AR88" i="18"/>
  <c r="AS102" i="18" s="1"/>
  <c r="AP88" i="18"/>
  <c r="AQ102" i="18" s="1"/>
  <c r="AN88" i="18"/>
  <c r="AO102" i="18" s="1"/>
  <c r="AL88" i="18"/>
  <c r="AM102" i="18" s="1"/>
  <c r="AJ88" i="18"/>
  <c r="AK102" i="18" s="1"/>
  <c r="AH88" i="18"/>
  <c r="AI102" i="18" s="1"/>
  <c r="AF88" i="18"/>
  <c r="AG102" i="18" s="1"/>
  <c r="AD88" i="18"/>
  <c r="AE102" i="18" s="1"/>
  <c r="AB88" i="18"/>
  <c r="AC102" i="18" s="1"/>
  <c r="Z88" i="18"/>
  <c r="AA102" i="18" s="1"/>
  <c r="X88" i="18"/>
  <c r="Y102" i="18" s="1"/>
  <c r="V88" i="18"/>
  <c r="W102" i="18" s="1"/>
  <c r="T88" i="18"/>
  <c r="U102" i="18" s="1"/>
  <c r="R88" i="18"/>
  <c r="S102" i="18" s="1"/>
  <c r="P88" i="18"/>
  <c r="Q102" i="18" s="1"/>
  <c r="N88" i="18"/>
  <c r="O102" i="18" s="1"/>
  <c r="L88" i="18"/>
  <c r="M102" i="18" s="1"/>
  <c r="J88" i="18"/>
  <c r="K102" i="18" s="1"/>
  <c r="H88" i="18"/>
  <c r="I102" i="18" s="1"/>
  <c r="F88" i="18"/>
  <c r="G102" i="18" s="1"/>
  <c r="BL87" i="18"/>
  <c r="BM101" i="18" s="1"/>
  <c r="BJ87" i="18"/>
  <c r="BK101" i="18" s="1"/>
  <c r="BH87" i="18"/>
  <c r="BI101" i="18" s="1"/>
  <c r="BF87" i="18"/>
  <c r="BG101" i="18" s="1"/>
  <c r="BD87" i="18"/>
  <c r="BE101" i="18" s="1"/>
  <c r="BB87" i="18"/>
  <c r="BC101" i="18" s="1"/>
  <c r="AZ87" i="18"/>
  <c r="BA101" i="18" s="1"/>
  <c r="AX87" i="18"/>
  <c r="AY101" i="18" s="1"/>
  <c r="AV87" i="18"/>
  <c r="AW101" i="18" s="1"/>
  <c r="AT87" i="18"/>
  <c r="AU101" i="18" s="1"/>
  <c r="AR87" i="18"/>
  <c r="AS101" i="18" s="1"/>
  <c r="AP87" i="18"/>
  <c r="AQ101" i="18" s="1"/>
  <c r="AN87" i="18"/>
  <c r="AO101" i="18" s="1"/>
  <c r="AL87" i="18"/>
  <c r="AM101" i="18" s="1"/>
  <c r="AJ87" i="18"/>
  <c r="AK101" i="18" s="1"/>
  <c r="AH87" i="18"/>
  <c r="AI101" i="18" s="1"/>
  <c r="AF87" i="18"/>
  <c r="AG101" i="18" s="1"/>
  <c r="AD87" i="18"/>
  <c r="AE101" i="18" s="1"/>
  <c r="AB87" i="18"/>
  <c r="AC101" i="18" s="1"/>
  <c r="Z87" i="18"/>
  <c r="AA101" i="18" s="1"/>
  <c r="X87" i="18"/>
  <c r="Y101" i="18" s="1"/>
  <c r="V87" i="18"/>
  <c r="W101" i="18" s="1"/>
  <c r="T87" i="18"/>
  <c r="U101" i="18" s="1"/>
  <c r="R87" i="18"/>
  <c r="S101" i="18" s="1"/>
  <c r="P87" i="18"/>
  <c r="Q101" i="18" s="1"/>
  <c r="N87" i="18"/>
  <c r="O101" i="18" s="1"/>
  <c r="L87" i="18"/>
  <c r="M101" i="18" s="1"/>
  <c r="J87" i="18"/>
  <c r="K101" i="18" s="1"/>
  <c r="H87" i="18"/>
  <c r="I101" i="18" s="1"/>
  <c r="F87" i="18"/>
  <c r="G101" i="18" s="1"/>
  <c r="BL86" i="18"/>
  <c r="BM100" i="18" s="1"/>
  <c r="BJ86" i="18"/>
  <c r="BK100" i="18" s="1"/>
  <c r="BH86" i="18"/>
  <c r="BI100" i="18" s="1"/>
  <c r="BF86" i="18"/>
  <c r="BG100" i="18" s="1"/>
  <c r="BD86" i="18"/>
  <c r="BE100" i="18" s="1"/>
  <c r="BB86" i="18"/>
  <c r="BC100" i="18" s="1"/>
  <c r="AZ86" i="18"/>
  <c r="BA100" i="18" s="1"/>
  <c r="AX86" i="18"/>
  <c r="AY100" i="18" s="1"/>
  <c r="AV86" i="18"/>
  <c r="AW100" i="18" s="1"/>
  <c r="AT86" i="18"/>
  <c r="AU100" i="18" s="1"/>
  <c r="AR86" i="18"/>
  <c r="AS100" i="18" s="1"/>
  <c r="AP86" i="18"/>
  <c r="AQ100" i="18" s="1"/>
  <c r="AN86" i="18"/>
  <c r="AO100" i="18" s="1"/>
  <c r="AL86" i="18"/>
  <c r="AM100" i="18" s="1"/>
  <c r="AJ86" i="18"/>
  <c r="AK100" i="18" s="1"/>
  <c r="AH86" i="18"/>
  <c r="AI100" i="18" s="1"/>
  <c r="AF86" i="18"/>
  <c r="AG100" i="18" s="1"/>
  <c r="AD86" i="18"/>
  <c r="AE100" i="18" s="1"/>
  <c r="AB86" i="18"/>
  <c r="AC100" i="18" s="1"/>
  <c r="Z86" i="18"/>
  <c r="AA100" i="18" s="1"/>
  <c r="X86" i="18"/>
  <c r="Y100" i="18" s="1"/>
  <c r="V86" i="18"/>
  <c r="W100" i="18" s="1"/>
  <c r="T86" i="18"/>
  <c r="U100" i="18" s="1"/>
  <c r="R86" i="18"/>
  <c r="S100" i="18" s="1"/>
  <c r="P86" i="18"/>
  <c r="Q100" i="18" s="1"/>
  <c r="N86" i="18"/>
  <c r="O100" i="18" s="1"/>
  <c r="L86" i="18"/>
  <c r="M100" i="18" s="1"/>
  <c r="J86" i="18"/>
  <c r="K100" i="18" s="1"/>
  <c r="H86" i="18"/>
  <c r="I100" i="18" s="1"/>
  <c r="F86" i="18"/>
  <c r="G100" i="18" s="1"/>
  <c r="BL85" i="18"/>
  <c r="BM99" i="18" s="1"/>
  <c r="BJ85" i="18"/>
  <c r="BK99" i="18" s="1"/>
  <c r="BH85" i="18"/>
  <c r="BI99" i="18" s="1"/>
  <c r="BF85" i="18"/>
  <c r="BG99" i="18" s="1"/>
  <c r="BD85" i="18"/>
  <c r="BE99" i="18" s="1"/>
  <c r="BB85" i="18"/>
  <c r="BC99" i="18" s="1"/>
  <c r="AZ85" i="18"/>
  <c r="BA99" i="18" s="1"/>
  <c r="AX85" i="18"/>
  <c r="AY99" i="18" s="1"/>
  <c r="AV85" i="18"/>
  <c r="AW99" i="18" s="1"/>
  <c r="AT85" i="18"/>
  <c r="AU99" i="18" s="1"/>
  <c r="AR85" i="18"/>
  <c r="AS99" i="18" s="1"/>
  <c r="AP85" i="18"/>
  <c r="AQ99" i="18" s="1"/>
  <c r="AN85" i="18"/>
  <c r="AO99" i="18" s="1"/>
  <c r="AL85" i="18"/>
  <c r="AM99" i="18" s="1"/>
  <c r="AJ85" i="18"/>
  <c r="AK99" i="18" s="1"/>
  <c r="AH85" i="18"/>
  <c r="AI99" i="18" s="1"/>
  <c r="AF85" i="18"/>
  <c r="AG99" i="18" s="1"/>
  <c r="AD85" i="18"/>
  <c r="AE99" i="18" s="1"/>
  <c r="AB85" i="18"/>
  <c r="AC99" i="18" s="1"/>
  <c r="Z85" i="18"/>
  <c r="AA99" i="18" s="1"/>
  <c r="X85" i="18"/>
  <c r="Y99" i="18" s="1"/>
  <c r="V85" i="18"/>
  <c r="W99" i="18" s="1"/>
  <c r="T85" i="18"/>
  <c r="U99" i="18" s="1"/>
  <c r="R85" i="18"/>
  <c r="S99" i="18" s="1"/>
  <c r="P85" i="18"/>
  <c r="Q99" i="18" s="1"/>
  <c r="N85" i="18"/>
  <c r="O99" i="18" s="1"/>
  <c r="L85" i="18"/>
  <c r="M99" i="18" s="1"/>
  <c r="J85" i="18"/>
  <c r="K99" i="18" s="1"/>
  <c r="H85" i="18"/>
  <c r="I99" i="18" s="1"/>
  <c r="F85" i="18"/>
  <c r="G99" i="18" s="1"/>
  <c r="BP84" i="18"/>
  <c r="BL84" i="18"/>
  <c r="BM98" i="18" s="1"/>
  <c r="BJ84" i="18"/>
  <c r="BK98" i="18" s="1"/>
  <c r="BH84" i="18"/>
  <c r="BI98" i="18" s="1"/>
  <c r="BF84" i="18"/>
  <c r="BG98" i="18" s="1"/>
  <c r="BD84" i="18"/>
  <c r="BE98" i="18" s="1"/>
  <c r="BB84" i="18"/>
  <c r="BC98" i="18" s="1"/>
  <c r="AZ84" i="18"/>
  <c r="BA98" i="18" s="1"/>
  <c r="AX84" i="18"/>
  <c r="AY98" i="18" s="1"/>
  <c r="AV84" i="18"/>
  <c r="AW98" i="18" s="1"/>
  <c r="AT84" i="18"/>
  <c r="AU98" i="18" s="1"/>
  <c r="AR84" i="18"/>
  <c r="AS98" i="18" s="1"/>
  <c r="AP84" i="18"/>
  <c r="AQ98" i="18" s="1"/>
  <c r="AN84" i="18"/>
  <c r="AO98" i="18" s="1"/>
  <c r="AL84" i="18"/>
  <c r="AM98" i="18" s="1"/>
  <c r="AJ84" i="18"/>
  <c r="AK98" i="18" s="1"/>
  <c r="AH84" i="18"/>
  <c r="AI98" i="18" s="1"/>
  <c r="AF84" i="18"/>
  <c r="AG98" i="18" s="1"/>
  <c r="AD84" i="18"/>
  <c r="AE98" i="18" s="1"/>
  <c r="AB84" i="18"/>
  <c r="AC98" i="18" s="1"/>
  <c r="Z84" i="18"/>
  <c r="AA98" i="18" s="1"/>
  <c r="X84" i="18"/>
  <c r="Y98" i="18" s="1"/>
  <c r="V84" i="18"/>
  <c r="W98" i="18" s="1"/>
  <c r="T84" i="18"/>
  <c r="U98" i="18" s="1"/>
  <c r="R84" i="18"/>
  <c r="S98" i="18" s="1"/>
  <c r="P84" i="18"/>
  <c r="Q98" i="18" s="1"/>
  <c r="N84" i="18"/>
  <c r="O98" i="18" s="1"/>
  <c r="L84" i="18"/>
  <c r="M98" i="18" s="1"/>
  <c r="J84" i="18"/>
  <c r="K98" i="18" s="1"/>
  <c r="H84" i="18"/>
  <c r="I98" i="18" s="1"/>
  <c r="F84" i="18"/>
  <c r="G98" i="18" s="1"/>
  <c r="BL83" i="18"/>
  <c r="BM97" i="18" s="1"/>
  <c r="BJ83" i="18"/>
  <c r="BK97" i="18" s="1"/>
  <c r="BH83" i="18"/>
  <c r="BI97" i="18" s="1"/>
  <c r="BF83" i="18"/>
  <c r="BG97" i="18" s="1"/>
  <c r="BD83" i="18"/>
  <c r="BE97" i="18" s="1"/>
  <c r="BB83" i="18"/>
  <c r="BC97" i="18" s="1"/>
  <c r="AZ83" i="18"/>
  <c r="BA97" i="18" s="1"/>
  <c r="AX83" i="18"/>
  <c r="AY97" i="18" s="1"/>
  <c r="AV83" i="18"/>
  <c r="AW97" i="18" s="1"/>
  <c r="AT83" i="18"/>
  <c r="AU97" i="18" s="1"/>
  <c r="AR83" i="18"/>
  <c r="AS97" i="18" s="1"/>
  <c r="AP83" i="18"/>
  <c r="AQ97" i="18" s="1"/>
  <c r="AN83" i="18"/>
  <c r="AO97" i="18" s="1"/>
  <c r="AL83" i="18"/>
  <c r="AM97" i="18" s="1"/>
  <c r="AJ83" i="18"/>
  <c r="AK97" i="18" s="1"/>
  <c r="AH83" i="18"/>
  <c r="AI97" i="18" s="1"/>
  <c r="AF83" i="18"/>
  <c r="AG97" i="18" s="1"/>
  <c r="AD83" i="18"/>
  <c r="AE97" i="18" s="1"/>
  <c r="AB83" i="18"/>
  <c r="AC97" i="18" s="1"/>
  <c r="Z83" i="18"/>
  <c r="AA97" i="18" s="1"/>
  <c r="X83" i="18"/>
  <c r="Y97" i="18" s="1"/>
  <c r="V83" i="18"/>
  <c r="W97" i="18" s="1"/>
  <c r="T83" i="18"/>
  <c r="U97" i="18" s="1"/>
  <c r="R83" i="18"/>
  <c r="S97" i="18" s="1"/>
  <c r="P83" i="18"/>
  <c r="Q97" i="18" s="1"/>
  <c r="N83" i="18"/>
  <c r="O97" i="18" s="1"/>
  <c r="L83" i="18"/>
  <c r="M97" i="18" s="1"/>
  <c r="J83" i="18"/>
  <c r="K97" i="18" s="1"/>
  <c r="H83" i="18"/>
  <c r="I97" i="18" s="1"/>
  <c r="F83" i="18"/>
  <c r="G97" i="18" s="1"/>
  <c r="BL82" i="18"/>
  <c r="BM96" i="18" s="1"/>
  <c r="BJ82" i="18"/>
  <c r="BK96" i="18" s="1"/>
  <c r="BH82" i="18"/>
  <c r="BI96" i="18" s="1"/>
  <c r="BF82" i="18"/>
  <c r="BG96" i="18" s="1"/>
  <c r="BD82" i="18"/>
  <c r="BE96" i="18" s="1"/>
  <c r="BB82" i="18"/>
  <c r="BC96" i="18" s="1"/>
  <c r="AZ82" i="18"/>
  <c r="BA96" i="18" s="1"/>
  <c r="AX82" i="18"/>
  <c r="AY96" i="18" s="1"/>
  <c r="AV82" i="18"/>
  <c r="AW96" i="18" s="1"/>
  <c r="AT82" i="18"/>
  <c r="AU96" i="18" s="1"/>
  <c r="AR82" i="18"/>
  <c r="AS96" i="18" s="1"/>
  <c r="AP82" i="18"/>
  <c r="AQ96" i="18" s="1"/>
  <c r="AN82" i="18"/>
  <c r="AO96" i="18" s="1"/>
  <c r="AL82" i="18"/>
  <c r="AM96" i="18" s="1"/>
  <c r="AJ82" i="18"/>
  <c r="AK96" i="18" s="1"/>
  <c r="AH82" i="18"/>
  <c r="AI96" i="18" s="1"/>
  <c r="AF82" i="18"/>
  <c r="AG96" i="18" s="1"/>
  <c r="AD82" i="18"/>
  <c r="AE96" i="18" s="1"/>
  <c r="AB82" i="18"/>
  <c r="AC96" i="18" s="1"/>
  <c r="Z82" i="18"/>
  <c r="AA96" i="18" s="1"/>
  <c r="X82" i="18"/>
  <c r="Y96" i="18" s="1"/>
  <c r="V82" i="18"/>
  <c r="W96" i="18" s="1"/>
  <c r="T82" i="18"/>
  <c r="U96" i="18" s="1"/>
  <c r="R82" i="18"/>
  <c r="S96" i="18" s="1"/>
  <c r="P82" i="18"/>
  <c r="Q96" i="18" s="1"/>
  <c r="N82" i="18"/>
  <c r="O96" i="18" s="1"/>
  <c r="L82" i="18"/>
  <c r="M96" i="18" s="1"/>
  <c r="J82" i="18"/>
  <c r="K96" i="18" s="1"/>
  <c r="H82" i="18"/>
  <c r="I96" i="18" s="1"/>
  <c r="F82" i="18"/>
  <c r="G96" i="18" s="1"/>
  <c r="D82" i="18"/>
  <c r="BP81" i="18"/>
  <c r="BL81" i="18"/>
  <c r="BM95" i="18" s="1"/>
  <c r="BJ81" i="18"/>
  <c r="BK95" i="18" s="1"/>
  <c r="BH81" i="18"/>
  <c r="BI95" i="18" s="1"/>
  <c r="BF81" i="18"/>
  <c r="BG95" i="18" s="1"/>
  <c r="BD81" i="18"/>
  <c r="BE95" i="18" s="1"/>
  <c r="BB81" i="18"/>
  <c r="BC95" i="18" s="1"/>
  <c r="AZ81" i="18"/>
  <c r="BA95" i="18" s="1"/>
  <c r="AX81" i="18"/>
  <c r="AY95" i="18" s="1"/>
  <c r="AV81" i="18"/>
  <c r="AW95" i="18" s="1"/>
  <c r="AT81" i="18"/>
  <c r="AU95" i="18" s="1"/>
  <c r="AR81" i="18"/>
  <c r="AS95" i="18" s="1"/>
  <c r="AP81" i="18"/>
  <c r="AQ95" i="18" s="1"/>
  <c r="AN81" i="18"/>
  <c r="AO95" i="18" s="1"/>
  <c r="AL81" i="18"/>
  <c r="AM95" i="18" s="1"/>
  <c r="AJ81" i="18"/>
  <c r="AK95" i="18" s="1"/>
  <c r="AH81" i="18"/>
  <c r="AI95" i="18" s="1"/>
  <c r="AF81" i="18"/>
  <c r="AG95" i="18" s="1"/>
  <c r="AD81" i="18"/>
  <c r="AE95" i="18" s="1"/>
  <c r="AB81" i="18"/>
  <c r="AC95" i="18" s="1"/>
  <c r="Z81" i="18"/>
  <c r="AA95" i="18" s="1"/>
  <c r="X81" i="18"/>
  <c r="Y95" i="18" s="1"/>
  <c r="V81" i="18"/>
  <c r="W95" i="18" s="1"/>
  <c r="T81" i="18"/>
  <c r="U95" i="18" s="1"/>
  <c r="R81" i="18"/>
  <c r="S95" i="18" s="1"/>
  <c r="P81" i="18"/>
  <c r="Q95" i="18" s="1"/>
  <c r="N81" i="18"/>
  <c r="O95" i="18" s="1"/>
  <c r="L81" i="18"/>
  <c r="M95" i="18" s="1"/>
  <c r="J81" i="18"/>
  <c r="K95" i="18" s="1"/>
  <c r="H81" i="18"/>
  <c r="I95" i="18" s="1"/>
  <c r="F81" i="18"/>
  <c r="G95" i="18" s="1"/>
  <c r="BL80" i="18"/>
  <c r="BM94" i="18" s="1"/>
  <c r="BJ80" i="18"/>
  <c r="BK94" i="18" s="1"/>
  <c r="BH80" i="18"/>
  <c r="BI94" i="18" s="1"/>
  <c r="BF80" i="18"/>
  <c r="BG94" i="18" s="1"/>
  <c r="BD80" i="18"/>
  <c r="BE94" i="18" s="1"/>
  <c r="BB80" i="18"/>
  <c r="BC94" i="18" s="1"/>
  <c r="AZ80" i="18"/>
  <c r="BA94" i="18" s="1"/>
  <c r="AX80" i="18"/>
  <c r="AY94" i="18" s="1"/>
  <c r="AV80" i="18"/>
  <c r="AW94" i="18" s="1"/>
  <c r="AT80" i="18"/>
  <c r="AU94" i="18" s="1"/>
  <c r="AR80" i="18"/>
  <c r="AS94" i="18" s="1"/>
  <c r="AP80" i="18"/>
  <c r="AQ94" i="18" s="1"/>
  <c r="AN80" i="18"/>
  <c r="AO94" i="18" s="1"/>
  <c r="AL80" i="18"/>
  <c r="AM94" i="18" s="1"/>
  <c r="AJ80" i="18"/>
  <c r="AK94" i="18" s="1"/>
  <c r="AH80" i="18"/>
  <c r="AI94" i="18" s="1"/>
  <c r="AF80" i="18"/>
  <c r="AG94" i="18" s="1"/>
  <c r="AD80" i="18"/>
  <c r="AE94" i="18" s="1"/>
  <c r="AB80" i="18"/>
  <c r="AC94" i="18" s="1"/>
  <c r="Z80" i="18"/>
  <c r="AA94" i="18" s="1"/>
  <c r="X80" i="18"/>
  <c r="Y94" i="18" s="1"/>
  <c r="V80" i="18"/>
  <c r="W94" i="18" s="1"/>
  <c r="T80" i="18"/>
  <c r="U94" i="18" s="1"/>
  <c r="R80" i="18"/>
  <c r="S94" i="18" s="1"/>
  <c r="P80" i="18"/>
  <c r="Q94" i="18" s="1"/>
  <c r="N80" i="18"/>
  <c r="O94" i="18" s="1"/>
  <c r="L80" i="18"/>
  <c r="M94" i="18" s="1"/>
  <c r="J80" i="18"/>
  <c r="K94" i="18" s="1"/>
  <c r="H80" i="18"/>
  <c r="I94" i="18" s="1"/>
  <c r="F80" i="18"/>
  <c r="G94" i="18" s="1"/>
  <c r="D80" i="18"/>
  <c r="BP79" i="18"/>
  <c r="BL79" i="18"/>
  <c r="BM93" i="18" s="1"/>
  <c r="BJ79" i="18"/>
  <c r="BK93" i="18" s="1"/>
  <c r="BH79" i="18"/>
  <c r="BI93" i="18" s="1"/>
  <c r="BF79" i="18"/>
  <c r="BG93" i="18" s="1"/>
  <c r="BD79" i="18"/>
  <c r="BE93" i="18" s="1"/>
  <c r="BB79" i="18"/>
  <c r="BC93" i="18" s="1"/>
  <c r="AZ79" i="18"/>
  <c r="BA93" i="18" s="1"/>
  <c r="AX79" i="18"/>
  <c r="AY93" i="18" s="1"/>
  <c r="AV79" i="18"/>
  <c r="AW93" i="18" s="1"/>
  <c r="AT79" i="18"/>
  <c r="AU93" i="18" s="1"/>
  <c r="AR79" i="18"/>
  <c r="AS93" i="18" s="1"/>
  <c r="AP79" i="18"/>
  <c r="AQ93" i="18" s="1"/>
  <c r="AN79" i="18"/>
  <c r="AL79" i="18"/>
  <c r="AM93" i="18" s="1"/>
  <c r="AJ79" i="18"/>
  <c r="AK93" i="18" s="1"/>
  <c r="AH79" i="18"/>
  <c r="AI93" i="18" s="1"/>
  <c r="AF79" i="18"/>
  <c r="AG93" i="18" s="1"/>
  <c r="AD79" i="18"/>
  <c r="AE93" i="18" s="1"/>
  <c r="AB79" i="18"/>
  <c r="AC93" i="18" s="1"/>
  <c r="Z79" i="18"/>
  <c r="AA93" i="18" s="1"/>
  <c r="X79" i="18"/>
  <c r="Y93" i="18" s="1"/>
  <c r="V79" i="18"/>
  <c r="W93" i="18" s="1"/>
  <c r="T79" i="18"/>
  <c r="U93" i="18" s="1"/>
  <c r="R79" i="18"/>
  <c r="S93" i="18" s="1"/>
  <c r="P79" i="18"/>
  <c r="Q93" i="18" s="1"/>
  <c r="N79" i="18"/>
  <c r="O93" i="18" s="1"/>
  <c r="L79" i="18"/>
  <c r="M93" i="18" s="1"/>
  <c r="J79" i="18"/>
  <c r="K93" i="18" s="1"/>
  <c r="H79" i="18"/>
  <c r="I93" i="18" s="1"/>
  <c r="F79" i="18"/>
  <c r="G93" i="18" s="1"/>
  <c r="D79" i="18"/>
  <c r="E93" i="18" s="1"/>
  <c r="BP78" i="18"/>
  <c r="BL78" i="18"/>
  <c r="BM92" i="18" s="1"/>
  <c r="BJ78" i="18"/>
  <c r="BK92" i="18" s="1"/>
  <c r="BH78" i="18"/>
  <c r="BI92" i="18" s="1"/>
  <c r="BF78" i="18"/>
  <c r="BG92" i="18" s="1"/>
  <c r="BD78" i="18"/>
  <c r="BE92" i="18" s="1"/>
  <c r="BB78" i="18"/>
  <c r="BC92" i="18" s="1"/>
  <c r="AZ78" i="18"/>
  <c r="BA92" i="18" s="1"/>
  <c r="AX78" i="18"/>
  <c r="AY92" i="18" s="1"/>
  <c r="AV78" i="18"/>
  <c r="AW92" i="18" s="1"/>
  <c r="AT78" i="18"/>
  <c r="AU92" i="18" s="1"/>
  <c r="AR78" i="18"/>
  <c r="AP78" i="18"/>
  <c r="AQ92" i="18" s="1"/>
  <c r="AN78" i="18"/>
  <c r="AO92" i="18" s="1"/>
  <c r="AL78" i="18"/>
  <c r="AM92" i="18" s="1"/>
  <c r="AJ78" i="18"/>
  <c r="AK92" i="18" s="1"/>
  <c r="AH78" i="18"/>
  <c r="AI92" i="18" s="1"/>
  <c r="AF78" i="18"/>
  <c r="AG92" i="18" s="1"/>
  <c r="AD78" i="18"/>
  <c r="AE92" i="18" s="1"/>
  <c r="AB78" i="18"/>
  <c r="AC92" i="18" s="1"/>
  <c r="Z78" i="18"/>
  <c r="AA92" i="18" s="1"/>
  <c r="X78" i="18"/>
  <c r="Y92" i="18" s="1"/>
  <c r="V78" i="18"/>
  <c r="W92" i="18" s="1"/>
  <c r="T78" i="18"/>
  <c r="U92" i="18" s="1"/>
  <c r="R78" i="18"/>
  <c r="S92" i="18" s="1"/>
  <c r="P78" i="18"/>
  <c r="Q92" i="18" s="1"/>
  <c r="N78" i="18"/>
  <c r="O92" i="18" s="1"/>
  <c r="L78" i="18"/>
  <c r="M92" i="18" s="1"/>
  <c r="J78" i="18"/>
  <c r="K92" i="18" s="1"/>
  <c r="H78" i="18"/>
  <c r="I92" i="18" s="1"/>
  <c r="F78" i="18"/>
  <c r="G92" i="18" s="1"/>
  <c r="BL77" i="18"/>
  <c r="BJ77" i="18"/>
  <c r="BK91" i="18" s="1"/>
  <c r="BH77" i="18"/>
  <c r="BI91" i="18" s="1"/>
  <c r="BF77" i="18"/>
  <c r="BG91" i="18" s="1"/>
  <c r="BD77" i="18"/>
  <c r="BE91" i="18" s="1"/>
  <c r="BB77" i="18"/>
  <c r="BC91" i="18" s="1"/>
  <c r="AZ77" i="18"/>
  <c r="BA91" i="18" s="1"/>
  <c r="AX77" i="18"/>
  <c r="AY91" i="18" s="1"/>
  <c r="AV77" i="18"/>
  <c r="AW91" i="18" s="1"/>
  <c r="AT77" i="18"/>
  <c r="AU91" i="18" s="1"/>
  <c r="AR77" i="18"/>
  <c r="AS91" i="18" s="1"/>
  <c r="AP77" i="18"/>
  <c r="AQ91" i="18" s="1"/>
  <c r="AN77" i="18"/>
  <c r="AO91" i="18" s="1"/>
  <c r="AL77" i="18"/>
  <c r="AM91" i="18" s="1"/>
  <c r="AJ77" i="18"/>
  <c r="AK91" i="18" s="1"/>
  <c r="AH77" i="18"/>
  <c r="AI91" i="18" s="1"/>
  <c r="AF77" i="18"/>
  <c r="AG91" i="18" s="1"/>
  <c r="AD77" i="18"/>
  <c r="AE91" i="18" s="1"/>
  <c r="AB77" i="18"/>
  <c r="AC91" i="18" s="1"/>
  <c r="Z77" i="18"/>
  <c r="AA91" i="18" s="1"/>
  <c r="X77" i="18"/>
  <c r="Y91" i="18" s="1"/>
  <c r="V77" i="18"/>
  <c r="W91" i="18" s="1"/>
  <c r="T77" i="18"/>
  <c r="U91" i="18" s="1"/>
  <c r="R77" i="18"/>
  <c r="S91" i="18" s="1"/>
  <c r="P77" i="18"/>
  <c r="Q91" i="18" s="1"/>
  <c r="N77" i="18"/>
  <c r="L77" i="18"/>
  <c r="M91" i="18" s="1"/>
  <c r="J77" i="18"/>
  <c r="K91" i="18" s="1"/>
  <c r="H77" i="18"/>
  <c r="I91" i="18" s="1"/>
  <c r="F77" i="18"/>
  <c r="G91" i="18" s="1"/>
  <c r="AW75" i="18"/>
  <c r="AW11" i="18" s="1"/>
  <c r="Y75" i="18"/>
  <c r="Y11" i="18" s="1"/>
  <c r="W75" i="18"/>
  <c r="W11" i="18" s="1"/>
  <c r="BO74" i="18"/>
  <c r="G174" i="19" s="1"/>
  <c r="BP72" i="18"/>
  <c r="BM72" i="18"/>
  <c r="BL72" i="18"/>
  <c r="BK72" i="18"/>
  <c r="BJ72" i="18"/>
  <c r="BI72" i="18"/>
  <c r="BH72" i="18"/>
  <c r="BG72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D72" i="18"/>
  <c r="BP71" i="18"/>
  <c r="BM71" i="18"/>
  <c r="BL71" i="18"/>
  <c r="BK71" i="18"/>
  <c r="BJ71" i="18"/>
  <c r="BI71" i="18"/>
  <c r="BH71" i="18"/>
  <c r="BG71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D71" i="18"/>
  <c r="BP70" i="18"/>
  <c r="BM70" i="18"/>
  <c r="BL70" i="18"/>
  <c r="BK70" i="18"/>
  <c r="BJ70" i="18"/>
  <c r="BI70" i="18"/>
  <c r="BH70" i="18"/>
  <c r="BG70" i="18"/>
  <c r="BF70" i="18"/>
  <c r="BE70" i="18"/>
  <c r="BD70" i="18"/>
  <c r="BC70" i="18"/>
  <c r="BB70" i="18"/>
  <c r="BA70" i="18"/>
  <c r="AZ70" i="18"/>
  <c r="AY70" i="18"/>
  <c r="AX70" i="18"/>
  <c r="AW70" i="18"/>
  <c r="AV70" i="18"/>
  <c r="AU70" i="18"/>
  <c r="AT70" i="18"/>
  <c r="AS70" i="18"/>
  <c r="AR70" i="18"/>
  <c r="AQ70" i="18"/>
  <c r="AP70" i="18"/>
  <c r="AO70" i="18"/>
  <c r="AN70" i="18"/>
  <c r="AM70" i="18"/>
  <c r="AL70" i="18"/>
  <c r="AK70" i="18"/>
  <c r="AJ70" i="18"/>
  <c r="AI70" i="18"/>
  <c r="AH70" i="18"/>
  <c r="AG70" i="18"/>
  <c r="AF70" i="18"/>
  <c r="AE70" i="18"/>
  <c r="AD70" i="18"/>
  <c r="AC70" i="18"/>
  <c r="AB70" i="18"/>
  <c r="AA70" i="18"/>
  <c r="Z70" i="18"/>
  <c r="Y70" i="18"/>
  <c r="X70" i="18"/>
  <c r="W70" i="18"/>
  <c r="V70" i="18"/>
  <c r="U70" i="18"/>
  <c r="T70" i="18"/>
  <c r="S70" i="18"/>
  <c r="R70" i="18"/>
  <c r="Q70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70" i="18"/>
  <c r="BP69" i="18"/>
  <c r="BM69" i="18"/>
  <c r="BL69" i="18"/>
  <c r="BK69" i="18"/>
  <c r="BJ69" i="18"/>
  <c r="BI69" i="18"/>
  <c r="BH69" i="18"/>
  <c r="BG69" i="18"/>
  <c r="BF69" i="18"/>
  <c r="BE69" i="18"/>
  <c r="BD69" i="18"/>
  <c r="BC69" i="18"/>
  <c r="BB69" i="18"/>
  <c r="BA69" i="18"/>
  <c r="AZ69" i="18"/>
  <c r="AY69" i="18"/>
  <c r="AX69" i="18"/>
  <c r="AW69" i="18"/>
  <c r="AV69" i="18"/>
  <c r="AU69" i="18"/>
  <c r="AT69" i="18"/>
  <c r="AS69" i="18"/>
  <c r="AR69" i="18"/>
  <c r="AQ69" i="18"/>
  <c r="AP69" i="18"/>
  <c r="AO69" i="18"/>
  <c r="AN69" i="18"/>
  <c r="AM69" i="18"/>
  <c r="AL69" i="18"/>
  <c r="AK69" i="18"/>
  <c r="AJ69" i="18"/>
  <c r="AI69" i="18"/>
  <c r="AH69" i="18"/>
  <c r="AG69" i="18"/>
  <c r="AF69" i="18"/>
  <c r="AE69" i="18"/>
  <c r="AD69" i="18"/>
  <c r="AC69" i="18"/>
  <c r="AB69" i="18"/>
  <c r="AA69" i="18"/>
  <c r="Z69" i="18"/>
  <c r="Y69" i="18"/>
  <c r="X69" i="18"/>
  <c r="W69" i="18"/>
  <c r="V69" i="18"/>
  <c r="U69" i="18"/>
  <c r="T69" i="18"/>
  <c r="S69" i="18"/>
  <c r="R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69" i="18"/>
  <c r="BP68" i="18"/>
  <c r="BM68" i="18"/>
  <c r="BL68" i="18"/>
  <c r="BK68" i="18"/>
  <c r="BJ68" i="18"/>
  <c r="BI68" i="18"/>
  <c r="BH68" i="18"/>
  <c r="BG68" i="18"/>
  <c r="BF68" i="18"/>
  <c r="BE68" i="18"/>
  <c r="BD68" i="18"/>
  <c r="BC68" i="18"/>
  <c r="BB68" i="18"/>
  <c r="BA68" i="18"/>
  <c r="AZ68" i="18"/>
  <c r="AY68" i="18"/>
  <c r="AX68" i="18"/>
  <c r="AW68" i="18"/>
  <c r="AV68" i="18"/>
  <c r="AU68" i="18"/>
  <c r="AT68" i="18"/>
  <c r="AS68" i="18"/>
  <c r="AR68" i="18"/>
  <c r="AQ68" i="18"/>
  <c r="AP68" i="18"/>
  <c r="AO68" i="18"/>
  <c r="AN68" i="18"/>
  <c r="AM68" i="18"/>
  <c r="AL68" i="18"/>
  <c r="AK68" i="18"/>
  <c r="AJ68" i="18"/>
  <c r="AI68" i="18"/>
  <c r="AH68" i="18"/>
  <c r="AG68" i="18"/>
  <c r="AF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R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D68" i="18"/>
  <c r="BL66" i="18"/>
  <c r="BJ66" i="18"/>
  <c r="BH66" i="18"/>
  <c r="BF66" i="18"/>
  <c r="BD66" i="18"/>
  <c r="BB66" i="18"/>
  <c r="AZ66" i="18"/>
  <c r="AX66" i="18"/>
  <c r="AV66" i="18"/>
  <c r="AT66" i="18"/>
  <c r="AR66" i="18"/>
  <c r="AP66" i="18"/>
  <c r="AN66" i="18"/>
  <c r="AL66" i="18"/>
  <c r="AJ66" i="18"/>
  <c r="AH66" i="18"/>
  <c r="AF66" i="18"/>
  <c r="AD66" i="18"/>
  <c r="AB66" i="18"/>
  <c r="Z66" i="18"/>
  <c r="X66" i="18"/>
  <c r="V66" i="18"/>
  <c r="T66" i="18"/>
  <c r="R66" i="18"/>
  <c r="P66" i="18"/>
  <c r="N66" i="18"/>
  <c r="L66" i="18"/>
  <c r="J66" i="18"/>
  <c r="H66" i="18"/>
  <c r="F66" i="18"/>
  <c r="BL65" i="18"/>
  <c r="BJ65" i="18"/>
  <c r="BH65" i="18"/>
  <c r="BF65" i="18"/>
  <c r="BD65" i="18"/>
  <c r="BB65" i="18"/>
  <c r="AZ65" i="18"/>
  <c r="AX65" i="18"/>
  <c r="AV65" i="18"/>
  <c r="AT65" i="18"/>
  <c r="AR65" i="18"/>
  <c r="AP65" i="18"/>
  <c r="AN65" i="18"/>
  <c r="AL65" i="18"/>
  <c r="AJ65" i="18"/>
  <c r="AH65" i="18"/>
  <c r="AF65" i="18"/>
  <c r="AD65" i="18"/>
  <c r="AB65" i="18"/>
  <c r="Z65" i="18"/>
  <c r="X65" i="18"/>
  <c r="V65" i="18"/>
  <c r="T65" i="18"/>
  <c r="R65" i="18"/>
  <c r="P65" i="18"/>
  <c r="N65" i="18"/>
  <c r="L65" i="18"/>
  <c r="J65" i="18"/>
  <c r="H65" i="18"/>
  <c r="F65" i="18"/>
  <c r="D65" i="18"/>
  <c r="B65" i="18"/>
  <c r="BP64" i="18"/>
  <c r="BL64" i="18"/>
  <c r="BJ64" i="18"/>
  <c r="BH64" i="18"/>
  <c r="BF64" i="18"/>
  <c r="BD64" i="18"/>
  <c r="BB64" i="18"/>
  <c r="AZ64" i="18"/>
  <c r="AX64" i="18"/>
  <c r="AV64" i="18"/>
  <c r="AT64" i="18"/>
  <c r="AR64" i="18"/>
  <c r="AP64" i="18"/>
  <c r="AN64" i="18"/>
  <c r="AL64" i="18"/>
  <c r="AJ64" i="18"/>
  <c r="AH64" i="18"/>
  <c r="AF64" i="18"/>
  <c r="AD64" i="18"/>
  <c r="AB64" i="18"/>
  <c r="Z64" i="18"/>
  <c r="X64" i="18"/>
  <c r="V64" i="18"/>
  <c r="T64" i="18"/>
  <c r="R64" i="18"/>
  <c r="P64" i="18"/>
  <c r="N64" i="18"/>
  <c r="L64" i="18"/>
  <c r="J64" i="18"/>
  <c r="H64" i="18"/>
  <c r="F64" i="18"/>
  <c r="BP63" i="18"/>
  <c r="BL63" i="18"/>
  <c r="BJ63" i="18"/>
  <c r="BH63" i="18"/>
  <c r="BF63" i="18"/>
  <c r="BD63" i="18"/>
  <c r="BB63" i="18"/>
  <c r="AZ63" i="18"/>
  <c r="AX63" i="18"/>
  <c r="AV63" i="18"/>
  <c r="AT63" i="18"/>
  <c r="AR63" i="18"/>
  <c r="AP63" i="18"/>
  <c r="AN63" i="18"/>
  <c r="AL63" i="18"/>
  <c r="AJ63" i="18"/>
  <c r="AH63" i="18"/>
  <c r="AF63" i="18"/>
  <c r="AD63" i="18"/>
  <c r="AB63" i="18"/>
  <c r="Z63" i="18"/>
  <c r="X63" i="18"/>
  <c r="V63" i="18"/>
  <c r="T63" i="18"/>
  <c r="R63" i="18"/>
  <c r="P63" i="18"/>
  <c r="N63" i="18"/>
  <c r="L63" i="18"/>
  <c r="J63" i="18"/>
  <c r="H63" i="18"/>
  <c r="F63" i="18"/>
  <c r="BP62" i="18"/>
  <c r="BL62" i="18"/>
  <c r="BJ62" i="18"/>
  <c r="BH62" i="18"/>
  <c r="BF62" i="18"/>
  <c r="BD62" i="18"/>
  <c r="BB62" i="18"/>
  <c r="AZ62" i="18"/>
  <c r="AZ67" i="18" s="1"/>
  <c r="AX62" i="18"/>
  <c r="AV62" i="18"/>
  <c r="AT62" i="18"/>
  <c r="AR62" i="18"/>
  <c r="AP62" i="18"/>
  <c r="AN62" i="18"/>
  <c r="AL62" i="18"/>
  <c r="AJ62" i="18"/>
  <c r="AH62" i="18"/>
  <c r="AF62" i="18"/>
  <c r="AD62" i="18"/>
  <c r="AB62" i="18"/>
  <c r="AB67" i="18" s="1"/>
  <c r="Z62" i="18"/>
  <c r="X62" i="18"/>
  <c r="V62" i="18"/>
  <c r="T62" i="18"/>
  <c r="R62" i="18"/>
  <c r="P62" i="18"/>
  <c r="N62" i="18"/>
  <c r="L62" i="18"/>
  <c r="J62" i="18"/>
  <c r="H62" i="18"/>
  <c r="F62" i="18"/>
  <c r="BM59" i="18"/>
  <c r="BM7" i="18" s="1"/>
  <c r="BK59" i="18"/>
  <c r="BI59" i="18"/>
  <c r="BI7" i="18" s="1"/>
  <c r="BG59" i="18"/>
  <c r="BG7" i="18" s="1"/>
  <c r="BE59" i="18"/>
  <c r="BC59" i="18"/>
  <c r="BC7" i="18" s="1"/>
  <c r="BA59" i="18"/>
  <c r="BA7" i="18" s="1"/>
  <c r="AY59" i="18"/>
  <c r="AY7" i="18" s="1"/>
  <c r="AW59" i="18"/>
  <c r="AW7" i="18" s="1"/>
  <c r="AU59" i="18"/>
  <c r="AU7" i="18" s="1"/>
  <c r="AS59" i="18"/>
  <c r="AS7" i="18" s="1"/>
  <c r="AQ59" i="18"/>
  <c r="AQ7" i="18" s="1"/>
  <c r="AO59" i="18"/>
  <c r="AO7" i="18" s="1"/>
  <c r="AM59" i="18"/>
  <c r="AK59" i="18"/>
  <c r="AK7" i="18" s="1"/>
  <c r="AI59" i="18"/>
  <c r="AI7" i="18" s="1"/>
  <c r="AG59" i="18"/>
  <c r="AE59" i="18"/>
  <c r="AE7" i="18" s="1"/>
  <c r="AC59" i="18"/>
  <c r="AC7" i="18" s="1"/>
  <c r="AA59" i="18"/>
  <c r="AA7" i="18" s="1"/>
  <c r="Y59" i="18"/>
  <c r="Y7" i="18" s="1"/>
  <c r="W59" i="18"/>
  <c r="W7" i="18" s="1"/>
  <c r="U59" i="18"/>
  <c r="U7" i="18" s="1"/>
  <c r="S59" i="18"/>
  <c r="S7" i="18" s="1"/>
  <c r="Q59" i="18"/>
  <c r="Q7" i="18" s="1"/>
  <c r="O59" i="18"/>
  <c r="M59" i="18"/>
  <c r="M7" i="18" s="1"/>
  <c r="K59" i="18"/>
  <c r="I59" i="18"/>
  <c r="G59" i="18"/>
  <c r="G7" i="18" s="1"/>
  <c r="E59" i="18"/>
  <c r="E7" i="18" s="1"/>
  <c r="BM57" i="18"/>
  <c r="BQ57" i="18" s="1"/>
  <c r="BK57" i="18"/>
  <c r="BK75" i="18" s="1"/>
  <c r="BK11" i="18" s="1"/>
  <c r="BI57" i="18"/>
  <c r="BI75" i="18" s="1"/>
  <c r="BI11" i="18" s="1"/>
  <c r="BG57" i="18"/>
  <c r="BG75" i="18" s="1"/>
  <c r="BE57" i="18"/>
  <c r="BE75" i="18" s="1"/>
  <c r="BE11" i="18" s="1"/>
  <c r="BC57" i="18"/>
  <c r="BC75" i="18" s="1"/>
  <c r="BC11" i="18" s="1"/>
  <c r="BA57" i="18"/>
  <c r="BA75" i="18" s="1"/>
  <c r="BA11" i="18" s="1"/>
  <c r="AY57" i="18"/>
  <c r="AY75" i="18" s="1"/>
  <c r="AY11" i="18" s="1"/>
  <c r="AW57" i="18"/>
  <c r="AU57" i="18"/>
  <c r="AU75" i="18" s="1"/>
  <c r="AU11" i="18" s="1"/>
  <c r="AS57" i="18"/>
  <c r="AS75" i="18" s="1"/>
  <c r="AS11" i="18" s="1"/>
  <c r="AQ57" i="18"/>
  <c r="AQ75" i="18" s="1"/>
  <c r="AQ11" i="18" s="1"/>
  <c r="AO57" i="18"/>
  <c r="AO75" i="18" s="1"/>
  <c r="AO11" i="18" s="1"/>
  <c r="AM57" i="18"/>
  <c r="AM75" i="18" s="1"/>
  <c r="AM11" i="18" s="1"/>
  <c r="AK57" i="18"/>
  <c r="AK75" i="18" s="1"/>
  <c r="AK11" i="18" s="1"/>
  <c r="AI57" i="18"/>
  <c r="AI75" i="18" s="1"/>
  <c r="AG57" i="18"/>
  <c r="AG75" i="18" s="1"/>
  <c r="AG11" i="18" s="1"/>
  <c r="AE57" i="18"/>
  <c r="AE75" i="18" s="1"/>
  <c r="AE11" i="18" s="1"/>
  <c r="AC57" i="18"/>
  <c r="AC75" i="18" s="1"/>
  <c r="AC11" i="18" s="1"/>
  <c r="AA57" i="18"/>
  <c r="AA75" i="18" s="1"/>
  <c r="AA11" i="18" s="1"/>
  <c r="Y57" i="18"/>
  <c r="W57" i="18"/>
  <c r="U57" i="18"/>
  <c r="U75" i="18" s="1"/>
  <c r="U11" i="18" s="1"/>
  <c r="S57" i="18"/>
  <c r="S75" i="18" s="1"/>
  <c r="S11" i="18" s="1"/>
  <c r="Q57" i="18"/>
  <c r="Q75" i="18" s="1"/>
  <c r="Q11" i="18" s="1"/>
  <c r="O57" i="18"/>
  <c r="O75" i="18" s="1"/>
  <c r="O11" i="18" s="1"/>
  <c r="M57" i="18"/>
  <c r="M75" i="18" s="1"/>
  <c r="M11" i="18" s="1"/>
  <c r="K57" i="18"/>
  <c r="K75" i="18" s="1"/>
  <c r="K11" i="18" s="1"/>
  <c r="I57" i="18"/>
  <c r="I75" i="18" s="1"/>
  <c r="I11" i="18" s="1"/>
  <c r="G57" i="18"/>
  <c r="G75" i="18" s="1"/>
  <c r="G11" i="18" s="1"/>
  <c r="E57" i="18"/>
  <c r="BO56" i="18"/>
  <c r="G157" i="19" s="1"/>
  <c r="BO55" i="18"/>
  <c r="G156" i="19" s="1"/>
  <c r="BO53" i="18"/>
  <c r="G154" i="19" s="1"/>
  <c r="BO52" i="18"/>
  <c r="G153" i="19" s="1"/>
  <c r="BO51" i="18"/>
  <c r="G152" i="19" s="1"/>
  <c r="BM49" i="18"/>
  <c r="BQ49" i="18" s="1"/>
  <c r="BK49" i="18"/>
  <c r="BI49" i="18"/>
  <c r="BG49" i="18"/>
  <c r="BE49" i="18"/>
  <c r="BE50" i="18" s="1"/>
  <c r="BC49" i="18"/>
  <c r="BA49" i="18"/>
  <c r="AY49" i="18"/>
  <c r="AW49" i="18"/>
  <c r="AU49" i="18"/>
  <c r="AS49" i="18"/>
  <c r="AQ49" i="18"/>
  <c r="AO49" i="18"/>
  <c r="AM49" i="18"/>
  <c r="AK49" i="18"/>
  <c r="AI49" i="18"/>
  <c r="AG49" i="18"/>
  <c r="AE49" i="18"/>
  <c r="AC49" i="18"/>
  <c r="AA49" i="18"/>
  <c r="Y49" i="18"/>
  <c r="W49" i="18"/>
  <c r="U49" i="18"/>
  <c r="S49" i="18"/>
  <c r="Q49" i="18"/>
  <c r="O49" i="18"/>
  <c r="M49" i="18"/>
  <c r="K49" i="18"/>
  <c r="I49" i="18"/>
  <c r="G49" i="18"/>
  <c r="E49" i="18"/>
  <c r="BO48" i="18"/>
  <c r="G149" i="19" s="1"/>
  <c r="BO47" i="18"/>
  <c r="G148" i="19" s="1"/>
  <c r="BO46" i="18"/>
  <c r="G147" i="19" s="1"/>
  <c r="BO45" i="18"/>
  <c r="G146" i="19" s="1"/>
  <c r="BO44" i="18"/>
  <c r="G145" i="19" s="1"/>
  <c r="BO43" i="18"/>
  <c r="G144" i="19" s="1"/>
  <c r="BM42" i="18"/>
  <c r="BQ42" i="18" s="1"/>
  <c r="BK42" i="18"/>
  <c r="BI42" i="18"/>
  <c r="BG42" i="18"/>
  <c r="BE42" i="18"/>
  <c r="BC42" i="18"/>
  <c r="BA42" i="18"/>
  <c r="AY42" i="18"/>
  <c r="AY50" i="18" s="1"/>
  <c r="AW42" i="18"/>
  <c r="AW50" i="18" s="1"/>
  <c r="AU42" i="18"/>
  <c r="AU50" i="18" s="1"/>
  <c r="AS42" i="18"/>
  <c r="AQ42" i="18"/>
  <c r="AO42" i="18"/>
  <c r="AO50" i="18" s="1"/>
  <c r="AM42" i="18"/>
  <c r="AK42" i="18"/>
  <c r="AI42" i="18"/>
  <c r="AG42" i="18"/>
  <c r="AE42" i="18"/>
  <c r="AC42" i="18"/>
  <c r="AA42" i="18"/>
  <c r="AA50" i="18" s="1"/>
  <c r="Y42" i="18"/>
  <c r="Y50" i="18" s="1"/>
  <c r="W42" i="18"/>
  <c r="W50" i="18" s="1"/>
  <c r="U42" i="18"/>
  <c r="S42" i="18"/>
  <c r="Q42" i="18"/>
  <c r="Q50" i="18" s="1"/>
  <c r="O42" i="18"/>
  <c r="M42" i="18"/>
  <c r="M50" i="18" s="1"/>
  <c r="K42" i="18"/>
  <c r="I42" i="18"/>
  <c r="G42" i="18"/>
  <c r="E42" i="18"/>
  <c r="BO41" i="18"/>
  <c r="G142" i="19" s="1"/>
  <c r="BO40" i="18"/>
  <c r="G141" i="19" s="1"/>
  <c r="BO39" i="18"/>
  <c r="G140" i="19" s="1"/>
  <c r="BO38" i="18"/>
  <c r="G139" i="19" s="1"/>
  <c r="BO37" i="18"/>
  <c r="G138" i="19" s="1"/>
  <c r="BO36" i="18"/>
  <c r="G137" i="19" s="1"/>
  <c r="BO35" i="18"/>
  <c r="G136" i="19" s="1"/>
  <c r="BO34" i="18"/>
  <c r="G135" i="19" s="1"/>
  <c r="BO33" i="18"/>
  <c r="G134" i="19" s="1"/>
  <c r="BO32" i="18"/>
  <c r="G133" i="19" s="1"/>
  <c r="BM31" i="18"/>
  <c r="BK31" i="18"/>
  <c r="BI31" i="18"/>
  <c r="BG31" i="18"/>
  <c r="BE31" i="18"/>
  <c r="BC31" i="18"/>
  <c r="BA31" i="18"/>
  <c r="AY31" i="18"/>
  <c r="AW31" i="18"/>
  <c r="AU31" i="18"/>
  <c r="AS31" i="18"/>
  <c r="AQ31" i="18"/>
  <c r="AO31" i="18"/>
  <c r="AM31" i="18"/>
  <c r="AK31" i="18"/>
  <c r="AI31" i="18"/>
  <c r="AG31" i="18"/>
  <c r="AE31" i="18"/>
  <c r="AC31" i="18"/>
  <c r="AA31" i="18"/>
  <c r="Y31" i="18"/>
  <c r="W31" i="18"/>
  <c r="U31" i="18"/>
  <c r="S31" i="18"/>
  <c r="Q31" i="18"/>
  <c r="O31" i="18"/>
  <c r="M31" i="18"/>
  <c r="K31" i="18"/>
  <c r="I31" i="18"/>
  <c r="G31" i="18"/>
  <c r="E31" i="18"/>
  <c r="BM30" i="18"/>
  <c r="BK30" i="18"/>
  <c r="BI30" i="18"/>
  <c r="BG30" i="18"/>
  <c r="BE30" i="18"/>
  <c r="BC30" i="18"/>
  <c r="BA30" i="18"/>
  <c r="AY30" i="18"/>
  <c r="AW30" i="18"/>
  <c r="AU30" i="18"/>
  <c r="AS30" i="18"/>
  <c r="AQ30" i="18"/>
  <c r="AO30" i="18"/>
  <c r="AM30" i="18"/>
  <c r="AK30" i="18"/>
  <c r="AI30" i="18"/>
  <c r="AG30" i="18"/>
  <c r="AE30" i="18"/>
  <c r="AC30" i="18"/>
  <c r="AA30" i="18"/>
  <c r="Y30" i="18"/>
  <c r="W30" i="18"/>
  <c r="U30" i="18"/>
  <c r="S30" i="18"/>
  <c r="Q30" i="18"/>
  <c r="O30" i="18"/>
  <c r="M30" i="18"/>
  <c r="K30" i="18"/>
  <c r="I30" i="18"/>
  <c r="G30" i="18"/>
  <c r="BO29" i="18"/>
  <c r="G130" i="19" s="1"/>
  <c r="BO28" i="18"/>
  <c r="G129" i="19" s="1"/>
  <c r="BO27" i="18"/>
  <c r="G128" i="19" s="1"/>
  <c r="BO26" i="18"/>
  <c r="G127" i="19" s="1"/>
  <c r="BO25" i="18"/>
  <c r="G126" i="19" s="1"/>
  <c r="BO24" i="18"/>
  <c r="G125" i="19" s="1"/>
  <c r="BO23" i="18"/>
  <c r="G124" i="19" s="1"/>
  <c r="BM22" i="18"/>
  <c r="BQ22" i="18" s="1"/>
  <c r="BK22" i="18"/>
  <c r="BI22" i="18"/>
  <c r="BG22" i="18"/>
  <c r="BE22" i="18"/>
  <c r="BC22" i="18"/>
  <c r="BA22" i="18"/>
  <c r="AY22" i="18"/>
  <c r="AW22" i="18"/>
  <c r="AU22" i="18"/>
  <c r="AS22" i="18"/>
  <c r="AQ22" i="18"/>
  <c r="AO22" i="18"/>
  <c r="AM22" i="18"/>
  <c r="AK22" i="18"/>
  <c r="AI22" i="18"/>
  <c r="AG22" i="18"/>
  <c r="AE22" i="18"/>
  <c r="AC22" i="18"/>
  <c r="AA22" i="18"/>
  <c r="Y22" i="18"/>
  <c r="W22" i="18"/>
  <c r="U22" i="18"/>
  <c r="S22" i="18"/>
  <c r="Q22" i="18"/>
  <c r="O22" i="18"/>
  <c r="M22" i="18"/>
  <c r="K22" i="18"/>
  <c r="I22" i="18"/>
  <c r="G22" i="18"/>
  <c r="E22" i="18"/>
  <c r="BO21" i="18"/>
  <c r="G122" i="19" s="1"/>
  <c r="BO20" i="18"/>
  <c r="G121" i="19" s="1"/>
  <c r="BO19" i="18"/>
  <c r="G120" i="19" s="1"/>
  <c r="BO18" i="18"/>
  <c r="G119" i="19" s="1"/>
  <c r="BO17" i="18"/>
  <c r="G118" i="19" s="1"/>
  <c r="BG11" i="18"/>
  <c r="AL11" i="18"/>
  <c r="AJ11" i="18"/>
  <c r="AI11" i="18"/>
  <c r="AH11" i="18"/>
  <c r="AF11" i="18"/>
  <c r="AD11" i="18"/>
  <c r="AB11" i="18"/>
  <c r="Z11" i="18"/>
  <c r="X11" i="18"/>
  <c r="BQ10" i="18"/>
  <c r="BK7" i="18"/>
  <c r="BE7" i="18"/>
  <c r="AM7" i="18"/>
  <c r="AG7" i="18"/>
  <c r="O7" i="18"/>
  <c r="K7" i="18"/>
  <c r="I7" i="18"/>
  <c r="BP6" i="18"/>
  <c r="BL6" i="18"/>
  <c r="BL5" i="18" s="1"/>
  <c r="BJ6" i="18"/>
  <c r="BH6" i="18"/>
  <c r="BH5" i="18" s="1"/>
  <c r="BF6" i="18"/>
  <c r="BD6" i="18"/>
  <c r="BD5" i="18" s="1"/>
  <c r="BB6" i="18"/>
  <c r="BB5" i="18" s="1"/>
  <c r="AZ6" i="18"/>
  <c r="AX6" i="18"/>
  <c r="AV6" i="18"/>
  <c r="AT6" i="18"/>
  <c r="AT5" i="18" s="1"/>
  <c r="AR6" i="18"/>
  <c r="AR5" i="18" s="1"/>
  <c r="AP6" i="18"/>
  <c r="AP5" i="18" s="1"/>
  <c r="AN6" i="18"/>
  <c r="AL6" i="18"/>
  <c r="AJ6" i="18"/>
  <c r="AH6" i="18"/>
  <c r="AH5" i="18" s="1"/>
  <c r="AF6" i="18"/>
  <c r="AF5" i="18" s="1"/>
  <c r="AD6" i="18"/>
  <c r="AD5" i="18" s="1"/>
  <c r="AB6" i="18"/>
  <c r="Z6" i="18"/>
  <c r="X6" i="18"/>
  <c r="V6" i="18"/>
  <c r="V5" i="18" s="1"/>
  <c r="T6" i="18"/>
  <c r="T5" i="18" s="1"/>
  <c r="R6" i="18"/>
  <c r="P6" i="18"/>
  <c r="P5" i="18" s="1"/>
  <c r="N6" i="18"/>
  <c r="N5" i="18" s="1"/>
  <c r="L6" i="18"/>
  <c r="J6" i="18"/>
  <c r="H6" i="18"/>
  <c r="H5" i="18" s="1"/>
  <c r="F6" i="18"/>
  <c r="D6" i="18"/>
  <c r="D5" i="18" s="1"/>
  <c r="AZ5" i="18"/>
  <c r="A5" i="18"/>
  <c r="A1" i="18"/>
  <c r="BQ88" i="17"/>
  <c r="C88" i="17"/>
  <c r="D88" i="17" s="1"/>
  <c r="BQ87" i="17"/>
  <c r="BP87" i="17" s="1"/>
  <c r="C87" i="17"/>
  <c r="D87" i="17" s="1"/>
  <c r="E101" i="17" s="1"/>
  <c r="BQ86" i="17"/>
  <c r="C86" i="17"/>
  <c r="D86" i="17" s="1"/>
  <c r="BQ85" i="17"/>
  <c r="BP85" i="17" s="1"/>
  <c r="C85" i="17"/>
  <c r="BQ84" i="17"/>
  <c r="BP84" i="17" s="1"/>
  <c r="C84" i="17"/>
  <c r="D84" i="17" s="1"/>
  <c r="E98" i="17" s="1"/>
  <c r="BQ83" i="17"/>
  <c r="BP83" i="17" s="1"/>
  <c r="C83" i="17"/>
  <c r="D83" i="17" s="1"/>
  <c r="E97" i="17" s="1"/>
  <c r="BQ82" i="17"/>
  <c r="C82" i="17"/>
  <c r="D82" i="17" s="1"/>
  <c r="E96" i="17" s="1"/>
  <c r="BQ81" i="17"/>
  <c r="BP81" i="17" s="1"/>
  <c r="C81" i="17"/>
  <c r="D81" i="17" s="1"/>
  <c r="E95" i="17" s="1"/>
  <c r="BQ80" i="17"/>
  <c r="C80" i="17"/>
  <c r="D80" i="17" s="1"/>
  <c r="E94" i="17" s="1"/>
  <c r="BQ79" i="17"/>
  <c r="C79" i="17"/>
  <c r="BQ78" i="17"/>
  <c r="BP78" i="17" s="1"/>
  <c r="C78" i="17"/>
  <c r="BQ77" i="17"/>
  <c r="BP77" i="17" s="1"/>
  <c r="C77" i="17"/>
  <c r="BQ74" i="17"/>
  <c r="C74" i="17"/>
  <c r="BQ66" i="17"/>
  <c r="BP66" i="17" s="1"/>
  <c r="C66" i="17"/>
  <c r="BQ65" i="17"/>
  <c r="C65" i="17"/>
  <c r="D65" i="17" s="1"/>
  <c r="BQ64" i="17"/>
  <c r="C64" i="17"/>
  <c r="D64" i="17" s="1"/>
  <c r="BQ63" i="17"/>
  <c r="BP63" i="17" s="1"/>
  <c r="C63" i="17"/>
  <c r="B63" i="17" s="1"/>
  <c r="BQ62" i="17"/>
  <c r="BP62" i="17" s="1"/>
  <c r="BP67" i="17" s="1"/>
  <c r="C62" i="17"/>
  <c r="D62" i="17" s="1"/>
  <c r="BQ56" i="17"/>
  <c r="C56" i="17"/>
  <c r="BQ55" i="17"/>
  <c r="C55" i="17"/>
  <c r="BQ43" i="17"/>
  <c r="C43" i="17"/>
  <c r="BQ39" i="17"/>
  <c r="C39" i="17"/>
  <c r="BQ38" i="17"/>
  <c r="C38" i="17"/>
  <c r="BQ36" i="17"/>
  <c r="C36" i="17"/>
  <c r="BQ34" i="17"/>
  <c r="C34" i="17"/>
  <c r="BQ33" i="17"/>
  <c r="C33" i="17"/>
  <c r="BQ32" i="17"/>
  <c r="C32" i="17"/>
  <c r="BQ28" i="17"/>
  <c r="C28" i="17"/>
  <c r="BQ27" i="17"/>
  <c r="C27" i="17"/>
  <c r="BQ26" i="17"/>
  <c r="C26" i="17"/>
  <c r="BQ25" i="17"/>
  <c r="C25" i="17"/>
  <c r="BQ21" i="17"/>
  <c r="C21" i="17"/>
  <c r="BQ17" i="17"/>
  <c r="C17" i="17"/>
  <c r="BQ15" i="17"/>
  <c r="C15" i="17"/>
  <c r="BQ14" i="17"/>
  <c r="C14" i="17"/>
  <c r="BQ13" i="17"/>
  <c r="C13" i="17"/>
  <c r="BO120" i="17"/>
  <c r="F215" i="19" s="1"/>
  <c r="BO119" i="17"/>
  <c r="F214" i="19" s="1"/>
  <c r="BO118" i="17"/>
  <c r="F213" i="19" s="1"/>
  <c r="BO117" i="17"/>
  <c r="F212" i="19" s="1"/>
  <c r="BO116" i="17"/>
  <c r="F211" i="19" s="1"/>
  <c r="BO115" i="17"/>
  <c r="F210" i="19" s="1"/>
  <c r="BO114" i="17"/>
  <c r="F209" i="19" s="1"/>
  <c r="BO113" i="17"/>
  <c r="F208" i="19" s="1"/>
  <c r="BO112" i="17"/>
  <c r="F207" i="19" s="1"/>
  <c r="BO111" i="17"/>
  <c r="F206" i="19" s="1"/>
  <c r="BO110" i="17"/>
  <c r="F205" i="19" s="1"/>
  <c r="BO109" i="17"/>
  <c r="F204" i="19" s="1"/>
  <c r="BO108" i="17"/>
  <c r="F203" i="19" s="1"/>
  <c r="BO107" i="17"/>
  <c r="F202" i="19" s="1"/>
  <c r="BO106" i="17"/>
  <c r="F201" i="19" s="1"/>
  <c r="BP104" i="17"/>
  <c r="BL104" i="17"/>
  <c r="BJ104" i="17"/>
  <c r="BH104" i="17"/>
  <c r="BF104" i="17"/>
  <c r="BD104" i="17"/>
  <c r="BB104" i="17"/>
  <c r="AZ104" i="17"/>
  <c r="AX104" i="17"/>
  <c r="AV104" i="17"/>
  <c r="AT104" i="17"/>
  <c r="AR104" i="17"/>
  <c r="AP104" i="17"/>
  <c r="AN104" i="17"/>
  <c r="AL104" i="17"/>
  <c r="AJ104" i="17"/>
  <c r="AH104" i="17"/>
  <c r="AF104" i="17"/>
  <c r="AD104" i="17"/>
  <c r="AB104" i="17"/>
  <c r="Z104" i="17"/>
  <c r="X104" i="17"/>
  <c r="V104" i="17"/>
  <c r="T104" i="17"/>
  <c r="R104" i="17"/>
  <c r="P104" i="17"/>
  <c r="N104" i="17"/>
  <c r="L104" i="17"/>
  <c r="J104" i="17"/>
  <c r="H104" i="17"/>
  <c r="F104" i="17"/>
  <c r="D104" i="17"/>
  <c r="BP103" i="17"/>
  <c r="BL103" i="17"/>
  <c r="BJ103" i="17"/>
  <c r="BH103" i="17"/>
  <c r="BF103" i="17"/>
  <c r="BD103" i="17"/>
  <c r="BB103" i="17"/>
  <c r="AZ103" i="17"/>
  <c r="AX103" i="17"/>
  <c r="AV103" i="17"/>
  <c r="AT103" i="17"/>
  <c r="AR103" i="17"/>
  <c r="AP103" i="17"/>
  <c r="AN103" i="17"/>
  <c r="AL103" i="17"/>
  <c r="AJ103" i="17"/>
  <c r="AH103" i="17"/>
  <c r="AF103" i="17"/>
  <c r="AD103" i="17"/>
  <c r="AB103" i="17"/>
  <c r="Z103" i="17"/>
  <c r="X103" i="17"/>
  <c r="V103" i="17"/>
  <c r="T103" i="17"/>
  <c r="R103" i="17"/>
  <c r="P103" i="17"/>
  <c r="N103" i="17"/>
  <c r="L103" i="17"/>
  <c r="J103" i="17"/>
  <c r="H103" i="17"/>
  <c r="F103" i="17"/>
  <c r="D103" i="17"/>
  <c r="BK99" i="17"/>
  <c r="BI94" i="17"/>
  <c r="M94" i="17"/>
  <c r="O91" i="17"/>
  <c r="BP89" i="17"/>
  <c r="BL89" i="17"/>
  <c r="BJ89" i="17"/>
  <c r="BH89" i="17"/>
  <c r="BF89" i="17"/>
  <c r="BD89" i="17"/>
  <c r="BB89" i="17"/>
  <c r="AZ89" i="17"/>
  <c r="AX89" i="17"/>
  <c r="AV89" i="17"/>
  <c r="AT89" i="17"/>
  <c r="AR89" i="17"/>
  <c r="AP89" i="17"/>
  <c r="AN89" i="17"/>
  <c r="AL89" i="17"/>
  <c r="AJ89" i="17"/>
  <c r="AH89" i="17"/>
  <c r="AF89" i="17"/>
  <c r="AD89" i="17"/>
  <c r="AB89" i="17"/>
  <c r="Z89" i="17"/>
  <c r="X89" i="17"/>
  <c r="V89" i="17"/>
  <c r="T89" i="17"/>
  <c r="R89" i="17"/>
  <c r="P89" i="17"/>
  <c r="N89" i="17"/>
  <c r="L89" i="17"/>
  <c r="J89" i="17"/>
  <c r="H89" i="17"/>
  <c r="F89" i="17"/>
  <c r="D89" i="17"/>
  <c r="BP88" i="17"/>
  <c r="BL88" i="17"/>
  <c r="BM102" i="17" s="1"/>
  <c r="BJ88" i="17"/>
  <c r="BK102" i="17" s="1"/>
  <c r="BH88" i="17"/>
  <c r="BI102" i="17" s="1"/>
  <c r="BF88" i="17"/>
  <c r="BG102" i="17" s="1"/>
  <c r="BD88" i="17"/>
  <c r="BE102" i="17" s="1"/>
  <c r="BB88" i="17"/>
  <c r="BC102" i="17" s="1"/>
  <c r="AZ88" i="17"/>
  <c r="BA102" i="17" s="1"/>
  <c r="AX88" i="17"/>
  <c r="AY102" i="17" s="1"/>
  <c r="AV88" i="17"/>
  <c r="AW102" i="17" s="1"/>
  <c r="AT88" i="17"/>
  <c r="AU102" i="17" s="1"/>
  <c r="AR88" i="17"/>
  <c r="AS102" i="17" s="1"/>
  <c r="AP88" i="17"/>
  <c r="AQ102" i="17" s="1"/>
  <c r="AN88" i="17"/>
  <c r="AO102" i="17" s="1"/>
  <c r="AL88" i="17"/>
  <c r="AM102" i="17" s="1"/>
  <c r="AJ88" i="17"/>
  <c r="AK102" i="17" s="1"/>
  <c r="AH88" i="17"/>
  <c r="AI102" i="17" s="1"/>
  <c r="AF88" i="17"/>
  <c r="AG102" i="17" s="1"/>
  <c r="AD88" i="17"/>
  <c r="AE102" i="17" s="1"/>
  <c r="AB88" i="17"/>
  <c r="AC102" i="17" s="1"/>
  <c r="Z88" i="17"/>
  <c r="AA102" i="17" s="1"/>
  <c r="X88" i="17"/>
  <c r="Y102" i="17" s="1"/>
  <c r="V88" i="17"/>
  <c r="W102" i="17" s="1"/>
  <c r="T88" i="17"/>
  <c r="U102" i="17" s="1"/>
  <c r="R88" i="17"/>
  <c r="S102" i="17" s="1"/>
  <c r="P88" i="17"/>
  <c r="Q102" i="17" s="1"/>
  <c r="N88" i="17"/>
  <c r="O102" i="17" s="1"/>
  <c r="L88" i="17"/>
  <c r="M102" i="17" s="1"/>
  <c r="J88" i="17"/>
  <c r="K102" i="17" s="1"/>
  <c r="H88" i="17"/>
  <c r="I102" i="17" s="1"/>
  <c r="F88" i="17"/>
  <c r="G102" i="17" s="1"/>
  <c r="BL87" i="17"/>
  <c r="BM101" i="17" s="1"/>
  <c r="BJ87" i="17"/>
  <c r="BK101" i="17" s="1"/>
  <c r="BH87" i="17"/>
  <c r="BI101" i="17" s="1"/>
  <c r="BF87" i="17"/>
  <c r="BG101" i="17" s="1"/>
  <c r="BD87" i="17"/>
  <c r="BE101" i="17" s="1"/>
  <c r="BB87" i="17"/>
  <c r="BC101" i="17" s="1"/>
  <c r="AZ87" i="17"/>
  <c r="BA101" i="17" s="1"/>
  <c r="AX87" i="17"/>
  <c r="AY101" i="17" s="1"/>
  <c r="AV87" i="17"/>
  <c r="AW101" i="17" s="1"/>
  <c r="AT87" i="17"/>
  <c r="AU101" i="17" s="1"/>
  <c r="AR87" i="17"/>
  <c r="AS101" i="17" s="1"/>
  <c r="AP87" i="17"/>
  <c r="AQ101" i="17" s="1"/>
  <c r="AN87" i="17"/>
  <c r="AO101" i="17" s="1"/>
  <c r="AL87" i="17"/>
  <c r="AM101" i="17" s="1"/>
  <c r="AJ87" i="17"/>
  <c r="AK101" i="17" s="1"/>
  <c r="AH87" i="17"/>
  <c r="AI101" i="17" s="1"/>
  <c r="AF87" i="17"/>
  <c r="AG101" i="17" s="1"/>
  <c r="AD87" i="17"/>
  <c r="AE101" i="17" s="1"/>
  <c r="AB87" i="17"/>
  <c r="AC101" i="17" s="1"/>
  <c r="Z87" i="17"/>
  <c r="AA101" i="17" s="1"/>
  <c r="X87" i="17"/>
  <c r="Y101" i="17" s="1"/>
  <c r="V87" i="17"/>
  <c r="W101" i="17" s="1"/>
  <c r="T87" i="17"/>
  <c r="U101" i="17" s="1"/>
  <c r="R87" i="17"/>
  <c r="S101" i="17" s="1"/>
  <c r="P87" i="17"/>
  <c r="Q101" i="17" s="1"/>
  <c r="N87" i="17"/>
  <c r="O101" i="17" s="1"/>
  <c r="L87" i="17"/>
  <c r="M101" i="17" s="1"/>
  <c r="J87" i="17"/>
  <c r="K101" i="17" s="1"/>
  <c r="H87" i="17"/>
  <c r="I101" i="17" s="1"/>
  <c r="F87" i="17"/>
  <c r="G101" i="17" s="1"/>
  <c r="BP86" i="17"/>
  <c r="BL86" i="17"/>
  <c r="BM100" i="17" s="1"/>
  <c r="BJ86" i="17"/>
  <c r="BK100" i="17" s="1"/>
  <c r="BH86" i="17"/>
  <c r="BI100" i="17" s="1"/>
  <c r="BF86" i="17"/>
  <c r="BG100" i="17" s="1"/>
  <c r="BD86" i="17"/>
  <c r="BE100" i="17" s="1"/>
  <c r="BB86" i="17"/>
  <c r="BC100" i="17" s="1"/>
  <c r="AZ86" i="17"/>
  <c r="BA100" i="17" s="1"/>
  <c r="AX86" i="17"/>
  <c r="AY100" i="17" s="1"/>
  <c r="AV86" i="17"/>
  <c r="AW100" i="17" s="1"/>
  <c r="AT86" i="17"/>
  <c r="AU100" i="17" s="1"/>
  <c r="AR86" i="17"/>
  <c r="AS100" i="17" s="1"/>
  <c r="AP86" i="17"/>
  <c r="AQ100" i="17" s="1"/>
  <c r="AN86" i="17"/>
  <c r="AO100" i="17" s="1"/>
  <c r="AL86" i="17"/>
  <c r="AM100" i="17" s="1"/>
  <c r="AJ86" i="17"/>
  <c r="AK100" i="17" s="1"/>
  <c r="AH86" i="17"/>
  <c r="AI100" i="17" s="1"/>
  <c r="AF86" i="17"/>
  <c r="AG100" i="17" s="1"/>
  <c r="AD86" i="17"/>
  <c r="AE100" i="17" s="1"/>
  <c r="AB86" i="17"/>
  <c r="AC100" i="17" s="1"/>
  <c r="Z86" i="17"/>
  <c r="AA100" i="17" s="1"/>
  <c r="X86" i="17"/>
  <c r="Y100" i="17" s="1"/>
  <c r="V86" i="17"/>
  <c r="W100" i="17" s="1"/>
  <c r="T86" i="17"/>
  <c r="U100" i="17" s="1"/>
  <c r="R86" i="17"/>
  <c r="S100" i="17" s="1"/>
  <c r="P86" i="17"/>
  <c r="Q100" i="17" s="1"/>
  <c r="N86" i="17"/>
  <c r="O100" i="17" s="1"/>
  <c r="L86" i="17"/>
  <c r="M100" i="17" s="1"/>
  <c r="J86" i="17"/>
  <c r="K100" i="17" s="1"/>
  <c r="H86" i="17"/>
  <c r="I100" i="17" s="1"/>
  <c r="F86" i="17"/>
  <c r="G100" i="17" s="1"/>
  <c r="BL85" i="17"/>
  <c r="BM99" i="17" s="1"/>
  <c r="BJ85" i="17"/>
  <c r="BH85" i="17"/>
  <c r="BI99" i="17" s="1"/>
  <c r="BF85" i="17"/>
  <c r="BG99" i="17" s="1"/>
  <c r="BD85" i="17"/>
  <c r="BE99" i="17" s="1"/>
  <c r="BB85" i="17"/>
  <c r="BC99" i="17" s="1"/>
  <c r="AZ85" i="17"/>
  <c r="BA99" i="17" s="1"/>
  <c r="AX85" i="17"/>
  <c r="AY99" i="17" s="1"/>
  <c r="AV85" i="17"/>
  <c r="AW99" i="17" s="1"/>
  <c r="AT85" i="17"/>
  <c r="AU99" i="17" s="1"/>
  <c r="AR85" i="17"/>
  <c r="AS99" i="17" s="1"/>
  <c r="AP85" i="17"/>
  <c r="AQ99" i="17" s="1"/>
  <c r="AN85" i="17"/>
  <c r="AO99" i="17" s="1"/>
  <c r="AL85" i="17"/>
  <c r="AM99" i="17" s="1"/>
  <c r="AJ85" i="17"/>
  <c r="AK99" i="17" s="1"/>
  <c r="AH85" i="17"/>
  <c r="AI99" i="17" s="1"/>
  <c r="AF85" i="17"/>
  <c r="AG99" i="17" s="1"/>
  <c r="AD85" i="17"/>
  <c r="AE99" i="17" s="1"/>
  <c r="AB85" i="17"/>
  <c r="AC99" i="17" s="1"/>
  <c r="Z85" i="17"/>
  <c r="AA99" i="17" s="1"/>
  <c r="X85" i="17"/>
  <c r="Y99" i="17" s="1"/>
  <c r="V85" i="17"/>
  <c r="W99" i="17" s="1"/>
  <c r="T85" i="17"/>
  <c r="U99" i="17" s="1"/>
  <c r="R85" i="17"/>
  <c r="S99" i="17" s="1"/>
  <c r="P85" i="17"/>
  <c r="Q99" i="17" s="1"/>
  <c r="N85" i="17"/>
  <c r="O99" i="17" s="1"/>
  <c r="L85" i="17"/>
  <c r="M99" i="17" s="1"/>
  <c r="J85" i="17"/>
  <c r="K99" i="17" s="1"/>
  <c r="H85" i="17"/>
  <c r="I99" i="17" s="1"/>
  <c r="F85" i="17"/>
  <c r="G99" i="17" s="1"/>
  <c r="BL84" i="17"/>
  <c r="BM98" i="17" s="1"/>
  <c r="BJ84" i="17"/>
  <c r="BK98" i="17" s="1"/>
  <c r="BH84" i="17"/>
  <c r="BI98" i="17" s="1"/>
  <c r="BF84" i="17"/>
  <c r="BG98" i="17" s="1"/>
  <c r="BD84" i="17"/>
  <c r="BE98" i="17" s="1"/>
  <c r="BB84" i="17"/>
  <c r="BC98" i="17" s="1"/>
  <c r="AZ84" i="17"/>
  <c r="BA98" i="17" s="1"/>
  <c r="AX84" i="17"/>
  <c r="AY98" i="17" s="1"/>
  <c r="AV84" i="17"/>
  <c r="AW98" i="17" s="1"/>
  <c r="AT84" i="17"/>
  <c r="AU98" i="17" s="1"/>
  <c r="AR84" i="17"/>
  <c r="AS98" i="17" s="1"/>
  <c r="AP84" i="17"/>
  <c r="AQ98" i="17" s="1"/>
  <c r="AN84" i="17"/>
  <c r="AO98" i="17" s="1"/>
  <c r="AL84" i="17"/>
  <c r="AM98" i="17" s="1"/>
  <c r="AJ84" i="17"/>
  <c r="AK98" i="17" s="1"/>
  <c r="AH84" i="17"/>
  <c r="AI98" i="17" s="1"/>
  <c r="AF84" i="17"/>
  <c r="AG98" i="17" s="1"/>
  <c r="AD84" i="17"/>
  <c r="AE98" i="17" s="1"/>
  <c r="AB84" i="17"/>
  <c r="AC98" i="17" s="1"/>
  <c r="Z84" i="17"/>
  <c r="AA98" i="17" s="1"/>
  <c r="X84" i="17"/>
  <c r="Y98" i="17" s="1"/>
  <c r="V84" i="17"/>
  <c r="W98" i="17" s="1"/>
  <c r="T84" i="17"/>
  <c r="U98" i="17" s="1"/>
  <c r="R84" i="17"/>
  <c r="S98" i="17" s="1"/>
  <c r="P84" i="17"/>
  <c r="Q98" i="17" s="1"/>
  <c r="N84" i="17"/>
  <c r="O98" i="17" s="1"/>
  <c r="L84" i="17"/>
  <c r="M98" i="17" s="1"/>
  <c r="J84" i="17"/>
  <c r="K98" i="17" s="1"/>
  <c r="H84" i="17"/>
  <c r="I98" i="17" s="1"/>
  <c r="F84" i="17"/>
  <c r="G98" i="17" s="1"/>
  <c r="BL83" i="17"/>
  <c r="BM97" i="17" s="1"/>
  <c r="BJ83" i="17"/>
  <c r="BK97" i="17" s="1"/>
  <c r="BH83" i="17"/>
  <c r="BI97" i="17" s="1"/>
  <c r="BF83" i="17"/>
  <c r="BG97" i="17" s="1"/>
  <c r="BD83" i="17"/>
  <c r="BE97" i="17" s="1"/>
  <c r="BB83" i="17"/>
  <c r="BC97" i="17" s="1"/>
  <c r="AZ83" i="17"/>
  <c r="BA97" i="17" s="1"/>
  <c r="AX83" i="17"/>
  <c r="AY97" i="17" s="1"/>
  <c r="AV83" i="17"/>
  <c r="AW97" i="17" s="1"/>
  <c r="AT83" i="17"/>
  <c r="AU97" i="17" s="1"/>
  <c r="AR83" i="17"/>
  <c r="AS97" i="17" s="1"/>
  <c r="AP83" i="17"/>
  <c r="AQ97" i="17" s="1"/>
  <c r="AN83" i="17"/>
  <c r="AO97" i="17" s="1"/>
  <c r="AL83" i="17"/>
  <c r="AM97" i="17" s="1"/>
  <c r="AJ83" i="17"/>
  <c r="AK97" i="17" s="1"/>
  <c r="AH83" i="17"/>
  <c r="AI97" i="17" s="1"/>
  <c r="AF83" i="17"/>
  <c r="AG97" i="17" s="1"/>
  <c r="AD83" i="17"/>
  <c r="AE97" i="17" s="1"/>
  <c r="AB83" i="17"/>
  <c r="AC97" i="17" s="1"/>
  <c r="Z83" i="17"/>
  <c r="AA97" i="17" s="1"/>
  <c r="X83" i="17"/>
  <c r="Y97" i="17" s="1"/>
  <c r="V83" i="17"/>
  <c r="W97" i="17" s="1"/>
  <c r="T83" i="17"/>
  <c r="U97" i="17" s="1"/>
  <c r="R83" i="17"/>
  <c r="S97" i="17" s="1"/>
  <c r="P83" i="17"/>
  <c r="Q97" i="17" s="1"/>
  <c r="N83" i="17"/>
  <c r="O97" i="17" s="1"/>
  <c r="L83" i="17"/>
  <c r="M97" i="17" s="1"/>
  <c r="J83" i="17"/>
  <c r="K97" i="17" s="1"/>
  <c r="H83" i="17"/>
  <c r="I97" i="17" s="1"/>
  <c r="F83" i="17"/>
  <c r="G97" i="17" s="1"/>
  <c r="BP82" i="17"/>
  <c r="BL82" i="17"/>
  <c r="BM96" i="17" s="1"/>
  <c r="BJ82" i="17"/>
  <c r="BK96" i="17" s="1"/>
  <c r="BH82" i="17"/>
  <c r="BI96" i="17" s="1"/>
  <c r="BF82" i="17"/>
  <c r="BG96" i="17" s="1"/>
  <c r="BD82" i="17"/>
  <c r="BE96" i="17" s="1"/>
  <c r="BB82" i="17"/>
  <c r="BC96" i="17" s="1"/>
  <c r="AZ82" i="17"/>
  <c r="BA96" i="17" s="1"/>
  <c r="AX82" i="17"/>
  <c r="AY96" i="17" s="1"/>
  <c r="AV82" i="17"/>
  <c r="AW96" i="17" s="1"/>
  <c r="AT82" i="17"/>
  <c r="AU96" i="17" s="1"/>
  <c r="AR82" i="17"/>
  <c r="AS96" i="17" s="1"/>
  <c r="AP82" i="17"/>
  <c r="AQ96" i="17" s="1"/>
  <c r="AN82" i="17"/>
  <c r="AO96" i="17" s="1"/>
  <c r="AL82" i="17"/>
  <c r="AM96" i="17" s="1"/>
  <c r="AJ82" i="17"/>
  <c r="AK96" i="17" s="1"/>
  <c r="AH82" i="17"/>
  <c r="AI96" i="17" s="1"/>
  <c r="AF82" i="17"/>
  <c r="AG96" i="17" s="1"/>
  <c r="AD82" i="17"/>
  <c r="AE96" i="17" s="1"/>
  <c r="AB82" i="17"/>
  <c r="AC96" i="17" s="1"/>
  <c r="Z82" i="17"/>
  <c r="AA96" i="17" s="1"/>
  <c r="X82" i="17"/>
  <c r="Y96" i="17" s="1"/>
  <c r="V82" i="17"/>
  <c r="W96" i="17" s="1"/>
  <c r="T82" i="17"/>
  <c r="U96" i="17" s="1"/>
  <c r="R82" i="17"/>
  <c r="S96" i="17" s="1"/>
  <c r="P82" i="17"/>
  <c r="Q96" i="17" s="1"/>
  <c r="N82" i="17"/>
  <c r="O96" i="17" s="1"/>
  <c r="L82" i="17"/>
  <c r="M96" i="17" s="1"/>
  <c r="J82" i="17"/>
  <c r="K96" i="17" s="1"/>
  <c r="H82" i="17"/>
  <c r="I96" i="17" s="1"/>
  <c r="F82" i="17"/>
  <c r="G96" i="17" s="1"/>
  <c r="BL81" i="17"/>
  <c r="BM95" i="17" s="1"/>
  <c r="BJ81" i="17"/>
  <c r="BK95" i="17" s="1"/>
  <c r="BH81" i="17"/>
  <c r="BI95" i="17" s="1"/>
  <c r="BF81" i="17"/>
  <c r="BG95" i="17" s="1"/>
  <c r="BD81" i="17"/>
  <c r="BE95" i="17" s="1"/>
  <c r="BB81" i="17"/>
  <c r="BC95" i="17" s="1"/>
  <c r="AZ81" i="17"/>
  <c r="BA95" i="17" s="1"/>
  <c r="AX81" i="17"/>
  <c r="AY95" i="17" s="1"/>
  <c r="AV81" i="17"/>
  <c r="AW95" i="17" s="1"/>
  <c r="AT81" i="17"/>
  <c r="AU95" i="17" s="1"/>
  <c r="AR81" i="17"/>
  <c r="AS95" i="17" s="1"/>
  <c r="AP81" i="17"/>
  <c r="AQ95" i="17" s="1"/>
  <c r="AN81" i="17"/>
  <c r="AO95" i="17" s="1"/>
  <c r="AL81" i="17"/>
  <c r="AM95" i="17" s="1"/>
  <c r="AJ81" i="17"/>
  <c r="AK95" i="17" s="1"/>
  <c r="AH81" i="17"/>
  <c r="AI95" i="17" s="1"/>
  <c r="AF81" i="17"/>
  <c r="AG95" i="17" s="1"/>
  <c r="AD81" i="17"/>
  <c r="AE95" i="17" s="1"/>
  <c r="AB81" i="17"/>
  <c r="AC95" i="17" s="1"/>
  <c r="Z81" i="17"/>
  <c r="AA95" i="17" s="1"/>
  <c r="X81" i="17"/>
  <c r="Y95" i="17" s="1"/>
  <c r="V81" i="17"/>
  <c r="W95" i="17" s="1"/>
  <c r="T81" i="17"/>
  <c r="U95" i="17" s="1"/>
  <c r="R81" i="17"/>
  <c r="S95" i="17" s="1"/>
  <c r="P81" i="17"/>
  <c r="Q95" i="17" s="1"/>
  <c r="N81" i="17"/>
  <c r="O95" i="17" s="1"/>
  <c r="L81" i="17"/>
  <c r="M95" i="17" s="1"/>
  <c r="J81" i="17"/>
  <c r="K95" i="17" s="1"/>
  <c r="H81" i="17"/>
  <c r="I95" i="17" s="1"/>
  <c r="F81" i="17"/>
  <c r="G95" i="17" s="1"/>
  <c r="BL80" i="17"/>
  <c r="BM94" i="17" s="1"/>
  <c r="BJ80" i="17"/>
  <c r="BK94" i="17" s="1"/>
  <c r="BH80" i="17"/>
  <c r="BF80" i="17"/>
  <c r="BG94" i="17" s="1"/>
  <c r="BD80" i="17"/>
  <c r="BE94" i="17" s="1"/>
  <c r="BB80" i="17"/>
  <c r="BC94" i="17" s="1"/>
  <c r="AZ80" i="17"/>
  <c r="BA94" i="17" s="1"/>
  <c r="AX80" i="17"/>
  <c r="AY94" i="17" s="1"/>
  <c r="AV80" i="17"/>
  <c r="AW94" i="17" s="1"/>
  <c r="AT80" i="17"/>
  <c r="AU94" i="17" s="1"/>
  <c r="AR80" i="17"/>
  <c r="AS94" i="17" s="1"/>
  <c r="AP80" i="17"/>
  <c r="AQ94" i="17" s="1"/>
  <c r="AN80" i="17"/>
  <c r="AO94" i="17" s="1"/>
  <c r="AL80" i="17"/>
  <c r="AM94" i="17" s="1"/>
  <c r="AJ80" i="17"/>
  <c r="AK94" i="17" s="1"/>
  <c r="AH80" i="17"/>
  <c r="AI94" i="17" s="1"/>
  <c r="AF80" i="17"/>
  <c r="AG94" i="17" s="1"/>
  <c r="AD80" i="17"/>
  <c r="AE94" i="17" s="1"/>
  <c r="AB80" i="17"/>
  <c r="AC94" i="17" s="1"/>
  <c r="Z80" i="17"/>
  <c r="AA94" i="17" s="1"/>
  <c r="X80" i="17"/>
  <c r="Y94" i="17" s="1"/>
  <c r="V80" i="17"/>
  <c r="W94" i="17" s="1"/>
  <c r="T80" i="17"/>
  <c r="U94" i="17" s="1"/>
  <c r="R80" i="17"/>
  <c r="S94" i="17" s="1"/>
  <c r="P80" i="17"/>
  <c r="Q94" i="17" s="1"/>
  <c r="N80" i="17"/>
  <c r="O94" i="17" s="1"/>
  <c r="L80" i="17"/>
  <c r="J80" i="17"/>
  <c r="K94" i="17" s="1"/>
  <c r="H80" i="17"/>
  <c r="I94" i="17" s="1"/>
  <c r="F80" i="17"/>
  <c r="G94" i="17" s="1"/>
  <c r="BP79" i="17"/>
  <c r="BL79" i="17"/>
  <c r="BM93" i="17" s="1"/>
  <c r="BJ79" i="17"/>
  <c r="BK93" i="17" s="1"/>
  <c r="BH79" i="17"/>
  <c r="BI93" i="17" s="1"/>
  <c r="BF79" i="17"/>
  <c r="BG93" i="17" s="1"/>
  <c r="BD79" i="17"/>
  <c r="BE93" i="17" s="1"/>
  <c r="BB79" i="17"/>
  <c r="BC93" i="17" s="1"/>
  <c r="AZ79" i="17"/>
  <c r="BA93" i="17" s="1"/>
  <c r="AX79" i="17"/>
  <c r="AY93" i="17" s="1"/>
  <c r="AV79" i="17"/>
  <c r="AW93" i="17" s="1"/>
  <c r="AT79" i="17"/>
  <c r="AU93" i="17" s="1"/>
  <c r="AR79" i="17"/>
  <c r="AS93" i="17" s="1"/>
  <c r="AP79" i="17"/>
  <c r="AQ93" i="17" s="1"/>
  <c r="AN79" i="17"/>
  <c r="AL79" i="17"/>
  <c r="AM93" i="17" s="1"/>
  <c r="AJ79" i="17"/>
  <c r="AK93" i="17" s="1"/>
  <c r="AH79" i="17"/>
  <c r="AI93" i="17" s="1"/>
  <c r="AF79" i="17"/>
  <c r="AG93" i="17" s="1"/>
  <c r="AD79" i="17"/>
  <c r="AE93" i="17" s="1"/>
  <c r="AB79" i="17"/>
  <c r="AC93" i="17" s="1"/>
  <c r="Z79" i="17"/>
  <c r="AA93" i="17" s="1"/>
  <c r="X79" i="17"/>
  <c r="Y93" i="17" s="1"/>
  <c r="V79" i="17"/>
  <c r="W93" i="17" s="1"/>
  <c r="T79" i="17"/>
  <c r="U93" i="17" s="1"/>
  <c r="R79" i="17"/>
  <c r="S93" i="17" s="1"/>
  <c r="P79" i="17"/>
  <c r="Q93" i="17" s="1"/>
  <c r="N79" i="17"/>
  <c r="O93" i="17" s="1"/>
  <c r="L79" i="17"/>
  <c r="M93" i="17" s="1"/>
  <c r="J79" i="17"/>
  <c r="K93" i="17" s="1"/>
  <c r="H79" i="17"/>
  <c r="I93" i="17" s="1"/>
  <c r="F79" i="17"/>
  <c r="G93" i="17" s="1"/>
  <c r="D79" i="17"/>
  <c r="BL78" i="17"/>
  <c r="BM92" i="17" s="1"/>
  <c r="BJ78" i="17"/>
  <c r="BK92" i="17" s="1"/>
  <c r="BH78" i="17"/>
  <c r="BI92" i="17" s="1"/>
  <c r="BF78" i="17"/>
  <c r="BG92" i="17" s="1"/>
  <c r="BD78" i="17"/>
  <c r="BE92" i="17" s="1"/>
  <c r="BB78" i="17"/>
  <c r="BC92" i="17" s="1"/>
  <c r="AZ78" i="17"/>
  <c r="BA92" i="17" s="1"/>
  <c r="AX78" i="17"/>
  <c r="AY92" i="17" s="1"/>
  <c r="AV78" i="17"/>
  <c r="AW92" i="17" s="1"/>
  <c r="AT78" i="17"/>
  <c r="AU92" i="17" s="1"/>
  <c r="AR78" i="17"/>
  <c r="AS92" i="17" s="1"/>
  <c r="AP78" i="17"/>
  <c r="AQ92" i="17" s="1"/>
  <c r="AN78" i="17"/>
  <c r="AO92" i="17" s="1"/>
  <c r="AL78" i="17"/>
  <c r="AM92" i="17" s="1"/>
  <c r="AJ78" i="17"/>
  <c r="AK92" i="17" s="1"/>
  <c r="AH78" i="17"/>
  <c r="AI92" i="17" s="1"/>
  <c r="AF78" i="17"/>
  <c r="AG92" i="17" s="1"/>
  <c r="AD78" i="17"/>
  <c r="AE92" i="17" s="1"/>
  <c r="AB78" i="17"/>
  <c r="AC92" i="17" s="1"/>
  <c r="Z78" i="17"/>
  <c r="AA92" i="17" s="1"/>
  <c r="X78" i="17"/>
  <c r="Y92" i="17" s="1"/>
  <c r="V78" i="17"/>
  <c r="W92" i="17" s="1"/>
  <c r="T78" i="17"/>
  <c r="U92" i="17" s="1"/>
  <c r="R78" i="17"/>
  <c r="S92" i="17" s="1"/>
  <c r="P78" i="17"/>
  <c r="Q92" i="17" s="1"/>
  <c r="N78" i="17"/>
  <c r="O92" i="17" s="1"/>
  <c r="L78" i="17"/>
  <c r="M92" i="17" s="1"/>
  <c r="J78" i="17"/>
  <c r="K92" i="17" s="1"/>
  <c r="H78" i="17"/>
  <c r="I92" i="17" s="1"/>
  <c r="F78" i="17"/>
  <c r="G92" i="17" s="1"/>
  <c r="BL77" i="17"/>
  <c r="BM91" i="17" s="1"/>
  <c r="BJ77" i="17"/>
  <c r="BK91" i="17" s="1"/>
  <c r="BH77" i="17"/>
  <c r="BI91" i="17" s="1"/>
  <c r="BF77" i="17"/>
  <c r="BG91" i="17" s="1"/>
  <c r="BD77" i="17"/>
  <c r="BE91" i="17" s="1"/>
  <c r="BB77" i="17"/>
  <c r="BC91" i="17" s="1"/>
  <c r="AZ77" i="17"/>
  <c r="BA91" i="17" s="1"/>
  <c r="AX77" i="17"/>
  <c r="AY91" i="17" s="1"/>
  <c r="AV77" i="17"/>
  <c r="AW91" i="17" s="1"/>
  <c r="AT77" i="17"/>
  <c r="AU91" i="17" s="1"/>
  <c r="AR77" i="17"/>
  <c r="AS91" i="17" s="1"/>
  <c r="AP77" i="17"/>
  <c r="AQ91" i="17" s="1"/>
  <c r="AN77" i="17"/>
  <c r="AO91" i="17" s="1"/>
  <c r="AL77" i="17"/>
  <c r="AM91" i="17" s="1"/>
  <c r="AJ77" i="17"/>
  <c r="AK91" i="17" s="1"/>
  <c r="AH77" i="17"/>
  <c r="AI91" i="17" s="1"/>
  <c r="AF77" i="17"/>
  <c r="AG91" i="17" s="1"/>
  <c r="AD77" i="17"/>
  <c r="AE91" i="17" s="1"/>
  <c r="AB77" i="17"/>
  <c r="AC91" i="17" s="1"/>
  <c r="Z77" i="17"/>
  <c r="AA91" i="17" s="1"/>
  <c r="X77" i="17"/>
  <c r="Y91" i="17" s="1"/>
  <c r="V77" i="17"/>
  <c r="W91" i="17" s="1"/>
  <c r="T77" i="17"/>
  <c r="U91" i="17" s="1"/>
  <c r="R77" i="17"/>
  <c r="S91" i="17" s="1"/>
  <c r="P77" i="17"/>
  <c r="Q91" i="17" s="1"/>
  <c r="N77" i="17"/>
  <c r="L77" i="17"/>
  <c r="M91" i="17" s="1"/>
  <c r="J77" i="17"/>
  <c r="K91" i="17" s="1"/>
  <c r="H77" i="17"/>
  <c r="I91" i="17" s="1"/>
  <c r="F77" i="17"/>
  <c r="G91" i="17" s="1"/>
  <c r="BO74" i="17"/>
  <c r="F174" i="19" s="1"/>
  <c r="BP72" i="17"/>
  <c r="BM72" i="17"/>
  <c r="BL72" i="17"/>
  <c r="BK72" i="17"/>
  <c r="BJ72" i="17"/>
  <c r="BI72" i="17"/>
  <c r="BH72" i="17"/>
  <c r="BG72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D72" i="17"/>
  <c r="BP71" i="17"/>
  <c r="BM71" i="17"/>
  <c r="BL71" i="17"/>
  <c r="BK71" i="17"/>
  <c r="BJ71" i="17"/>
  <c r="BI71" i="17"/>
  <c r="BH71" i="17"/>
  <c r="BG71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D71" i="17"/>
  <c r="BP70" i="17"/>
  <c r="BM70" i="17"/>
  <c r="BL70" i="17"/>
  <c r="BK70" i="17"/>
  <c r="BJ70" i="17"/>
  <c r="BI70" i="17"/>
  <c r="BH70" i="17"/>
  <c r="BG70" i="17"/>
  <c r="BF70" i="17"/>
  <c r="BE70" i="17"/>
  <c r="BD70" i="17"/>
  <c r="BC70" i="17"/>
  <c r="BB70" i="17"/>
  <c r="BA70" i="17"/>
  <c r="AZ70" i="17"/>
  <c r="AY70" i="17"/>
  <c r="AX70" i="17"/>
  <c r="AW70" i="17"/>
  <c r="AV70" i="17"/>
  <c r="AU70" i="17"/>
  <c r="AT70" i="17"/>
  <c r="AS70" i="17"/>
  <c r="AR70" i="17"/>
  <c r="AQ70" i="17"/>
  <c r="AP70" i="17"/>
  <c r="AO70" i="17"/>
  <c r="AN70" i="17"/>
  <c r="AM70" i="17"/>
  <c r="AL70" i="17"/>
  <c r="AK70" i="17"/>
  <c r="AJ70" i="17"/>
  <c r="AI70" i="17"/>
  <c r="AH70" i="17"/>
  <c r="AG70" i="17"/>
  <c r="AF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BP69" i="17"/>
  <c r="BM69" i="17"/>
  <c r="BL69" i="17"/>
  <c r="BK69" i="17"/>
  <c r="BJ69" i="17"/>
  <c r="BI69" i="17"/>
  <c r="BH69" i="17"/>
  <c r="BG69" i="17"/>
  <c r="BF69" i="17"/>
  <c r="BE69" i="17"/>
  <c r="BD69" i="17"/>
  <c r="BC69" i="17"/>
  <c r="BB69" i="17"/>
  <c r="BA69" i="17"/>
  <c r="AZ69" i="17"/>
  <c r="AY69" i="17"/>
  <c r="AX69" i="17"/>
  <c r="AW69" i="17"/>
  <c r="AV69" i="17"/>
  <c r="AU69" i="17"/>
  <c r="AT69" i="17"/>
  <c r="AS69" i="17"/>
  <c r="AR69" i="17"/>
  <c r="AQ69" i="17"/>
  <c r="AP69" i="17"/>
  <c r="AO69" i="17"/>
  <c r="AN69" i="17"/>
  <c r="AM69" i="17"/>
  <c r="AL69" i="17"/>
  <c r="AK69" i="17"/>
  <c r="AJ69" i="17"/>
  <c r="AI69" i="17"/>
  <c r="AH69" i="17"/>
  <c r="AG69" i="17"/>
  <c r="AF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D69" i="17"/>
  <c r="BP68" i="17"/>
  <c r="BM68" i="17"/>
  <c r="BL68" i="17"/>
  <c r="BK68" i="17"/>
  <c r="BJ68" i="17"/>
  <c r="BI68" i="17"/>
  <c r="BH68" i="17"/>
  <c r="BG68" i="17"/>
  <c r="BG73" i="17" s="1"/>
  <c r="BF68" i="17"/>
  <c r="BE68" i="17"/>
  <c r="BD68" i="17"/>
  <c r="BC68" i="17"/>
  <c r="BB68" i="17"/>
  <c r="BA68" i="17"/>
  <c r="AZ68" i="17"/>
  <c r="AY68" i="17"/>
  <c r="AX68" i="17"/>
  <c r="AW68" i="17"/>
  <c r="AV68" i="17"/>
  <c r="AU68" i="17"/>
  <c r="AU73" i="17" s="1"/>
  <c r="AT68" i="17"/>
  <c r="AS68" i="17"/>
  <c r="AR68" i="17"/>
  <c r="AQ68" i="17"/>
  <c r="AP68" i="17"/>
  <c r="AO68" i="17"/>
  <c r="AN68" i="17"/>
  <c r="AM68" i="17"/>
  <c r="AL68" i="17"/>
  <c r="AK68" i="17"/>
  <c r="AJ68" i="17"/>
  <c r="AI68" i="17"/>
  <c r="AH68" i="17"/>
  <c r="AG68" i="17"/>
  <c r="AF68" i="17"/>
  <c r="AE68" i="17"/>
  <c r="AD68" i="17"/>
  <c r="AC68" i="17"/>
  <c r="AB68" i="17"/>
  <c r="AA68" i="17"/>
  <c r="Z68" i="17"/>
  <c r="Y68" i="17"/>
  <c r="X68" i="17"/>
  <c r="W68" i="17"/>
  <c r="W73" i="17" s="1"/>
  <c r="W10" i="17" s="1"/>
  <c r="V68" i="17"/>
  <c r="U68" i="17"/>
  <c r="T68" i="17"/>
  <c r="S68" i="17"/>
  <c r="R68" i="17"/>
  <c r="Q68" i="17"/>
  <c r="P68" i="17"/>
  <c r="O68" i="17"/>
  <c r="N68" i="17"/>
  <c r="M68" i="17"/>
  <c r="L68" i="17"/>
  <c r="K68" i="17"/>
  <c r="K73" i="17" s="1"/>
  <c r="J68" i="17"/>
  <c r="I68" i="17"/>
  <c r="H68" i="17"/>
  <c r="G68" i="17"/>
  <c r="F68" i="17"/>
  <c r="D68" i="17"/>
  <c r="BL66" i="17"/>
  <c r="BJ66" i="17"/>
  <c r="BH66" i="17"/>
  <c r="BF66" i="17"/>
  <c r="BD66" i="17"/>
  <c r="BB66" i="17"/>
  <c r="AZ66" i="17"/>
  <c r="AX66" i="17"/>
  <c r="AV66" i="17"/>
  <c r="AT66" i="17"/>
  <c r="AR66" i="17"/>
  <c r="AP66" i="17"/>
  <c r="AN66" i="17"/>
  <c r="AL66" i="17"/>
  <c r="AJ66" i="17"/>
  <c r="AH66" i="17"/>
  <c r="AF66" i="17"/>
  <c r="AD66" i="17"/>
  <c r="AB66" i="17"/>
  <c r="Z66" i="17"/>
  <c r="X66" i="17"/>
  <c r="V66" i="17"/>
  <c r="T66" i="17"/>
  <c r="R66" i="17"/>
  <c r="P66" i="17"/>
  <c r="N66" i="17"/>
  <c r="L66" i="17"/>
  <c r="J66" i="17"/>
  <c r="H66" i="17"/>
  <c r="F66" i="17"/>
  <c r="D66" i="17"/>
  <c r="BP65" i="17"/>
  <c r="BL65" i="17"/>
  <c r="BJ65" i="17"/>
  <c r="BH65" i="17"/>
  <c r="BF65" i="17"/>
  <c r="BD65" i="17"/>
  <c r="BB65" i="17"/>
  <c r="AZ65" i="17"/>
  <c r="AX65" i="17"/>
  <c r="AV65" i="17"/>
  <c r="AT65" i="17"/>
  <c r="AR65" i="17"/>
  <c r="AP65" i="17"/>
  <c r="AN65" i="17"/>
  <c r="AL65" i="17"/>
  <c r="AJ65" i="17"/>
  <c r="AH65" i="17"/>
  <c r="AF65" i="17"/>
  <c r="AD65" i="17"/>
  <c r="AB65" i="17"/>
  <c r="Z65" i="17"/>
  <c r="X65" i="17"/>
  <c r="V65" i="17"/>
  <c r="T65" i="17"/>
  <c r="R65" i="17"/>
  <c r="P65" i="17"/>
  <c r="N65" i="17"/>
  <c r="L65" i="17"/>
  <c r="J65" i="17"/>
  <c r="H65" i="17"/>
  <c r="F65" i="17"/>
  <c r="B65" i="17"/>
  <c r="BP64" i="17"/>
  <c r="BL64" i="17"/>
  <c r="BJ64" i="17"/>
  <c r="BH64" i="17"/>
  <c r="BF64" i="17"/>
  <c r="BD64" i="17"/>
  <c r="BB64" i="17"/>
  <c r="AZ64" i="17"/>
  <c r="AX64" i="17"/>
  <c r="AV64" i="17"/>
  <c r="AT64" i="17"/>
  <c r="AR64" i="17"/>
  <c r="AP64" i="17"/>
  <c r="AN64" i="17"/>
  <c r="AL64" i="17"/>
  <c r="AJ64" i="17"/>
  <c r="AH64" i="17"/>
  <c r="AF64" i="17"/>
  <c r="AD64" i="17"/>
  <c r="AB64" i="17"/>
  <c r="Z64" i="17"/>
  <c r="X64" i="17"/>
  <c r="V64" i="17"/>
  <c r="T64" i="17"/>
  <c r="R64" i="17"/>
  <c r="P64" i="17"/>
  <c r="N64" i="17"/>
  <c r="L64" i="17"/>
  <c r="J64" i="17"/>
  <c r="H64" i="17"/>
  <c r="F64" i="17"/>
  <c r="BL63" i="17"/>
  <c r="BJ63" i="17"/>
  <c r="BH63" i="17"/>
  <c r="BF63" i="17"/>
  <c r="BD63" i="17"/>
  <c r="BB63" i="17"/>
  <c r="AZ63" i="17"/>
  <c r="AX63" i="17"/>
  <c r="AV63" i="17"/>
  <c r="AT63" i="17"/>
  <c r="AR63" i="17"/>
  <c r="AP63" i="17"/>
  <c r="AN63" i="17"/>
  <c r="AL63" i="17"/>
  <c r="AJ63" i="17"/>
  <c r="AH63" i="17"/>
  <c r="AF63" i="17"/>
  <c r="AD63" i="17"/>
  <c r="AB63" i="17"/>
  <c r="Z63" i="17"/>
  <c r="X63" i="17"/>
  <c r="V63" i="17"/>
  <c r="T63" i="17"/>
  <c r="R63" i="17"/>
  <c r="P63" i="17"/>
  <c r="N63" i="17"/>
  <c r="L63" i="17"/>
  <c r="J63" i="17"/>
  <c r="H63" i="17"/>
  <c r="F63" i="17"/>
  <c r="D63" i="17"/>
  <c r="BL62" i="17"/>
  <c r="BJ62" i="17"/>
  <c r="BH62" i="17"/>
  <c r="BF62" i="17"/>
  <c r="BD62" i="17"/>
  <c r="BB62" i="17"/>
  <c r="AZ62" i="17"/>
  <c r="AX62" i="17"/>
  <c r="AV62" i="17"/>
  <c r="AT62" i="17"/>
  <c r="AR62" i="17"/>
  <c r="AP62" i="17"/>
  <c r="AN62" i="17"/>
  <c r="AL62" i="17"/>
  <c r="AJ62" i="17"/>
  <c r="AH62" i="17"/>
  <c r="AF62" i="17"/>
  <c r="AD62" i="17"/>
  <c r="AB62" i="17"/>
  <c r="Z62" i="17"/>
  <c r="X62" i="17"/>
  <c r="V62" i="17"/>
  <c r="T62" i="17"/>
  <c r="R62" i="17"/>
  <c r="P62" i="17"/>
  <c r="N62" i="17"/>
  <c r="L62" i="17"/>
  <c r="J62" i="17"/>
  <c r="H62" i="17"/>
  <c r="F62" i="17"/>
  <c r="BM59" i="17"/>
  <c r="BQ59" i="17" s="1"/>
  <c r="BQ7" i="17" s="1"/>
  <c r="BK59" i="17"/>
  <c r="BK7" i="17" s="1"/>
  <c r="BI59" i="17"/>
  <c r="BI7" i="17" s="1"/>
  <c r="BG59" i="17"/>
  <c r="BG7" i="17" s="1"/>
  <c r="BE59" i="17"/>
  <c r="BE7" i="17" s="1"/>
  <c r="BC59" i="17"/>
  <c r="BC7" i="17" s="1"/>
  <c r="BA59" i="17"/>
  <c r="BA7" i="17" s="1"/>
  <c r="AY59" i="17"/>
  <c r="AY7" i="17" s="1"/>
  <c r="AW59" i="17"/>
  <c r="AW7" i="17" s="1"/>
  <c r="AU59" i="17"/>
  <c r="AU7" i="17" s="1"/>
  <c r="AS59" i="17"/>
  <c r="AS7" i="17" s="1"/>
  <c r="AQ59" i="17"/>
  <c r="AQ7" i="17" s="1"/>
  <c r="AO59" i="17"/>
  <c r="AO7" i="17" s="1"/>
  <c r="AM59" i="17"/>
  <c r="AM7" i="17" s="1"/>
  <c r="AK59" i="17"/>
  <c r="AK7" i="17" s="1"/>
  <c r="AI59" i="17"/>
  <c r="AI7" i="17" s="1"/>
  <c r="AG59" i="17"/>
  <c r="AG7" i="17" s="1"/>
  <c r="AE59" i="17"/>
  <c r="AE7" i="17" s="1"/>
  <c r="AC59" i="17"/>
  <c r="AC7" i="17" s="1"/>
  <c r="AA59" i="17"/>
  <c r="Y59" i="17"/>
  <c r="W59" i="17"/>
  <c r="U59" i="17"/>
  <c r="U7" i="17" s="1"/>
  <c r="S59" i="17"/>
  <c r="S7" i="17" s="1"/>
  <c r="Q59" i="17"/>
  <c r="O59" i="17"/>
  <c r="O7" i="17" s="1"/>
  <c r="M59" i="17"/>
  <c r="M7" i="17" s="1"/>
  <c r="K59" i="17"/>
  <c r="K7" i="17" s="1"/>
  <c r="I59" i="17"/>
  <c r="I7" i="17" s="1"/>
  <c r="G59" i="17"/>
  <c r="G7" i="17" s="1"/>
  <c r="E59" i="17"/>
  <c r="E7" i="17" s="1"/>
  <c r="BM57" i="17"/>
  <c r="C57" i="18" s="1"/>
  <c r="BK57" i="17"/>
  <c r="BK75" i="17" s="1"/>
  <c r="BK11" i="17" s="1"/>
  <c r="BI57" i="17"/>
  <c r="BI75" i="17" s="1"/>
  <c r="BI11" i="17" s="1"/>
  <c r="BG57" i="17"/>
  <c r="BG75" i="17" s="1"/>
  <c r="BE57" i="17"/>
  <c r="BE75" i="17" s="1"/>
  <c r="BE11" i="17" s="1"/>
  <c r="BC57" i="17"/>
  <c r="BC75" i="17" s="1"/>
  <c r="BC11" i="17" s="1"/>
  <c r="BA57" i="17"/>
  <c r="BA75" i="17" s="1"/>
  <c r="BA11" i="17" s="1"/>
  <c r="AY57" i="17"/>
  <c r="AY75" i="17" s="1"/>
  <c r="AY11" i="17" s="1"/>
  <c r="AW57" i="17"/>
  <c r="AW75" i="17" s="1"/>
  <c r="AW11" i="17" s="1"/>
  <c r="AU57" i="17"/>
  <c r="AU75" i="17" s="1"/>
  <c r="AU11" i="17" s="1"/>
  <c r="AS57" i="17"/>
  <c r="AS75" i="17" s="1"/>
  <c r="AS11" i="17" s="1"/>
  <c r="AQ57" i="17"/>
  <c r="AQ75" i="17" s="1"/>
  <c r="AQ11" i="17" s="1"/>
  <c r="AO57" i="17"/>
  <c r="AO75" i="17" s="1"/>
  <c r="AO11" i="17" s="1"/>
  <c r="AM57" i="17"/>
  <c r="AM75" i="17" s="1"/>
  <c r="AM11" i="17" s="1"/>
  <c r="AK57" i="17"/>
  <c r="AK75" i="17" s="1"/>
  <c r="AK11" i="17" s="1"/>
  <c r="AI57" i="17"/>
  <c r="AI75" i="17" s="1"/>
  <c r="AG57" i="17"/>
  <c r="AG75" i="17" s="1"/>
  <c r="AG11" i="17" s="1"/>
  <c r="AE57" i="17"/>
  <c r="AE75" i="17" s="1"/>
  <c r="AE11" i="17" s="1"/>
  <c r="AC57" i="17"/>
  <c r="AC75" i="17" s="1"/>
  <c r="AC11" i="17" s="1"/>
  <c r="AA57" i="17"/>
  <c r="AA75" i="17" s="1"/>
  <c r="AA11" i="17" s="1"/>
  <c r="Y57" i="17"/>
  <c r="Y75" i="17" s="1"/>
  <c r="Y11" i="17" s="1"/>
  <c r="W57" i="17"/>
  <c r="W75" i="17" s="1"/>
  <c r="W11" i="17" s="1"/>
  <c r="U57" i="17"/>
  <c r="U75" i="17" s="1"/>
  <c r="U11" i="17" s="1"/>
  <c r="S57" i="17"/>
  <c r="S75" i="17" s="1"/>
  <c r="S11" i="17" s="1"/>
  <c r="Q57" i="17"/>
  <c r="Q75" i="17" s="1"/>
  <c r="Q11" i="17" s="1"/>
  <c r="O57" i="17"/>
  <c r="O75" i="17" s="1"/>
  <c r="O11" i="17" s="1"/>
  <c r="M57" i="17"/>
  <c r="M75" i="17" s="1"/>
  <c r="M11" i="17" s="1"/>
  <c r="K57" i="17"/>
  <c r="K75" i="17" s="1"/>
  <c r="I57" i="17"/>
  <c r="I75" i="17" s="1"/>
  <c r="I11" i="17" s="1"/>
  <c r="G57" i="17"/>
  <c r="G75" i="17" s="1"/>
  <c r="E57" i="17"/>
  <c r="E75" i="17" s="1"/>
  <c r="E11" i="17" s="1"/>
  <c r="BO56" i="17"/>
  <c r="F157" i="19" s="1"/>
  <c r="BO55" i="17"/>
  <c r="F156" i="19" s="1"/>
  <c r="BO53" i="17"/>
  <c r="F154" i="19" s="1"/>
  <c r="BO52" i="17"/>
  <c r="F153" i="19" s="1"/>
  <c r="BO51" i="17"/>
  <c r="F152" i="19" s="1"/>
  <c r="BM49" i="17"/>
  <c r="C49" i="18" s="1"/>
  <c r="BK49" i="17"/>
  <c r="BI49" i="17"/>
  <c r="BG49" i="17"/>
  <c r="BE49" i="17"/>
  <c r="BC49" i="17"/>
  <c r="BA49" i="17"/>
  <c r="AY49" i="17"/>
  <c r="AW49" i="17"/>
  <c r="AU49" i="17"/>
  <c r="AS49" i="17"/>
  <c r="AQ49" i="17"/>
  <c r="AO49" i="17"/>
  <c r="AO50" i="17" s="1"/>
  <c r="AM49" i="17"/>
  <c r="AK49" i="17"/>
  <c r="AI49" i="17"/>
  <c r="AG49" i="17"/>
  <c r="AE49" i="17"/>
  <c r="AC49" i="17"/>
  <c r="AA49" i="17"/>
  <c r="Y49" i="17"/>
  <c r="W49" i="17"/>
  <c r="U49" i="17"/>
  <c r="S49" i="17"/>
  <c r="Q49" i="17"/>
  <c r="O49" i="17"/>
  <c r="M49" i="17"/>
  <c r="K49" i="17"/>
  <c r="I49" i="17"/>
  <c r="G49" i="17"/>
  <c r="E49" i="17"/>
  <c r="BO48" i="17"/>
  <c r="F149" i="19" s="1"/>
  <c r="BO47" i="17"/>
  <c r="F148" i="19" s="1"/>
  <c r="BO46" i="17"/>
  <c r="F147" i="19" s="1"/>
  <c r="BO45" i="17"/>
  <c r="F146" i="19" s="1"/>
  <c r="BO44" i="17"/>
  <c r="F145" i="19" s="1"/>
  <c r="BO43" i="17"/>
  <c r="F144" i="19" s="1"/>
  <c r="BM42" i="17"/>
  <c r="BK42" i="17"/>
  <c r="BI42" i="17"/>
  <c r="BG42" i="17"/>
  <c r="BE42" i="17"/>
  <c r="BC42" i="17"/>
  <c r="BA42" i="17"/>
  <c r="AY42" i="17"/>
  <c r="AW42" i="17"/>
  <c r="AU42" i="17"/>
  <c r="AS42" i="17"/>
  <c r="AQ42" i="17"/>
  <c r="AO42" i="17"/>
  <c r="AM42" i="17"/>
  <c r="AK42" i="17"/>
  <c r="AI42" i="17"/>
  <c r="AG42" i="17"/>
  <c r="AG50" i="17" s="1"/>
  <c r="AE42" i="17"/>
  <c r="AC42" i="17"/>
  <c r="AC50" i="17" s="1"/>
  <c r="AA42" i="17"/>
  <c r="Y42" i="17"/>
  <c r="W42" i="17"/>
  <c r="W50" i="17" s="1"/>
  <c r="U42" i="17"/>
  <c r="S42" i="17"/>
  <c r="Q42" i="17"/>
  <c r="O42" i="17"/>
  <c r="M42" i="17"/>
  <c r="K42" i="17"/>
  <c r="I42" i="17"/>
  <c r="G42" i="17"/>
  <c r="E42" i="17"/>
  <c r="BO41" i="17"/>
  <c r="F142" i="19" s="1"/>
  <c r="BO40" i="17"/>
  <c r="F141" i="19" s="1"/>
  <c r="BO39" i="17"/>
  <c r="F140" i="19" s="1"/>
  <c r="BO38" i="17"/>
  <c r="F139" i="19" s="1"/>
  <c r="BO37" i="17"/>
  <c r="F138" i="19" s="1"/>
  <c r="BO36" i="17"/>
  <c r="F137" i="19" s="1"/>
  <c r="BO35" i="17"/>
  <c r="F136" i="19" s="1"/>
  <c r="BO34" i="17"/>
  <c r="F135" i="19" s="1"/>
  <c r="BO33" i="17"/>
  <c r="F134" i="19" s="1"/>
  <c r="BO32" i="17"/>
  <c r="F133" i="19" s="1"/>
  <c r="BM31" i="17"/>
  <c r="BK31" i="17"/>
  <c r="BI31" i="17"/>
  <c r="BG31" i="17"/>
  <c r="BE31" i="17"/>
  <c r="BC31" i="17"/>
  <c r="BA31" i="17"/>
  <c r="AY31" i="17"/>
  <c r="AW31" i="17"/>
  <c r="AU31" i="17"/>
  <c r="AS31" i="17"/>
  <c r="AQ31" i="17"/>
  <c r="AO31" i="17"/>
  <c r="AM31" i="17"/>
  <c r="AK31" i="17"/>
  <c r="AI31" i="17"/>
  <c r="AG31" i="17"/>
  <c r="AE31" i="17"/>
  <c r="AC31" i="17"/>
  <c r="AA31" i="17"/>
  <c r="Y31" i="17"/>
  <c r="W31" i="17"/>
  <c r="U31" i="17"/>
  <c r="S31" i="17"/>
  <c r="Q31" i="17"/>
  <c r="O31" i="17"/>
  <c r="M31" i="17"/>
  <c r="K31" i="17"/>
  <c r="I31" i="17"/>
  <c r="G31" i="17"/>
  <c r="E31" i="17"/>
  <c r="BM30" i="17"/>
  <c r="BK30" i="17"/>
  <c r="BI30" i="17"/>
  <c r="BG30" i="17"/>
  <c r="BE30" i="17"/>
  <c r="BC30" i="17"/>
  <c r="BA30" i="17"/>
  <c r="AY30" i="17"/>
  <c r="AW30" i="17"/>
  <c r="AU30" i="17"/>
  <c r="AS30" i="17"/>
  <c r="AQ30" i="17"/>
  <c r="AO30" i="17"/>
  <c r="AM30" i="17"/>
  <c r="AK30" i="17"/>
  <c r="AI30" i="17"/>
  <c r="AG30" i="17"/>
  <c r="AE30" i="17"/>
  <c r="AC30" i="17"/>
  <c r="AA30" i="17"/>
  <c r="Y30" i="17"/>
  <c r="W30" i="17"/>
  <c r="U30" i="17"/>
  <c r="S30" i="17"/>
  <c r="Q30" i="17"/>
  <c r="O30" i="17"/>
  <c r="M30" i="17"/>
  <c r="K30" i="17"/>
  <c r="I30" i="17"/>
  <c r="G30" i="17"/>
  <c r="BO29" i="17"/>
  <c r="F130" i="19" s="1"/>
  <c r="BO28" i="17"/>
  <c r="F129" i="19" s="1"/>
  <c r="E30" i="17"/>
  <c r="BO27" i="17"/>
  <c r="F128" i="19" s="1"/>
  <c r="BO26" i="17"/>
  <c r="F127" i="19" s="1"/>
  <c r="BO25" i="17"/>
  <c r="F126" i="19" s="1"/>
  <c r="BO24" i="17"/>
  <c r="F125" i="19" s="1"/>
  <c r="BO23" i="17"/>
  <c r="F124" i="19" s="1"/>
  <c r="BM22" i="17"/>
  <c r="BQ22" i="17" s="1"/>
  <c r="BK22" i="17"/>
  <c r="BI22" i="17"/>
  <c r="BG22" i="17"/>
  <c r="BE22" i="17"/>
  <c r="BC22" i="17"/>
  <c r="BA22" i="17"/>
  <c r="AY22" i="17"/>
  <c r="AW22" i="17"/>
  <c r="AU22" i="17"/>
  <c r="AS22" i="17"/>
  <c r="AQ22" i="17"/>
  <c r="AO22" i="17"/>
  <c r="AM22" i="17"/>
  <c r="AK22" i="17"/>
  <c r="AI22" i="17"/>
  <c r="AG22" i="17"/>
  <c r="AE22" i="17"/>
  <c r="AC22" i="17"/>
  <c r="AA22" i="17"/>
  <c r="Y22" i="17"/>
  <c r="W22" i="17"/>
  <c r="U22" i="17"/>
  <c r="S22" i="17"/>
  <c r="Q22" i="17"/>
  <c r="O22" i="17"/>
  <c r="M22" i="17"/>
  <c r="K22" i="17"/>
  <c r="I22" i="17"/>
  <c r="G22" i="17"/>
  <c r="E22" i="17"/>
  <c r="BO21" i="17"/>
  <c r="F122" i="19" s="1"/>
  <c r="BO20" i="17"/>
  <c r="F121" i="19" s="1"/>
  <c r="BO19" i="17"/>
  <c r="F120" i="19" s="1"/>
  <c r="BO18" i="17"/>
  <c r="F119" i="19" s="1"/>
  <c r="BO17" i="17"/>
  <c r="F118" i="19" s="1"/>
  <c r="BG11" i="17"/>
  <c r="AL11" i="17"/>
  <c r="AJ11" i="17"/>
  <c r="AI11" i="17"/>
  <c r="AH11" i="17"/>
  <c r="AF11" i="17"/>
  <c r="AD11" i="17"/>
  <c r="AB11" i="17"/>
  <c r="Z11" i="17"/>
  <c r="X11" i="17"/>
  <c r="K11" i="17"/>
  <c r="G11" i="17"/>
  <c r="BM7" i="17"/>
  <c r="Y7" i="17"/>
  <c r="W7" i="17"/>
  <c r="Q7" i="17"/>
  <c r="BP6" i="17"/>
  <c r="BL6" i="17"/>
  <c r="BJ6" i="17"/>
  <c r="BJ5" i="17" s="1"/>
  <c r="BH6" i="17"/>
  <c r="BF6" i="17"/>
  <c r="BF5" i="17" s="1"/>
  <c r="BD6" i="17"/>
  <c r="BB6" i="17"/>
  <c r="AZ6" i="17"/>
  <c r="AZ5" i="17" s="1"/>
  <c r="AX6" i="17"/>
  <c r="AV6" i="17"/>
  <c r="AT6" i="17"/>
  <c r="AR6" i="17"/>
  <c r="AR5" i="17" s="1"/>
  <c r="AP6" i="17"/>
  <c r="AN6" i="17"/>
  <c r="AL6" i="17"/>
  <c r="AL5" i="17" s="1"/>
  <c r="AJ6" i="17"/>
  <c r="AJ5" i="17" s="1"/>
  <c r="AH6" i="17"/>
  <c r="AH5" i="17" s="1"/>
  <c r="AF6" i="17"/>
  <c r="AD6" i="17"/>
  <c r="AD5" i="17" s="1"/>
  <c r="AB6" i="17"/>
  <c r="Z6" i="17"/>
  <c r="Z5" i="17" s="1"/>
  <c r="X6" i="17"/>
  <c r="V6" i="17"/>
  <c r="V5" i="17" s="1"/>
  <c r="T6" i="17"/>
  <c r="R6" i="17"/>
  <c r="P6" i="17"/>
  <c r="N6" i="17"/>
  <c r="L6" i="17"/>
  <c r="J6" i="17"/>
  <c r="H6" i="17"/>
  <c r="F6" i="17"/>
  <c r="F5" i="17" s="1"/>
  <c r="D6" i="17"/>
  <c r="AX5" i="17"/>
  <c r="AV5" i="17"/>
  <c r="AT5" i="17"/>
  <c r="AB5" i="17"/>
  <c r="X5" i="17"/>
  <c r="D5" i="17"/>
  <c r="A5" i="17"/>
  <c r="A1" i="17"/>
  <c r="BQ88" i="16"/>
  <c r="C88" i="16"/>
  <c r="D88" i="16" s="1"/>
  <c r="E102" i="16" s="1"/>
  <c r="BQ87" i="16"/>
  <c r="C87" i="16"/>
  <c r="BQ86" i="16"/>
  <c r="BP86" i="16" s="1"/>
  <c r="C86" i="16"/>
  <c r="D86" i="16" s="1"/>
  <c r="E100" i="16" s="1"/>
  <c r="BQ85" i="16"/>
  <c r="BP85" i="16" s="1"/>
  <c r="C85" i="16"/>
  <c r="D85" i="16" s="1"/>
  <c r="E99" i="16" s="1"/>
  <c r="BQ84" i="16"/>
  <c r="BP84" i="16" s="1"/>
  <c r="C84" i="16"/>
  <c r="D84" i="16" s="1"/>
  <c r="BQ83" i="16"/>
  <c r="BP83" i="16" s="1"/>
  <c r="C83" i="16"/>
  <c r="D83" i="16" s="1"/>
  <c r="BQ82" i="16"/>
  <c r="BP82" i="16" s="1"/>
  <c r="C82" i="16"/>
  <c r="D82" i="16" s="1"/>
  <c r="BQ81" i="16"/>
  <c r="BP81" i="16" s="1"/>
  <c r="C81" i="16"/>
  <c r="D81" i="16" s="1"/>
  <c r="E95" i="16" s="1"/>
  <c r="BQ80" i="16"/>
  <c r="C80" i="16"/>
  <c r="D80" i="16" s="1"/>
  <c r="BQ79" i="16"/>
  <c r="BP79" i="16" s="1"/>
  <c r="C79" i="16"/>
  <c r="D79" i="16" s="1"/>
  <c r="BQ78" i="16"/>
  <c r="BP78" i="16" s="1"/>
  <c r="C78" i="16"/>
  <c r="BQ77" i="16"/>
  <c r="BP77" i="16" s="1"/>
  <c r="C77" i="16"/>
  <c r="D77" i="16" s="1"/>
  <c r="E91" i="16" s="1"/>
  <c r="BQ74" i="16"/>
  <c r="C74" i="16"/>
  <c r="BQ66" i="16"/>
  <c r="C66" i="16"/>
  <c r="BQ65" i="16"/>
  <c r="BP65" i="16" s="1"/>
  <c r="C65" i="16"/>
  <c r="D65" i="16" s="1"/>
  <c r="BQ64" i="16"/>
  <c r="BP64" i="16" s="1"/>
  <c r="C64" i="16"/>
  <c r="D64" i="16" s="1"/>
  <c r="BQ63" i="16"/>
  <c r="BP63" i="16" s="1"/>
  <c r="C63" i="16"/>
  <c r="D63" i="16" s="1"/>
  <c r="BQ62" i="16"/>
  <c r="C62" i="16"/>
  <c r="D62" i="16" s="1"/>
  <c r="D67" i="16" s="1"/>
  <c r="BQ56" i="16"/>
  <c r="C56" i="16"/>
  <c r="BQ55" i="16"/>
  <c r="C55" i="16"/>
  <c r="BQ49" i="16"/>
  <c r="BQ43" i="16"/>
  <c r="C43" i="16"/>
  <c r="BQ39" i="16"/>
  <c r="C39" i="16"/>
  <c r="BQ38" i="16"/>
  <c r="C38" i="16"/>
  <c r="BQ36" i="16"/>
  <c r="C36" i="16"/>
  <c r="BQ34" i="16"/>
  <c r="C34" i="16"/>
  <c r="BQ33" i="16"/>
  <c r="C33" i="16"/>
  <c r="BQ32" i="16"/>
  <c r="C32" i="16"/>
  <c r="BQ28" i="16"/>
  <c r="C28" i="16"/>
  <c r="E30" i="16" s="1"/>
  <c r="BQ27" i="16"/>
  <c r="C27" i="16"/>
  <c r="BQ26" i="16"/>
  <c r="C26" i="16"/>
  <c r="BQ25" i="16"/>
  <c r="C25" i="16"/>
  <c r="BQ21" i="16"/>
  <c r="C21" i="16"/>
  <c r="BQ17" i="16"/>
  <c r="C17" i="16"/>
  <c r="BQ15" i="16"/>
  <c r="C15" i="16"/>
  <c r="BQ14" i="16"/>
  <c r="C14" i="16"/>
  <c r="BQ13" i="16"/>
  <c r="C13" i="16"/>
  <c r="BO120" i="16"/>
  <c r="E215" i="19" s="1"/>
  <c r="BO119" i="16"/>
  <c r="E214" i="19" s="1"/>
  <c r="BO118" i="16"/>
  <c r="E213" i="19" s="1"/>
  <c r="BO117" i="16"/>
  <c r="E212" i="19" s="1"/>
  <c r="BO116" i="16"/>
  <c r="E211" i="19" s="1"/>
  <c r="BO115" i="16"/>
  <c r="E210" i="19" s="1"/>
  <c r="BO114" i="16"/>
  <c r="E209" i="19" s="1"/>
  <c r="BO113" i="16"/>
  <c r="E208" i="19" s="1"/>
  <c r="BO112" i="16"/>
  <c r="E207" i="19" s="1"/>
  <c r="BO111" i="16"/>
  <c r="E206" i="19" s="1"/>
  <c r="BO110" i="16"/>
  <c r="E205" i="19" s="1"/>
  <c r="BO109" i="16"/>
  <c r="E204" i="19" s="1"/>
  <c r="BO108" i="16"/>
  <c r="E203" i="19" s="1"/>
  <c r="BO107" i="16"/>
  <c r="E202" i="19" s="1"/>
  <c r="BO106" i="16"/>
  <c r="E201" i="19" s="1"/>
  <c r="BP104" i="16"/>
  <c r="BJ104" i="16"/>
  <c r="BH104" i="16"/>
  <c r="BF104" i="16"/>
  <c r="BD104" i="16"/>
  <c r="BB104" i="16"/>
  <c r="AZ104" i="16"/>
  <c r="AX104" i="16"/>
  <c r="AV104" i="16"/>
  <c r="AT104" i="16"/>
  <c r="AR104" i="16"/>
  <c r="AP104" i="16"/>
  <c r="AN104" i="16"/>
  <c r="AL104" i="16"/>
  <c r="AJ104" i="16"/>
  <c r="AH104" i="16"/>
  <c r="AF104" i="16"/>
  <c r="AD104" i="16"/>
  <c r="AB104" i="16"/>
  <c r="Z104" i="16"/>
  <c r="X104" i="16"/>
  <c r="V104" i="16"/>
  <c r="T104" i="16"/>
  <c r="R104" i="16"/>
  <c r="P104" i="16"/>
  <c r="N104" i="16"/>
  <c r="L104" i="16"/>
  <c r="J104" i="16"/>
  <c r="H104" i="16"/>
  <c r="F104" i="16"/>
  <c r="D104" i="16"/>
  <c r="BP103" i="16"/>
  <c r="BJ103" i="16"/>
  <c r="BH103" i="16"/>
  <c r="BF103" i="16"/>
  <c r="BD103" i="16"/>
  <c r="BB103" i="16"/>
  <c r="AZ103" i="16"/>
  <c r="AX103" i="16"/>
  <c r="AV103" i="16"/>
  <c r="AT103" i="16"/>
  <c r="AR103" i="16"/>
  <c r="AP103" i="16"/>
  <c r="AN103" i="16"/>
  <c r="AL103" i="16"/>
  <c r="AJ103" i="16"/>
  <c r="AH103" i="16"/>
  <c r="AF103" i="16"/>
  <c r="AD103" i="16"/>
  <c r="AB103" i="16"/>
  <c r="Z103" i="16"/>
  <c r="X103" i="16"/>
  <c r="V103" i="16"/>
  <c r="T103" i="16"/>
  <c r="R103" i="16"/>
  <c r="P103" i="16"/>
  <c r="N103" i="16"/>
  <c r="L103" i="16"/>
  <c r="J103" i="16"/>
  <c r="H103" i="16"/>
  <c r="F103" i="16"/>
  <c r="D103" i="16"/>
  <c r="AE102" i="16"/>
  <c r="Y102" i="16"/>
  <c r="AW99" i="16"/>
  <c r="BC98" i="16"/>
  <c r="Q97" i="16"/>
  <c r="Q95" i="16"/>
  <c r="G95" i="16"/>
  <c r="AW92" i="16"/>
  <c r="AS92" i="16"/>
  <c r="BP89" i="16"/>
  <c r="BJ89" i="16"/>
  <c r="BH89" i="16"/>
  <c r="BF89" i="16"/>
  <c r="BD89" i="16"/>
  <c r="BB89" i="16"/>
  <c r="AZ89" i="16"/>
  <c r="AX89" i="16"/>
  <c r="AV89" i="16"/>
  <c r="AT89" i="16"/>
  <c r="AR89" i="16"/>
  <c r="AP89" i="16"/>
  <c r="AN89" i="16"/>
  <c r="AL89" i="16"/>
  <c r="AJ89" i="16"/>
  <c r="AH89" i="16"/>
  <c r="AF89" i="16"/>
  <c r="AD89" i="16"/>
  <c r="AB89" i="16"/>
  <c r="Z89" i="16"/>
  <c r="X89" i="16"/>
  <c r="V89" i="16"/>
  <c r="T89" i="16"/>
  <c r="R89" i="16"/>
  <c r="P89" i="16"/>
  <c r="N89" i="16"/>
  <c r="L89" i="16"/>
  <c r="J89" i="16"/>
  <c r="H89" i="16"/>
  <c r="F89" i="16"/>
  <c r="D89" i="16"/>
  <c r="BJ88" i="16"/>
  <c r="BK102" i="16" s="1"/>
  <c r="BH88" i="16"/>
  <c r="BI102" i="16" s="1"/>
  <c r="BF88" i="16"/>
  <c r="BG102" i="16" s="1"/>
  <c r="BD88" i="16"/>
  <c r="BE102" i="16" s="1"/>
  <c r="BB88" i="16"/>
  <c r="BC102" i="16" s="1"/>
  <c r="AZ88" i="16"/>
  <c r="BA102" i="16" s="1"/>
  <c r="AX88" i="16"/>
  <c r="AY102" i="16" s="1"/>
  <c r="AV88" i="16"/>
  <c r="AW102" i="16" s="1"/>
  <c r="AT88" i="16"/>
  <c r="AU102" i="16" s="1"/>
  <c r="AR88" i="16"/>
  <c r="AS102" i="16" s="1"/>
  <c r="AP88" i="16"/>
  <c r="AQ102" i="16" s="1"/>
  <c r="AN88" i="16"/>
  <c r="AO102" i="16" s="1"/>
  <c r="AL88" i="16"/>
  <c r="AM102" i="16" s="1"/>
  <c r="AJ88" i="16"/>
  <c r="AK102" i="16" s="1"/>
  <c r="AH88" i="16"/>
  <c r="AI102" i="16" s="1"/>
  <c r="AF88" i="16"/>
  <c r="AG102" i="16" s="1"/>
  <c r="AD88" i="16"/>
  <c r="AB88" i="16"/>
  <c r="AC102" i="16" s="1"/>
  <c r="Z88" i="16"/>
  <c r="AA102" i="16" s="1"/>
  <c r="X88" i="16"/>
  <c r="V88" i="16"/>
  <c r="W102" i="16" s="1"/>
  <c r="T88" i="16"/>
  <c r="U102" i="16" s="1"/>
  <c r="R88" i="16"/>
  <c r="S102" i="16" s="1"/>
  <c r="P88" i="16"/>
  <c r="Q102" i="16" s="1"/>
  <c r="N88" i="16"/>
  <c r="O102" i="16" s="1"/>
  <c r="L88" i="16"/>
  <c r="M102" i="16" s="1"/>
  <c r="J88" i="16"/>
  <c r="H88" i="16"/>
  <c r="I102" i="16" s="1"/>
  <c r="F88" i="16"/>
  <c r="G102" i="16" s="1"/>
  <c r="BP87" i="16"/>
  <c r="BJ87" i="16"/>
  <c r="BK101" i="16" s="1"/>
  <c r="BH87" i="16"/>
  <c r="BI101" i="16" s="1"/>
  <c r="BF87" i="16"/>
  <c r="BG101" i="16" s="1"/>
  <c r="BD87" i="16"/>
  <c r="BE101" i="16" s="1"/>
  <c r="BB87" i="16"/>
  <c r="BC101" i="16" s="1"/>
  <c r="AZ87" i="16"/>
  <c r="BA101" i="16" s="1"/>
  <c r="AX87" i="16"/>
  <c r="AY101" i="16" s="1"/>
  <c r="AV87" i="16"/>
  <c r="AW101" i="16" s="1"/>
  <c r="AT87" i="16"/>
  <c r="AU101" i="16" s="1"/>
  <c r="AR87" i="16"/>
  <c r="AS101" i="16" s="1"/>
  <c r="AP87" i="16"/>
  <c r="AQ101" i="16" s="1"/>
  <c r="AN87" i="16"/>
  <c r="AO101" i="16" s="1"/>
  <c r="AL87" i="16"/>
  <c r="AM101" i="16" s="1"/>
  <c r="AJ87" i="16"/>
  <c r="AK101" i="16" s="1"/>
  <c r="AH87" i="16"/>
  <c r="AI101" i="16" s="1"/>
  <c r="AF87" i="16"/>
  <c r="AG101" i="16" s="1"/>
  <c r="AD87" i="16"/>
  <c r="AE101" i="16" s="1"/>
  <c r="AB87" i="16"/>
  <c r="AC101" i="16" s="1"/>
  <c r="Z87" i="16"/>
  <c r="AA101" i="16" s="1"/>
  <c r="X87" i="16"/>
  <c r="Y101" i="16" s="1"/>
  <c r="V87" i="16"/>
  <c r="W101" i="16" s="1"/>
  <c r="T87" i="16"/>
  <c r="U101" i="16" s="1"/>
  <c r="R87" i="16"/>
  <c r="S101" i="16" s="1"/>
  <c r="P87" i="16"/>
  <c r="Q101" i="16" s="1"/>
  <c r="N87" i="16"/>
  <c r="O101" i="16" s="1"/>
  <c r="L87" i="16"/>
  <c r="M101" i="16" s="1"/>
  <c r="J87" i="16"/>
  <c r="K101" i="16" s="1"/>
  <c r="H87" i="16"/>
  <c r="I101" i="16" s="1"/>
  <c r="F87" i="16"/>
  <c r="G101" i="16" s="1"/>
  <c r="D87" i="16"/>
  <c r="BJ86" i="16"/>
  <c r="BK100" i="16" s="1"/>
  <c r="BH86" i="16"/>
  <c r="BI100" i="16" s="1"/>
  <c r="BF86" i="16"/>
  <c r="BG100" i="16" s="1"/>
  <c r="BD86" i="16"/>
  <c r="BE100" i="16" s="1"/>
  <c r="BB86" i="16"/>
  <c r="BC100" i="16" s="1"/>
  <c r="AZ86" i="16"/>
  <c r="BA100" i="16" s="1"/>
  <c r="AX86" i="16"/>
  <c r="AY100" i="16" s="1"/>
  <c r="AV86" i="16"/>
  <c r="AW100" i="16" s="1"/>
  <c r="AT86" i="16"/>
  <c r="AU100" i="16" s="1"/>
  <c r="AR86" i="16"/>
  <c r="AS100" i="16" s="1"/>
  <c r="AP86" i="16"/>
  <c r="AQ100" i="16" s="1"/>
  <c r="AN86" i="16"/>
  <c r="AO100" i="16" s="1"/>
  <c r="AL86" i="16"/>
  <c r="AM100" i="16" s="1"/>
  <c r="AJ86" i="16"/>
  <c r="AK100" i="16" s="1"/>
  <c r="AH86" i="16"/>
  <c r="AI100" i="16" s="1"/>
  <c r="AF86" i="16"/>
  <c r="AG100" i="16" s="1"/>
  <c r="AD86" i="16"/>
  <c r="AE100" i="16" s="1"/>
  <c r="AB86" i="16"/>
  <c r="AC100" i="16" s="1"/>
  <c r="Z86" i="16"/>
  <c r="AA100" i="16" s="1"/>
  <c r="X86" i="16"/>
  <c r="Y100" i="16" s="1"/>
  <c r="V86" i="16"/>
  <c r="W100" i="16" s="1"/>
  <c r="T86" i="16"/>
  <c r="U100" i="16" s="1"/>
  <c r="R86" i="16"/>
  <c r="P86" i="16"/>
  <c r="Q100" i="16" s="1"/>
  <c r="N86" i="16"/>
  <c r="O100" i="16" s="1"/>
  <c r="L86" i="16"/>
  <c r="M100" i="16" s="1"/>
  <c r="J86" i="16"/>
  <c r="K100" i="16" s="1"/>
  <c r="H86" i="16"/>
  <c r="I100" i="16" s="1"/>
  <c r="F86" i="16"/>
  <c r="G100" i="16" s="1"/>
  <c r="BJ85" i="16"/>
  <c r="BK99" i="16" s="1"/>
  <c r="BH85" i="16"/>
  <c r="BI99" i="16" s="1"/>
  <c r="BF85" i="16"/>
  <c r="BG99" i="16" s="1"/>
  <c r="BD85" i="16"/>
  <c r="BE99" i="16" s="1"/>
  <c r="BB85" i="16"/>
  <c r="BC99" i="16" s="1"/>
  <c r="AZ85" i="16"/>
  <c r="BA99" i="16" s="1"/>
  <c r="AX85" i="16"/>
  <c r="AY99" i="16" s="1"/>
  <c r="AV85" i="16"/>
  <c r="AT85" i="16"/>
  <c r="AU99" i="16" s="1"/>
  <c r="AR85" i="16"/>
  <c r="AS99" i="16" s="1"/>
  <c r="AP85" i="16"/>
  <c r="AQ99" i="16" s="1"/>
  <c r="AN85" i="16"/>
  <c r="AO99" i="16" s="1"/>
  <c r="AL85" i="16"/>
  <c r="AM99" i="16" s="1"/>
  <c r="AJ85" i="16"/>
  <c r="AK99" i="16" s="1"/>
  <c r="AH85" i="16"/>
  <c r="AI99" i="16" s="1"/>
  <c r="AF85" i="16"/>
  <c r="AG99" i="16" s="1"/>
  <c r="AD85" i="16"/>
  <c r="AE99" i="16" s="1"/>
  <c r="AB85" i="16"/>
  <c r="AC99" i="16" s="1"/>
  <c r="Z85" i="16"/>
  <c r="AA99" i="16" s="1"/>
  <c r="X85" i="16"/>
  <c r="Y99" i="16" s="1"/>
  <c r="V85" i="16"/>
  <c r="W99" i="16" s="1"/>
  <c r="T85" i="16"/>
  <c r="U99" i="16" s="1"/>
  <c r="R85" i="16"/>
  <c r="S99" i="16" s="1"/>
  <c r="P85" i="16"/>
  <c r="Q99" i="16" s="1"/>
  <c r="N85" i="16"/>
  <c r="O99" i="16" s="1"/>
  <c r="L85" i="16"/>
  <c r="M99" i="16" s="1"/>
  <c r="J85" i="16"/>
  <c r="K99" i="16" s="1"/>
  <c r="H85" i="16"/>
  <c r="I99" i="16" s="1"/>
  <c r="F85" i="16"/>
  <c r="G99" i="16" s="1"/>
  <c r="BJ84" i="16"/>
  <c r="BK98" i="16" s="1"/>
  <c r="BH84" i="16"/>
  <c r="BI98" i="16" s="1"/>
  <c r="BF84" i="16"/>
  <c r="BG98" i="16" s="1"/>
  <c r="BD84" i="16"/>
  <c r="BE98" i="16" s="1"/>
  <c r="BB84" i="16"/>
  <c r="AZ84" i="16"/>
  <c r="BA98" i="16" s="1"/>
  <c r="AX84" i="16"/>
  <c r="AY98" i="16" s="1"/>
  <c r="AV84" i="16"/>
  <c r="AW98" i="16" s="1"/>
  <c r="AT84" i="16"/>
  <c r="AU98" i="16" s="1"/>
  <c r="AR84" i="16"/>
  <c r="AS98" i="16" s="1"/>
  <c r="AP84" i="16"/>
  <c r="AQ98" i="16" s="1"/>
  <c r="AN84" i="16"/>
  <c r="AO98" i="16" s="1"/>
  <c r="AL84" i="16"/>
  <c r="AM98" i="16" s="1"/>
  <c r="AJ84" i="16"/>
  <c r="AK98" i="16" s="1"/>
  <c r="AH84" i="16"/>
  <c r="AI98" i="16" s="1"/>
  <c r="AF84" i="16"/>
  <c r="AG98" i="16" s="1"/>
  <c r="AD84" i="16"/>
  <c r="AE98" i="16" s="1"/>
  <c r="AB84" i="16"/>
  <c r="AC98" i="16" s="1"/>
  <c r="Z84" i="16"/>
  <c r="AA98" i="16" s="1"/>
  <c r="X84" i="16"/>
  <c r="Y98" i="16" s="1"/>
  <c r="V84" i="16"/>
  <c r="W98" i="16" s="1"/>
  <c r="T84" i="16"/>
  <c r="U98" i="16" s="1"/>
  <c r="R84" i="16"/>
  <c r="S98" i="16" s="1"/>
  <c r="P84" i="16"/>
  <c r="Q98" i="16" s="1"/>
  <c r="N84" i="16"/>
  <c r="O98" i="16" s="1"/>
  <c r="L84" i="16"/>
  <c r="M98" i="16" s="1"/>
  <c r="J84" i="16"/>
  <c r="K98" i="16" s="1"/>
  <c r="H84" i="16"/>
  <c r="I98" i="16" s="1"/>
  <c r="F84" i="16"/>
  <c r="G98" i="16" s="1"/>
  <c r="BJ83" i="16"/>
  <c r="BK97" i="16" s="1"/>
  <c r="BH83" i="16"/>
  <c r="BI97" i="16" s="1"/>
  <c r="BF83" i="16"/>
  <c r="BG97" i="16" s="1"/>
  <c r="BD83" i="16"/>
  <c r="BE97" i="16" s="1"/>
  <c r="BB83" i="16"/>
  <c r="BC97" i="16" s="1"/>
  <c r="AZ83" i="16"/>
  <c r="BA97" i="16" s="1"/>
  <c r="AX83" i="16"/>
  <c r="AY97" i="16" s="1"/>
  <c r="AV83" i="16"/>
  <c r="AW97" i="16" s="1"/>
  <c r="AT83" i="16"/>
  <c r="AU97" i="16" s="1"/>
  <c r="AR83" i="16"/>
  <c r="AS97" i="16" s="1"/>
  <c r="AP83" i="16"/>
  <c r="AQ97" i="16" s="1"/>
  <c r="AN83" i="16"/>
  <c r="AO97" i="16" s="1"/>
  <c r="AL83" i="16"/>
  <c r="AM97" i="16" s="1"/>
  <c r="AJ83" i="16"/>
  <c r="AK97" i="16" s="1"/>
  <c r="AH83" i="16"/>
  <c r="AI97" i="16" s="1"/>
  <c r="AF83" i="16"/>
  <c r="AG97" i="16" s="1"/>
  <c r="AD83" i="16"/>
  <c r="AE97" i="16" s="1"/>
  <c r="AB83" i="16"/>
  <c r="AC97" i="16" s="1"/>
  <c r="Z83" i="16"/>
  <c r="AA97" i="16" s="1"/>
  <c r="X83" i="16"/>
  <c r="Y97" i="16" s="1"/>
  <c r="V83" i="16"/>
  <c r="W97" i="16" s="1"/>
  <c r="T83" i="16"/>
  <c r="U97" i="16" s="1"/>
  <c r="R83" i="16"/>
  <c r="S97" i="16" s="1"/>
  <c r="P83" i="16"/>
  <c r="N83" i="16"/>
  <c r="O97" i="16" s="1"/>
  <c r="L83" i="16"/>
  <c r="M97" i="16" s="1"/>
  <c r="J83" i="16"/>
  <c r="K97" i="16" s="1"/>
  <c r="H83" i="16"/>
  <c r="I97" i="16" s="1"/>
  <c r="F83" i="16"/>
  <c r="G97" i="16" s="1"/>
  <c r="BJ82" i="16"/>
  <c r="BK96" i="16" s="1"/>
  <c r="BH82" i="16"/>
  <c r="BI96" i="16" s="1"/>
  <c r="BF82" i="16"/>
  <c r="BG96" i="16" s="1"/>
  <c r="BD82" i="16"/>
  <c r="BE96" i="16" s="1"/>
  <c r="BB82" i="16"/>
  <c r="BC96" i="16" s="1"/>
  <c r="AZ82" i="16"/>
  <c r="BA96" i="16" s="1"/>
  <c r="AX82" i="16"/>
  <c r="AY96" i="16" s="1"/>
  <c r="AV82" i="16"/>
  <c r="AW96" i="16" s="1"/>
  <c r="AT82" i="16"/>
  <c r="AU96" i="16" s="1"/>
  <c r="AR82" i="16"/>
  <c r="AS96" i="16" s="1"/>
  <c r="AP82" i="16"/>
  <c r="AQ96" i="16" s="1"/>
  <c r="AN82" i="16"/>
  <c r="AO96" i="16" s="1"/>
  <c r="AL82" i="16"/>
  <c r="AM96" i="16" s="1"/>
  <c r="AJ82" i="16"/>
  <c r="AK96" i="16" s="1"/>
  <c r="AH82" i="16"/>
  <c r="AI96" i="16" s="1"/>
  <c r="AF82" i="16"/>
  <c r="AG96" i="16" s="1"/>
  <c r="AD82" i="16"/>
  <c r="AE96" i="16" s="1"/>
  <c r="AB82" i="16"/>
  <c r="AC96" i="16" s="1"/>
  <c r="Z82" i="16"/>
  <c r="AA96" i="16" s="1"/>
  <c r="X82" i="16"/>
  <c r="Y96" i="16" s="1"/>
  <c r="V82" i="16"/>
  <c r="W96" i="16" s="1"/>
  <c r="T82" i="16"/>
  <c r="U96" i="16" s="1"/>
  <c r="R82" i="16"/>
  <c r="S96" i="16" s="1"/>
  <c r="P82" i="16"/>
  <c r="Q96" i="16" s="1"/>
  <c r="N82" i="16"/>
  <c r="O96" i="16" s="1"/>
  <c r="L82" i="16"/>
  <c r="M96" i="16" s="1"/>
  <c r="J82" i="16"/>
  <c r="K96" i="16" s="1"/>
  <c r="H82" i="16"/>
  <c r="I96" i="16" s="1"/>
  <c r="F82" i="16"/>
  <c r="G96" i="16" s="1"/>
  <c r="BJ81" i="16"/>
  <c r="BK95" i="16" s="1"/>
  <c r="BH81" i="16"/>
  <c r="BI95" i="16" s="1"/>
  <c r="BF81" i="16"/>
  <c r="BG95" i="16" s="1"/>
  <c r="BD81" i="16"/>
  <c r="BE95" i="16" s="1"/>
  <c r="BB81" i="16"/>
  <c r="BC95" i="16" s="1"/>
  <c r="AZ81" i="16"/>
  <c r="BA95" i="16" s="1"/>
  <c r="AX81" i="16"/>
  <c r="AY95" i="16" s="1"/>
  <c r="AV81" i="16"/>
  <c r="AW95" i="16" s="1"/>
  <c r="AT81" i="16"/>
  <c r="AU95" i="16" s="1"/>
  <c r="AR81" i="16"/>
  <c r="AS95" i="16" s="1"/>
  <c r="AP81" i="16"/>
  <c r="AQ95" i="16" s="1"/>
  <c r="AN81" i="16"/>
  <c r="AO95" i="16" s="1"/>
  <c r="AL81" i="16"/>
  <c r="AM95" i="16" s="1"/>
  <c r="AJ81" i="16"/>
  <c r="AK95" i="16" s="1"/>
  <c r="AH81" i="16"/>
  <c r="AI95" i="16" s="1"/>
  <c r="AF81" i="16"/>
  <c r="AG95" i="16" s="1"/>
  <c r="AD81" i="16"/>
  <c r="AE95" i="16" s="1"/>
  <c r="AB81" i="16"/>
  <c r="AC95" i="16" s="1"/>
  <c r="Z81" i="16"/>
  <c r="AA95" i="16" s="1"/>
  <c r="X81" i="16"/>
  <c r="Y95" i="16" s="1"/>
  <c r="V81" i="16"/>
  <c r="W95" i="16" s="1"/>
  <c r="T81" i="16"/>
  <c r="U95" i="16" s="1"/>
  <c r="R81" i="16"/>
  <c r="S95" i="16" s="1"/>
  <c r="P81" i="16"/>
  <c r="N81" i="16"/>
  <c r="O95" i="16" s="1"/>
  <c r="L81" i="16"/>
  <c r="M95" i="16" s="1"/>
  <c r="J81" i="16"/>
  <c r="K95" i="16" s="1"/>
  <c r="H81" i="16"/>
  <c r="I95" i="16" s="1"/>
  <c r="F81" i="16"/>
  <c r="BP80" i="16"/>
  <c r="BJ80" i="16"/>
  <c r="BK94" i="16" s="1"/>
  <c r="BH80" i="16"/>
  <c r="BI94" i="16" s="1"/>
  <c r="BF80" i="16"/>
  <c r="BG94" i="16" s="1"/>
  <c r="BD80" i="16"/>
  <c r="BE94" i="16" s="1"/>
  <c r="BB80" i="16"/>
  <c r="BC94" i="16" s="1"/>
  <c r="AZ80" i="16"/>
  <c r="BA94" i="16" s="1"/>
  <c r="AX80" i="16"/>
  <c r="AY94" i="16" s="1"/>
  <c r="AV80" i="16"/>
  <c r="AW94" i="16" s="1"/>
  <c r="AT80" i="16"/>
  <c r="AU94" i="16" s="1"/>
  <c r="AR80" i="16"/>
  <c r="AS94" i="16" s="1"/>
  <c r="AP80" i="16"/>
  <c r="AQ94" i="16" s="1"/>
  <c r="AN80" i="16"/>
  <c r="AO94" i="16" s="1"/>
  <c r="AL80" i="16"/>
  <c r="AM94" i="16" s="1"/>
  <c r="AJ80" i="16"/>
  <c r="AK94" i="16" s="1"/>
  <c r="AH80" i="16"/>
  <c r="AI94" i="16" s="1"/>
  <c r="AF80" i="16"/>
  <c r="AG94" i="16" s="1"/>
  <c r="AD80" i="16"/>
  <c r="AE94" i="16" s="1"/>
  <c r="AB80" i="16"/>
  <c r="AC94" i="16" s="1"/>
  <c r="Z80" i="16"/>
  <c r="AA94" i="16" s="1"/>
  <c r="X80" i="16"/>
  <c r="Y94" i="16" s="1"/>
  <c r="V80" i="16"/>
  <c r="W94" i="16" s="1"/>
  <c r="T80" i="16"/>
  <c r="U94" i="16" s="1"/>
  <c r="R80" i="16"/>
  <c r="S94" i="16" s="1"/>
  <c r="P80" i="16"/>
  <c r="Q94" i="16" s="1"/>
  <c r="N80" i="16"/>
  <c r="O94" i="16" s="1"/>
  <c r="L80" i="16"/>
  <c r="M94" i="16" s="1"/>
  <c r="J80" i="16"/>
  <c r="K94" i="16" s="1"/>
  <c r="H80" i="16"/>
  <c r="I94" i="16" s="1"/>
  <c r="F80" i="16"/>
  <c r="G94" i="16" s="1"/>
  <c r="BJ79" i="16"/>
  <c r="BK93" i="16" s="1"/>
  <c r="BH79" i="16"/>
  <c r="BI93" i="16" s="1"/>
  <c r="BF79" i="16"/>
  <c r="BG93" i="16" s="1"/>
  <c r="BD79" i="16"/>
  <c r="BE93" i="16" s="1"/>
  <c r="BB79" i="16"/>
  <c r="BC93" i="16" s="1"/>
  <c r="AZ79" i="16"/>
  <c r="BA93" i="16" s="1"/>
  <c r="AX79" i="16"/>
  <c r="AY93" i="16" s="1"/>
  <c r="AV79" i="16"/>
  <c r="AW93" i="16" s="1"/>
  <c r="AT79" i="16"/>
  <c r="AU93" i="16" s="1"/>
  <c r="AR79" i="16"/>
  <c r="AS93" i="16" s="1"/>
  <c r="AP79" i="16"/>
  <c r="AQ93" i="16" s="1"/>
  <c r="AN79" i="16"/>
  <c r="AL79" i="16"/>
  <c r="AM93" i="16" s="1"/>
  <c r="AJ79" i="16"/>
  <c r="AK93" i="16" s="1"/>
  <c r="AH79" i="16"/>
  <c r="AI93" i="16" s="1"/>
  <c r="AF79" i="16"/>
  <c r="AG93" i="16" s="1"/>
  <c r="AD79" i="16"/>
  <c r="AE93" i="16" s="1"/>
  <c r="AB79" i="16"/>
  <c r="AC93" i="16" s="1"/>
  <c r="Z79" i="16"/>
  <c r="AA93" i="16" s="1"/>
  <c r="X79" i="16"/>
  <c r="Y93" i="16" s="1"/>
  <c r="V79" i="16"/>
  <c r="W93" i="16" s="1"/>
  <c r="T79" i="16"/>
  <c r="U93" i="16" s="1"/>
  <c r="R79" i="16"/>
  <c r="S93" i="16" s="1"/>
  <c r="P79" i="16"/>
  <c r="Q93" i="16" s="1"/>
  <c r="N79" i="16"/>
  <c r="O93" i="16" s="1"/>
  <c r="L79" i="16"/>
  <c r="M93" i="16" s="1"/>
  <c r="J79" i="16"/>
  <c r="K93" i="16" s="1"/>
  <c r="H79" i="16"/>
  <c r="I93" i="16" s="1"/>
  <c r="F79" i="16"/>
  <c r="G93" i="16" s="1"/>
  <c r="BJ78" i="16"/>
  <c r="BK92" i="16" s="1"/>
  <c r="BH78" i="16"/>
  <c r="BI92" i="16" s="1"/>
  <c r="BF78" i="16"/>
  <c r="BG92" i="16" s="1"/>
  <c r="BD78" i="16"/>
  <c r="BE92" i="16" s="1"/>
  <c r="BB78" i="16"/>
  <c r="BC92" i="16" s="1"/>
  <c r="AZ78" i="16"/>
  <c r="BA92" i="16" s="1"/>
  <c r="AX78" i="16"/>
  <c r="AY92" i="16" s="1"/>
  <c r="AV78" i="16"/>
  <c r="AT78" i="16"/>
  <c r="AU92" i="16" s="1"/>
  <c r="AR78" i="16"/>
  <c r="AP78" i="16"/>
  <c r="AQ92" i="16" s="1"/>
  <c r="AN78" i="16"/>
  <c r="AO92" i="16" s="1"/>
  <c r="AL78" i="16"/>
  <c r="AM92" i="16" s="1"/>
  <c r="AJ78" i="16"/>
  <c r="AK92" i="16" s="1"/>
  <c r="AH78" i="16"/>
  <c r="AI92" i="16" s="1"/>
  <c r="AF78" i="16"/>
  <c r="AG92" i="16" s="1"/>
  <c r="AD78" i="16"/>
  <c r="AE92" i="16" s="1"/>
  <c r="AB78" i="16"/>
  <c r="AC92" i="16" s="1"/>
  <c r="Z78" i="16"/>
  <c r="AA92" i="16" s="1"/>
  <c r="X78" i="16"/>
  <c r="Y92" i="16" s="1"/>
  <c r="V78" i="16"/>
  <c r="W92" i="16" s="1"/>
  <c r="T78" i="16"/>
  <c r="U92" i="16" s="1"/>
  <c r="R78" i="16"/>
  <c r="S92" i="16" s="1"/>
  <c r="P78" i="16"/>
  <c r="Q92" i="16" s="1"/>
  <c r="N78" i="16"/>
  <c r="O92" i="16" s="1"/>
  <c r="L78" i="16"/>
  <c r="M92" i="16" s="1"/>
  <c r="J78" i="16"/>
  <c r="K92" i="16" s="1"/>
  <c r="H78" i="16"/>
  <c r="I92" i="16" s="1"/>
  <c r="F78" i="16"/>
  <c r="G92" i="16" s="1"/>
  <c r="BJ77" i="16"/>
  <c r="BK91" i="16" s="1"/>
  <c r="BH77" i="16"/>
  <c r="BI91" i="16" s="1"/>
  <c r="BF77" i="16"/>
  <c r="BG91" i="16" s="1"/>
  <c r="BD77" i="16"/>
  <c r="BE91" i="16" s="1"/>
  <c r="BB77" i="16"/>
  <c r="BC91" i="16" s="1"/>
  <c r="AZ77" i="16"/>
  <c r="BA91" i="16" s="1"/>
  <c r="AX77" i="16"/>
  <c r="AY91" i="16" s="1"/>
  <c r="AV77" i="16"/>
  <c r="AW91" i="16" s="1"/>
  <c r="AT77" i="16"/>
  <c r="AU91" i="16" s="1"/>
  <c r="AR77" i="16"/>
  <c r="AS91" i="16" s="1"/>
  <c r="AP77" i="16"/>
  <c r="AQ91" i="16" s="1"/>
  <c r="AN77" i="16"/>
  <c r="AO91" i="16" s="1"/>
  <c r="AL77" i="16"/>
  <c r="AM91" i="16" s="1"/>
  <c r="AJ77" i="16"/>
  <c r="AK91" i="16" s="1"/>
  <c r="AH77" i="16"/>
  <c r="AI91" i="16" s="1"/>
  <c r="AF77" i="16"/>
  <c r="AG91" i="16" s="1"/>
  <c r="AD77" i="16"/>
  <c r="AE91" i="16" s="1"/>
  <c r="AB77" i="16"/>
  <c r="AC91" i="16" s="1"/>
  <c r="Z77" i="16"/>
  <c r="AA91" i="16" s="1"/>
  <c r="X77" i="16"/>
  <c r="Y91" i="16" s="1"/>
  <c r="V77" i="16"/>
  <c r="W91" i="16" s="1"/>
  <c r="T77" i="16"/>
  <c r="U91" i="16" s="1"/>
  <c r="R77" i="16"/>
  <c r="S91" i="16" s="1"/>
  <c r="P77" i="16"/>
  <c r="Q91" i="16" s="1"/>
  <c r="N77" i="16"/>
  <c r="O91" i="16" s="1"/>
  <c r="L77" i="16"/>
  <c r="M91" i="16" s="1"/>
  <c r="J77" i="16"/>
  <c r="K91" i="16" s="1"/>
  <c r="H77" i="16"/>
  <c r="I91" i="16" s="1"/>
  <c r="F77" i="16"/>
  <c r="G91" i="16" s="1"/>
  <c r="BG75" i="16"/>
  <c r="BO74" i="16"/>
  <c r="E174" i="19" s="1"/>
  <c r="BP72" i="16"/>
  <c r="BK72" i="16"/>
  <c r="BJ72" i="16"/>
  <c r="BI72" i="16"/>
  <c r="BH72" i="16"/>
  <c r="BG72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D72" i="16"/>
  <c r="BP71" i="16"/>
  <c r="BK71" i="16"/>
  <c r="BJ71" i="16"/>
  <c r="BI71" i="16"/>
  <c r="BH71" i="16"/>
  <c r="BG71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D71" i="16"/>
  <c r="BP70" i="16"/>
  <c r="BK70" i="16"/>
  <c r="BJ70" i="16"/>
  <c r="BI70" i="16"/>
  <c r="BH70" i="16"/>
  <c r="BG70" i="16"/>
  <c r="BF70" i="16"/>
  <c r="BE70" i="16"/>
  <c r="BD70" i="16"/>
  <c r="BC70" i="16"/>
  <c r="BB70" i="16"/>
  <c r="BA70" i="16"/>
  <c r="AZ70" i="16"/>
  <c r="AY70" i="16"/>
  <c r="AX70" i="16"/>
  <c r="AW70" i="16"/>
  <c r="AV70" i="16"/>
  <c r="AU70" i="16"/>
  <c r="AT70" i="16"/>
  <c r="AS70" i="16"/>
  <c r="AR70" i="16"/>
  <c r="AQ70" i="16"/>
  <c r="AP70" i="16"/>
  <c r="AO70" i="16"/>
  <c r="AN70" i="16"/>
  <c r="AM70" i="16"/>
  <c r="AL70" i="16"/>
  <c r="AK70" i="16"/>
  <c r="AJ70" i="16"/>
  <c r="AI70" i="16"/>
  <c r="AH70" i="16"/>
  <c r="AG70" i="16"/>
  <c r="AF70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D70" i="16"/>
  <c r="BP69" i="16"/>
  <c r="BK69" i="16"/>
  <c r="BJ69" i="16"/>
  <c r="BI69" i="16"/>
  <c r="BH69" i="16"/>
  <c r="BG69" i="16"/>
  <c r="BF69" i="16"/>
  <c r="BE69" i="16"/>
  <c r="BD69" i="16"/>
  <c r="BC69" i="16"/>
  <c r="BB69" i="16"/>
  <c r="BA69" i="16"/>
  <c r="AZ69" i="16"/>
  <c r="AY69" i="16"/>
  <c r="AX69" i="16"/>
  <c r="AW69" i="16"/>
  <c r="AV69" i="16"/>
  <c r="AU69" i="16"/>
  <c r="AT69" i="16"/>
  <c r="AS69" i="16"/>
  <c r="AR69" i="16"/>
  <c r="AQ69" i="16"/>
  <c r="AP69" i="16"/>
  <c r="AO69" i="16"/>
  <c r="AN69" i="16"/>
  <c r="AM69" i="16"/>
  <c r="AL69" i="16"/>
  <c r="AK69" i="16"/>
  <c r="AJ69" i="16"/>
  <c r="AI69" i="16"/>
  <c r="AH69" i="16"/>
  <c r="AG69" i="16"/>
  <c r="AF69" i="16"/>
  <c r="AE69" i="16"/>
  <c r="AD69" i="16"/>
  <c r="AC69" i="16"/>
  <c r="AB69" i="16"/>
  <c r="AA69" i="16"/>
  <c r="Z69" i="16"/>
  <c r="Y69" i="16"/>
  <c r="X69" i="16"/>
  <c r="W69" i="16"/>
  <c r="V69" i="16"/>
  <c r="U69" i="16"/>
  <c r="T69" i="16"/>
  <c r="S69" i="16"/>
  <c r="R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D69" i="16"/>
  <c r="BQ9" i="16"/>
  <c r="BP68" i="16"/>
  <c r="BK68" i="16"/>
  <c r="BJ68" i="16"/>
  <c r="BI68" i="16"/>
  <c r="BH68" i="16"/>
  <c r="BG68" i="16"/>
  <c r="BF68" i="16"/>
  <c r="BE68" i="16"/>
  <c r="BD68" i="16"/>
  <c r="BC68" i="16"/>
  <c r="BB68" i="16"/>
  <c r="BA68" i="16"/>
  <c r="AZ68" i="16"/>
  <c r="AZ73" i="16" s="1"/>
  <c r="AY68" i="16"/>
  <c r="AX68" i="16"/>
  <c r="AW68" i="16"/>
  <c r="AV68" i="16"/>
  <c r="AU68" i="16"/>
  <c r="AT68" i="16"/>
  <c r="AS68" i="16"/>
  <c r="AR68" i="16"/>
  <c r="AQ68" i="16"/>
  <c r="AP68" i="16"/>
  <c r="AO68" i="16"/>
  <c r="AN68" i="16"/>
  <c r="AN73" i="16" s="1"/>
  <c r="AM68" i="16"/>
  <c r="AL68" i="16"/>
  <c r="AK68" i="16"/>
  <c r="AJ68" i="16"/>
  <c r="AI68" i="16"/>
  <c r="AH68" i="16"/>
  <c r="AG68" i="16"/>
  <c r="AF68" i="16"/>
  <c r="AE68" i="16"/>
  <c r="AD68" i="16"/>
  <c r="AC68" i="16"/>
  <c r="AB68" i="16"/>
  <c r="AB73" i="16" s="1"/>
  <c r="AA68" i="16"/>
  <c r="Z68" i="16"/>
  <c r="Y68" i="16"/>
  <c r="X68" i="16"/>
  <c r="W68" i="16"/>
  <c r="V68" i="16"/>
  <c r="U68" i="16"/>
  <c r="U73" i="16" s="1"/>
  <c r="U10" i="16" s="1"/>
  <c r="T68" i="16"/>
  <c r="S68" i="16"/>
  <c r="R68" i="16"/>
  <c r="Q68" i="16"/>
  <c r="P68" i="16"/>
  <c r="P73" i="16" s="1"/>
  <c r="O68" i="16"/>
  <c r="N68" i="16"/>
  <c r="M68" i="16"/>
  <c r="L68" i="16"/>
  <c r="K68" i="16"/>
  <c r="J68" i="16"/>
  <c r="I68" i="16"/>
  <c r="I73" i="16" s="1"/>
  <c r="H68" i="16"/>
  <c r="G68" i="16"/>
  <c r="F68" i="16"/>
  <c r="D68" i="16"/>
  <c r="BP66" i="16"/>
  <c r="BJ66" i="16"/>
  <c r="BH66" i="16"/>
  <c r="BF66" i="16"/>
  <c r="BD66" i="16"/>
  <c r="BB66" i="16"/>
  <c r="AZ66" i="16"/>
  <c r="AX66" i="16"/>
  <c r="AV66" i="16"/>
  <c r="AT66" i="16"/>
  <c r="AR66" i="16"/>
  <c r="AP66" i="16"/>
  <c r="AN66" i="16"/>
  <c r="AL66" i="16"/>
  <c r="AJ66" i="16"/>
  <c r="AH66" i="16"/>
  <c r="AF66" i="16"/>
  <c r="AD66" i="16"/>
  <c r="AB66" i="16"/>
  <c r="Z66" i="16"/>
  <c r="X66" i="16"/>
  <c r="V66" i="16"/>
  <c r="T66" i="16"/>
  <c r="R66" i="16"/>
  <c r="P66" i="16"/>
  <c r="N66" i="16"/>
  <c r="L66" i="16"/>
  <c r="J66" i="16"/>
  <c r="H66" i="16"/>
  <c r="F66" i="16"/>
  <c r="D66" i="16"/>
  <c r="B66" i="16"/>
  <c r="BJ65" i="16"/>
  <c r="BH65" i="16"/>
  <c r="BF65" i="16"/>
  <c r="BD65" i="16"/>
  <c r="BB65" i="16"/>
  <c r="AZ65" i="16"/>
  <c r="AX65" i="16"/>
  <c r="AV65" i="16"/>
  <c r="AT65" i="16"/>
  <c r="AR65" i="16"/>
  <c r="AP65" i="16"/>
  <c r="AN65" i="16"/>
  <c r="AL65" i="16"/>
  <c r="AJ65" i="16"/>
  <c r="AH65" i="16"/>
  <c r="AF65" i="16"/>
  <c r="AD65" i="16"/>
  <c r="AB65" i="16"/>
  <c r="Z65" i="16"/>
  <c r="X65" i="16"/>
  <c r="V65" i="16"/>
  <c r="T65" i="16"/>
  <c r="R65" i="16"/>
  <c r="P65" i="16"/>
  <c r="N65" i="16"/>
  <c r="L65" i="16"/>
  <c r="J65" i="16"/>
  <c r="H65" i="16"/>
  <c r="F65" i="16"/>
  <c r="BJ64" i="16"/>
  <c r="BH64" i="16"/>
  <c r="BF64" i="16"/>
  <c r="BD64" i="16"/>
  <c r="BB64" i="16"/>
  <c r="AZ64" i="16"/>
  <c r="AX64" i="16"/>
  <c r="AV64" i="16"/>
  <c r="AT64" i="16"/>
  <c r="AR64" i="16"/>
  <c r="AP64" i="16"/>
  <c r="AN64" i="16"/>
  <c r="AL64" i="16"/>
  <c r="AJ64" i="16"/>
  <c r="AH64" i="16"/>
  <c r="AF64" i="16"/>
  <c r="AD64" i="16"/>
  <c r="AB64" i="16"/>
  <c r="Z64" i="16"/>
  <c r="X64" i="16"/>
  <c r="V64" i="16"/>
  <c r="T64" i="16"/>
  <c r="R64" i="16"/>
  <c r="P64" i="16"/>
  <c r="N64" i="16"/>
  <c r="L64" i="16"/>
  <c r="J64" i="16"/>
  <c r="H64" i="16"/>
  <c r="F64" i="16"/>
  <c r="BJ63" i="16"/>
  <c r="BH63" i="16"/>
  <c r="BF63" i="16"/>
  <c r="BD63" i="16"/>
  <c r="BB63" i="16"/>
  <c r="BB67" i="16" s="1"/>
  <c r="AZ63" i="16"/>
  <c r="AX63" i="16"/>
  <c r="AV63" i="16"/>
  <c r="AT63" i="16"/>
  <c r="AR63" i="16"/>
  <c r="AP63" i="16"/>
  <c r="AN63" i="16"/>
  <c r="AL63" i="16"/>
  <c r="AJ63" i="16"/>
  <c r="AH63" i="16"/>
  <c r="AF63" i="16"/>
  <c r="AD63" i="16"/>
  <c r="AB63" i="16"/>
  <c r="Z63" i="16"/>
  <c r="X63" i="16"/>
  <c r="V63" i="16"/>
  <c r="T63" i="16"/>
  <c r="R63" i="16"/>
  <c r="P63" i="16"/>
  <c r="N63" i="16"/>
  <c r="L63" i="16"/>
  <c r="J63" i="16"/>
  <c r="H63" i="16"/>
  <c r="F63" i="16"/>
  <c r="BP62" i="16"/>
  <c r="BJ62" i="16"/>
  <c r="BH62" i="16"/>
  <c r="BF62" i="16"/>
  <c r="BD62" i="16"/>
  <c r="BB62" i="16"/>
  <c r="AZ62" i="16"/>
  <c r="AX62" i="16"/>
  <c r="AV62" i="16"/>
  <c r="AT62" i="16"/>
  <c r="AR62" i="16"/>
  <c r="AP62" i="16"/>
  <c r="AN62" i="16"/>
  <c r="AL62" i="16"/>
  <c r="AJ62" i="16"/>
  <c r="AH62" i="16"/>
  <c r="AF62" i="16"/>
  <c r="AD62" i="16"/>
  <c r="AB62" i="16"/>
  <c r="Z62" i="16"/>
  <c r="X62" i="16"/>
  <c r="V62" i="16"/>
  <c r="T62" i="16"/>
  <c r="R62" i="16"/>
  <c r="P62" i="16"/>
  <c r="N62" i="16"/>
  <c r="L62" i="16"/>
  <c r="J62" i="16"/>
  <c r="H62" i="16"/>
  <c r="F62" i="16"/>
  <c r="BK59" i="16"/>
  <c r="BK7" i="16" s="1"/>
  <c r="BI59" i="16"/>
  <c r="BG59" i="16"/>
  <c r="BG7" i="16" s="1"/>
  <c r="BE59" i="16"/>
  <c r="BE7" i="16" s="1"/>
  <c r="BC59" i="16"/>
  <c r="BC7" i="16" s="1"/>
  <c r="BA59" i="16"/>
  <c r="BA7" i="16" s="1"/>
  <c r="AY59" i="16"/>
  <c r="AY7" i="16" s="1"/>
  <c r="AW59" i="16"/>
  <c r="AW7" i="16" s="1"/>
  <c r="AU59" i="16"/>
  <c r="AS59" i="16"/>
  <c r="AS7" i="16" s="1"/>
  <c r="AQ59" i="16"/>
  <c r="AO59" i="16"/>
  <c r="AO7" i="16" s="1"/>
  <c r="AM59" i="16"/>
  <c r="AM7" i="16" s="1"/>
  <c r="AK59" i="16"/>
  <c r="AK7" i="16" s="1"/>
  <c r="AI59" i="16"/>
  <c r="AI7" i="16" s="1"/>
  <c r="AG59" i="16"/>
  <c r="AG7" i="16" s="1"/>
  <c r="AE59" i="16"/>
  <c r="AE7" i="16" s="1"/>
  <c r="AC59" i="16"/>
  <c r="AC7" i="16" s="1"/>
  <c r="AA59" i="16"/>
  <c r="AA7" i="16" s="1"/>
  <c r="Y59" i="16"/>
  <c r="Y7" i="16" s="1"/>
  <c r="W59" i="16"/>
  <c r="U59" i="16"/>
  <c r="U7" i="16" s="1"/>
  <c r="S59" i="16"/>
  <c r="Q59" i="16"/>
  <c r="Q7" i="16" s="1"/>
  <c r="O59" i="16"/>
  <c r="O7" i="16" s="1"/>
  <c r="M59" i="16"/>
  <c r="M7" i="16" s="1"/>
  <c r="K59" i="16"/>
  <c r="K7" i="16" s="1"/>
  <c r="I59" i="16"/>
  <c r="I7" i="16" s="1"/>
  <c r="G59" i="16"/>
  <c r="G7" i="16" s="1"/>
  <c r="E59" i="16"/>
  <c r="E7" i="16" s="1"/>
  <c r="BK57" i="16"/>
  <c r="BK75" i="16" s="1"/>
  <c r="BK11" i="16" s="1"/>
  <c r="BI57" i="16"/>
  <c r="BI75" i="16" s="1"/>
  <c r="BI11" i="16" s="1"/>
  <c r="BG57" i="16"/>
  <c r="BE57" i="16"/>
  <c r="BE75" i="16" s="1"/>
  <c r="BE11" i="16" s="1"/>
  <c r="BC57" i="16"/>
  <c r="BC75" i="16" s="1"/>
  <c r="BA57" i="16"/>
  <c r="BA75" i="16" s="1"/>
  <c r="BA11" i="16" s="1"/>
  <c r="AY57" i="16"/>
  <c r="AY75" i="16" s="1"/>
  <c r="AY11" i="16" s="1"/>
  <c r="AW57" i="16"/>
  <c r="AW75" i="16" s="1"/>
  <c r="AW11" i="16" s="1"/>
  <c r="AU57" i="16"/>
  <c r="AU75" i="16" s="1"/>
  <c r="AU11" i="16" s="1"/>
  <c r="AS57" i="16"/>
  <c r="AS75" i="16" s="1"/>
  <c r="AS11" i="16" s="1"/>
  <c r="AQ57" i="16"/>
  <c r="AQ75" i="16" s="1"/>
  <c r="AQ11" i="16" s="1"/>
  <c r="AO57" i="16"/>
  <c r="AO75" i="16" s="1"/>
  <c r="AO11" i="16" s="1"/>
  <c r="AM57" i="16"/>
  <c r="AM75" i="16" s="1"/>
  <c r="AM11" i="16" s="1"/>
  <c r="AK57" i="16"/>
  <c r="AK75" i="16" s="1"/>
  <c r="AK11" i="16" s="1"/>
  <c r="AI57" i="16"/>
  <c r="AI75" i="16" s="1"/>
  <c r="AI11" i="16" s="1"/>
  <c r="AG57" i="16"/>
  <c r="AG75" i="16" s="1"/>
  <c r="AG11" i="16" s="1"/>
  <c r="AE57" i="16"/>
  <c r="AE75" i="16" s="1"/>
  <c r="AC57" i="16"/>
  <c r="AC75" i="16" s="1"/>
  <c r="AC11" i="16" s="1"/>
  <c r="AA57" i="16"/>
  <c r="AA75" i="16" s="1"/>
  <c r="AA11" i="16" s="1"/>
  <c r="Y57" i="16"/>
  <c r="Y75" i="16" s="1"/>
  <c r="Y11" i="16" s="1"/>
  <c r="W57" i="16"/>
  <c r="W75" i="16" s="1"/>
  <c r="W11" i="16" s="1"/>
  <c r="U57" i="16"/>
  <c r="U75" i="16" s="1"/>
  <c r="U11" i="16" s="1"/>
  <c r="S57" i="16"/>
  <c r="S75" i="16" s="1"/>
  <c r="S11" i="16" s="1"/>
  <c r="Q57" i="16"/>
  <c r="Q75" i="16" s="1"/>
  <c r="Q11" i="16" s="1"/>
  <c r="O57" i="16"/>
  <c r="O75" i="16" s="1"/>
  <c r="O11" i="16" s="1"/>
  <c r="M57" i="16"/>
  <c r="M75" i="16" s="1"/>
  <c r="M11" i="16" s="1"/>
  <c r="K57" i="16"/>
  <c r="K75" i="16" s="1"/>
  <c r="K11" i="16" s="1"/>
  <c r="I57" i="16"/>
  <c r="I75" i="16" s="1"/>
  <c r="I11" i="16" s="1"/>
  <c r="G57" i="16"/>
  <c r="G75" i="16" s="1"/>
  <c r="G11" i="16" s="1"/>
  <c r="E57" i="16"/>
  <c r="E75" i="16" s="1"/>
  <c r="E11" i="16" s="1"/>
  <c r="BO56" i="16"/>
  <c r="E157" i="19" s="1"/>
  <c r="BO55" i="16"/>
  <c r="E156" i="19" s="1"/>
  <c r="BO53" i="16"/>
  <c r="E154" i="19" s="1"/>
  <c r="BO52" i="16"/>
  <c r="E153" i="19" s="1"/>
  <c r="BO51" i="16"/>
  <c r="E152" i="19" s="1"/>
  <c r="AG50" i="16"/>
  <c r="M50" i="16"/>
  <c r="BK49" i="16"/>
  <c r="C49" i="17" s="1"/>
  <c r="BI49" i="16"/>
  <c r="BG49" i="16"/>
  <c r="BE49" i="16"/>
  <c r="BC49" i="16"/>
  <c r="BA49" i="16"/>
  <c r="AY49" i="16"/>
  <c r="AW49" i="16"/>
  <c r="AU49" i="16"/>
  <c r="AS49" i="16"/>
  <c r="AQ49" i="16"/>
  <c r="AO49" i="16"/>
  <c r="AM49" i="16"/>
  <c r="AK49" i="16"/>
  <c r="AI49" i="16"/>
  <c r="AG49" i="16"/>
  <c r="AE49" i="16"/>
  <c r="AC49" i="16"/>
  <c r="AA49" i="16"/>
  <c r="Y49" i="16"/>
  <c r="W49" i="16"/>
  <c r="U49" i="16"/>
  <c r="S49" i="16"/>
  <c r="Q49" i="16"/>
  <c r="O49" i="16"/>
  <c r="M49" i="16"/>
  <c r="K49" i="16"/>
  <c r="I49" i="16"/>
  <c r="G49" i="16"/>
  <c r="E49" i="16"/>
  <c r="BO48" i="16"/>
  <c r="E149" i="19" s="1"/>
  <c r="BO47" i="16"/>
  <c r="E148" i="19" s="1"/>
  <c r="BO46" i="16"/>
  <c r="E147" i="19" s="1"/>
  <c r="BO45" i="16"/>
  <c r="E146" i="19" s="1"/>
  <c r="BO44" i="16"/>
  <c r="E145" i="19" s="1"/>
  <c r="BO43" i="16"/>
  <c r="E144" i="19" s="1"/>
  <c r="BK42" i="16"/>
  <c r="BK50" i="16" s="1"/>
  <c r="C50" i="17" s="1"/>
  <c r="BI42" i="16"/>
  <c r="BI50" i="16" s="1"/>
  <c r="BG42" i="16"/>
  <c r="BG50" i="16" s="1"/>
  <c r="BE42" i="16"/>
  <c r="BE50" i="16" s="1"/>
  <c r="BC42" i="16"/>
  <c r="BC50" i="16" s="1"/>
  <c r="BA42" i="16"/>
  <c r="AY42" i="16"/>
  <c r="AW42" i="16"/>
  <c r="AW50" i="16" s="1"/>
  <c r="AU42" i="16"/>
  <c r="AU50" i="16" s="1"/>
  <c r="AS42" i="16"/>
  <c r="AS50" i="16" s="1"/>
  <c r="AQ42" i="16"/>
  <c r="AQ50" i="16" s="1"/>
  <c r="AO42" i="16"/>
  <c r="AO50" i="16" s="1"/>
  <c r="AM42" i="16"/>
  <c r="AM50" i="16" s="1"/>
  <c r="AK42" i="16"/>
  <c r="AK50" i="16" s="1"/>
  <c r="AI42" i="16"/>
  <c r="AI50" i="16" s="1"/>
  <c r="AG42" i="16"/>
  <c r="AE42" i="16"/>
  <c r="AE50" i="16" s="1"/>
  <c r="AC42" i="16"/>
  <c r="AC50" i="16" s="1"/>
  <c r="AC54" i="16" s="1"/>
  <c r="AA42" i="16"/>
  <c r="Y42" i="16"/>
  <c r="Y50" i="16" s="1"/>
  <c r="W42" i="16"/>
  <c r="W50" i="16" s="1"/>
  <c r="U42" i="16"/>
  <c r="U50" i="16" s="1"/>
  <c r="S42" i="16"/>
  <c r="S50" i="16" s="1"/>
  <c r="Q42" i="16"/>
  <c r="Q50" i="16" s="1"/>
  <c r="O42" i="16"/>
  <c r="O50" i="16" s="1"/>
  <c r="M42" i="16"/>
  <c r="K42" i="16"/>
  <c r="K50" i="16" s="1"/>
  <c r="I42" i="16"/>
  <c r="I50" i="16" s="1"/>
  <c r="G42" i="16"/>
  <c r="G50" i="16" s="1"/>
  <c r="G54" i="16" s="1"/>
  <c r="G58" i="16" s="1"/>
  <c r="G8" i="16" s="1"/>
  <c r="E42" i="16"/>
  <c r="BO41" i="16"/>
  <c r="E142" i="19" s="1"/>
  <c r="BO40" i="16"/>
  <c r="E141" i="19" s="1"/>
  <c r="BO39" i="16"/>
  <c r="E140" i="19" s="1"/>
  <c r="BO38" i="16"/>
  <c r="E139" i="19" s="1"/>
  <c r="BO37" i="16"/>
  <c r="E138" i="19" s="1"/>
  <c r="BO36" i="16"/>
  <c r="E137" i="19" s="1"/>
  <c r="BO35" i="16"/>
  <c r="E136" i="19" s="1"/>
  <c r="BO34" i="16"/>
  <c r="E135" i="19" s="1"/>
  <c r="BO33" i="16"/>
  <c r="E134" i="19" s="1"/>
  <c r="BO32" i="16"/>
  <c r="E133" i="19" s="1"/>
  <c r="BK31" i="16"/>
  <c r="BI31" i="16"/>
  <c r="BG31" i="16"/>
  <c r="BE31" i="16"/>
  <c r="BC31" i="16"/>
  <c r="BA31" i="16"/>
  <c r="AY31" i="16"/>
  <c r="AW31" i="16"/>
  <c r="AU31" i="16"/>
  <c r="AS31" i="16"/>
  <c r="AQ31" i="16"/>
  <c r="AO31" i="16"/>
  <c r="AM31" i="16"/>
  <c r="AK31" i="16"/>
  <c r="AI31" i="16"/>
  <c r="AG31" i="16"/>
  <c r="AE31" i="16"/>
  <c r="AC31" i="16"/>
  <c r="AA31" i="16"/>
  <c r="Y31" i="16"/>
  <c r="W31" i="16"/>
  <c r="U31" i="16"/>
  <c r="S31" i="16"/>
  <c r="Q31" i="16"/>
  <c r="O31" i="16"/>
  <c r="M31" i="16"/>
  <c r="K31" i="16"/>
  <c r="I31" i="16"/>
  <c r="G31" i="16"/>
  <c r="E31" i="16"/>
  <c r="BK30" i="16"/>
  <c r="BI30" i="16"/>
  <c r="BG30" i="16"/>
  <c r="BE30" i="16"/>
  <c r="BC30" i="16"/>
  <c r="BA30" i="16"/>
  <c r="AY30" i="16"/>
  <c r="AW30" i="16"/>
  <c r="AU30" i="16"/>
  <c r="AS30" i="16"/>
  <c r="AQ30" i="16"/>
  <c r="AO30" i="16"/>
  <c r="AM30" i="16"/>
  <c r="AK30" i="16"/>
  <c r="AI30" i="16"/>
  <c r="AG30" i="16"/>
  <c r="AE30" i="16"/>
  <c r="AC30" i="16"/>
  <c r="AA30" i="16"/>
  <c r="Y30" i="16"/>
  <c r="W30" i="16"/>
  <c r="U30" i="16"/>
  <c r="S30" i="16"/>
  <c r="Q30" i="16"/>
  <c r="O30" i="16"/>
  <c r="M30" i="16"/>
  <c r="K30" i="16"/>
  <c r="I30" i="16"/>
  <c r="G30" i="16"/>
  <c r="BO29" i="16"/>
  <c r="E130" i="19" s="1"/>
  <c r="BO28" i="16"/>
  <c r="E129" i="19" s="1"/>
  <c r="BO27" i="16"/>
  <c r="E128" i="19" s="1"/>
  <c r="BO26" i="16"/>
  <c r="E127" i="19" s="1"/>
  <c r="BO25" i="16"/>
  <c r="E126" i="19" s="1"/>
  <c r="BO24" i="16"/>
  <c r="E125" i="19" s="1"/>
  <c r="BO23" i="16"/>
  <c r="E124" i="19" s="1"/>
  <c r="BK22" i="16"/>
  <c r="C22" i="17" s="1"/>
  <c r="BI22" i="16"/>
  <c r="BG22" i="16"/>
  <c r="BG54" i="16" s="1"/>
  <c r="BG58" i="16" s="1"/>
  <c r="BG8" i="16" s="1"/>
  <c r="BE22" i="16"/>
  <c r="BC22" i="16"/>
  <c r="BA22" i="16"/>
  <c r="AY22" i="16"/>
  <c r="AW22" i="16"/>
  <c r="AU22" i="16"/>
  <c r="AS22" i="16"/>
  <c r="AQ22" i="16"/>
  <c r="AO22" i="16"/>
  <c r="AM22" i="16"/>
  <c r="AK22" i="16"/>
  <c r="AI22" i="16"/>
  <c r="AI54" i="16" s="1"/>
  <c r="AI58" i="16" s="1"/>
  <c r="AI8" i="16" s="1"/>
  <c r="AG22" i="16"/>
  <c r="AE22" i="16"/>
  <c r="AC22" i="16"/>
  <c r="AA22" i="16"/>
  <c r="Y22" i="16"/>
  <c r="W22" i="16"/>
  <c r="U22" i="16"/>
  <c r="S22" i="16"/>
  <c r="Q22" i="16"/>
  <c r="O22" i="16"/>
  <c r="M22" i="16"/>
  <c r="K22" i="16"/>
  <c r="K54" i="16" s="1"/>
  <c r="K58" i="16" s="1"/>
  <c r="K8" i="16" s="1"/>
  <c r="I22" i="16"/>
  <c r="G22" i="16"/>
  <c r="E22" i="16"/>
  <c r="BO21" i="16"/>
  <c r="E122" i="19" s="1"/>
  <c r="BO20" i="16"/>
  <c r="E121" i="19" s="1"/>
  <c r="BO19" i="16"/>
  <c r="E120" i="19" s="1"/>
  <c r="BO18" i="16"/>
  <c r="E119" i="19" s="1"/>
  <c r="BO17" i="16"/>
  <c r="E118" i="19" s="1"/>
  <c r="BM11" i="16"/>
  <c r="BG11" i="16"/>
  <c r="BC11" i="16"/>
  <c r="AL11" i="16"/>
  <c r="AJ11" i="16"/>
  <c r="AH11" i="16"/>
  <c r="AF11" i="16"/>
  <c r="AE11" i="16"/>
  <c r="AD11" i="16"/>
  <c r="AB11" i="16"/>
  <c r="Z11" i="16"/>
  <c r="X11" i="16"/>
  <c r="BQ10" i="16"/>
  <c r="BM7" i="16"/>
  <c r="BI7" i="16"/>
  <c r="AU7" i="16"/>
  <c r="AQ7" i="16"/>
  <c r="W7" i="16"/>
  <c r="S7" i="16"/>
  <c r="BP6" i="16"/>
  <c r="BL6" i="16"/>
  <c r="BJ6" i="16"/>
  <c r="BJ5" i="16" s="1"/>
  <c r="BH6" i="16"/>
  <c r="BH5" i="16" s="1"/>
  <c r="BF6" i="16"/>
  <c r="BF5" i="16" s="1"/>
  <c r="BD6" i="16"/>
  <c r="BB6" i="16"/>
  <c r="AZ6" i="16"/>
  <c r="AX6" i="16"/>
  <c r="AV6" i="16"/>
  <c r="AV5" i="16" s="1"/>
  <c r="AT6" i="16"/>
  <c r="AR6" i="16"/>
  <c r="AP6" i="16"/>
  <c r="AN6" i="16"/>
  <c r="AL6" i="16"/>
  <c r="AL5" i="16" s="1"/>
  <c r="AJ6" i="16"/>
  <c r="AJ5" i="16" s="1"/>
  <c r="AH6" i="16"/>
  <c r="AH5" i="16" s="1"/>
  <c r="AF6" i="16"/>
  <c r="AD6" i="16"/>
  <c r="AB6" i="16"/>
  <c r="Z6" i="16"/>
  <c r="X6" i="16"/>
  <c r="X5" i="16" s="1"/>
  <c r="V6" i="16"/>
  <c r="T6" i="16"/>
  <c r="R6" i="16"/>
  <c r="P6" i="16"/>
  <c r="N6" i="16"/>
  <c r="N5" i="16" s="1"/>
  <c r="L6" i="16"/>
  <c r="L5" i="16" s="1"/>
  <c r="J6" i="16"/>
  <c r="J5" i="16" s="1"/>
  <c r="H6" i="16"/>
  <c r="H5" i="16" s="1"/>
  <c r="F6" i="16"/>
  <c r="D6" i="16"/>
  <c r="BD5" i="16"/>
  <c r="BB5" i="16"/>
  <c r="AZ5" i="16"/>
  <c r="AF5" i="16"/>
  <c r="AD5" i="16"/>
  <c r="F5" i="16"/>
  <c r="A5" i="16"/>
  <c r="A1" i="16"/>
  <c r="BQ88" i="15"/>
  <c r="C88" i="15"/>
  <c r="BQ87" i="15"/>
  <c r="BP87" i="15" s="1"/>
  <c r="C87" i="15"/>
  <c r="D87" i="15" s="1"/>
  <c r="BQ86" i="15"/>
  <c r="BP86" i="15" s="1"/>
  <c r="C86" i="15"/>
  <c r="D86" i="15" s="1"/>
  <c r="BQ85" i="15"/>
  <c r="BP85" i="15" s="1"/>
  <c r="C85" i="15"/>
  <c r="D85" i="15" s="1"/>
  <c r="BQ84" i="15"/>
  <c r="BP84" i="15" s="1"/>
  <c r="C84" i="15"/>
  <c r="BQ83" i="15"/>
  <c r="BP83" i="15" s="1"/>
  <c r="C83" i="15"/>
  <c r="BQ82" i="15"/>
  <c r="C82" i="15"/>
  <c r="BQ81" i="15"/>
  <c r="C81" i="15"/>
  <c r="D81" i="15" s="1"/>
  <c r="E95" i="15" s="1"/>
  <c r="BQ80" i="15"/>
  <c r="C80" i="15"/>
  <c r="D80" i="15" s="1"/>
  <c r="BQ79" i="15"/>
  <c r="C79" i="15"/>
  <c r="D79" i="15" s="1"/>
  <c r="BQ78" i="15"/>
  <c r="BP78" i="15" s="1"/>
  <c r="C78" i="15"/>
  <c r="BQ77" i="15"/>
  <c r="C77" i="15"/>
  <c r="BQ74" i="15"/>
  <c r="C74" i="15"/>
  <c r="BQ66" i="15"/>
  <c r="BP66" i="15" s="1"/>
  <c r="C66" i="15"/>
  <c r="D66" i="15" s="1"/>
  <c r="BQ65" i="15"/>
  <c r="BP65" i="15" s="1"/>
  <c r="C65" i="15"/>
  <c r="D65" i="15" s="1"/>
  <c r="BQ64" i="15"/>
  <c r="C64" i="15"/>
  <c r="B64" i="15" s="1"/>
  <c r="BQ63" i="15"/>
  <c r="BP63" i="15" s="1"/>
  <c r="C63" i="15"/>
  <c r="BQ62" i="15"/>
  <c r="C62" i="15"/>
  <c r="BQ56" i="15"/>
  <c r="C56" i="15"/>
  <c r="BQ55" i="15"/>
  <c r="C55" i="15"/>
  <c r="BQ43" i="15"/>
  <c r="C43" i="15"/>
  <c r="BQ39" i="15"/>
  <c r="C39" i="15"/>
  <c r="BQ38" i="15"/>
  <c r="C38" i="15"/>
  <c r="BQ36" i="15"/>
  <c r="C36" i="15"/>
  <c r="BQ34" i="15"/>
  <c r="C34" i="15"/>
  <c r="BQ33" i="15"/>
  <c r="C33" i="15"/>
  <c r="BQ32" i="15"/>
  <c r="C32" i="15"/>
  <c r="BQ28" i="15"/>
  <c r="C28" i="15"/>
  <c r="E30" i="15" s="1"/>
  <c r="BQ27" i="15"/>
  <c r="C27" i="15"/>
  <c r="BQ26" i="15"/>
  <c r="C26" i="15"/>
  <c r="BQ25" i="15"/>
  <c r="C25" i="15"/>
  <c r="BQ21" i="15"/>
  <c r="C21" i="15"/>
  <c r="BQ17" i="15"/>
  <c r="C17" i="15"/>
  <c r="BQ15" i="15"/>
  <c r="C15" i="15"/>
  <c r="BQ14" i="15"/>
  <c r="C14" i="15"/>
  <c r="BQ13" i="15"/>
  <c r="C13" i="15"/>
  <c r="BO120" i="15"/>
  <c r="D215" i="19" s="1"/>
  <c r="BO119" i="15"/>
  <c r="D214" i="19" s="1"/>
  <c r="BO118" i="15"/>
  <c r="D213" i="19" s="1"/>
  <c r="BO117" i="15"/>
  <c r="D212" i="19" s="1"/>
  <c r="BO116" i="15"/>
  <c r="D211" i="19" s="1"/>
  <c r="BO115" i="15"/>
  <c r="D210" i="19" s="1"/>
  <c r="BO114" i="15"/>
  <c r="D209" i="19" s="1"/>
  <c r="BO113" i="15"/>
  <c r="D208" i="19" s="1"/>
  <c r="BO112" i="15"/>
  <c r="D207" i="19" s="1"/>
  <c r="BO111" i="15"/>
  <c r="D206" i="19" s="1"/>
  <c r="BO110" i="15"/>
  <c r="D205" i="19" s="1"/>
  <c r="BO109" i="15"/>
  <c r="D204" i="19" s="1"/>
  <c r="BO108" i="15"/>
  <c r="D203" i="19" s="1"/>
  <c r="BO107" i="15"/>
  <c r="D202" i="19" s="1"/>
  <c r="BO106" i="15"/>
  <c r="D201" i="19" s="1"/>
  <c r="BP104" i="15"/>
  <c r="BL104" i="15"/>
  <c r="BJ104" i="15"/>
  <c r="BH104" i="15"/>
  <c r="BF104" i="15"/>
  <c r="BD104" i="15"/>
  <c r="BB104" i="15"/>
  <c r="AZ104" i="15"/>
  <c r="AX104" i="15"/>
  <c r="AV104" i="15"/>
  <c r="AT104" i="15"/>
  <c r="AR104" i="15"/>
  <c r="AP104" i="15"/>
  <c r="AN104" i="15"/>
  <c r="AL104" i="15"/>
  <c r="AJ104" i="15"/>
  <c r="AH104" i="15"/>
  <c r="AF104" i="15"/>
  <c r="AD104" i="15"/>
  <c r="AB104" i="15"/>
  <c r="Z104" i="15"/>
  <c r="X104" i="15"/>
  <c r="V104" i="15"/>
  <c r="T104" i="15"/>
  <c r="R104" i="15"/>
  <c r="P104" i="15"/>
  <c r="N104" i="15"/>
  <c r="L104" i="15"/>
  <c r="J104" i="15"/>
  <c r="H104" i="15"/>
  <c r="F104" i="15"/>
  <c r="D104" i="15"/>
  <c r="BP103" i="15"/>
  <c r="BL103" i="15"/>
  <c r="BJ103" i="15"/>
  <c r="BH103" i="15"/>
  <c r="BF103" i="15"/>
  <c r="BD103" i="15"/>
  <c r="BB103" i="15"/>
  <c r="AZ103" i="15"/>
  <c r="AX103" i="15"/>
  <c r="AV103" i="15"/>
  <c r="AT103" i="15"/>
  <c r="AR103" i="15"/>
  <c r="AP103" i="15"/>
  <c r="AN103" i="15"/>
  <c r="AL103" i="15"/>
  <c r="AJ103" i="15"/>
  <c r="AH103" i="15"/>
  <c r="AF103" i="15"/>
  <c r="AD103" i="15"/>
  <c r="AB103" i="15"/>
  <c r="Z103" i="15"/>
  <c r="X103" i="15"/>
  <c r="V103" i="15"/>
  <c r="T103" i="15"/>
  <c r="R103" i="15"/>
  <c r="P103" i="15"/>
  <c r="N103" i="15"/>
  <c r="L103" i="15"/>
  <c r="J103" i="15"/>
  <c r="H103" i="15"/>
  <c r="F103" i="15"/>
  <c r="D103" i="15"/>
  <c r="BM102" i="15"/>
  <c r="AG101" i="15"/>
  <c r="S99" i="15"/>
  <c r="BE98" i="15"/>
  <c r="BM97" i="15"/>
  <c r="BE96" i="15"/>
  <c r="AG96" i="15"/>
  <c r="I96" i="15"/>
  <c r="AU91" i="15"/>
  <c r="BP89" i="15"/>
  <c r="BL89" i="15"/>
  <c r="BJ89" i="15"/>
  <c r="BH89" i="15"/>
  <c r="BF89" i="15"/>
  <c r="BD89" i="15"/>
  <c r="BB89" i="15"/>
  <c r="AZ89" i="15"/>
  <c r="AX89" i="15"/>
  <c r="AV89" i="15"/>
  <c r="AT89" i="15"/>
  <c r="AR89" i="15"/>
  <c r="AP89" i="15"/>
  <c r="AN89" i="15"/>
  <c r="AL89" i="15"/>
  <c r="AJ89" i="15"/>
  <c r="AH89" i="15"/>
  <c r="AF89" i="15"/>
  <c r="AD89" i="15"/>
  <c r="AB89" i="15"/>
  <c r="Z89" i="15"/>
  <c r="X89" i="15"/>
  <c r="V89" i="15"/>
  <c r="T89" i="15"/>
  <c r="R89" i="15"/>
  <c r="P89" i="15"/>
  <c r="N89" i="15"/>
  <c r="L89" i="15"/>
  <c r="J89" i="15"/>
  <c r="H89" i="15"/>
  <c r="F89" i="15"/>
  <c r="D89" i="15"/>
  <c r="BP88" i="15"/>
  <c r="BL88" i="15"/>
  <c r="BJ88" i="15"/>
  <c r="BK102" i="15" s="1"/>
  <c r="BH88" i="15"/>
  <c r="BI102" i="15" s="1"/>
  <c r="BF88" i="15"/>
  <c r="BG102" i="15" s="1"/>
  <c r="BD88" i="15"/>
  <c r="BE102" i="15" s="1"/>
  <c r="BB88" i="15"/>
  <c r="BC102" i="15" s="1"/>
  <c r="AZ88" i="15"/>
  <c r="BA102" i="15" s="1"/>
  <c r="AX88" i="15"/>
  <c r="AY102" i="15" s="1"/>
  <c r="AV88" i="15"/>
  <c r="AW102" i="15" s="1"/>
  <c r="AT88" i="15"/>
  <c r="AU102" i="15" s="1"/>
  <c r="AR88" i="15"/>
  <c r="AS102" i="15" s="1"/>
  <c r="AP88" i="15"/>
  <c r="AQ102" i="15" s="1"/>
  <c r="AN88" i="15"/>
  <c r="AO102" i="15" s="1"/>
  <c r="AL88" i="15"/>
  <c r="AM102" i="15" s="1"/>
  <c r="AJ88" i="15"/>
  <c r="AK102" i="15" s="1"/>
  <c r="AH88" i="15"/>
  <c r="AI102" i="15" s="1"/>
  <c r="AF88" i="15"/>
  <c r="AG102" i="15" s="1"/>
  <c r="AD88" i="15"/>
  <c r="AE102" i="15" s="1"/>
  <c r="AB88" i="15"/>
  <c r="AC102" i="15" s="1"/>
  <c r="Z88" i="15"/>
  <c r="AA102" i="15" s="1"/>
  <c r="X88" i="15"/>
  <c r="Y102" i="15" s="1"/>
  <c r="V88" i="15"/>
  <c r="W102" i="15" s="1"/>
  <c r="T88" i="15"/>
  <c r="U102" i="15" s="1"/>
  <c r="R88" i="15"/>
  <c r="S102" i="15" s="1"/>
  <c r="P88" i="15"/>
  <c r="Q102" i="15" s="1"/>
  <c r="N88" i="15"/>
  <c r="O102" i="15" s="1"/>
  <c r="L88" i="15"/>
  <c r="M102" i="15" s="1"/>
  <c r="J88" i="15"/>
  <c r="K102" i="15" s="1"/>
  <c r="H88" i="15"/>
  <c r="I102" i="15" s="1"/>
  <c r="F88" i="15"/>
  <c r="G102" i="15" s="1"/>
  <c r="D88" i="15"/>
  <c r="BL87" i="15"/>
  <c r="BM101" i="15" s="1"/>
  <c r="BJ87" i="15"/>
  <c r="BK101" i="15" s="1"/>
  <c r="BH87" i="15"/>
  <c r="BI101" i="15" s="1"/>
  <c r="BF87" i="15"/>
  <c r="BG101" i="15" s="1"/>
  <c r="BD87" i="15"/>
  <c r="BE101" i="15" s="1"/>
  <c r="BB87" i="15"/>
  <c r="BC101" i="15" s="1"/>
  <c r="AZ87" i="15"/>
  <c r="BA101" i="15" s="1"/>
  <c r="AX87" i="15"/>
  <c r="AY101" i="15" s="1"/>
  <c r="AV87" i="15"/>
  <c r="AW101" i="15" s="1"/>
  <c r="AT87" i="15"/>
  <c r="AU101" i="15" s="1"/>
  <c r="AR87" i="15"/>
  <c r="AS101" i="15" s="1"/>
  <c r="AP87" i="15"/>
  <c r="AQ101" i="15" s="1"/>
  <c r="AN87" i="15"/>
  <c r="AO101" i="15" s="1"/>
  <c r="AL87" i="15"/>
  <c r="AM101" i="15" s="1"/>
  <c r="AJ87" i="15"/>
  <c r="AK101" i="15" s="1"/>
  <c r="AH87" i="15"/>
  <c r="AI101" i="15" s="1"/>
  <c r="AF87" i="15"/>
  <c r="AD87" i="15"/>
  <c r="AE101" i="15" s="1"/>
  <c r="AB87" i="15"/>
  <c r="AC101" i="15" s="1"/>
  <c r="Z87" i="15"/>
  <c r="AA101" i="15" s="1"/>
  <c r="X87" i="15"/>
  <c r="Y101" i="15" s="1"/>
  <c r="V87" i="15"/>
  <c r="W101" i="15" s="1"/>
  <c r="T87" i="15"/>
  <c r="U101" i="15" s="1"/>
  <c r="R87" i="15"/>
  <c r="S101" i="15" s="1"/>
  <c r="P87" i="15"/>
  <c r="Q101" i="15" s="1"/>
  <c r="N87" i="15"/>
  <c r="O101" i="15" s="1"/>
  <c r="L87" i="15"/>
  <c r="M101" i="15" s="1"/>
  <c r="J87" i="15"/>
  <c r="K101" i="15" s="1"/>
  <c r="H87" i="15"/>
  <c r="I101" i="15" s="1"/>
  <c r="F87" i="15"/>
  <c r="G101" i="15" s="1"/>
  <c r="BL86" i="15"/>
  <c r="BM100" i="15" s="1"/>
  <c r="BJ86" i="15"/>
  <c r="BK100" i="15" s="1"/>
  <c r="BH86" i="15"/>
  <c r="BI100" i="15" s="1"/>
  <c r="BF86" i="15"/>
  <c r="BG100" i="15" s="1"/>
  <c r="BD86" i="15"/>
  <c r="BE100" i="15" s="1"/>
  <c r="BB86" i="15"/>
  <c r="BC100" i="15" s="1"/>
  <c r="AZ86" i="15"/>
  <c r="BA100" i="15" s="1"/>
  <c r="AX86" i="15"/>
  <c r="AY100" i="15" s="1"/>
  <c r="AV86" i="15"/>
  <c r="AW100" i="15" s="1"/>
  <c r="AT86" i="15"/>
  <c r="AU100" i="15" s="1"/>
  <c r="AR86" i="15"/>
  <c r="AS100" i="15" s="1"/>
  <c r="AP86" i="15"/>
  <c r="AQ100" i="15" s="1"/>
  <c r="AN86" i="15"/>
  <c r="AO100" i="15" s="1"/>
  <c r="AL86" i="15"/>
  <c r="AM100" i="15" s="1"/>
  <c r="AJ86" i="15"/>
  <c r="AK100" i="15" s="1"/>
  <c r="AH86" i="15"/>
  <c r="AI100" i="15" s="1"/>
  <c r="AF86" i="15"/>
  <c r="AG100" i="15" s="1"/>
  <c r="AD86" i="15"/>
  <c r="AE100" i="15" s="1"/>
  <c r="AB86" i="15"/>
  <c r="AC100" i="15" s="1"/>
  <c r="Z86" i="15"/>
  <c r="AA100" i="15" s="1"/>
  <c r="X86" i="15"/>
  <c r="Y100" i="15" s="1"/>
  <c r="V86" i="15"/>
  <c r="W100" i="15" s="1"/>
  <c r="T86" i="15"/>
  <c r="U100" i="15" s="1"/>
  <c r="R86" i="15"/>
  <c r="S100" i="15" s="1"/>
  <c r="P86" i="15"/>
  <c r="Q100" i="15" s="1"/>
  <c r="N86" i="15"/>
  <c r="O100" i="15" s="1"/>
  <c r="L86" i="15"/>
  <c r="M100" i="15" s="1"/>
  <c r="J86" i="15"/>
  <c r="K100" i="15" s="1"/>
  <c r="H86" i="15"/>
  <c r="I100" i="15" s="1"/>
  <c r="F86" i="15"/>
  <c r="G100" i="15" s="1"/>
  <c r="BL85" i="15"/>
  <c r="BM99" i="15" s="1"/>
  <c r="BJ85" i="15"/>
  <c r="BK99" i="15" s="1"/>
  <c r="BH85" i="15"/>
  <c r="BI99" i="15" s="1"/>
  <c r="BF85" i="15"/>
  <c r="BG99" i="15" s="1"/>
  <c r="BD85" i="15"/>
  <c r="BE99" i="15" s="1"/>
  <c r="BB85" i="15"/>
  <c r="BC99" i="15" s="1"/>
  <c r="AZ85" i="15"/>
  <c r="BA99" i="15" s="1"/>
  <c r="AX85" i="15"/>
  <c r="AY99" i="15" s="1"/>
  <c r="AV85" i="15"/>
  <c r="AW99" i="15" s="1"/>
  <c r="AT85" i="15"/>
  <c r="AU99" i="15" s="1"/>
  <c r="AR85" i="15"/>
  <c r="AS99" i="15" s="1"/>
  <c r="AP85" i="15"/>
  <c r="AQ99" i="15" s="1"/>
  <c r="AN85" i="15"/>
  <c r="AO99" i="15" s="1"/>
  <c r="AL85" i="15"/>
  <c r="AM99" i="15" s="1"/>
  <c r="AJ85" i="15"/>
  <c r="AK99" i="15" s="1"/>
  <c r="AH85" i="15"/>
  <c r="AI99" i="15" s="1"/>
  <c r="AF85" i="15"/>
  <c r="AG99" i="15" s="1"/>
  <c r="AD85" i="15"/>
  <c r="AE99" i="15" s="1"/>
  <c r="AB85" i="15"/>
  <c r="AC99" i="15" s="1"/>
  <c r="Z85" i="15"/>
  <c r="AA99" i="15" s="1"/>
  <c r="X85" i="15"/>
  <c r="Y99" i="15" s="1"/>
  <c r="V85" i="15"/>
  <c r="W99" i="15" s="1"/>
  <c r="T85" i="15"/>
  <c r="U99" i="15" s="1"/>
  <c r="R85" i="15"/>
  <c r="P85" i="15"/>
  <c r="Q99" i="15" s="1"/>
  <c r="N85" i="15"/>
  <c r="O99" i="15" s="1"/>
  <c r="L85" i="15"/>
  <c r="M99" i="15" s="1"/>
  <c r="J85" i="15"/>
  <c r="K99" i="15" s="1"/>
  <c r="H85" i="15"/>
  <c r="I99" i="15" s="1"/>
  <c r="F85" i="15"/>
  <c r="G99" i="15" s="1"/>
  <c r="BL84" i="15"/>
  <c r="BM98" i="15" s="1"/>
  <c r="BJ84" i="15"/>
  <c r="BK98" i="15" s="1"/>
  <c r="BH84" i="15"/>
  <c r="BI98" i="15" s="1"/>
  <c r="BF84" i="15"/>
  <c r="BG98" i="15" s="1"/>
  <c r="BD84" i="15"/>
  <c r="BB84" i="15"/>
  <c r="BC98" i="15" s="1"/>
  <c r="AZ84" i="15"/>
  <c r="BA98" i="15" s="1"/>
  <c r="AX84" i="15"/>
  <c r="AY98" i="15" s="1"/>
  <c r="AV84" i="15"/>
  <c r="AW98" i="15" s="1"/>
  <c r="AT84" i="15"/>
  <c r="AU98" i="15" s="1"/>
  <c r="AR84" i="15"/>
  <c r="AS98" i="15" s="1"/>
  <c r="AP84" i="15"/>
  <c r="AQ98" i="15" s="1"/>
  <c r="AN84" i="15"/>
  <c r="AO98" i="15" s="1"/>
  <c r="AL84" i="15"/>
  <c r="AM98" i="15" s="1"/>
  <c r="AJ84" i="15"/>
  <c r="AK98" i="15" s="1"/>
  <c r="AH84" i="15"/>
  <c r="AI98" i="15" s="1"/>
  <c r="AF84" i="15"/>
  <c r="AG98" i="15" s="1"/>
  <c r="AD84" i="15"/>
  <c r="AE98" i="15" s="1"/>
  <c r="AB84" i="15"/>
  <c r="AC98" i="15" s="1"/>
  <c r="Z84" i="15"/>
  <c r="AA98" i="15" s="1"/>
  <c r="X84" i="15"/>
  <c r="Y98" i="15" s="1"/>
  <c r="V84" i="15"/>
  <c r="W98" i="15" s="1"/>
  <c r="T84" i="15"/>
  <c r="U98" i="15" s="1"/>
  <c r="R84" i="15"/>
  <c r="S98" i="15" s="1"/>
  <c r="P84" i="15"/>
  <c r="Q98" i="15" s="1"/>
  <c r="N84" i="15"/>
  <c r="O98" i="15" s="1"/>
  <c r="L84" i="15"/>
  <c r="M98" i="15" s="1"/>
  <c r="J84" i="15"/>
  <c r="K98" i="15" s="1"/>
  <c r="H84" i="15"/>
  <c r="I98" i="15" s="1"/>
  <c r="F84" i="15"/>
  <c r="G98" i="15" s="1"/>
  <c r="BL83" i="15"/>
  <c r="BJ83" i="15"/>
  <c r="BK97" i="15" s="1"/>
  <c r="BH83" i="15"/>
  <c r="BI97" i="15" s="1"/>
  <c r="BF83" i="15"/>
  <c r="BG97" i="15" s="1"/>
  <c r="BD83" i="15"/>
  <c r="BE97" i="15" s="1"/>
  <c r="BB83" i="15"/>
  <c r="BC97" i="15" s="1"/>
  <c r="AZ83" i="15"/>
  <c r="BA97" i="15" s="1"/>
  <c r="AX83" i="15"/>
  <c r="AY97" i="15" s="1"/>
  <c r="AV83" i="15"/>
  <c r="AW97" i="15" s="1"/>
  <c r="AT83" i="15"/>
  <c r="AU97" i="15" s="1"/>
  <c r="AR83" i="15"/>
  <c r="AS97" i="15" s="1"/>
  <c r="AP83" i="15"/>
  <c r="AQ97" i="15" s="1"/>
  <c r="AN83" i="15"/>
  <c r="AO97" i="15" s="1"/>
  <c r="AL83" i="15"/>
  <c r="AM97" i="15" s="1"/>
  <c r="AJ83" i="15"/>
  <c r="AK97" i="15" s="1"/>
  <c r="AH83" i="15"/>
  <c r="AI97" i="15" s="1"/>
  <c r="AF83" i="15"/>
  <c r="AG97" i="15" s="1"/>
  <c r="AD83" i="15"/>
  <c r="AE97" i="15" s="1"/>
  <c r="AB83" i="15"/>
  <c r="AC97" i="15" s="1"/>
  <c r="Z83" i="15"/>
  <c r="AA97" i="15" s="1"/>
  <c r="X83" i="15"/>
  <c r="Y97" i="15" s="1"/>
  <c r="V83" i="15"/>
  <c r="W97" i="15" s="1"/>
  <c r="T83" i="15"/>
  <c r="U97" i="15" s="1"/>
  <c r="R83" i="15"/>
  <c r="S97" i="15" s="1"/>
  <c r="P83" i="15"/>
  <c r="Q97" i="15" s="1"/>
  <c r="N83" i="15"/>
  <c r="O97" i="15" s="1"/>
  <c r="L83" i="15"/>
  <c r="M97" i="15" s="1"/>
  <c r="J83" i="15"/>
  <c r="K97" i="15" s="1"/>
  <c r="H83" i="15"/>
  <c r="I97" i="15" s="1"/>
  <c r="F83" i="15"/>
  <c r="G97" i="15" s="1"/>
  <c r="D83" i="15"/>
  <c r="E97" i="15" s="1"/>
  <c r="BP82" i="15"/>
  <c r="BL82" i="15"/>
  <c r="BM96" i="15" s="1"/>
  <c r="BJ82" i="15"/>
  <c r="BK96" i="15" s="1"/>
  <c r="BH82" i="15"/>
  <c r="BI96" i="15" s="1"/>
  <c r="BF82" i="15"/>
  <c r="BG96" i="15" s="1"/>
  <c r="BD82" i="15"/>
  <c r="BB82" i="15"/>
  <c r="BC96" i="15" s="1"/>
  <c r="AZ82" i="15"/>
  <c r="BA96" i="15" s="1"/>
  <c r="AX82" i="15"/>
  <c r="AY96" i="15" s="1"/>
  <c r="AV82" i="15"/>
  <c r="AW96" i="15" s="1"/>
  <c r="AT82" i="15"/>
  <c r="AU96" i="15" s="1"/>
  <c r="AR82" i="15"/>
  <c r="AS96" i="15" s="1"/>
  <c r="AP82" i="15"/>
  <c r="AQ96" i="15" s="1"/>
  <c r="AN82" i="15"/>
  <c r="AO96" i="15" s="1"/>
  <c r="AL82" i="15"/>
  <c r="AM96" i="15" s="1"/>
  <c r="AJ82" i="15"/>
  <c r="AK96" i="15" s="1"/>
  <c r="AH82" i="15"/>
  <c r="AI96" i="15" s="1"/>
  <c r="AF82" i="15"/>
  <c r="AD82" i="15"/>
  <c r="AE96" i="15" s="1"/>
  <c r="AB82" i="15"/>
  <c r="AC96" i="15" s="1"/>
  <c r="Z82" i="15"/>
  <c r="AA96" i="15" s="1"/>
  <c r="X82" i="15"/>
  <c r="Y96" i="15" s="1"/>
  <c r="V82" i="15"/>
  <c r="W96" i="15" s="1"/>
  <c r="T82" i="15"/>
  <c r="U96" i="15" s="1"/>
  <c r="R82" i="15"/>
  <c r="S96" i="15" s="1"/>
  <c r="P82" i="15"/>
  <c r="Q96" i="15" s="1"/>
  <c r="N82" i="15"/>
  <c r="O96" i="15" s="1"/>
  <c r="L82" i="15"/>
  <c r="M96" i="15" s="1"/>
  <c r="J82" i="15"/>
  <c r="K96" i="15" s="1"/>
  <c r="H82" i="15"/>
  <c r="F82" i="15"/>
  <c r="G96" i="15" s="1"/>
  <c r="D82" i="15"/>
  <c r="E96" i="15" s="1"/>
  <c r="BL81" i="15"/>
  <c r="BM95" i="15" s="1"/>
  <c r="BJ81" i="15"/>
  <c r="BK95" i="15" s="1"/>
  <c r="BH81" i="15"/>
  <c r="BI95" i="15" s="1"/>
  <c r="BF81" i="15"/>
  <c r="BG95" i="15" s="1"/>
  <c r="BD81" i="15"/>
  <c r="BE95" i="15" s="1"/>
  <c r="BB81" i="15"/>
  <c r="BC95" i="15" s="1"/>
  <c r="AZ81" i="15"/>
  <c r="BA95" i="15" s="1"/>
  <c r="AX81" i="15"/>
  <c r="AY95" i="15" s="1"/>
  <c r="AV81" i="15"/>
  <c r="AW95" i="15" s="1"/>
  <c r="AT81" i="15"/>
  <c r="AU95" i="15" s="1"/>
  <c r="AR81" i="15"/>
  <c r="AS95" i="15" s="1"/>
  <c r="AP81" i="15"/>
  <c r="AQ95" i="15" s="1"/>
  <c r="AN81" i="15"/>
  <c r="AO95" i="15" s="1"/>
  <c r="AL81" i="15"/>
  <c r="AM95" i="15" s="1"/>
  <c r="AJ81" i="15"/>
  <c r="AK95" i="15" s="1"/>
  <c r="AH81" i="15"/>
  <c r="AI95" i="15" s="1"/>
  <c r="AF81" i="15"/>
  <c r="AG95" i="15" s="1"/>
  <c r="AD81" i="15"/>
  <c r="AE95" i="15" s="1"/>
  <c r="AB81" i="15"/>
  <c r="AC95" i="15" s="1"/>
  <c r="Z81" i="15"/>
  <c r="AA95" i="15" s="1"/>
  <c r="X81" i="15"/>
  <c r="Y95" i="15" s="1"/>
  <c r="V81" i="15"/>
  <c r="W95" i="15" s="1"/>
  <c r="T81" i="15"/>
  <c r="U95" i="15" s="1"/>
  <c r="R81" i="15"/>
  <c r="S95" i="15" s="1"/>
  <c r="P81" i="15"/>
  <c r="Q95" i="15" s="1"/>
  <c r="N81" i="15"/>
  <c r="O95" i="15" s="1"/>
  <c r="L81" i="15"/>
  <c r="M95" i="15" s="1"/>
  <c r="J81" i="15"/>
  <c r="H81" i="15"/>
  <c r="I95" i="15" s="1"/>
  <c r="F81" i="15"/>
  <c r="G95" i="15" s="1"/>
  <c r="BQ10" i="15"/>
  <c r="BL80" i="15"/>
  <c r="BM94" i="15" s="1"/>
  <c r="BJ80" i="15"/>
  <c r="BK94" i="15" s="1"/>
  <c r="BH80" i="15"/>
  <c r="BI94" i="15" s="1"/>
  <c r="BF80" i="15"/>
  <c r="BG94" i="15" s="1"/>
  <c r="BD80" i="15"/>
  <c r="BE94" i="15" s="1"/>
  <c r="BB80" i="15"/>
  <c r="BC94" i="15" s="1"/>
  <c r="AZ80" i="15"/>
  <c r="BA94" i="15" s="1"/>
  <c r="AX80" i="15"/>
  <c r="AY94" i="15" s="1"/>
  <c r="AV80" i="15"/>
  <c r="AW94" i="15" s="1"/>
  <c r="AT80" i="15"/>
  <c r="AU94" i="15" s="1"/>
  <c r="AR80" i="15"/>
  <c r="AS94" i="15" s="1"/>
  <c r="AP80" i="15"/>
  <c r="AQ94" i="15" s="1"/>
  <c r="AN80" i="15"/>
  <c r="AO94" i="15" s="1"/>
  <c r="AL80" i="15"/>
  <c r="AM94" i="15" s="1"/>
  <c r="AJ80" i="15"/>
  <c r="AK94" i="15" s="1"/>
  <c r="AH80" i="15"/>
  <c r="AI94" i="15" s="1"/>
  <c r="AF80" i="15"/>
  <c r="AG94" i="15" s="1"/>
  <c r="AD80" i="15"/>
  <c r="AE94" i="15" s="1"/>
  <c r="AB80" i="15"/>
  <c r="AC94" i="15" s="1"/>
  <c r="Z80" i="15"/>
  <c r="AA94" i="15" s="1"/>
  <c r="X80" i="15"/>
  <c r="Y94" i="15" s="1"/>
  <c r="V80" i="15"/>
  <c r="W94" i="15" s="1"/>
  <c r="T80" i="15"/>
  <c r="U94" i="15" s="1"/>
  <c r="R80" i="15"/>
  <c r="S94" i="15" s="1"/>
  <c r="P80" i="15"/>
  <c r="Q94" i="15" s="1"/>
  <c r="N80" i="15"/>
  <c r="O94" i="15" s="1"/>
  <c r="L80" i="15"/>
  <c r="M94" i="15" s="1"/>
  <c r="J80" i="15"/>
  <c r="K94" i="15" s="1"/>
  <c r="H80" i="15"/>
  <c r="I94" i="15" s="1"/>
  <c r="F80" i="15"/>
  <c r="G94" i="15" s="1"/>
  <c r="BP79" i="15"/>
  <c r="BL79" i="15"/>
  <c r="BM93" i="15" s="1"/>
  <c r="BJ79" i="15"/>
  <c r="BK93" i="15" s="1"/>
  <c r="BH79" i="15"/>
  <c r="BI93" i="15" s="1"/>
  <c r="BF79" i="15"/>
  <c r="BG93" i="15" s="1"/>
  <c r="BD79" i="15"/>
  <c r="BE93" i="15" s="1"/>
  <c r="BB79" i="15"/>
  <c r="BC93" i="15" s="1"/>
  <c r="AZ79" i="15"/>
  <c r="BA93" i="15" s="1"/>
  <c r="AX79" i="15"/>
  <c r="AY93" i="15" s="1"/>
  <c r="AV79" i="15"/>
  <c r="AW93" i="15" s="1"/>
  <c r="AT79" i="15"/>
  <c r="AU93" i="15" s="1"/>
  <c r="AR79" i="15"/>
  <c r="AS93" i="15" s="1"/>
  <c r="AP79" i="15"/>
  <c r="AQ93" i="15" s="1"/>
  <c r="AN79" i="15"/>
  <c r="AL79" i="15"/>
  <c r="AM93" i="15" s="1"/>
  <c r="AJ79" i="15"/>
  <c r="AK93" i="15" s="1"/>
  <c r="AH79" i="15"/>
  <c r="AI93" i="15" s="1"/>
  <c r="AF79" i="15"/>
  <c r="AG93" i="15" s="1"/>
  <c r="AD79" i="15"/>
  <c r="AE93" i="15" s="1"/>
  <c r="AB79" i="15"/>
  <c r="AC93" i="15" s="1"/>
  <c r="Z79" i="15"/>
  <c r="AA93" i="15" s="1"/>
  <c r="X79" i="15"/>
  <c r="Y93" i="15" s="1"/>
  <c r="V79" i="15"/>
  <c r="W93" i="15" s="1"/>
  <c r="T79" i="15"/>
  <c r="U93" i="15" s="1"/>
  <c r="R79" i="15"/>
  <c r="S93" i="15" s="1"/>
  <c r="P79" i="15"/>
  <c r="Q93" i="15" s="1"/>
  <c r="N79" i="15"/>
  <c r="O93" i="15" s="1"/>
  <c r="L79" i="15"/>
  <c r="M93" i="15" s="1"/>
  <c r="J79" i="15"/>
  <c r="K93" i="15" s="1"/>
  <c r="H79" i="15"/>
  <c r="I93" i="15" s="1"/>
  <c r="F79" i="15"/>
  <c r="G93" i="15" s="1"/>
  <c r="BL78" i="15"/>
  <c r="BM92" i="15" s="1"/>
  <c r="BJ78" i="15"/>
  <c r="BK92" i="15" s="1"/>
  <c r="BH78" i="15"/>
  <c r="BI92" i="15" s="1"/>
  <c r="BF78" i="15"/>
  <c r="BG92" i="15" s="1"/>
  <c r="BD78" i="15"/>
  <c r="BE92" i="15" s="1"/>
  <c r="BB78" i="15"/>
  <c r="BC92" i="15" s="1"/>
  <c r="AZ78" i="15"/>
  <c r="BA92" i="15" s="1"/>
  <c r="AX78" i="15"/>
  <c r="AY92" i="15" s="1"/>
  <c r="AV78" i="15"/>
  <c r="AW92" i="15" s="1"/>
  <c r="AT78" i="15"/>
  <c r="AU92" i="15" s="1"/>
  <c r="AR78" i="15"/>
  <c r="AS92" i="15" s="1"/>
  <c r="AP78" i="15"/>
  <c r="AQ92" i="15" s="1"/>
  <c r="AN78" i="15"/>
  <c r="AO92" i="15" s="1"/>
  <c r="AL78" i="15"/>
  <c r="AM92" i="15" s="1"/>
  <c r="AJ78" i="15"/>
  <c r="AK92" i="15" s="1"/>
  <c r="AH78" i="15"/>
  <c r="AI92" i="15" s="1"/>
  <c r="AF78" i="15"/>
  <c r="AG92" i="15" s="1"/>
  <c r="AD78" i="15"/>
  <c r="AE92" i="15" s="1"/>
  <c r="AB78" i="15"/>
  <c r="AC92" i="15" s="1"/>
  <c r="Z78" i="15"/>
  <c r="AA92" i="15" s="1"/>
  <c r="X78" i="15"/>
  <c r="Y92" i="15" s="1"/>
  <c r="V78" i="15"/>
  <c r="W92" i="15" s="1"/>
  <c r="T78" i="15"/>
  <c r="U92" i="15" s="1"/>
  <c r="R78" i="15"/>
  <c r="S92" i="15" s="1"/>
  <c r="P78" i="15"/>
  <c r="Q92" i="15" s="1"/>
  <c r="N78" i="15"/>
  <c r="O92" i="15" s="1"/>
  <c r="L78" i="15"/>
  <c r="M92" i="15" s="1"/>
  <c r="J78" i="15"/>
  <c r="K92" i="15" s="1"/>
  <c r="H78" i="15"/>
  <c r="I92" i="15" s="1"/>
  <c r="F78" i="15"/>
  <c r="G92" i="15" s="1"/>
  <c r="BP77" i="15"/>
  <c r="BL77" i="15"/>
  <c r="BM91" i="15" s="1"/>
  <c r="BJ77" i="15"/>
  <c r="BK91" i="15" s="1"/>
  <c r="BH77" i="15"/>
  <c r="BI91" i="15" s="1"/>
  <c r="BF77" i="15"/>
  <c r="BG91" i="15" s="1"/>
  <c r="BD77" i="15"/>
  <c r="BE91" i="15" s="1"/>
  <c r="BB77" i="15"/>
  <c r="BC91" i="15" s="1"/>
  <c r="AZ77" i="15"/>
  <c r="BA91" i="15" s="1"/>
  <c r="AX77" i="15"/>
  <c r="AY91" i="15" s="1"/>
  <c r="AV77" i="15"/>
  <c r="AW91" i="15" s="1"/>
  <c r="AT77" i="15"/>
  <c r="AR77" i="15"/>
  <c r="AS91" i="15" s="1"/>
  <c r="AP77" i="15"/>
  <c r="AQ91" i="15" s="1"/>
  <c r="AN77" i="15"/>
  <c r="AO91" i="15" s="1"/>
  <c r="AL77" i="15"/>
  <c r="AM91" i="15" s="1"/>
  <c r="AJ77" i="15"/>
  <c r="AK91" i="15" s="1"/>
  <c r="AH77" i="15"/>
  <c r="AI91" i="15" s="1"/>
  <c r="AF77" i="15"/>
  <c r="AG91" i="15" s="1"/>
  <c r="AD77" i="15"/>
  <c r="AE91" i="15" s="1"/>
  <c r="AB77" i="15"/>
  <c r="AC91" i="15" s="1"/>
  <c r="Z77" i="15"/>
  <c r="AA91" i="15" s="1"/>
  <c r="X77" i="15"/>
  <c r="Y91" i="15" s="1"/>
  <c r="V77" i="15"/>
  <c r="W91" i="15" s="1"/>
  <c r="T77" i="15"/>
  <c r="U91" i="15" s="1"/>
  <c r="R77" i="15"/>
  <c r="S91" i="15" s="1"/>
  <c r="P77" i="15"/>
  <c r="Q91" i="15" s="1"/>
  <c r="N77" i="15"/>
  <c r="O91" i="15" s="1"/>
  <c r="L77" i="15"/>
  <c r="M91" i="15" s="1"/>
  <c r="J77" i="15"/>
  <c r="K91" i="15" s="1"/>
  <c r="H77" i="15"/>
  <c r="I91" i="15" s="1"/>
  <c r="F77" i="15"/>
  <c r="G91" i="15" s="1"/>
  <c r="D77" i="15"/>
  <c r="BO74" i="15"/>
  <c r="D174" i="19" s="1"/>
  <c r="BP72" i="15"/>
  <c r="BM72" i="15"/>
  <c r="BL72" i="15"/>
  <c r="BK72" i="15"/>
  <c r="BJ72" i="15"/>
  <c r="BI72" i="15"/>
  <c r="BH72" i="15"/>
  <c r="BG72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D72" i="15"/>
  <c r="BP71" i="15"/>
  <c r="BM71" i="15"/>
  <c r="BL71" i="15"/>
  <c r="BK71" i="15"/>
  <c r="BJ71" i="15"/>
  <c r="BI71" i="15"/>
  <c r="BH71" i="15"/>
  <c r="BG71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D71" i="15"/>
  <c r="BP70" i="15"/>
  <c r="BM70" i="15"/>
  <c r="BL70" i="15"/>
  <c r="BK70" i="15"/>
  <c r="BJ70" i="15"/>
  <c r="BI70" i="15"/>
  <c r="BH70" i="15"/>
  <c r="BG70" i="15"/>
  <c r="BF70" i="15"/>
  <c r="BE70" i="15"/>
  <c r="BD70" i="15"/>
  <c r="BC70" i="15"/>
  <c r="BB70" i="15"/>
  <c r="BA70" i="15"/>
  <c r="AZ70" i="15"/>
  <c r="AY70" i="15"/>
  <c r="AX70" i="15"/>
  <c r="AW70" i="15"/>
  <c r="AV70" i="15"/>
  <c r="AU70" i="15"/>
  <c r="AT70" i="15"/>
  <c r="AS70" i="15"/>
  <c r="AR70" i="15"/>
  <c r="AQ70" i="15"/>
  <c r="AP70" i="15"/>
  <c r="AO70" i="15"/>
  <c r="AN70" i="15"/>
  <c r="AM70" i="15"/>
  <c r="AL70" i="15"/>
  <c r="AK70" i="15"/>
  <c r="AJ70" i="15"/>
  <c r="AI70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D70" i="15"/>
  <c r="BP69" i="15"/>
  <c r="BM69" i="15"/>
  <c r="BL69" i="15"/>
  <c r="BK69" i="15"/>
  <c r="BJ69" i="15"/>
  <c r="BI69" i="15"/>
  <c r="BH69" i="15"/>
  <c r="BG69" i="15"/>
  <c r="BF69" i="15"/>
  <c r="BE69" i="15"/>
  <c r="BD69" i="15"/>
  <c r="BC69" i="15"/>
  <c r="BB69" i="15"/>
  <c r="BA69" i="15"/>
  <c r="AZ69" i="15"/>
  <c r="AY69" i="15"/>
  <c r="AX69" i="15"/>
  <c r="AW69" i="15"/>
  <c r="AV69" i="15"/>
  <c r="AU69" i="15"/>
  <c r="AT69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F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D69" i="15"/>
  <c r="BP68" i="15"/>
  <c r="BM68" i="15"/>
  <c r="BL68" i="15"/>
  <c r="BK68" i="15"/>
  <c r="BJ68" i="15"/>
  <c r="BI68" i="15"/>
  <c r="BH68" i="15"/>
  <c r="BG68" i="15"/>
  <c r="BF68" i="15"/>
  <c r="BE68" i="15"/>
  <c r="BD68" i="15"/>
  <c r="BC68" i="15"/>
  <c r="BB68" i="15"/>
  <c r="BA68" i="15"/>
  <c r="AZ68" i="15"/>
  <c r="AY68" i="15"/>
  <c r="AX68" i="15"/>
  <c r="AW68" i="15"/>
  <c r="AV68" i="15"/>
  <c r="AU68" i="15"/>
  <c r="AT68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D68" i="15"/>
  <c r="BL66" i="15"/>
  <c r="BJ66" i="15"/>
  <c r="BH66" i="15"/>
  <c r="BF66" i="15"/>
  <c r="BD66" i="15"/>
  <c r="BB66" i="15"/>
  <c r="AZ66" i="15"/>
  <c r="AX66" i="15"/>
  <c r="AV66" i="15"/>
  <c r="AT66" i="15"/>
  <c r="AR66" i="15"/>
  <c r="AP66" i="15"/>
  <c r="AN66" i="15"/>
  <c r="AL66" i="15"/>
  <c r="AJ66" i="15"/>
  <c r="AH66" i="15"/>
  <c r="AF66" i="15"/>
  <c r="AD66" i="15"/>
  <c r="AB66" i="15"/>
  <c r="Z66" i="15"/>
  <c r="X66" i="15"/>
  <c r="V66" i="15"/>
  <c r="T66" i="15"/>
  <c r="R66" i="15"/>
  <c r="P66" i="15"/>
  <c r="N66" i="15"/>
  <c r="L66" i="15"/>
  <c r="J66" i="15"/>
  <c r="H66" i="15"/>
  <c r="F66" i="15"/>
  <c r="BL65" i="15"/>
  <c r="BJ65" i="15"/>
  <c r="BH65" i="15"/>
  <c r="BF65" i="15"/>
  <c r="BD65" i="15"/>
  <c r="BB65" i="15"/>
  <c r="AZ65" i="15"/>
  <c r="AX65" i="15"/>
  <c r="AV65" i="15"/>
  <c r="AT65" i="15"/>
  <c r="AR65" i="15"/>
  <c r="AP65" i="15"/>
  <c r="AN65" i="15"/>
  <c r="AL65" i="15"/>
  <c r="AJ65" i="15"/>
  <c r="AH65" i="15"/>
  <c r="AF65" i="15"/>
  <c r="AD65" i="15"/>
  <c r="AB65" i="15"/>
  <c r="Z65" i="15"/>
  <c r="X65" i="15"/>
  <c r="V65" i="15"/>
  <c r="T65" i="15"/>
  <c r="R65" i="15"/>
  <c r="P65" i="15"/>
  <c r="N65" i="15"/>
  <c r="L65" i="15"/>
  <c r="J65" i="15"/>
  <c r="H65" i="15"/>
  <c r="F65" i="15"/>
  <c r="BP64" i="15"/>
  <c r="BL64" i="15"/>
  <c r="BJ64" i="15"/>
  <c r="BH64" i="15"/>
  <c r="BF64" i="15"/>
  <c r="BD64" i="15"/>
  <c r="BB64" i="15"/>
  <c r="AZ64" i="15"/>
  <c r="AX64" i="15"/>
  <c r="AV64" i="15"/>
  <c r="AT64" i="15"/>
  <c r="AR64" i="15"/>
  <c r="AP64" i="15"/>
  <c r="AN64" i="15"/>
  <c r="AL64" i="15"/>
  <c r="AJ64" i="15"/>
  <c r="AH64" i="15"/>
  <c r="AF64" i="15"/>
  <c r="AD64" i="15"/>
  <c r="AB64" i="15"/>
  <c r="Z64" i="15"/>
  <c r="X64" i="15"/>
  <c r="V64" i="15"/>
  <c r="T64" i="15"/>
  <c r="R64" i="15"/>
  <c r="P64" i="15"/>
  <c r="N64" i="15"/>
  <c r="L64" i="15"/>
  <c r="J64" i="15"/>
  <c r="H64" i="15"/>
  <c r="F64" i="15"/>
  <c r="D64" i="15"/>
  <c r="BL63" i="15"/>
  <c r="BJ63" i="15"/>
  <c r="BH63" i="15"/>
  <c r="BF63" i="15"/>
  <c r="BD63" i="15"/>
  <c r="BB63" i="15"/>
  <c r="AZ63" i="15"/>
  <c r="AX63" i="15"/>
  <c r="AV63" i="15"/>
  <c r="AT63" i="15"/>
  <c r="AR63" i="15"/>
  <c r="AP63" i="15"/>
  <c r="AN63" i="15"/>
  <c r="AL63" i="15"/>
  <c r="AJ63" i="15"/>
  <c r="AH63" i="15"/>
  <c r="AF63" i="15"/>
  <c r="AD63" i="15"/>
  <c r="AB63" i="15"/>
  <c r="Z63" i="15"/>
  <c r="X63" i="15"/>
  <c r="V63" i="15"/>
  <c r="T63" i="15"/>
  <c r="R63" i="15"/>
  <c r="P63" i="15"/>
  <c r="N63" i="15"/>
  <c r="L63" i="15"/>
  <c r="J63" i="15"/>
  <c r="H63" i="15"/>
  <c r="F63" i="15"/>
  <c r="D63" i="15"/>
  <c r="B63" i="15"/>
  <c r="BP62" i="15"/>
  <c r="BP67" i="15" s="1"/>
  <c r="BQ9" i="15" s="1"/>
  <c r="BL62" i="15"/>
  <c r="BJ62" i="15"/>
  <c r="BH62" i="15"/>
  <c r="BF62" i="15"/>
  <c r="BD62" i="15"/>
  <c r="BB62" i="15"/>
  <c r="AZ62" i="15"/>
  <c r="AX62" i="15"/>
  <c r="AV62" i="15"/>
  <c r="AT62" i="15"/>
  <c r="AR62" i="15"/>
  <c r="AP62" i="15"/>
  <c r="AN62" i="15"/>
  <c r="AL62" i="15"/>
  <c r="AJ62" i="15"/>
  <c r="AH62" i="15"/>
  <c r="AF62" i="15"/>
  <c r="AD62" i="15"/>
  <c r="AB62" i="15"/>
  <c r="Z62" i="15"/>
  <c r="X62" i="15"/>
  <c r="V62" i="15"/>
  <c r="T62" i="15"/>
  <c r="R62" i="15"/>
  <c r="P62" i="15"/>
  <c r="N62" i="15"/>
  <c r="L62" i="15"/>
  <c r="J62" i="15"/>
  <c r="H62" i="15"/>
  <c r="F62" i="15"/>
  <c r="D62" i="15"/>
  <c r="D67" i="15" s="1"/>
  <c r="B62" i="15"/>
  <c r="BM59" i="15"/>
  <c r="BM7" i="15" s="1"/>
  <c r="BK59" i="15"/>
  <c r="BK7" i="15" s="1"/>
  <c r="BI59" i="15"/>
  <c r="BI7" i="15" s="1"/>
  <c r="BG59" i="15"/>
  <c r="BG7" i="15" s="1"/>
  <c r="BE59" i="15"/>
  <c r="BE7" i="15" s="1"/>
  <c r="BC59" i="15"/>
  <c r="BC7" i="15" s="1"/>
  <c r="BA59" i="15"/>
  <c r="BA7" i="15" s="1"/>
  <c r="AY59" i="15"/>
  <c r="AY7" i="15" s="1"/>
  <c r="AW59" i="15"/>
  <c r="AW7" i="15" s="1"/>
  <c r="AU59" i="15"/>
  <c r="AU7" i="15" s="1"/>
  <c r="AS59" i="15"/>
  <c r="AS7" i="15" s="1"/>
  <c r="AQ59" i="15"/>
  <c r="AQ7" i="15" s="1"/>
  <c r="AO59" i="15"/>
  <c r="AO7" i="15" s="1"/>
  <c r="AM59" i="15"/>
  <c r="AM7" i="15" s="1"/>
  <c r="AK59" i="15"/>
  <c r="AK7" i="15" s="1"/>
  <c r="AI59" i="15"/>
  <c r="AI7" i="15" s="1"/>
  <c r="AG59" i="15"/>
  <c r="AG7" i="15" s="1"/>
  <c r="AE59" i="15"/>
  <c r="AE7" i="15" s="1"/>
  <c r="AC59" i="15"/>
  <c r="AC7" i="15" s="1"/>
  <c r="AA59" i="15"/>
  <c r="AA7" i="15" s="1"/>
  <c r="Y59" i="15"/>
  <c r="Y7" i="15" s="1"/>
  <c r="W59" i="15"/>
  <c r="W7" i="15" s="1"/>
  <c r="U59" i="15"/>
  <c r="U7" i="15" s="1"/>
  <c r="S59" i="15"/>
  <c r="S7" i="15" s="1"/>
  <c r="Q59" i="15"/>
  <c r="O59" i="15"/>
  <c r="O7" i="15" s="1"/>
  <c r="M59" i="15"/>
  <c r="K59" i="15"/>
  <c r="I59" i="15"/>
  <c r="G59" i="15"/>
  <c r="G7" i="15" s="1"/>
  <c r="E59" i="15"/>
  <c r="E7" i="15" s="1"/>
  <c r="BM57" i="15"/>
  <c r="C57" i="16" s="1"/>
  <c r="BK57" i="15"/>
  <c r="BK75" i="15" s="1"/>
  <c r="BI57" i="15"/>
  <c r="BI75" i="15" s="1"/>
  <c r="BI11" i="15" s="1"/>
  <c r="BG57" i="15"/>
  <c r="BG75" i="15" s="1"/>
  <c r="BG11" i="15" s="1"/>
  <c r="BE57" i="15"/>
  <c r="BE75" i="15" s="1"/>
  <c r="BE11" i="15" s="1"/>
  <c r="BC57" i="15"/>
  <c r="BC75" i="15" s="1"/>
  <c r="BC11" i="15" s="1"/>
  <c r="BA57" i="15"/>
  <c r="BA75" i="15" s="1"/>
  <c r="BA11" i="15" s="1"/>
  <c r="AY57" i="15"/>
  <c r="AY75" i="15" s="1"/>
  <c r="AY11" i="15" s="1"/>
  <c r="AW57" i="15"/>
  <c r="AW75" i="15" s="1"/>
  <c r="AW11" i="15" s="1"/>
  <c r="AU57" i="15"/>
  <c r="AU75" i="15" s="1"/>
  <c r="AU11" i="15" s="1"/>
  <c r="AS57" i="15"/>
  <c r="AS75" i="15" s="1"/>
  <c r="AS11" i="15" s="1"/>
  <c r="AQ57" i="15"/>
  <c r="AQ75" i="15" s="1"/>
  <c r="AQ11" i="15" s="1"/>
  <c r="AO57" i="15"/>
  <c r="AO75" i="15" s="1"/>
  <c r="AO11" i="15" s="1"/>
  <c r="AM57" i="15"/>
  <c r="AM75" i="15" s="1"/>
  <c r="AM11" i="15" s="1"/>
  <c r="AK57" i="15"/>
  <c r="AK75" i="15" s="1"/>
  <c r="AK11" i="15" s="1"/>
  <c r="AI57" i="15"/>
  <c r="AI75" i="15" s="1"/>
  <c r="AI11" i="15" s="1"/>
  <c r="AG57" i="15"/>
  <c r="AG75" i="15" s="1"/>
  <c r="AG11" i="15" s="1"/>
  <c r="AE57" i="15"/>
  <c r="AE75" i="15" s="1"/>
  <c r="AE11" i="15" s="1"/>
  <c r="AC57" i="15"/>
  <c r="AC75" i="15" s="1"/>
  <c r="AC11" i="15" s="1"/>
  <c r="AA57" i="15"/>
  <c r="AA75" i="15" s="1"/>
  <c r="AA11" i="15" s="1"/>
  <c r="Y57" i="15"/>
  <c r="Y75" i="15" s="1"/>
  <c r="Y11" i="15" s="1"/>
  <c r="W57" i="15"/>
  <c r="W75" i="15" s="1"/>
  <c r="W11" i="15" s="1"/>
  <c r="U57" i="15"/>
  <c r="U75" i="15" s="1"/>
  <c r="U11" i="15" s="1"/>
  <c r="S57" i="15"/>
  <c r="S75" i="15" s="1"/>
  <c r="S11" i="15" s="1"/>
  <c r="Q57" i="15"/>
  <c r="Q75" i="15" s="1"/>
  <c r="Q11" i="15" s="1"/>
  <c r="O57" i="15"/>
  <c r="O75" i="15" s="1"/>
  <c r="M57" i="15"/>
  <c r="M75" i="15" s="1"/>
  <c r="M11" i="15" s="1"/>
  <c r="K57" i="15"/>
  <c r="K75" i="15" s="1"/>
  <c r="K11" i="15" s="1"/>
  <c r="I57" i="15"/>
  <c r="I75" i="15" s="1"/>
  <c r="G57" i="15"/>
  <c r="G75" i="15" s="1"/>
  <c r="G11" i="15" s="1"/>
  <c r="E57" i="15"/>
  <c r="E75" i="15" s="1"/>
  <c r="E11" i="15" s="1"/>
  <c r="BO56" i="15"/>
  <c r="D157" i="19" s="1"/>
  <c r="BO55" i="15"/>
  <c r="D156" i="19" s="1"/>
  <c r="BO53" i="15"/>
  <c r="D154" i="19" s="1"/>
  <c r="BO52" i="15"/>
  <c r="D153" i="19" s="1"/>
  <c r="BO51" i="15"/>
  <c r="D152" i="19" s="1"/>
  <c r="BM49" i="15"/>
  <c r="BK49" i="15"/>
  <c r="BI49" i="15"/>
  <c r="BG49" i="15"/>
  <c r="BE49" i="15"/>
  <c r="BC49" i="15"/>
  <c r="BA49" i="15"/>
  <c r="AY49" i="15"/>
  <c r="AW49" i="15"/>
  <c r="AU49" i="15"/>
  <c r="AS49" i="15"/>
  <c r="AQ49" i="15"/>
  <c r="AO49" i="15"/>
  <c r="AM49" i="15"/>
  <c r="AK49" i="15"/>
  <c r="AI49" i="15"/>
  <c r="AG49" i="15"/>
  <c r="AE49" i="15"/>
  <c r="AC49" i="15"/>
  <c r="AA49" i="15"/>
  <c r="Y49" i="15"/>
  <c r="Y50" i="15" s="1"/>
  <c r="W49" i="15"/>
  <c r="U49" i="15"/>
  <c r="S49" i="15"/>
  <c r="Q49" i="15"/>
  <c r="O49" i="15"/>
  <c r="M49" i="15"/>
  <c r="K49" i="15"/>
  <c r="I49" i="15"/>
  <c r="G49" i="15"/>
  <c r="E49" i="15"/>
  <c r="BO48" i="15"/>
  <c r="D149" i="19" s="1"/>
  <c r="BO47" i="15"/>
  <c r="D148" i="19" s="1"/>
  <c r="BO46" i="15"/>
  <c r="D147" i="19" s="1"/>
  <c r="BO45" i="15"/>
  <c r="D146" i="19" s="1"/>
  <c r="BO44" i="15"/>
  <c r="D145" i="19" s="1"/>
  <c r="BO43" i="15"/>
  <c r="D144" i="19" s="1"/>
  <c r="BM42" i="15"/>
  <c r="BQ42" i="15" s="1"/>
  <c r="BK42" i="15"/>
  <c r="BI42" i="15"/>
  <c r="BG42" i="15"/>
  <c r="BG50" i="15" s="1"/>
  <c r="BE42" i="15"/>
  <c r="BC42" i="15"/>
  <c r="BC50" i="15" s="1"/>
  <c r="BA42" i="15"/>
  <c r="BA50" i="15" s="1"/>
  <c r="AY42" i="15"/>
  <c r="AW42" i="15"/>
  <c r="AU42" i="15"/>
  <c r="AS42" i="15"/>
  <c r="AQ42" i="15"/>
  <c r="AO42" i="15"/>
  <c r="AM42" i="15"/>
  <c r="AK42" i="15"/>
  <c r="AI42" i="15"/>
  <c r="AI50" i="15" s="1"/>
  <c r="AG42" i="15"/>
  <c r="AE42" i="15"/>
  <c r="AE50" i="15" s="1"/>
  <c r="AC42" i="15"/>
  <c r="AC50" i="15" s="1"/>
  <c r="AA42" i="15"/>
  <c r="Y42" i="15"/>
  <c r="W42" i="15"/>
  <c r="W50" i="15" s="1"/>
  <c r="U42" i="15"/>
  <c r="S42" i="15"/>
  <c r="Q42" i="15"/>
  <c r="O42" i="15"/>
  <c r="M42" i="15"/>
  <c r="K42" i="15"/>
  <c r="K50" i="15" s="1"/>
  <c r="I42" i="15"/>
  <c r="G42" i="15"/>
  <c r="G50" i="15" s="1"/>
  <c r="E42" i="15"/>
  <c r="BO41" i="15"/>
  <c r="D142" i="19" s="1"/>
  <c r="BO40" i="15"/>
  <c r="D141" i="19" s="1"/>
  <c r="BO39" i="15"/>
  <c r="D140" i="19" s="1"/>
  <c r="BO38" i="15"/>
  <c r="D139" i="19" s="1"/>
  <c r="BO37" i="15"/>
  <c r="D138" i="19" s="1"/>
  <c r="BO36" i="15"/>
  <c r="D137" i="19" s="1"/>
  <c r="BO35" i="15"/>
  <c r="D136" i="19" s="1"/>
  <c r="BO34" i="15"/>
  <c r="D135" i="19" s="1"/>
  <c r="BO33" i="15"/>
  <c r="D134" i="19" s="1"/>
  <c r="BO32" i="15"/>
  <c r="D133" i="19" s="1"/>
  <c r="BM31" i="15"/>
  <c r="BK31" i="15"/>
  <c r="BI31" i="15"/>
  <c r="BG31" i="15"/>
  <c r="BE31" i="15"/>
  <c r="BC31" i="15"/>
  <c r="BA31" i="15"/>
  <c r="AY31" i="15"/>
  <c r="AW31" i="15"/>
  <c r="AU31" i="15"/>
  <c r="AS31" i="15"/>
  <c r="AQ31" i="15"/>
  <c r="AO31" i="15"/>
  <c r="AM31" i="15"/>
  <c r="AK31" i="15"/>
  <c r="AI31" i="15"/>
  <c r="AG31" i="15"/>
  <c r="AE31" i="15"/>
  <c r="AC31" i="15"/>
  <c r="AA31" i="15"/>
  <c r="Y31" i="15"/>
  <c r="W31" i="15"/>
  <c r="U31" i="15"/>
  <c r="S31" i="15"/>
  <c r="Q31" i="15"/>
  <c r="O31" i="15"/>
  <c r="M31" i="15"/>
  <c r="K31" i="15"/>
  <c r="I31" i="15"/>
  <c r="G31" i="15"/>
  <c r="E31" i="15"/>
  <c r="BM30" i="15"/>
  <c r="BK30" i="15"/>
  <c r="BI30" i="15"/>
  <c r="BG30" i="15"/>
  <c r="BE30" i="15"/>
  <c r="BC30" i="15"/>
  <c r="BA30" i="15"/>
  <c r="AY30" i="15"/>
  <c r="AW30" i="15"/>
  <c r="AU30" i="15"/>
  <c r="AS30" i="15"/>
  <c r="AQ30" i="15"/>
  <c r="AO30" i="15"/>
  <c r="AM30" i="15"/>
  <c r="AK30" i="15"/>
  <c r="AI30" i="15"/>
  <c r="AG30" i="15"/>
  <c r="AE30" i="15"/>
  <c r="AC30" i="15"/>
  <c r="AA30" i="15"/>
  <c r="Y30" i="15"/>
  <c r="W30" i="15"/>
  <c r="U30" i="15"/>
  <c r="S30" i="15"/>
  <c r="Q30" i="15"/>
  <c r="O30" i="15"/>
  <c r="M30" i="15"/>
  <c r="K30" i="15"/>
  <c r="I30" i="15"/>
  <c r="G30" i="15"/>
  <c r="BO29" i="15"/>
  <c r="D130" i="19" s="1"/>
  <c r="BO28" i="15"/>
  <c r="D129" i="19" s="1"/>
  <c r="BO27" i="15"/>
  <c r="D128" i="19" s="1"/>
  <c r="BO26" i="15"/>
  <c r="D127" i="19" s="1"/>
  <c r="BO25" i="15"/>
  <c r="D126" i="19" s="1"/>
  <c r="BO24" i="15"/>
  <c r="D125" i="19" s="1"/>
  <c r="BO23" i="15"/>
  <c r="D124" i="19" s="1"/>
  <c r="BM22" i="15"/>
  <c r="BQ22" i="15" s="1"/>
  <c r="BK22" i="15"/>
  <c r="BI22" i="15"/>
  <c r="BG22" i="15"/>
  <c r="BE22" i="15"/>
  <c r="BC22" i="15"/>
  <c r="BA22" i="15"/>
  <c r="AY22" i="15"/>
  <c r="AW22" i="15"/>
  <c r="AU22" i="15"/>
  <c r="AS22" i="15"/>
  <c r="AQ22" i="15"/>
  <c r="AO22" i="15"/>
  <c r="AM22" i="15"/>
  <c r="AK22" i="15"/>
  <c r="AI22" i="15"/>
  <c r="AG22" i="15"/>
  <c r="AE22" i="15"/>
  <c r="AC22" i="15"/>
  <c r="AA22" i="15"/>
  <c r="Y22" i="15"/>
  <c r="W22" i="15"/>
  <c r="U22" i="15"/>
  <c r="S22" i="15"/>
  <c r="Q22" i="15"/>
  <c r="O22" i="15"/>
  <c r="M22" i="15"/>
  <c r="K22" i="15"/>
  <c r="I22" i="15"/>
  <c r="G22" i="15"/>
  <c r="E22" i="15"/>
  <c r="BO21" i="15"/>
  <c r="D122" i="19" s="1"/>
  <c r="BO20" i="15"/>
  <c r="D121" i="19" s="1"/>
  <c r="BO19" i="15"/>
  <c r="D120" i="19" s="1"/>
  <c r="BO18" i="15"/>
  <c r="D119" i="19" s="1"/>
  <c r="BO17" i="15"/>
  <c r="D118" i="19" s="1"/>
  <c r="BK11" i="15"/>
  <c r="AL11" i="15"/>
  <c r="AJ11" i="15"/>
  <c r="AH11" i="15"/>
  <c r="AF11" i="15"/>
  <c r="AD11" i="15"/>
  <c r="AB11" i="15"/>
  <c r="Z11" i="15"/>
  <c r="X11" i="15"/>
  <c r="O11" i="15"/>
  <c r="I11" i="15"/>
  <c r="Q7" i="15"/>
  <c r="M7" i="15"/>
  <c r="K7" i="15"/>
  <c r="I7" i="15"/>
  <c r="BP6" i="15"/>
  <c r="BL6" i="15"/>
  <c r="BJ6" i="15"/>
  <c r="BH6" i="15"/>
  <c r="BH5" i="15" s="1"/>
  <c r="BF6" i="15"/>
  <c r="BF5" i="15" s="1"/>
  <c r="BD6" i="15"/>
  <c r="BB6" i="15"/>
  <c r="BB5" i="15" s="1"/>
  <c r="AZ6" i="15"/>
  <c r="AX6" i="15"/>
  <c r="AX5" i="15" s="1"/>
  <c r="AV6" i="15"/>
  <c r="AV5" i="15" s="1"/>
  <c r="AT6" i="15"/>
  <c r="AT5" i="15" s="1"/>
  <c r="AR6" i="15"/>
  <c r="AR5" i="15" s="1"/>
  <c r="AP6" i="15"/>
  <c r="AP5" i="15" s="1"/>
  <c r="AN6" i="15"/>
  <c r="AL6" i="15"/>
  <c r="AL5" i="15" s="1"/>
  <c r="AJ6" i="15"/>
  <c r="AJ5" i="15" s="1"/>
  <c r="AH6" i="15"/>
  <c r="AH5" i="15" s="1"/>
  <c r="AF6" i="15"/>
  <c r="AF5" i="15" s="1"/>
  <c r="AD6" i="15"/>
  <c r="AD5" i="15" s="1"/>
  <c r="AB6" i="15"/>
  <c r="Z6" i="15"/>
  <c r="X6" i="15"/>
  <c r="X5" i="15" s="1"/>
  <c r="V6" i="15"/>
  <c r="V5" i="15" s="1"/>
  <c r="T6" i="15"/>
  <c r="T5" i="15" s="1"/>
  <c r="R6" i="15"/>
  <c r="R5" i="15" s="1"/>
  <c r="P6" i="15"/>
  <c r="N6" i="15"/>
  <c r="L6" i="15"/>
  <c r="L5" i="15" s="1"/>
  <c r="J6" i="15"/>
  <c r="J5" i="15" s="1"/>
  <c r="H6" i="15"/>
  <c r="F6" i="15"/>
  <c r="F5" i="15" s="1"/>
  <c r="D6" i="15"/>
  <c r="AN5" i="15"/>
  <c r="A5" i="15"/>
  <c r="A1" i="15"/>
  <c r="BQ13" i="14"/>
  <c r="BQ14" i="14"/>
  <c r="BQ15" i="14"/>
  <c r="BQ17" i="14"/>
  <c r="BQ21" i="14"/>
  <c r="BQ25" i="14"/>
  <c r="BQ26" i="14"/>
  <c r="BQ27" i="14"/>
  <c r="BQ28" i="14"/>
  <c r="BQ32" i="14"/>
  <c r="BQ33" i="14"/>
  <c r="BQ34" i="14"/>
  <c r="BQ36" i="14"/>
  <c r="BQ38" i="14"/>
  <c r="BQ39" i="14"/>
  <c r="BQ43" i="14"/>
  <c r="BQ55" i="14"/>
  <c r="BQ56" i="14"/>
  <c r="BQ62" i="14"/>
  <c r="BP62" i="14" s="1"/>
  <c r="BQ63" i="14"/>
  <c r="BP63" i="14" s="1"/>
  <c r="BQ64" i="14"/>
  <c r="BP64" i="14" s="1"/>
  <c r="BQ65" i="14"/>
  <c r="BP65" i="14" s="1"/>
  <c r="BQ66" i="14"/>
  <c r="BP66" i="14" s="1"/>
  <c r="BQ74" i="14"/>
  <c r="BQ77" i="14"/>
  <c r="BQ78" i="14"/>
  <c r="BP78" i="14" s="1"/>
  <c r="BQ79" i="14"/>
  <c r="BP79" i="14" s="1"/>
  <c r="BQ80" i="14"/>
  <c r="BQ81" i="14"/>
  <c r="BP81" i="14" s="1"/>
  <c r="BQ82" i="14"/>
  <c r="BP82" i="14" s="1"/>
  <c r="BQ83" i="14"/>
  <c r="BP83" i="14" s="1"/>
  <c r="BQ84" i="14"/>
  <c r="BP84" i="14" s="1"/>
  <c r="BQ85" i="14"/>
  <c r="BP85" i="14" s="1"/>
  <c r="BQ86" i="14"/>
  <c r="BP86" i="14" s="1"/>
  <c r="BQ87" i="14"/>
  <c r="BP87" i="14" s="1"/>
  <c r="BQ88" i="14"/>
  <c r="C13" i="14"/>
  <c r="C14" i="14"/>
  <c r="C15" i="14"/>
  <c r="C17" i="14"/>
  <c r="C21" i="14"/>
  <c r="C25" i="14"/>
  <c r="C26" i="14"/>
  <c r="C27" i="14"/>
  <c r="C28" i="14"/>
  <c r="E30" i="14" s="1"/>
  <c r="C32" i="14"/>
  <c r="C33" i="14"/>
  <c r="C34" i="14"/>
  <c r="C36" i="14"/>
  <c r="C38" i="14"/>
  <c r="C39" i="14"/>
  <c r="C43" i="14"/>
  <c r="C55" i="14"/>
  <c r="C56" i="14"/>
  <c r="C62" i="14"/>
  <c r="D62" i="14" s="1"/>
  <c r="D67" i="14" s="1"/>
  <c r="C63" i="14"/>
  <c r="D63" i="14" s="1"/>
  <c r="C64" i="14"/>
  <c r="D64" i="14" s="1"/>
  <c r="C65" i="14"/>
  <c r="D65" i="14" s="1"/>
  <c r="C66" i="14"/>
  <c r="D66" i="14" s="1"/>
  <c r="C74" i="14"/>
  <c r="C77" i="14"/>
  <c r="C78" i="14"/>
  <c r="C79" i="14"/>
  <c r="D79" i="14" s="1"/>
  <c r="E93" i="14" s="1"/>
  <c r="C80" i="14"/>
  <c r="C81" i="14"/>
  <c r="D81" i="14" s="1"/>
  <c r="E95" i="14" s="1"/>
  <c r="C82" i="14"/>
  <c r="D82" i="14" s="1"/>
  <c r="E96" i="14" s="1"/>
  <c r="C83" i="14"/>
  <c r="C84" i="14"/>
  <c r="D84" i="14" s="1"/>
  <c r="E98" i="14" s="1"/>
  <c r="C85" i="14"/>
  <c r="D85" i="14" s="1"/>
  <c r="E99" i="14" s="1"/>
  <c r="C86" i="14"/>
  <c r="D86" i="14" s="1"/>
  <c r="C87" i="14"/>
  <c r="D87" i="14" s="1"/>
  <c r="E101" i="14" s="1"/>
  <c r="C88" i="14"/>
  <c r="BO120" i="14"/>
  <c r="C215" i="19" s="1"/>
  <c r="BO119" i="14"/>
  <c r="C214" i="19" s="1"/>
  <c r="BO118" i="14"/>
  <c r="C213" i="19" s="1"/>
  <c r="BO117" i="14"/>
  <c r="C212" i="19" s="1"/>
  <c r="BO116" i="14"/>
  <c r="C211" i="19" s="1"/>
  <c r="BO115" i="14"/>
  <c r="C210" i="19" s="1"/>
  <c r="BO114" i="14"/>
  <c r="C209" i="19" s="1"/>
  <c r="BO113" i="14"/>
  <c r="C208" i="19" s="1"/>
  <c r="BO112" i="14"/>
  <c r="C207" i="19" s="1"/>
  <c r="BO111" i="14"/>
  <c r="C206" i="19" s="1"/>
  <c r="BO110" i="14"/>
  <c r="C205" i="19" s="1"/>
  <c r="BO109" i="14"/>
  <c r="C204" i="19" s="1"/>
  <c r="BO108" i="14"/>
  <c r="C203" i="19" s="1"/>
  <c r="BO107" i="14"/>
  <c r="C202" i="19" s="1"/>
  <c r="BO106" i="14"/>
  <c r="C201" i="19" s="1"/>
  <c r="BP104" i="14"/>
  <c r="BJ104" i="14"/>
  <c r="BH104" i="14"/>
  <c r="BF104" i="14"/>
  <c r="BD104" i="14"/>
  <c r="BB104" i="14"/>
  <c r="AZ104" i="14"/>
  <c r="AX104" i="14"/>
  <c r="AV104" i="14"/>
  <c r="AT104" i="14"/>
  <c r="AR104" i="14"/>
  <c r="AP104" i="14"/>
  <c r="AN104" i="14"/>
  <c r="AL104" i="14"/>
  <c r="AJ104" i="14"/>
  <c r="AH104" i="14"/>
  <c r="AF104" i="14"/>
  <c r="AD104" i="14"/>
  <c r="AB104" i="14"/>
  <c r="Z104" i="14"/>
  <c r="X104" i="14"/>
  <c r="V104" i="14"/>
  <c r="T104" i="14"/>
  <c r="R104" i="14"/>
  <c r="P104" i="14"/>
  <c r="N104" i="14"/>
  <c r="L104" i="14"/>
  <c r="J104" i="14"/>
  <c r="H104" i="14"/>
  <c r="F104" i="14"/>
  <c r="D104" i="14"/>
  <c r="BP103" i="14"/>
  <c r="BJ103" i="14"/>
  <c r="BH103" i="14"/>
  <c r="BF103" i="14"/>
  <c r="BD103" i="14"/>
  <c r="BB103" i="14"/>
  <c r="AZ103" i="14"/>
  <c r="AX103" i="14"/>
  <c r="AV103" i="14"/>
  <c r="AT103" i="14"/>
  <c r="AR103" i="14"/>
  <c r="AP103" i="14"/>
  <c r="AN103" i="14"/>
  <c r="AL103" i="14"/>
  <c r="AJ103" i="14"/>
  <c r="AH103" i="14"/>
  <c r="AF103" i="14"/>
  <c r="AD103" i="14"/>
  <c r="AB103" i="14"/>
  <c r="Z103" i="14"/>
  <c r="X103" i="14"/>
  <c r="V103" i="14"/>
  <c r="T103" i="14"/>
  <c r="R103" i="14"/>
  <c r="P103" i="14"/>
  <c r="N103" i="14"/>
  <c r="L103" i="14"/>
  <c r="J103" i="14"/>
  <c r="H103" i="14"/>
  <c r="F103" i="14"/>
  <c r="D103" i="14"/>
  <c r="AC101" i="14"/>
  <c r="AA101" i="14"/>
  <c r="AU99" i="14"/>
  <c r="AS98" i="14"/>
  <c r="K98" i="14"/>
  <c r="BP89" i="14"/>
  <c r="BJ89" i="14"/>
  <c r="BH89" i="14"/>
  <c r="BF89" i="14"/>
  <c r="BD89" i="14"/>
  <c r="BB89" i="14"/>
  <c r="AZ89" i="14"/>
  <c r="AX89" i="14"/>
  <c r="AV89" i="14"/>
  <c r="AT89" i="14"/>
  <c r="AR89" i="14"/>
  <c r="AP89" i="14"/>
  <c r="AN89" i="14"/>
  <c r="AL89" i="14"/>
  <c r="AJ89" i="14"/>
  <c r="AH89" i="14"/>
  <c r="AF89" i="14"/>
  <c r="AD89" i="14"/>
  <c r="AB89" i="14"/>
  <c r="Z89" i="14"/>
  <c r="X89" i="14"/>
  <c r="V89" i="14"/>
  <c r="T89" i="14"/>
  <c r="R89" i="14"/>
  <c r="P89" i="14"/>
  <c r="N89" i="14"/>
  <c r="L89" i="14"/>
  <c r="J89" i="14"/>
  <c r="H89" i="14"/>
  <c r="F89" i="14"/>
  <c r="D89" i="14"/>
  <c r="BJ88" i="14"/>
  <c r="BK102" i="14" s="1"/>
  <c r="BH88" i="14"/>
  <c r="BI102" i="14" s="1"/>
  <c r="BF88" i="14"/>
  <c r="BG102" i="14" s="1"/>
  <c r="BD88" i="14"/>
  <c r="BE102" i="14" s="1"/>
  <c r="BB88" i="14"/>
  <c r="BC102" i="14" s="1"/>
  <c r="AZ88" i="14"/>
  <c r="BA102" i="14" s="1"/>
  <c r="AX88" i="14"/>
  <c r="AY102" i="14" s="1"/>
  <c r="AV88" i="14"/>
  <c r="AW102" i="14" s="1"/>
  <c r="AT88" i="14"/>
  <c r="AU102" i="14" s="1"/>
  <c r="AR88" i="14"/>
  <c r="AS102" i="14" s="1"/>
  <c r="AP88" i="14"/>
  <c r="AQ102" i="14" s="1"/>
  <c r="AN88" i="14"/>
  <c r="AO102" i="14" s="1"/>
  <c r="AL88" i="14"/>
  <c r="AM102" i="14" s="1"/>
  <c r="AJ88" i="14"/>
  <c r="AK102" i="14" s="1"/>
  <c r="AH88" i="14"/>
  <c r="AI102" i="14" s="1"/>
  <c r="AF88" i="14"/>
  <c r="AG102" i="14" s="1"/>
  <c r="AD88" i="14"/>
  <c r="AE102" i="14" s="1"/>
  <c r="AB88" i="14"/>
  <c r="AC102" i="14" s="1"/>
  <c r="Z88" i="14"/>
  <c r="AA102" i="14" s="1"/>
  <c r="X88" i="14"/>
  <c r="Y102" i="14" s="1"/>
  <c r="V88" i="14"/>
  <c r="W102" i="14" s="1"/>
  <c r="T88" i="14"/>
  <c r="U102" i="14" s="1"/>
  <c r="R88" i="14"/>
  <c r="S102" i="14" s="1"/>
  <c r="P88" i="14"/>
  <c r="Q102" i="14" s="1"/>
  <c r="N88" i="14"/>
  <c r="O102" i="14" s="1"/>
  <c r="L88" i="14"/>
  <c r="M102" i="14" s="1"/>
  <c r="J88" i="14"/>
  <c r="K102" i="14" s="1"/>
  <c r="H88" i="14"/>
  <c r="I102" i="14" s="1"/>
  <c r="F88" i="14"/>
  <c r="G102" i="14" s="1"/>
  <c r="D88" i="14"/>
  <c r="BJ87" i="14"/>
  <c r="BK101" i="14" s="1"/>
  <c r="BH87" i="14"/>
  <c r="BI101" i="14" s="1"/>
  <c r="BF87" i="14"/>
  <c r="BG101" i="14" s="1"/>
  <c r="BD87" i="14"/>
  <c r="BE101" i="14" s="1"/>
  <c r="BB87" i="14"/>
  <c r="BC101" i="14" s="1"/>
  <c r="AZ87" i="14"/>
  <c r="BA101" i="14" s="1"/>
  <c r="AX87" i="14"/>
  <c r="AY101" i="14" s="1"/>
  <c r="AV87" i="14"/>
  <c r="AW101" i="14" s="1"/>
  <c r="AT87" i="14"/>
  <c r="AU101" i="14" s="1"/>
  <c r="AR87" i="14"/>
  <c r="AS101" i="14" s="1"/>
  <c r="AP87" i="14"/>
  <c r="AQ101" i="14" s="1"/>
  <c r="AN87" i="14"/>
  <c r="AO101" i="14" s="1"/>
  <c r="AL87" i="14"/>
  <c r="AM101" i="14" s="1"/>
  <c r="AJ87" i="14"/>
  <c r="AK101" i="14" s="1"/>
  <c r="AH87" i="14"/>
  <c r="AI101" i="14" s="1"/>
  <c r="AF87" i="14"/>
  <c r="AG101" i="14" s="1"/>
  <c r="AD87" i="14"/>
  <c r="AE101" i="14" s="1"/>
  <c r="AB87" i="14"/>
  <c r="Z87" i="14"/>
  <c r="X87" i="14"/>
  <c r="Y101" i="14" s="1"/>
  <c r="V87" i="14"/>
  <c r="W101" i="14" s="1"/>
  <c r="T87" i="14"/>
  <c r="U101" i="14" s="1"/>
  <c r="R87" i="14"/>
  <c r="S101" i="14" s="1"/>
  <c r="P87" i="14"/>
  <c r="Q101" i="14" s="1"/>
  <c r="N87" i="14"/>
  <c r="O101" i="14" s="1"/>
  <c r="L87" i="14"/>
  <c r="M101" i="14" s="1"/>
  <c r="J87" i="14"/>
  <c r="K101" i="14" s="1"/>
  <c r="H87" i="14"/>
  <c r="I101" i="14" s="1"/>
  <c r="F87" i="14"/>
  <c r="G101" i="14" s="1"/>
  <c r="BJ86" i="14"/>
  <c r="BK100" i="14" s="1"/>
  <c r="BH86" i="14"/>
  <c r="BI100" i="14" s="1"/>
  <c r="BF86" i="14"/>
  <c r="BG100" i="14" s="1"/>
  <c r="BD86" i="14"/>
  <c r="BE100" i="14" s="1"/>
  <c r="BB86" i="14"/>
  <c r="BC100" i="14" s="1"/>
  <c r="AZ86" i="14"/>
  <c r="BA100" i="14" s="1"/>
  <c r="AX86" i="14"/>
  <c r="AY100" i="14" s="1"/>
  <c r="AV86" i="14"/>
  <c r="AW100" i="14" s="1"/>
  <c r="AT86" i="14"/>
  <c r="AU100" i="14" s="1"/>
  <c r="AR86" i="14"/>
  <c r="AS100" i="14" s="1"/>
  <c r="AP86" i="14"/>
  <c r="AQ100" i="14" s="1"/>
  <c r="AN86" i="14"/>
  <c r="AO100" i="14" s="1"/>
  <c r="AL86" i="14"/>
  <c r="AM100" i="14" s="1"/>
  <c r="AJ86" i="14"/>
  <c r="AK100" i="14" s="1"/>
  <c r="AH86" i="14"/>
  <c r="AI100" i="14" s="1"/>
  <c r="AF86" i="14"/>
  <c r="AG100" i="14" s="1"/>
  <c r="AD86" i="14"/>
  <c r="AE100" i="14" s="1"/>
  <c r="AB86" i="14"/>
  <c r="AC100" i="14" s="1"/>
  <c r="Z86" i="14"/>
  <c r="AA100" i="14" s="1"/>
  <c r="X86" i="14"/>
  <c r="Y100" i="14" s="1"/>
  <c r="V86" i="14"/>
  <c r="W100" i="14" s="1"/>
  <c r="T86" i="14"/>
  <c r="U100" i="14" s="1"/>
  <c r="R86" i="14"/>
  <c r="S100" i="14" s="1"/>
  <c r="P86" i="14"/>
  <c r="Q100" i="14" s="1"/>
  <c r="N86" i="14"/>
  <c r="O100" i="14" s="1"/>
  <c r="L86" i="14"/>
  <c r="M100" i="14" s="1"/>
  <c r="J86" i="14"/>
  <c r="K100" i="14" s="1"/>
  <c r="H86" i="14"/>
  <c r="I100" i="14" s="1"/>
  <c r="F86" i="14"/>
  <c r="G100" i="14" s="1"/>
  <c r="BJ85" i="14"/>
  <c r="BK99" i="14" s="1"/>
  <c r="BH85" i="14"/>
  <c r="BI99" i="14" s="1"/>
  <c r="BF85" i="14"/>
  <c r="BG99" i="14" s="1"/>
  <c r="BD85" i="14"/>
  <c r="BE99" i="14" s="1"/>
  <c r="BB85" i="14"/>
  <c r="BC99" i="14" s="1"/>
  <c r="AZ85" i="14"/>
  <c r="BA99" i="14" s="1"/>
  <c r="AX85" i="14"/>
  <c r="AY99" i="14" s="1"/>
  <c r="AV85" i="14"/>
  <c r="AW99" i="14" s="1"/>
  <c r="AT85" i="14"/>
  <c r="AR85" i="14"/>
  <c r="AS99" i="14" s="1"/>
  <c r="AP85" i="14"/>
  <c r="AQ99" i="14" s="1"/>
  <c r="AN85" i="14"/>
  <c r="AO99" i="14" s="1"/>
  <c r="AL85" i="14"/>
  <c r="AM99" i="14" s="1"/>
  <c r="AJ85" i="14"/>
  <c r="AK99" i="14" s="1"/>
  <c r="AH85" i="14"/>
  <c r="AI99" i="14" s="1"/>
  <c r="AF85" i="14"/>
  <c r="AG99" i="14" s="1"/>
  <c r="AD85" i="14"/>
  <c r="AE99" i="14" s="1"/>
  <c r="AB85" i="14"/>
  <c r="AC99" i="14" s="1"/>
  <c r="Z85" i="14"/>
  <c r="AA99" i="14" s="1"/>
  <c r="X85" i="14"/>
  <c r="Y99" i="14" s="1"/>
  <c r="V85" i="14"/>
  <c r="W99" i="14" s="1"/>
  <c r="T85" i="14"/>
  <c r="U99" i="14" s="1"/>
  <c r="R85" i="14"/>
  <c r="S99" i="14" s="1"/>
  <c r="P85" i="14"/>
  <c r="Q99" i="14" s="1"/>
  <c r="N85" i="14"/>
  <c r="O99" i="14" s="1"/>
  <c r="L85" i="14"/>
  <c r="M99" i="14" s="1"/>
  <c r="J85" i="14"/>
  <c r="K99" i="14" s="1"/>
  <c r="H85" i="14"/>
  <c r="I99" i="14" s="1"/>
  <c r="F85" i="14"/>
  <c r="G99" i="14" s="1"/>
  <c r="BJ84" i="14"/>
  <c r="BK98" i="14" s="1"/>
  <c r="BH84" i="14"/>
  <c r="BI98" i="14" s="1"/>
  <c r="BF84" i="14"/>
  <c r="BG98" i="14" s="1"/>
  <c r="BD84" i="14"/>
  <c r="BE98" i="14" s="1"/>
  <c r="BB84" i="14"/>
  <c r="BC98" i="14" s="1"/>
  <c r="AZ84" i="14"/>
  <c r="BA98" i="14" s="1"/>
  <c r="AX84" i="14"/>
  <c r="AY98" i="14" s="1"/>
  <c r="AV84" i="14"/>
  <c r="AW98" i="14" s="1"/>
  <c r="AT84" i="14"/>
  <c r="AU98" i="14" s="1"/>
  <c r="AR84" i="14"/>
  <c r="AP84" i="14"/>
  <c r="AQ98" i="14" s="1"/>
  <c r="AN84" i="14"/>
  <c r="AO98" i="14" s="1"/>
  <c r="AL84" i="14"/>
  <c r="AM98" i="14" s="1"/>
  <c r="AJ84" i="14"/>
  <c r="AK98" i="14" s="1"/>
  <c r="AH84" i="14"/>
  <c r="AI98" i="14" s="1"/>
  <c r="AF84" i="14"/>
  <c r="AG98" i="14" s="1"/>
  <c r="AD84" i="14"/>
  <c r="AE98" i="14" s="1"/>
  <c r="AB84" i="14"/>
  <c r="AC98" i="14" s="1"/>
  <c r="Z84" i="14"/>
  <c r="AA98" i="14" s="1"/>
  <c r="X84" i="14"/>
  <c r="Y98" i="14" s="1"/>
  <c r="V84" i="14"/>
  <c r="W98" i="14" s="1"/>
  <c r="T84" i="14"/>
  <c r="U98" i="14" s="1"/>
  <c r="R84" i="14"/>
  <c r="S98" i="14" s="1"/>
  <c r="P84" i="14"/>
  <c r="Q98" i="14" s="1"/>
  <c r="N84" i="14"/>
  <c r="O98" i="14" s="1"/>
  <c r="L84" i="14"/>
  <c r="M98" i="14" s="1"/>
  <c r="J84" i="14"/>
  <c r="H84" i="14"/>
  <c r="I98" i="14" s="1"/>
  <c r="F84" i="14"/>
  <c r="G98" i="14" s="1"/>
  <c r="BJ83" i="14"/>
  <c r="BK97" i="14" s="1"/>
  <c r="BH83" i="14"/>
  <c r="BI97" i="14" s="1"/>
  <c r="BF83" i="14"/>
  <c r="BG97" i="14" s="1"/>
  <c r="BD83" i="14"/>
  <c r="BE97" i="14" s="1"/>
  <c r="BB83" i="14"/>
  <c r="BC97" i="14" s="1"/>
  <c r="AZ83" i="14"/>
  <c r="BA97" i="14" s="1"/>
  <c r="AX83" i="14"/>
  <c r="AY97" i="14" s="1"/>
  <c r="AV83" i="14"/>
  <c r="AW97" i="14" s="1"/>
  <c r="AT83" i="14"/>
  <c r="AU97" i="14" s="1"/>
  <c r="AR83" i="14"/>
  <c r="AS97" i="14" s="1"/>
  <c r="AP83" i="14"/>
  <c r="AQ97" i="14" s="1"/>
  <c r="AN83" i="14"/>
  <c r="AO97" i="14" s="1"/>
  <c r="AL83" i="14"/>
  <c r="AM97" i="14" s="1"/>
  <c r="AJ83" i="14"/>
  <c r="AK97" i="14" s="1"/>
  <c r="AH83" i="14"/>
  <c r="AI97" i="14" s="1"/>
  <c r="AF83" i="14"/>
  <c r="AG97" i="14" s="1"/>
  <c r="AD83" i="14"/>
  <c r="AE97" i="14" s="1"/>
  <c r="AB83" i="14"/>
  <c r="AC97" i="14" s="1"/>
  <c r="Z83" i="14"/>
  <c r="AA97" i="14" s="1"/>
  <c r="X83" i="14"/>
  <c r="Y97" i="14" s="1"/>
  <c r="V83" i="14"/>
  <c r="W97" i="14" s="1"/>
  <c r="T83" i="14"/>
  <c r="U97" i="14" s="1"/>
  <c r="R83" i="14"/>
  <c r="S97" i="14" s="1"/>
  <c r="P83" i="14"/>
  <c r="Q97" i="14" s="1"/>
  <c r="N83" i="14"/>
  <c r="O97" i="14" s="1"/>
  <c r="L83" i="14"/>
  <c r="M97" i="14" s="1"/>
  <c r="J83" i="14"/>
  <c r="K97" i="14" s="1"/>
  <c r="H83" i="14"/>
  <c r="I97" i="14" s="1"/>
  <c r="F83" i="14"/>
  <c r="G97" i="14" s="1"/>
  <c r="BJ82" i="14"/>
  <c r="BK96" i="14" s="1"/>
  <c r="BH82" i="14"/>
  <c r="BI96" i="14" s="1"/>
  <c r="BF82" i="14"/>
  <c r="BG96" i="14" s="1"/>
  <c r="BD82" i="14"/>
  <c r="BE96" i="14" s="1"/>
  <c r="BB82" i="14"/>
  <c r="BC96" i="14" s="1"/>
  <c r="AZ82" i="14"/>
  <c r="BA96" i="14" s="1"/>
  <c r="AX82" i="14"/>
  <c r="AY96" i="14" s="1"/>
  <c r="AV82" i="14"/>
  <c r="AW96" i="14" s="1"/>
  <c r="AT82" i="14"/>
  <c r="AU96" i="14" s="1"/>
  <c r="AR82" i="14"/>
  <c r="AS96" i="14" s="1"/>
  <c r="AP82" i="14"/>
  <c r="AQ96" i="14" s="1"/>
  <c r="AN82" i="14"/>
  <c r="AO96" i="14" s="1"/>
  <c r="AL82" i="14"/>
  <c r="AM96" i="14" s="1"/>
  <c r="AJ82" i="14"/>
  <c r="AK96" i="14" s="1"/>
  <c r="AH82" i="14"/>
  <c r="AI96" i="14" s="1"/>
  <c r="AF82" i="14"/>
  <c r="AG96" i="14" s="1"/>
  <c r="AD82" i="14"/>
  <c r="AE96" i="14" s="1"/>
  <c r="AB82" i="14"/>
  <c r="AC96" i="14" s="1"/>
  <c r="Z82" i="14"/>
  <c r="AA96" i="14" s="1"/>
  <c r="X82" i="14"/>
  <c r="Y96" i="14" s="1"/>
  <c r="V82" i="14"/>
  <c r="W96" i="14" s="1"/>
  <c r="T82" i="14"/>
  <c r="U96" i="14" s="1"/>
  <c r="R82" i="14"/>
  <c r="S96" i="14" s="1"/>
  <c r="P82" i="14"/>
  <c r="Q96" i="14" s="1"/>
  <c r="N82" i="14"/>
  <c r="O96" i="14" s="1"/>
  <c r="L82" i="14"/>
  <c r="M96" i="14" s="1"/>
  <c r="J82" i="14"/>
  <c r="K96" i="14" s="1"/>
  <c r="H82" i="14"/>
  <c r="I96" i="14" s="1"/>
  <c r="F82" i="14"/>
  <c r="G96" i="14" s="1"/>
  <c r="BJ81" i="14"/>
  <c r="BK95" i="14" s="1"/>
  <c r="BH81" i="14"/>
  <c r="BI95" i="14" s="1"/>
  <c r="BF81" i="14"/>
  <c r="BG95" i="14" s="1"/>
  <c r="BD81" i="14"/>
  <c r="BE95" i="14" s="1"/>
  <c r="BB81" i="14"/>
  <c r="BC95" i="14" s="1"/>
  <c r="AZ81" i="14"/>
  <c r="BA95" i="14" s="1"/>
  <c r="AX81" i="14"/>
  <c r="AY95" i="14" s="1"/>
  <c r="AV81" i="14"/>
  <c r="AW95" i="14" s="1"/>
  <c r="AT81" i="14"/>
  <c r="AU95" i="14" s="1"/>
  <c r="AR81" i="14"/>
  <c r="AS95" i="14" s="1"/>
  <c r="AP81" i="14"/>
  <c r="AQ95" i="14" s="1"/>
  <c r="AN81" i="14"/>
  <c r="AO95" i="14" s="1"/>
  <c r="AL81" i="14"/>
  <c r="AM95" i="14" s="1"/>
  <c r="AJ81" i="14"/>
  <c r="AK95" i="14" s="1"/>
  <c r="AH81" i="14"/>
  <c r="AI95" i="14" s="1"/>
  <c r="AF81" i="14"/>
  <c r="AG95" i="14" s="1"/>
  <c r="AD81" i="14"/>
  <c r="AE95" i="14" s="1"/>
  <c r="AB81" i="14"/>
  <c r="AC95" i="14" s="1"/>
  <c r="Z81" i="14"/>
  <c r="AA95" i="14" s="1"/>
  <c r="X81" i="14"/>
  <c r="Y95" i="14" s="1"/>
  <c r="V81" i="14"/>
  <c r="W95" i="14" s="1"/>
  <c r="T81" i="14"/>
  <c r="U95" i="14" s="1"/>
  <c r="R81" i="14"/>
  <c r="S95" i="14" s="1"/>
  <c r="P81" i="14"/>
  <c r="Q95" i="14" s="1"/>
  <c r="N81" i="14"/>
  <c r="O95" i="14" s="1"/>
  <c r="L81" i="14"/>
  <c r="J81" i="14"/>
  <c r="K95" i="14" s="1"/>
  <c r="H81" i="14"/>
  <c r="I95" i="14" s="1"/>
  <c r="F81" i="14"/>
  <c r="G95" i="14" s="1"/>
  <c r="BJ80" i="14"/>
  <c r="BK94" i="14" s="1"/>
  <c r="BH80" i="14"/>
  <c r="BI94" i="14" s="1"/>
  <c r="BF80" i="14"/>
  <c r="BG94" i="14" s="1"/>
  <c r="BD80" i="14"/>
  <c r="BE94" i="14" s="1"/>
  <c r="BB80" i="14"/>
  <c r="BC94" i="14" s="1"/>
  <c r="AZ80" i="14"/>
  <c r="BA94" i="14" s="1"/>
  <c r="AX80" i="14"/>
  <c r="AY94" i="14" s="1"/>
  <c r="AV80" i="14"/>
  <c r="AW94" i="14" s="1"/>
  <c r="AT80" i="14"/>
  <c r="AU94" i="14" s="1"/>
  <c r="AR80" i="14"/>
  <c r="AS94" i="14" s="1"/>
  <c r="AP80" i="14"/>
  <c r="AQ94" i="14" s="1"/>
  <c r="AN80" i="14"/>
  <c r="AO94" i="14" s="1"/>
  <c r="AL80" i="14"/>
  <c r="AM94" i="14" s="1"/>
  <c r="AJ80" i="14"/>
  <c r="AK94" i="14" s="1"/>
  <c r="AH80" i="14"/>
  <c r="AI94" i="14" s="1"/>
  <c r="AF80" i="14"/>
  <c r="AG94" i="14" s="1"/>
  <c r="AD80" i="14"/>
  <c r="AE94" i="14" s="1"/>
  <c r="AB80" i="14"/>
  <c r="AC94" i="14" s="1"/>
  <c r="Z80" i="14"/>
  <c r="AA94" i="14" s="1"/>
  <c r="X80" i="14"/>
  <c r="Y94" i="14" s="1"/>
  <c r="V80" i="14"/>
  <c r="W94" i="14" s="1"/>
  <c r="T80" i="14"/>
  <c r="U94" i="14" s="1"/>
  <c r="R80" i="14"/>
  <c r="S94" i="14" s="1"/>
  <c r="P80" i="14"/>
  <c r="Q94" i="14" s="1"/>
  <c r="N80" i="14"/>
  <c r="O94" i="14" s="1"/>
  <c r="L80" i="14"/>
  <c r="M94" i="14" s="1"/>
  <c r="J80" i="14"/>
  <c r="K94" i="14" s="1"/>
  <c r="H80" i="14"/>
  <c r="I94" i="14" s="1"/>
  <c r="F80" i="14"/>
  <c r="G94" i="14" s="1"/>
  <c r="BJ79" i="14"/>
  <c r="BK93" i="14" s="1"/>
  <c r="BH79" i="14"/>
  <c r="BI93" i="14" s="1"/>
  <c r="BF79" i="14"/>
  <c r="BG93" i="14" s="1"/>
  <c r="BD79" i="14"/>
  <c r="BE93" i="14" s="1"/>
  <c r="BB79" i="14"/>
  <c r="BC93" i="14" s="1"/>
  <c r="AZ79" i="14"/>
  <c r="BA93" i="14" s="1"/>
  <c r="AX79" i="14"/>
  <c r="AY93" i="14" s="1"/>
  <c r="AV79" i="14"/>
  <c r="AW93" i="14" s="1"/>
  <c r="AT79" i="14"/>
  <c r="AU93" i="14" s="1"/>
  <c r="AR79" i="14"/>
  <c r="AS93" i="14" s="1"/>
  <c r="AP79" i="14"/>
  <c r="AQ93" i="14" s="1"/>
  <c r="AN79" i="14"/>
  <c r="AL79" i="14"/>
  <c r="AM93" i="14" s="1"/>
  <c r="AJ79" i="14"/>
  <c r="AK93" i="14" s="1"/>
  <c r="AH79" i="14"/>
  <c r="AI93" i="14" s="1"/>
  <c r="AF79" i="14"/>
  <c r="AG93" i="14" s="1"/>
  <c r="AD79" i="14"/>
  <c r="AE93" i="14" s="1"/>
  <c r="AB79" i="14"/>
  <c r="AC93" i="14" s="1"/>
  <c r="Z79" i="14"/>
  <c r="AA93" i="14" s="1"/>
  <c r="X79" i="14"/>
  <c r="Y93" i="14" s="1"/>
  <c r="V79" i="14"/>
  <c r="W93" i="14" s="1"/>
  <c r="T79" i="14"/>
  <c r="U93" i="14" s="1"/>
  <c r="R79" i="14"/>
  <c r="S93" i="14" s="1"/>
  <c r="P79" i="14"/>
  <c r="Q93" i="14" s="1"/>
  <c r="N79" i="14"/>
  <c r="O93" i="14" s="1"/>
  <c r="L79" i="14"/>
  <c r="M93" i="14" s="1"/>
  <c r="J79" i="14"/>
  <c r="K93" i="14" s="1"/>
  <c r="H79" i="14"/>
  <c r="I93" i="14" s="1"/>
  <c r="F79" i="14"/>
  <c r="G93" i="14" s="1"/>
  <c r="BJ78" i="14"/>
  <c r="BK92" i="14" s="1"/>
  <c r="BH78" i="14"/>
  <c r="BI92" i="14" s="1"/>
  <c r="BF78" i="14"/>
  <c r="BG92" i="14" s="1"/>
  <c r="BD78" i="14"/>
  <c r="BE92" i="14" s="1"/>
  <c r="BB78" i="14"/>
  <c r="BC92" i="14" s="1"/>
  <c r="AZ78" i="14"/>
  <c r="BA92" i="14" s="1"/>
  <c r="AX78" i="14"/>
  <c r="AY92" i="14" s="1"/>
  <c r="AV78" i="14"/>
  <c r="AW92" i="14" s="1"/>
  <c r="AT78" i="14"/>
  <c r="AU92" i="14" s="1"/>
  <c r="AR78" i="14"/>
  <c r="AS92" i="14" s="1"/>
  <c r="AP78" i="14"/>
  <c r="AQ92" i="14" s="1"/>
  <c r="AN78" i="14"/>
  <c r="AO92" i="14" s="1"/>
  <c r="AL78" i="14"/>
  <c r="AM92" i="14" s="1"/>
  <c r="AJ78" i="14"/>
  <c r="AK92" i="14" s="1"/>
  <c r="AH78" i="14"/>
  <c r="AI92" i="14" s="1"/>
  <c r="AF78" i="14"/>
  <c r="AG92" i="14" s="1"/>
  <c r="AD78" i="14"/>
  <c r="AE92" i="14" s="1"/>
  <c r="AB78" i="14"/>
  <c r="AC92" i="14" s="1"/>
  <c r="Z78" i="14"/>
  <c r="AA92" i="14" s="1"/>
  <c r="X78" i="14"/>
  <c r="Y92" i="14" s="1"/>
  <c r="V78" i="14"/>
  <c r="W92" i="14" s="1"/>
  <c r="T78" i="14"/>
  <c r="U92" i="14" s="1"/>
  <c r="R78" i="14"/>
  <c r="S92" i="14" s="1"/>
  <c r="P78" i="14"/>
  <c r="Q92" i="14" s="1"/>
  <c r="N78" i="14"/>
  <c r="O92" i="14" s="1"/>
  <c r="L78" i="14"/>
  <c r="M92" i="14" s="1"/>
  <c r="J78" i="14"/>
  <c r="K92" i="14" s="1"/>
  <c r="H78" i="14"/>
  <c r="I92" i="14" s="1"/>
  <c r="F78" i="14"/>
  <c r="G92" i="14" s="1"/>
  <c r="BP77" i="14"/>
  <c r="BJ77" i="14"/>
  <c r="BK91" i="14" s="1"/>
  <c r="BH77" i="14"/>
  <c r="BI91" i="14" s="1"/>
  <c r="BF77" i="14"/>
  <c r="BG91" i="14" s="1"/>
  <c r="BD77" i="14"/>
  <c r="BE91" i="14" s="1"/>
  <c r="BB77" i="14"/>
  <c r="BC91" i="14" s="1"/>
  <c r="AZ77" i="14"/>
  <c r="BA91" i="14" s="1"/>
  <c r="AX77" i="14"/>
  <c r="AY91" i="14" s="1"/>
  <c r="AV77" i="14"/>
  <c r="AW91" i="14" s="1"/>
  <c r="AT77" i="14"/>
  <c r="AU91" i="14" s="1"/>
  <c r="AR77" i="14"/>
  <c r="AS91" i="14" s="1"/>
  <c r="AP77" i="14"/>
  <c r="AQ91" i="14" s="1"/>
  <c r="AN77" i="14"/>
  <c r="AO91" i="14" s="1"/>
  <c r="AL77" i="14"/>
  <c r="AM91" i="14" s="1"/>
  <c r="AJ77" i="14"/>
  <c r="AK91" i="14" s="1"/>
  <c r="AH77" i="14"/>
  <c r="AI91" i="14" s="1"/>
  <c r="AF77" i="14"/>
  <c r="AG91" i="14" s="1"/>
  <c r="AD77" i="14"/>
  <c r="AE91" i="14" s="1"/>
  <c r="AB77" i="14"/>
  <c r="AC91" i="14" s="1"/>
  <c r="Z77" i="14"/>
  <c r="AA91" i="14" s="1"/>
  <c r="X77" i="14"/>
  <c r="Y91" i="14" s="1"/>
  <c r="V77" i="14"/>
  <c r="W91" i="14" s="1"/>
  <c r="T77" i="14"/>
  <c r="U91" i="14" s="1"/>
  <c r="R77" i="14"/>
  <c r="S91" i="14" s="1"/>
  <c r="P77" i="14"/>
  <c r="Q91" i="14" s="1"/>
  <c r="N77" i="14"/>
  <c r="O91" i="14" s="1"/>
  <c r="L77" i="14"/>
  <c r="M91" i="14" s="1"/>
  <c r="J77" i="14"/>
  <c r="K91" i="14" s="1"/>
  <c r="H77" i="14"/>
  <c r="I91" i="14" s="1"/>
  <c r="F77" i="14"/>
  <c r="G91" i="14" s="1"/>
  <c r="W75" i="14"/>
  <c r="W11" i="14" s="1"/>
  <c r="BO74" i="14"/>
  <c r="C174" i="19" s="1"/>
  <c r="BP72" i="14"/>
  <c r="BK72" i="14"/>
  <c r="BJ72" i="14"/>
  <c r="BI72" i="14"/>
  <c r="BH72" i="14"/>
  <c r="BG72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D72" i="14"/>
  <c r="BP71" i="14"/>
  <c r="BK71" i="14"/>
  <c r="BJ71" i="14"/>
  <c r="BI71" i="14"/>
  <c r="BH71" i="14"/>
  <c r="BG71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D71" i="14"/>
  <c r="BP70" i="14"/>
  <c r="BK70" i="14"/>
  <c r="BJ70" i="14"/>
  <c r="BI70" i="14"/>
  <c r="BH70" i="14"/>
  <c r="BG70" i="14"/>
  <c r="BF70" i="14"/>
  <c r="BE70" i="14"/>
  <c r="BD70" i="14"/>
  <c r="BC70" i="14"/>
  <c r="BB70" i="14"/>
  <c r="BA70" i="14"/>
  <c r="AZ70" i="14"/>
  <c r="AY70" i="14"/>
  <c r="AX70" i="14"/>
  <c r="AW70" i="14"/>
  <c r="AV70" i="14"/>
  <c r="AU70" i="14"/>
  <c r="AT70" i="14"/>
  <c r="AS70" i="14"/>
  <c r="AR70" i="14"/>
  <c r="AQ70" i="14"/>
  <c r="AP70" i="14"/>
  <c r="AO70" i="14"/>
  <c r="AN70" i="14"/>
  <c r="AM70" i="14"/>
  <c r="AL70" i="14"/>
  <c r="AK70" i="14"/>
  <c r="AJ70" i="14"/>
  <c r="AI70" i="14"/>
  <c r="AH70" i="14"/>
  <c r="AG70" i="14"/>
  <c r="AF70" i="14"/>
  <c r="AE70" i="14"/>
  <c r="AD70" i="14"/>
  <c r="AC70" i="14"/>
  <c r="AB70" i="14"/>
  <c r="AA70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D70" i="14"/>
  <c r="BP69" i="14"/>
  <c r="BK69" i="14"/>
  <c r="BJ69" i="14"/>
  <c r="BI69" i="14"/>
  <c r="BH69" i="14"/>
  <c r="BG69" i="14"/>
  <c r="BF69" i="14"/>
  <c r="BE69" i="14"/>
  <c r="BD69" i="14"/>
  <c r="BC69" i="14"/>
  <c r="BB69" i="14"/>
  <c r="BA69" i="14"/>
  <c r="AZ69" i="14"/>
  <c r="AY69" i="14"/>
  <c r="AX69" i="14"/>
  <c r="AW69" i="14"/>
  <c r="AV69" i="14"/>
  <c r="AU69" i="14"/>
  <c r="AT69" i="14"/>
  <c r="AS69" i="14"/>
  <c r="AR69" i="14"/>
  <c r="AQ69" i="14"/>
  <c r="AP69" i="14"/>
  <c r="AO69" i="14"/>
  <c r="AN69" i="14"/>
  <c r="AM69" i="14"/>
  <c r="AL69" i="14"/>
  <c r="AK69" i="14"/>
  <c r="AJ69" i="14"/>
  <c r="AI69" i="14"/>
  <c r="AH69" i="14"/>
  <c r="AG69" i="14"/>
  <c r="AF69" i="14"/>
  <c r="AE69" i="14"/>
  <c r="AD69" i="14"/>
  <c r="AC69" i="14"/>
  <c r="AB69" i="14"/>
  <c r="AA69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BP68" i="14"/>
  <c r="BK68" i="14"/>
  <c r="BJ68" i="14"/>
  <c r="BI68" i="14"/>
  <c r="BH68" i="14"/>
  <c r="BG68" i="14"/>
  <c r="BF68" i="14"/>
  <c r="BE68" i="14"/>
  <c r="BD68" i="14"/>
  <c r="BC68" i="14"/>
  <c r="BB68" i="14"/>
  <c r="BA68" i="14"/>
  <c r="AZ68" i="14"/>
  <c r="AY68" i="14"/>
  <c r="AX68" i="14"/>
  <c r="AW68" i="14"/>
  <c r="AV68" i="14"/>
  <c r="AU68" i="14"/>
  <c r="AT68" i="14"/>
  <c r="AS68" i="14"/>
  <c r="AS73" i="14" s="1"/>
  <c r="AR68" i="14"/>
  <c r="AQ68" i="14"/>
  <c r="AP68" i="14"/>
  <c r="AO68" i="14"/>
  <c r="AN68" i="14"/>
  <c r="AM68" i="14"/>
  <c r="AL68" i="14"/>
  <c r="AK68" i="14"/>
  <c r="AJ68" i="14"/>
  <c r="AI68" i="14"/>
  <c r="AH68" i="14"/>
  <c r="AG68" i="14"/>
  <c r="AF68" i="14"/>
  <c r="AE68" i="14"/>
  <c r="AD68" i="14"/>
  <c r="AC68" i="14"/>
  <c r="AB68" i="14"/>
  <c r="AA68" i="14"/>
  <c r="Z68" i="14"/>
  <c r="Y68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I73" i="14" s="1"/>
  <c r="H68" i="14"/>
  <c r="G68" i="14"/>
  <c r="F68" i="14"/>
  <c r="D68" i="14"/>
  <c r="BJ66" i="14"/>
  <c r="BH66" i="14"/>
  <c r="BF66" i="14"/>
  <c r="BD66" i="14"/>
  <c r="BB66" i="14"/>
  <c r="AZ66" i="14"/>
  <c r="AX66" i="14"/>
  <c r="AV66" i="14"/>
  <c r="AT66" i="14"/>
  <c r="AR66" i="14"/>
  <c r="AP66" i="14"/>
  <c r="AN66" i="14"/>
  <c r="AL66" i="14"/>
  <c r="AJ66" i="14"/>
  <c r="AH66" i="14"/>
  <c r="AF66" i="14"/>
  <c r="AD66" i="14"/>
  <c r="AB66" i="14"/>
  <c r="Z66" i="14"/>
  <c r="X66" i="14"/>
  <c r="V66" i="14"/>
  <c r="T66" i="14"/>
  <c r="R66" i="14"/>
  <c r="P66" i="14"/>
  <c r="N66" i="14"/>
  <c r="L66" i="14"/>
  <c r="J66" i="14"/>
  <c r="H66" i="14"/>
  <c r="F66" i="14"/>
  <c r="BJ65" i="14"/>
  <c r="BH65" i="14"/>
  <c r="BF65" i="14"/>
  <c r="BD65" i="14"/>
  <c r="BB65" i="14"/>
  <c r="AZ65" i="14"/>
  <c r="AX65" i="14"/>
  <c r="AV65" i="14"/>
  <c r="AT65" i="14"/>
  <c r="AR65" i="14"/>
  <c r="AP65" i="14"/>
  <c r="AN65" i="14"/>
  <c r="AL65" i="14"/>
  <c r="AJ65" i="14"/>
  <c r="AH65" i="14"/>
  <c r="AF65" i="14"/>
  <c r="AD65" i="14"/>
  <c r="AB65" i="14"/>
  <c r="Z65" i="14"/>
  <c r="X65" i="14"/>
  <c r="V65" i="14"/>
  <c r="T65" i="14"/>
  <c r="R65" i="14"/>
  <c r="P65" i="14"/>
  <c r="N65" i="14"/>
  <c r="L65" i="14"/>
  <c r="J65" i="14"/>
  <c r="H65" i="14"/>
  <c r="F65" i="14"/>
  <c r="B65" i="14"/>
  <c r="BJ64" i="14"/>
  <c r="BH64" i="14"/>
  <c r="BF64" i="14"/>
  <c r="BD64" i="14"/>
  <c r="BB64" i="14"/>
  <c r="AZ64" i="14"/>
  <c r="AX64" i="14"/>
  <c r="AV64" i="14"/>
  <c r="AT64" i="14"/>
  <c r="AR64" i="14"/>
  <c r="AP64" i="14"/>
  <c r="AN64" i="14"/>
  <c r="AL64" i="14"/>
  <c r="AJ64" i="14"/>
  <c r="AH64" i="14"/>
  <c r="AF64" i="14"/>
  <c r="AD64" i="14"/>
  <c r="AB64" i="14"/>
  <c r="Z64" i="14"/>
  <c r="X64" i="14"/>
  <c r="V64" i="14"/>
  <c r="T64" i="14"/>
  <c r="R64" i="14"/>
  <c r="P64" i="14"/>
  <c r="N64" i="14"/>
  <c r="L64" i="14"/>
  <c r="J64" i="14"/>
  <c r="H64" i="14"/>
  <c r="F64" i="14"/>
  <c r="BJ63" i="14"/>
  <c r="BH63" i="14"/>
  <c r="BF63" i="14"/>
  <c r="BD63" i="14"/>
  <c r="BB63" i="14"/>
  <c r="AZ63" i="14"/>
  <c r="AX63" i="14"/>
  <c r="AV63" i="14"/>
  <c r="AT63" i="14"/>
  <c r="AR63" i="14"/>
  <c r="AR67" i="14" s="1"/>
  <c r="AP63" i="14"/>
  <c r="AN63" i="14"/>
  <c r="AL63" i="14"/>
  <c r="AJ63" i="14"/>
  <c r="AH63" i="14"/>
  <c r="AF63" i="14"/>
  <c r="AD63" i="14"/>
  <c r="AB63" i="14"/>
  <c r="Z63" i="14"/>
  <c r="X63" i="14"/>
  <c r="V63" i="14"/>
  <c r="T63" i="14"/>
  <c r="R63" i="14"/>
  <c r="P63" i="14"/>
  <c r="N63" i="14"/>
  <c r="L63" i="14"/>
  <c r="J63" i="14"/>
  <c r="H63" i="14"/>
  <c r="F63" i="14"/>
  <c r="BJ62" i="14"/>
  <c r="BH62" i="14"/>
  <c r="BF62" i="14"/>
  <c r="BD62" i="14"/>
  <c r="BB62" i="14"/>
  <c r="AZ62" i="14"/>
  <c r="AX62" i="14"/>
  <c r="AV62" i="14"/>
  <c r="AT62" i="14"/>
  <c r="AR62" i="14"/>
  <c r="AP62" i="14"/>
  <c r="AN62" i="14"/>
  <c r="AL62" i="14"/>
  <c r="AJ62" i="14"/>
  <c r="AH62" i="14"/>
  <c r="AF62" i="14"/>
  <c r="AD62" i="14"/>
  <c r="AB62" i="14"/>
  <c r="Z62" i="14"/>
  <c r="X62" i="14"/>
  <c r="V62" i="14"/>
  <c r="T62" i="14"/>
  <c r="R62" i="14"/>
  <c r="P62" i="14"/>
  <c r="N62" i="14"/>
  <c r="L62" i="14"/>
  <c r="J62" i="14"/>
  <c r="H62" i="14"/>
  <c r="F62" i="14"/>
  <c r="BK59" i="14"/>
  <c r="BK7" i="14" s="1"/>
  <c r="BI59" i="14"/>
  <c r="BI7" i="14" s="1"/>
  <c r="BG59" i="14"/>
  <c r="BG7" i="14" s="1"/>
  <c r="BE59" i="14"/>
  <c r="BE7" i="14" s="1"/>
  <c r="BC59" i="14"/>
  <c r="BC7" i="14" s="1"/>
  <c r="BA59" i="14"/>
  <c r="BA7" i="14" s="1"/>
  <c r="AY59" i="14"/>
  <c r="AW59" i="14"/>
  <c r="AW7" i="14" s="1"/>
  <c r="AU59" i="14"/>
  <c r="AU7" i="14" s="1"/>
  <c r="AS59" i="14"/>
  <c r="AS7" i="14" s="1"/>
  <c r="AQ59" i="14"/>
  <c r="AQ7" i="14" s="1"/>
  <c r="AO59" i="14"/>
  <c r="AO7" i="14" s="1"/>
  <c r="AM59" i="14"/>
  <c r="AM7" i="14" s="1"/>
  <c r="AK59" i="14"/>
  <c r="AK7" i="14" s="1"/>
  <c r="AI59" i="14"/>
  <c r="AI7" i="14" s="1"/>
  <c r="AG59" i="14"/>
  <c r="AG7" i="14" s="1"/>
  <c r="AE59" i="14"/>
  <c r="AC59" i="14"/>
  <c r="AA59" i="14"/>
  <c r="Y59" i="14"/>
  <c r="W59" i="14"/>
  <c r="W7" i="14" s="1"/>
  <c r="U59" i="14"/>
  <c r="U7" i="14" s="1"/>
  <c r="S59" i="14"/>
  <c r="S7" i="14" s="1"/>
  <c r="Q59" i="14"/>
  <c r="Q7" i="14" s="1"/>
  <c r="O59" i="14"/>
  <c r="M59" i="14"/>
  <c r="M7" i="14" s="1"/>
  <c r="K59" i="14"/>
  <c r="K7" i="14" s="1"/>
  <c r="I59" i="14"/>
  <c r="I7" i="14" s="1"/>
  <c r="G59" i="14"/>
  <c r="G7" i="14" s="1"/>
  <c r="E59" i="14"/>
  <c r="BK57" i="14"/>
  <c r="BK75" i="14" s="1"/>
  <c r="BK11" i="14" s="1"/>
  <c r="BI57" i="14"/>
  <c r="BI75" i="14" s="1"/>
  <c r="BI11" i="14" s="1"/>
  <c r="BG57" i="14"/>
  <c r="BG75" i="14" s="1"/>
  <c r="BG11" i="14" s="1"/>
  <c r="BE57" i="14"/>
  <c r="BE75" i="14" s="1"/>
  <c r="BE11" i="14" s="1"/>
  <c r="BC57" i="14"/>
  <c r="BC75" i="14" s="1"/>
  <c r="BC11" i="14" s="1"/>
  <c r="BA57" i="14"/>
  <c r="BA75" i="14" s="1"/>
  <c r="BA11" i="14" s="1"/>
  <c r="AY57" i="14"/>
  <c r="AY75" i="14" s="1"/>
  <c r="AY11" i="14" s="1"/>
  <c r="AW57" i="14"/>
  <c r="AW75" i="14" s="1"/>
  <c r="AW11" i="14" s="1"/>
  <c r="AU57" i="14"/>
  <c r="AU75" i="14" s="1"/>
  <c r="AU11" i="14" s="1"/>
  <c r="AS57" i="14"/>
  <c r="AS75" i="14" s="1"/>
  <c r="AS11" i="14" s="1"/>
  <c r="AQ57" i="14"/>
  <c r="AQ75" i="14" s="1"/>
  <c r="AQ11" i="14" s="1"/>
  <c r="AO57" i="14"/>
  <c r="AO75" i="14" s="1"/>
  <c r="AO11" i="14" s="1"/>
  <c r="AM57" i="14"/>
  <c r="AM75" i="14" s="1"/>
  <c r="AK57" i="14"/>
  <c r="AK75" i="14" s="1"/>
  <c r="AK11" i="14" s="1"/>
  <c r="AI57" i="14"/>
  <c r="AI75" i="14" s="1"/>
  <c r="AI11" i="14" s="1"/>
  <c r="AG57" i="14"/>
  <c r="AG75" i="14" s="1"/>
  <c r="AG11" i="14" s="1"/>
  <c r="AE57" i="14"/>
  <c r="AE75" i="14" s="1"/>
  <c r="AE11" i="14" s="1"/>
  <c r="AC57" i="14"/>
  <c r="AC75" i="14" s="1"/>
  <c r="AC11" i="14" s="1"/>
  <c r="AA57" i="14"/>
  <c r="AA75" i="14" s="1"/>
  <c r="AA11" i="14" s="1"/>
  <c r="Y57" i="14"/>
  <c r="Y75" i="14" s="1"/>
  <c r="Y11" i="14" s="1"/>
  <c r="W57" i="14"/>
  <c r="U57" i="14"/>
  <c r="U75" i="14" s="1"/>
  <c r="U11" i="14" s="1"/>
  <c r="S57" i="14"/>
  <c r="S75" i="14" s="1"/>
  <c r="S11" i="14" s="1"/>
  <c r="Q57" i="14"/>
  <c r="Q75" i="14" s="1"/>
  <c r="Q11" i="14" s="1"/>
  <c r="O57" i="14"/>
  <c r="O75" i="14" s="1"/>
  <c r="O11" i="14" s="1"/>
  <c r="M57" i="14"/>
  <c r="M75" i="14" s="1"/>
  <c r="M11" i="14" s="1"/>
  <c r="K57" i="14"/>
  <c r="K75" i="14" s="1"/>
  <c r="K11" i="14" s="1"/>
  <c r="I57" i="14"/>
  <c r="I75" i="14" s="1"/>
  <c r="I11" i="14" s="1"/>
  <c r="G57" i="14"/>
  <c r="G75" i="14" s="1"/>
  <c r="G11" i="14" s="1"/>
  <c r="E57" i="14"/>
  <c r="E75" i="14" s="1"/>
  <c r="BO56" i="14"/>
  <c r="C157" i="19" s="1"/>
  <c r="BO55" i="14"/>
  <c r="C156" i="19" s="1"/>
  <c r="BO53" i="14"/>
  <c r="C154" i="19" s="1"/>
  <c r="BO52" i="14"/>
  <c r="C153" i="19" s="1"/>
  <c r="BO51" i="14"/>
  <c r="C152" i="19" s="1"/>
  <c r="BK49" i="14"/>
  <c r="C49" i="15" s="1"/>
  <c r="BI49" i="14"/>
  <c r="BG49" i="14"/>
  <c r="BE49" i="14"/>
  <c r="BC49" i="14"/>
  <c r="BA49" i="14"/>
  <c r="AY49" i="14"/>
  <c r="AW49" i="14"/>
  <c r="AU49" i="14"/>
  <c r="AS49" i="14"/>
  <c r="AQ49" i="14"/>
  <c r="AO49" i="14"/>
  <c r="AM49" i="14"/>
  <c r="AK49" i="14"/>
  <c r="AI49" i="14"/>
  <c r="AG49" i="14"/>
  <c r="AE49" i="14"/>
  <c r="AC49" i="14"/>
  <c r="AA49" i="14"/>
  <c r="Y49" i="14"/>
  <c r="W49" i="14"/>
  <c r="U49" i="14"/>
  <c r="S49" i="14"/>
  <c r="Q49" i="14"/>
  <c r="O49" i="14"/>
  <c r="M49" i="14"/>
  <c r="K49" i="14"/>
  <c r="I49" i="14"/>
  <c r="G49" i="14"/>
  <c r="E49" i="14"/>
  <c r="BO48" i="14"/>
  <c r="C149" i="19" s="1"/>
  <c r="BO47" i="14"/>
  <c r="C148" i="19" s="1"/>
  <c r="BO46" i="14"/>
  <c r="C147" i="19" s="1"/>
  <c r="BO45" i="14"/>
  <c r="C146" i="19" s="1"/>
  <c r="BO44" i="14"/>
  <c r="C145" i="19" s="1"/>
  <c r="BO43" i="14"/>
  <c r="C144" i="19" s="1"/>
  <c r="BK42" i="14"/>
  <c r="C42" i="15" s="1"/>
  <c r="BI42" i="14"/>
  <c r="BG42" i="14"/>
  <c r="BG50" i="14" s="1"/>
  <c r="BE42" i="14"/>
  <c r="BE50" i="14" s="1"/>
  <c r="BC42" i="14"/>
  <c r="BA42" i="14"/>
  <c r="BA50" i="14" s="1"/>
  <c r="AY42" i="14"/>
  <c r="AY50" i="14" s="1"/>
  <c r="AW42" i="14"/>
  <c r="AW50" i="14" s="1"/>
  <c r="AU42" i="14"/>
  <c r="AS42" i="14"/>
  <c r="AQ42" i="14"/>
  <c r="AQ50" i="14" s="1"/>
  <c r="AO42" i="14"/>
  <c r="AO50" i="14" s="1"/>
  <c r="AO54" i="14" s="1"/>
  <c r="AM42" i="14"/>
  <c r="AK42" i="14"/>
  <c r="AI42" i="14"/>
  <c r="AI50" i="14" s="1"/>
  <c r="AG42" i="14"/>
  <c r="AG50" i="14" s="1"/>
  <c r="AG54" i="14" s="1"/>
  <c r="AG58" i="14" s="1"/>
  <c r="AG8" i="14" s="1"/>
  <c r="AE42" i="14"/>
  <c r="AE50" i="14" s="1"/>
  <c r="AC42" i="14"/>
  <c r="AC50" i="14" s="1"/>
  <c r="AA42" i="14"/>
  <c r="AA50" i="14" s="1"/>
  <c r="Y42" i="14"/>
  <c r="Y50" i="14" s="1"/>
  <c r="W42" i="14"/>
  <c r="U42" i="14"/>
  <c r="S42" i="14"/>
  <c r="S50" i="14" s="1"/>
  <c r="Q42" i="14"/>
  <c r="Q50" i="14" s="1"/>
  <c r="O42" i="14"/>
  <c r="M42" i="14"/>
  <c r="K42" i="14"/>
  <c r="K50" i="14" s="1"/>
  <c r="I42" i="14"/>
  <c r="I50" i="14" s="1"/>
  <c r="G42" i="14"/>
  <c r="E42" i="14"/>
  <c r="E50" i="14" s="1"/>
  <c r="BO41" i="14"/>
  <c r="C142" i="19" s="1"/>
  <c r="BO40" i="14"/>
  <c r="C141" i="19" s="1"/>
  <c r="BO39" i="14"/>
  <c r="C140" i="19" s="1"/>
  <c r="BO38" i="14"/>
  <c r="C139" i="19" s="1"/>
  <c r="BO37" i="14"/>
  <c r="C138" i="19" s="1"/>
  <c r="BO36" i="14"/>
  <c r="C137" i="19" s="1"/>
  <c r="BO35" i="14"/>
  <c r="C136" i="19" s="1"/>
  <c r="BO34" i="14"/>
  <c r="C135" i="19" s="1"/>
  <c r="BO33" i="14"/>
  <c r="C134" i="19" s="1"/>
  <c r="BO32" i="14"/>
  <c r="C133" i="19" s="1"/>
  <c r="BK31" i="14"/>
  <c r="BI31" i="14"/>
  <c r="BG31" i="14"/>
  <c r="BE31" i="14"/>
  <c r="BC31" i="14"/>
  <c r="BA31" i="14"/>
  <c r="AY31" i="14"/>
  <c r="AW31" i="14"/>
  <c r="AU31" i="14"/>
  <c r="AS31" i="14"/>
  <c r="AQ31" i="14"/>
  <c r="AO31" i="14"/>
  <c r="AM31" i="14"/>
  <c r="AK31" i="14"/>
  <c r="AI31" i="14"/>
  <c r="AG31" i="14"/>
  <c r="AE31" i="14"/>
  <c r="AC31" i="14"/>
  <c r="AA31" i="14"/>
  <c r="Y31" i="14"/>
  <c r="W31" i="14"/>
  <c r="U31" i="14"/>
  <c r="S31" i="14"/>
  <c r="Q31" i="14"/>
  <c r="O31" i="14"/>
  <c r="M31" i="14"/>
  <c r="K31" i="14"/>
  <c r="I31" i="14"/>
  <c r="G31" i="14"/>
  <c r="E31" i="14"/>
  <c r="BK30" i="14"/>
  <c r="BI30" i="14"/>
  <c r="BG30" i="14"/>
  <c r="BE30" i="14"/>
  <c r="BC30" i="14"/>
  <c r="BA30" i="14"/>
  <c r="AY30" i="14"/>
  <c r="AW30" i="14"/>
  <c r="AU30" i="14"/>
  <c r="AS30" i="14"/>
  <c r="AQ30" i="14"/>
  <c r="AO30" i="14"/>
  <c r="AM30" i="14"/>
  <c r="AK30" i="14"/>
  <c r="AI30" i="14"/>
  <c r="AG30" i="14"/>
  <c r="AE30" i="14"/>
  <c r="AC30" i="14"/>
  <c r="AA30" i="14"/>
  <c r="Y30" i="14"/>
  <c r="W30" i="14"/>
  <c r="U30" i="14"/>
  <c r="S30" i="14"/>
  <c r="Q30" i="14"/>
  <c r="O30" i="14"/>
  <c r="M30" i="14"/>
  <c r="K30" i="14"/>
  <c r="I30" i="14"/>
  <c r="G30" i="14"/>
  <c r="BO29" i="14"/>
  <c r="C130" i="19" s="1"/>
  <c r="BO28" i="14"/>
  <c r="C129" i="19" s="1"/>
  <c r="BO27" i="14"/>
  <c r="C128" i="19" s="1"/>
  <c r="BO26" i="14"/>
  <c r="C127" i="19" s="1"/>
  <c r="BO25" i="14"/>
  <c r="C126" i="19" s="1"/>
  <c r="BO24" i="14"/>
  <c r="C125" i="19" s="1"/>
  <c r="BO23" i="14"/>
  <c r="C124" i="19" s="1"/>
  <c r="BK22" i="14"/>
  <c r="BQ22" i="14" s="1"/>
  <c r="BI22" i="14"/>
  <c r="BG22" i="14"/>
  <c r="BE22" i="14"/>
  <c r="BC22" i="14"/>
  <c r="BA22" i="14"/>
  <c r="AY22" i="14"/>
  <c r="AW22" i="14"/>
  <c r="AU22" i="14"/>
  <c r="AS22" i="14"/>
  <c r="AQ22" i="14"/>
  <c r="AO22" i="14"/>
  <c r="AM22" i="14"/>
  <c r="AK22" i="14"/>
  <c r="AI22" i="14"/>
  <c r="AG22" i="14"/>
  <c r="AE22" i="14"/>
  <c r="AC22" i="14"/>
  <c r="AA22" i="14"/>
  <c r="Y22" i="14"/>
  <c r="W22" i="14"/>
  <c r="U22" i="14"/>
  <c r="S22" i="14"/>
  <c r="S54" i="14" s="1"/>
  <c r="S58" i="14" s="1"/>
  <c r="S8" i="14" s="1"/>
  <c r="Q22" i="14"/>
  <c r="O22" i="14"/>
  <c r="M22" i="14"/>
  <c r="K22" i="14"/>
  <c r="I22" i="14"/>
  <c r="G22" i="14"/>
  <c r="E22" i="14"/>
  <c r="BO21" i="14"/>
  <c r="C122" i="19" s="1"/>
  <c r="BO20" i="14"/>
  <c r="C121" i="19" s="1"/>
  <c r="BO19" i="14"/>
  <c r="C120" i="19" s="1"/>
  <c r="BO18" i="14"/>
  <c r="C119" i="19" s="1"/>
  <c r="BO17" i="14"/>
  <c r="C118" i="19" s="1"/>
  <c r="BM11" i="14"/>
  <c r="AM11" i="14"/>
  <c r="AL11" i="14"/>
  <c r="AJ11" i="14"/>
  <c r="AH11" i="14"/>
  <c r="AF11" i="14"/>
  <c r="AD11" i="14"/>
  <c r="AB11" i="14"/>
  <c r="Z11" i="14"/>
  <c r="X11" i="14"/>
  <c r="BM7" i="14"/>
  <c r="AY7" i="14"/>
  <c r="AE7" i="14"/>
  <c r="AC7" i="14"/>
  <c r="AA7" i="14"/>
  <c r="Y7" i="14"/>
  <c r="O7" i="14"/>
  <c r="BP6" i="14"/>
  <c r="BL6" i="14"/>
  <c r="BJ6" i="14"/>
  <c r="BJ5" i="14" s="1"/>
  <c r="BH6" i="14"/>
  <c r="BH5" i="14" s="1"/>
  <c r="BF6" i="14"/>
  <c r="BF5" i="14" s="1"/>
  <c r="BD6" i="14"/>
  <c r="BB6" i="14"/>
  <c r="BB5" i="14" s="1"/>
  <c r="AZ6" i="14"/>
  <c r="AZ5" i="14" s="1"/>
  <c r="AX6" i="14"/>
  <c r="AX5" i="14" s="1"/>
  <c r="AV6" i="14"/>
  <c r="AT6" i="14"/>
  <c r="AR6" i="14"/>
  <c r="AP6" i="14"/>
  <c r="AN6" i="14"/>
  <c r="AL6" i="14"/>
  <c r="AL5" i="14" s="1"/>
  <c r="AJ6" i="14"/>
  <c r="AH6" i="14"/>
  <c r="AH5" i="14" s="1"/>
  <c r="AF6" i="14"/>
  <c r="AD6" i="14"/>
  <c r="AD5" i="14" s="1"/>
  <c r="AB6" i="14"/>
  <c r="AB5" i="14" s="1"/>
  <c r="Z6" i="14"/>
  <c r="X6" i="14"/>
  <c r="X5" i="14" s="1"/>
  <c r="V6" i="14"/>
  <c r="T6" i="14"/>
  <c r="T5" i="14" s="1"/>
  <c r="R6" i="14"/>
  <c r="R5" i="14" s="1"/>
  <c r="P6" i="14"/>
  <c r="N6" i="14"/>
  <c r="N5" i="14" s="1"/>
  <c r="L6" i="14"/>
  <c r="L5" i="14" s="1"/>
  <c r="J6" i="14"/>
  <c r="J5" i="14" s="1"/>
  <c r="H6" i="14"/>
  <c r="F6" i="14"/>
  <c r="F5" i="14" s="1"/>
  <c r="D6" i="14"/>
  <c r="D5" i="14" s="1"/>
  <c r="AR5" i="14"/>
  <c r="AJ5" i="14"/>
  <c r="A5" i="14"/>
  <c r="A1" i="14"/>
  <c r="BQ13" i="13"/>
  <c r="BQ14" i="13"/>
  <c r="BQ15" i="13"/>
  <c r="BQ17" i="13"/>
  <c r="BQ21" i="13"/>
  <c r="BQ25" i="13"/>
  <c r="BQ26" i="13"/>
  <c r="BQ27" i="13"/>
  <c r="BQ28" i="13"/>
  <c r="BQ32" i="13"/>
  <c r="BQ33" i="13"/>
  <c r="BQ34" i="13"/>
  <c r="BQ36" i="13"/>
  <c r="BQ38" i="13"/>
  <c r="BQ39" i="13"/>
  <c r="BQ43" i="13"/>
  <c r="BQ55" i="13"/>
  <c r="BQ56" i="13"/>
  <c r="BQ62" i="13"/>
  <c r="BQ63" i="13"/>
  <c r="BP63" i="13" s="1"/>
  <c r="BQ64" i="13"/>
  <c r="BP64" i="13" s="1"/>
  <c r="BQ65" i="13"/>
  <c r="BP65" i="13" s="1"/>
  <c r="BQ66" i="13"/>
  <c r="BP66" i="13" s="1"/>
  <c r="BQ74" i="13"/>
  <c r="BQ77" i="13"/>
  <c r="BP77" i="13" s="1"/>
  <c r="BQ78" i="13"/>
  <c r="BP78" i="13" s="1"/>
  <c r="BQ79" i="13"/>
  <c r="BQ80" i="13"/>
  <c r="BQ81" i="13"/>
  <c r="BP81" i="13" s="1"/>
  <c r="BQ82" i="13"/>
  <c r="BQ83" i="13"/>
  <c r="BQ84" i="13"/>
  <c r="BP84" i="13" s="1"/>
  <c r="BQ85" i="13"/>
  <c r="BP85" i="13" s="1"/>
  <c r="BQ86" i="13"/>
  <c r="BP86" i="13" s="1"/>
  <c r="BQ87" i="13"/>
  <c r="BP87" i="13" s="1"/>
  <c r="BQ88" i="13"/>
  <c r="BP88" i="13" s="1"/>
  <c r="C13" i="13"/>
  <c r="C14" i="13"/>
  <c r="C15" i="13"/>
  <c r="C17" i="13"/>
  <c r="C21" i="13"/>
  <c r="C25" i="13"/>
  <c r="C26" i="13"/>
  <c r="C27" i="13"/>
  <c r="C28" i="13"/>
  <c r="E30" i="13" s="1"/>
  <c r="C32" i="13"/>
  <c r="C33" i="13"/>
  <c r="C34" i="13"/>
  <c r="C36" i="13"/>
  <c r="C38" i="13"/>
  <c r="C39" i="13"/>
  <c r="C43" i="13"/>
  <c r="C55" i="13"/>
  <c r="C56" i="13"/>
  <c r="C62" i="13"/>
  <c r="B62" i="13" s="1"/>
  <c r="C63" i="13"/>
  <c r="D63" i="13" s="1"/>
  <c r="C64" i="13"/>
  <c r="D64" i="13" s="1"/>
  <c r="C65" i="13"/>
  <c r="C66" i="13"/>
  <c r="B66" i="13" s="1"/>
  <c r="C74" i="13"/>
  <c r="C77" i="13"/>
  <c r="C78" i="13"/>
  <c r="C79" i="13"/>
  <c r="D79" i="13" s="1"/>
  <c r="C80" i="13"/>
  <c r="D80" i="13" s="1"/>
  <c r="C81" i="13"/>
  <c r="D81" i="13" s="1"/>
  <c r="E95" i="13" s="1"/>
  <c r="C82" i="13"/>
  <c r="D82" i="13" s="1"/>
  <c r="E96" i="13" s="1"/>
  <c r="C83" i="13"/>
  <c r="D83" i="13" s="1"/>
  <c r="C84" i="13"/>
  <c r="D84" i="13" s="1"/>
  <c r="E98" i="13" s="1"/>
  <c r="C85" i="13"/>
  <c r="D85" i="13" s="1"/>
  <c r="E99" i="13" s="1"/>
  <c r="C86" i="13"/>
  <c r="D86" i="13" s="1"/>
  <c r="C87" i="13"/>
  <c r="D87" i="13" s="1"/>
  <c r="C88" i="13"/>
  <c r="D88" i="13" s="1"/>
  <c r="BO120" i="13"/>
  <c r="B215" i="19" s="1"/>
  <c r="BO119" i="13"/>
  <c r="B214" i="19" s="1"/>
  <c r="BO118" i="13"/>
  <c r="B213" i="19" s="1"/>
  <c r="BO117" i="13"/>
  <c r="B212" i="19" s="1"/>
  <c r="BO116" i="13"/>
  <c r="B211" i="19" s="1"/>
  <c r="BO115" i="13"/>
  <c r="B210" i="19" s="1"/>
  <c r="BO114" i="13"/>
  <c r="B209" i="19" s="1"/>
  <c r="BO113" i="13"/>
  <c r="B208" i="19" s="1"/>
  <c r="BO112" i="13"/>
  <c r="B207" i="19" s="1"/>
  <c r="BO111" i="13"/>
  <c r="B206" i="19" s="1"/>
  <c r="BO110" i="13"/>
  <c r="B205" i="19" s="1"/>
  <c r="BO109" i="13"/>
  <c r="B204" i="19" s="1"/>
  <c r="BO108" i="13"/>
  <c r="B203" i="19" s="1"/>
  <c r="BO107" i="13"/>
  <c r="B202" i="19" s="1"/>
  <c r="BO106" i="13"/>
  <c r="B201" i="19" s="1"/>
  <c r="BP104" i="13"/>
  <c r="BL104" i="13"/>
  <c r="BJ104" i="13"/>
  <c r="BH104" i="13"/>
  <c r="BF104" i="13"/>
  <c r="BD104" i="13"/>
  <c r="BB104" i="13"/>
  <c r="AZ104" i="13"/>
  <c r="AX104" i="13"/>
  <c r="AV104" i="13"/>
  <c r="AT104" i="13"/>
  <c r="AR104" i="13"/>
  <c r="AP104" i="13"/>
  <c r="AN104" i="13"/>
  <c r="AL104" i="13"/>
  <c r="AJ104" i="13"/>
  <c r="AH104" i="13"/>
  <c r="AF104" i="13"/>
  <c r="AD104" i="13"/>
  <c r="AB104" i="13"/>
  <c r="Z104" i="13"/>
  <c r="X104" i="13"/>
  <c r="V104" i="13"/>
  <c r="T104" i="13"/>
  <c r="R104" i="13"/>
  <c r="P104" i="13"/>
  <c r="N104" i="13"/>
  <c r="L104" i="13"/>
  <c r="J104" i="13"/>
  <c r="H104" i="13"/>
  <c r="F104" i="13"/>
  <c r="D104" i="13"/>
  <c r="BP103" i="13"/>
  <c r="BL103" i="13"/>
  <c r="BJ103" i="13"/>
  <c r="BH103" i="13"/>
  <c r="BF103" i="13"/>
  <c r="BD103" i="13"/>
  <c r="BB103" i="13"/>
  <c r="AZ103" i="13"/>
  <c r="AX103" i="13"/>
  <c r="AV103" i="13"/>
  <c r="AT103" i="13"/>
  <c r="AR103" i="13"/>
  <c r="AP103" i="13"/>
  <c r="AN103" i="13"/>
  <c r="AL103" i="13"/>
  <c r="AJ103" i="13"/>
  <c r="AH103" i="13"/>
  <c r="AF103" i="13"/>
  <c r="AD103" i="13"/>
  <c r="AB103" i="13"/>
  <c r="Z103" i="13"/>
  <c r="X103" i="13"/>
  <c r="V103" i="13"/>
  <c r="T103" i="13"/>
  <c r="R103" i="13"/>
  <c r="P103" i="13"/>
  <c r="N103" i="13"/>
  <c r="L103" i="13"/>
  <c r="J103" i="13"/>
  <c r="H103" i="13"/>
  <c r="F103" i="13"/>
  <c r="D103" i="13"/>
  <c r="M102" i="13"/>
  <c r="AU100" i="13"/>
  <c r="AK99" i="13"/>
  <c r="U99" i="13"/>
  <c r="BP89" i="13"/>
  <c r="BL89" i="13"/>
  <c r="BJ89" i="13"/>
  <c r="BH89" i="13"/>
  <c r="BF89" i="13"/>
  <c r="BD89" i="13"/>
  <c r="BB89" i="13"/>
  <c r="AZ89" i="13"/>
  <c r="AX89" i="13"/>
  <c r="AV89" i="13"/>
  <c r="AT89" i="13"/>
  <c r="AR89" i="13"/>
  <c r="AP89" i="13"/>
  <c r="AN89" i="13"/>
  <c r="AL89" i="13"/>
  <c r="AJ89" i="13"/>
  <c r="AH89" i="13"/>
  <c r="AF89" i="13"/>
  <c r="AD89" i="13"/>
  <c r="AB89" i="13"/>
  <c r="Z89" i="13"/>
  <c r="X89" i="13"/>
  <c r="V89" i="13"/>
  <c r="T89" i="13"/>
  <c r="R89" i="13"/>
  <c r="P89" i="13"/>
  <c r="N89" i="13"/>
  <c r="L89" i="13"/>
  <c r="J89" i="13"/>
  <c r="H89" i="13"/>
  <c r="F89" i="13"/>
  <c r="D89" i="13"/>
  <c r="BL88" i="13"/>
  <c r="BM102" i="13" s="1"/>
  <c r="BJ88" i="13"/>
  <c r="BK102" i="13" s="1"/>
  <c r="BH88" i="13"/>
  <c r="BI102" i="13" s="1"/>
  <c r="BF88" i="13"/>
  <c r="BG102" i="13" s="1"/>
  <c r="BD88" i="13"/>
  <c r="BE102" i="13" s="1"/>
  <c r="BB88" i="13"/>
  <c r="BC102" i="13" s="1"/>
  <c r="AZ88" i="13"/>
  <c r="BA102" i="13" s="1"/>
  <c r="AX88" i="13"/>
  <c r="AY102" i="13" s="1"/>
  <c r="AV88" i="13"/>
  <c r="AW102" i="13" s="1"/>
  <c r="AT88" i="13"/>
  <c r="AU102" i="13" s="1"/>
  <c r="AR88" i="13"/>
  <c r="AS102" i="13" s="1"/>
  <c r="AP88" i="13"/>
  <c r="AQ102" i="13" s="1"/>
  <c r="AN88" i="13"/>
  <c r="AO102" i="13" s="1"/>
  <c r="AL88" i="13"/>
  <c r="AM102" i="13" s="1"/>
  <c r="AJ88" i="13"/>
  <c r="AK102" i="13" s="1"/>
  <c r="AH88" i="13"/>
  <c r="AI102" i="13" s="1"/>
  <c r="AF88" i="13"/>
  <c r="AG102" i="13" s="1"/>
  <c r="AD88" i="13"/>
  <c r="AE102" i="13" s="1"/>
  <c r="AB88" i="13"/>
  <c r="AC102" i="13" s="1"/>
  <c r="Z88" i="13"/>
  <c r="AA102" i="13" s="1"/>
  <c r="X88" i="13"/>
  <c r="Y102" i="13" s="1"/>
  <c r="V88" i="13"/>
  <c r="W102" i="13" s="1"/>
  <c r="T88" i="13"/>
  <c r="U102" i="13" s="1"/>
  <c r="R88" i="13"/>
  <c r="S102" i="13" s="1"/>
  <c r="P88" i="13"/>
  <c r="Q102" i="13" s="1"/>
  <c r="N88" i="13"/>
  <c r="O102" i="13" s="1"/>
  <c r="L88" i="13"/>
  <c r="J88" i="13"/>
  <c r="K102" i="13" s="1"/>
  <c r="H88" i="13"/>
  <c r="I102" i="13" s="1"/>
  <c r="F88" i="13"/>
  <c r="G102" i="13" s="1"/>
  <c r="BL87" i="13"/>
  <c r="BM101" i="13" s="1"/>
  <c r="BJ87" i="13"/>
  <c r="BK101" i="13" s="1"/>
  <c r="BH87" i="13"/>
  <c r="BI101" i="13" s="1"/>
  <c r="BF87" i="13"/>
  <c r="BG101" i="13" s="1"/>
  <c r="BD87" i="13"/>
  <c r="BE101" i="13" s="1"/>
  <c r="BB87" i="13"/>
  <c r="BC101" i="13" s="1"/>
  <c r="AZ87" i="13"/>
  <c r="BA101" i="13" s="1"/>
  <c r="AX87" i="13"/>
  <c r="AY101" i="13" s="1"/>
  <c r="AV87" i="13"/>
  <c r="AW101" i="13" s="1"/>
  <c r="AT87" i="13"/>
  <c r="AU101" i="13" s="1"/>
  <c r="AR87" i="13"/>
  <c r="AS101" i="13" s="1"/>
  <c r="AP87" i="13"/>
  <c r="AQ101" i="13" s="1"/>
  <c r="AN87" i="13"/>
  <c r="AO101" i="13" s="1"/>
  <c r="AL87" i="13"/>
  <c r="AM101" i="13" s="1"/>
  <c r="AJ87" i="13"/>
  <c r="AK101" i="13" s="1"/>
  <c r="AH87" i="13"/>
  <c r="AI101" i="13" s="1"/>
  <c r="AF87" i="13"/>
  <c r="AG101" i="13" s="1"/>
  <c r="AD87" i="13"/>
  <c r="AE101" i="13" s="1"/>
  <c r="AB87" i="13"/>
  <c r="AC101" i="13" s="1"/>
  <c r="Z87" i="13"/>
  <c r="AA101" i="13" s="1"/>
  <c r="X87" i="13"/>
  <c r="Y101" i="13" s="1"/>
  <c r="V87" i="13"/>
  <c r="W101" i="13" s="1"/>
  <c r="T87" i="13"/>
  <c r="U101" i="13" s="1"/>
  <c r="R87" i="13"/>
  <c r="S101" i="13" s="1"/>
  <c r="P87" i="13"/>
  <c r="Q101" i="13" s="1"/>
  <c r="N87" i="13"/>
  <c r="O101" i="13" s="1"/>
  <c r="L87" i="13"/>
  <c r="M101" i="13" s="1"/>
  <c r="J87" i="13"/>
  <c r="K101" i="13" s="1"/>
  <c r="H87" i="13"/>
  <c r="I101" i="13" s="1"/>
  <c r="F87" i="13"/>
  <c r="G101" i="13" s="1"/>
  <c r="BL86" i="13"/>
  <c r="BM100" i="13" s="1"/>
  <c r="BJ86" i="13"/>
  <c r="BK100" i="13" s="1"/>
  <c r="BH86" i="13"/>
  <c r="BI100" i="13" s="1"/>
  <c r="BF86" i="13"/>
  <c r="BG100" i="13" s="1"/>
  <c r="BD86" i="13"/>
  <c r="BE100" i="13" s="1"/>
  <c r="BB86" i="13"/>
  <c r="BC100" i="13" s="1"/>
  <c r="AZ86" i="13"/>
  <c r="BA100" i="13" s="1"/>
  <c r="AX86" i="13"/>
  <c r="AY100" i="13" s="1"/>
  <c r="AV86" i="13"/>
  <c r="AW100" i="13" s="1"/>
  <c r="AT86" i="13"/>
  <c r="AR86" i="13"/>
  <c r="AS100" i="13" s="1"/>
  <c r="AP86" i="13"/>
  <c r="AQ100" i="13" s="1"/>
  <c r="AN86" i="13"/>
  <c r="AO100" i="13" s="1"/>
  <c r="AL86" i="13"/>
  <c r="AM100" i="13" s="1"/>
  <c r="AJ86" i="13"/>
  <c r="AK100" i="13" s="1"/>
  <c r="AH86" i="13"/>
  <c r="AI100" i="13" s="1"/>
  <c r="AF86" i="13"/>
  <c r="AG100" i="13" s="1"/>
  <c r="AD86" i="13"/>
  <c r="AE100" i="13" s="1"/>
  <c r="AB86" i="13"/>
  <c r="AC100" i="13" s="1"/>
  <c r="Z86" i="13"/>
  <c r="AA100" i="13" s="1"/>
  <c r="X86" i="13"/>
  <c r="Y100" i="13" s="1"/>
  <c r="V86" i="13"/>
  <c r="W100" i="13" s="1"/>
  <c r="T86" i="13"/>
  <c r="U100" i="13" s="1"/>
  <c r="R86" i="13"/>
  <c r="S100" i="13" s="1"/>
  <c r="P86" i="13"/>
  <c r="Q100" i="13" s="1"/>
  <c r="N86" i="13"/>
  <c r="O100" i="13" s="1"/>
  <c r="L86" i="13"/>
  <c r="M100" i="13" s="1"/>
  <c r="J86" i="13"/>
  <c r="K100" i="13" s="1"/>
  <c r="H86" i="13"/>
  <c r="I100" i="13" s="1"/>
  <c r="F86" i="13"/>
  <c r="G100" i="13" s="1"/>
  <c r="BL85" i="13"/>
  <c r="BM99" i="13" s="1"/>
  <c r="BJ85" i="13"/>
  <c r="BK99" i="13" s="1"/>
  <c r="BH85" i="13"/>
  <c r="BI99" i="13" s="1"/>
  <c r="BF85" i="13"/>
  <c r="BG99" i="13" s="1"/>
  <c r="BD85" i="13"/>
  <c r="BE99" i="13" s="1"/>
  <c r="BB85" i="13"/>
  <c r="BC99" i="13" s="1"/>
  <c r="AZ85" i="13"/>
  <c r="BA99" i="13" s="1"/>
  <c r="AX85" i="13"/>
  <c r="AY99" i="13" s="1"/>
  <c r="AV85" i="13"/>
  <c r="AW99" i="13" s="1"/>
  <c r="AT85" i="13"/>
  <c r="AU99" i="13" s="1"/>
  <c r="AR85" i="13"/>
  <c r="AS99" i="13" s="1"/>
  <c r="AP85" i="13"/>
  <c r="AQ99" i="13" s="1"/>
  <c r="AN85" i="13"/>
  <c r="AO99" i="13" s="1"/>
  <c r="AL85" i="13"/>
  <c r="AM99" i="13" s="1"/>
  <c r="AJ85" i="13"/>
  <c r="AH85" i="13"/>
  <c r="AI99" i="13" s="1"/>
  <c r="AF85" i="13"/>
  <c r="AG99" i="13" s="1"/>
  <c r="AD85" i="13"/>
  <c r="AE99" i="13" s="1"/>
  <c r="AB85" i="13"/>
  <c r="AC99" i="13" s="1"/>
  <c r="Z85" i="13"/>
  <c r="AA99" i="13" s="1"/>
  <c r="X85" i="13"/>
  <c r="Y99" i="13" s="1"/>
  <c r="V85" i="13"/>
  <c r="W99" i="13" s="1"/>
  <c r="T85" i="13"/>
  <c r="R85" i="13"/>
  <c r="S99" i="13" s="1"/>
  <c r="P85" i="13"/>
  <c r="Q99" i="13" s="1"/>
  <c r="N85" i="13"/>
  <c r="O99" i="13" s="1"/>
  <c r="L85" i="13"/>
  <c r="M99" i="13" s="1"/>
  <c r="J85" i="13"/>
  <c r="K99" i="13" s="1"/>
  <c r="H85" i="13"/>
  <c r="I99" i="13" s="1"/>
  <c r="F85" i="13"/>
  <c r="G99" i="13" s="1"/>
  <c r="BL84" i="13"/>
  <c r="BM98" i="13" s="1"/>
  <c r="BJ84" i="13"/>
  <c r="BK98" i="13" s="1"/>
  <c r="BH84" i="13"/>
  <c r="BI98" i="13" s="1"/>
  <c r="BF84" i="13"/>
  <c r="BG98" i="13" s="1"/>
  <c r="BD84" i="13"/>
  <c r="BE98" i="13" s="1"/>
  <c r="BB84" i="13"/>
  <c r="BC98" i="13" s="1"/>
  <c r="AZ84" i="13"/>
  <c r="BA98" i="13" s="1"/>
  <c r="AX84" i="13"/>
  <c r="AY98" i="13" s="1"/>
  <c r="AV84" i="13"/>
  <c r="AW98" i="13" s="1"/>
  <c r="AT84" i="13"/>
  <c r="AU98" i="13" s="1"/>
  <c r="AR84" i="13"/>
  <c r="AS98" i="13" s="1"/>
  <c r="AP84" i="13"/>
  <c r="AQ98" i="13" s="1"/>
  <c r="AN84" i="13"/>
  <c r="AO98" i="13" s="1"/>
  <c r="AL84" i="13"/>
  <c r="AM98" i="13" s="1"/>
  <c r="AJ84" i="13"/>
  <c r="AK98" i="13" s="1"/>
  <c r="AH84" i="13"/>
  <c r="AI98" i="13" s="1"/>
  <c r="AF84" i="13"/>
  <c r="AG98" i="13" s="1"/>
  <c r="AD84" i="13"/>
  <c r="AE98" i="13" s="1"/>
  <c r="AB84" i="13"/>
  <c r="AC98" i="13" s="1"/>
  <c r="Z84" i="13"/>
  <c r="AA98" i="13" s="1"/>
  <c r="X84" i="13"/>
  <c r="Y98" i="13" s="1"/>
  <c r="V84" i="13"/>
  <c r="W98" i="13" s="1"/>
  <c r="T84" i="13"/>
  <c r="U98" i="13" s="1"/>
  <c r="R84" i="13"/>
  <c r="S98" i="13" s="1"/>
  <c r="P84" i="13"/>
  <c r="Q98" i="13" s="1"/>
  <c r="N84" i="13"/>
  <c r="O98" i="13" s="1"/>
  <c r="L84" i="13"/>
  <c r="M98" i="13" s="1"/>
  <c r="J84" i="13"/>
  <c r="K98" i="13" s="1"/>
  <c r="H84" i="13"/>
  <c r="I98" i="13" s="1"/>
  <c r="F84" i="13"/>
  <c r="G98" i="13" s="1"/>
  <c r="BP83" i="13"/>
  <c r="BL83" i="13"/>
  <c r="BM97" i="13" s="1"/>
  <c r="BJ83" i="13"/>
  <c r="BK97" i="13" s="1"/>
  <c r="BH83" i="13"/>
  <c r="BI97" i="13" s="1"/>
  <c r="BF83" i="13"/>
  <c r="BG97" i="13" s="1"/>
  <c r="BD83" i="13"/>
  <c r="BE97" i="13" s="1"/>
  <c r="BB83" i="13"/>
  <c r="BC97" i="13" s="1"/>
  <c r="AZ83" i="13"/>
  <c r="BA97" i="13" s="1"/>
  <c r="AX83" i="13"/>
  <c r="AY97" i="13" s="1"/>
  <c r="AV83" i="13"/>
  <c r="AW97" i="13" s="1"/>
  <c r="AT83" i="13"/>
  <c r="AU97" i="13" s="1"/>
  <c r="AR83" i="13"/>
  <c r="AS97" i="13" s="1"/>
  <c r="AP83" i="13"/>
  <c r="AQ97" i="13" s="1"/>
  <c r="AN83" i="13"/>
  <c r="AO97" i="13" s="1"/>
  <c r="AL83" i="13"/>
  <c r="AM97" i="13" s="1"/>
  <c r="AJ83" i="13"/>
  <c r="AK97" i="13" s="1"/>
  <c r="AH83" i="13"/>
  <c r="AI97" i="13" s="1"/>
  <c r="AF83" i="13"/>
  <c r="AG97" i="13" s="1"/>
  <c r="AD83" i="13"/>
  <c r="AE97" i="13" s="1"/>
  <c r="AB83" i="13"/>
  <c r="AC97" i="13" s="1"/>
  <c r="Z83" i="13"/>
  <c r="AA97" i="13" s="1"/>
  <c r="X83" i="13"/>
  <c r="Y97" i="13" s="1"/>
  <c r="V83" i="13"/>
  <c r="W97" i="13" s="1"/>
  <c r="T83" i="13"/>
  <c r="U97" i="13" s="1"/>
  <c r="R83" i="13"/>
  <c r="S97" i="13" s="1"/>
  <c r="P83" i="13"/>
  <c r="Q97" i="13" s="1"/>
  <c r="N83" i="13"/>
  <c r="O97" i="13" s="1"/>
  <c r="L83" i="13"/>
  <c r="M97" i="13" s="1"/>
  <c r="J83" i="13"/>
  <c r="K97" i="13" s="1"/>
  <c r="H83" i="13"/>
  <c r="I97" i="13" s="1"/>
  <c r="F83" i="13"/>
  <c r="G97" i="13" s="1"/>
  <c r="BP82" i="13"/>
  <c r="BL82" i="13"/>
  <c r="BM96" i="13" s="1"/>
  <c r="BJ82" i="13"/>
  <c r="BK96" i="13" s="1"/>
  <c r="BH82" i="13"/>
  <c r="BI96" i="13" s="1"/>
  <c r="BF82" i="13"/>
  <c r="BG96" i="13" s="1"/>
  <c r="BD82" i="13"/>
  <c r="BE96" i="13" s="1"/>
  <c r="BB82" i="13"/>
  <c r="BC96" i="13" s="1"/>
  <c r="AZ82" i="13"/>
  <c r="BA96" i="13" s="1"/>
  <c r="AX82" i="13"/>
  <c r="AY96" i="13" s="1"/>
  <c r="AV82" i="13"/>
  <c r="AW96" i="13" s="1"/>
  <c r="AT82" i="13"/>
  <c r="AU96" i="13" s="1"/>
  <c r="AR82" i="13"/>
  <c r="AS96" i="13" s="1"/>
  <c r="AP82" i="13"/>
  <c r="AQ96" i="13" s="1"/>
  <c r="AN82" i="13"/>
  <c r="AO96" i="13" s="1"/>
  <c r="AL82" i="13"/>
  <c r="AM96" i="13" s="1"/>
  <c r="AJ82" i="13"/>
  <c r="AK96" i="13" s="1"/>
  <c r="AH82" i="13"/>
  <c r="AI96" i="13" s="1"/>
  <c r="AF82" i="13"/>
  <c r="AG96" i="13" s="1"/>
  <c r="AD82" i="13"/>
  <c r="AE96" i="13" s="1"/>
  <c r="AB82" i="13"/>
  <c r="AC96" i="13" s="1"/>
  <c r="Z82" i="13"/>
  <c r="AA96" i="13" s="1"/>
  <c r="X82" i="13"/>
  <c r="Y96" i="13" s="1"/>
  <c r="V82" i="13"/>
  <c r="W96" i="13" s="1"/>
  <c r="T82" i="13"/>
  <c r="U96" i="13" s="1"/>
  <c r="R82" i="13"/>
  <c r="S96" i="13" s="1"/>
  <c r="P82" i="13"/>
  <c r="Q96" i="13" s="1"/>
  <c r="N82" i="13"/>
  <c r="O96" i="13" s="1"/>
  <c r="L82" i="13"/>
  <c r="M96" i="13" s="1"/>
  <c r="J82" i="13"/>
  <c r="K96" i="13" s="1"/>
  <c r="H82" i="13"/>
  <c r="I96" i="13" s="1"/>
  <c r="F82" i="13"/>
  <c r="G96" i="13" s="1"/>
  <c r="BL81" i="13"/>
  <c r="BM95" i="13" s="1"/>
  <c r="BJ81" i="13"/>
  <c r="BK95" i="13" s="1"/>
  <c r="BH81" i="13"/>
  <c r="BI95" i="13" s="1"/>
  <c r="BF81" i="13"/>
  <c r="BG95" i="13" s="1"/>
  <c r="BD81" i="13"/>
  <c r="BE95" i="13" s="1"/>
  <c r="BB81" i="13"/>
  <c r="BC95" i="13" s="1"/>
  <c r="AZ81" i="13"/>
  <c r="BA95" i="13" s="1"/>
  <c r="AX81" i="13"/>
  <c r="AY95" i="13" s="1"/>
  <c r="AV81" i="13"/>
  <c r="AW95" i="13" s="1"/>
  <c r="AT81" i="13"/>
  <c r="AU95" i="13" s="1"/>
  <c r="AR81" i="13"/>
  <c r="AS95" i="13" s="1"/>
  <c r="AP81" i="13"/>
  <c r="AQ95" i="13" s="1"/>
  <c r="AN81" i="13"/>
  <c r="AO95" i="13" s="1"/>
  <c r="AL81" i="13"/>
  <c r="AM95" i="13" s="1"/>
  <c r="AJ81" i="13"/>
  <c r="AK95" i="13" s="1"/>
  <c r="AH81" i="13"/>
  <c r="AI95" i="13" s="1"/>
  <c r="AF81" i="13"/>
  <c r="AG95" i="13" s="1"/>
  <c r="AD81" i="13"/>
  <c r="AE95" i="13" s="1"/>
  <c r="AB81" i="13"/>
  <c r="AC95" i="13" s="1"/>
  <c r="Z81" i="13"/>
  <c r="AA95" i="13" s="1"/>
  <c r="X81" i="13"/>
  <c r="Y95" i="13" s="1"/>
  <c r="V81" i="13"/>
  <c r="W95" i="13" s="1"/>
  <c r="T81" i="13"/>
  <c r="U95" i="13" s="1"/>
  <c r="R81" i="13"/>
  <c r="S95" i="13" s="1"/>
  <c r="P81" i="13"/>
  <c r="Q95" i="13" s="1"/>
  <c r="N81" i="13"/>
  <c r="O95" i="13" s="1"/>
  <c r="L81" i="13"/>
  <c r="M95" i="13" s="1"/>
  <c r="J81" i="13"/>
  <c r="K95" i="13" s="1"/>
  <c r="H81" i="13"/>
  <c r="I95" i="13" s="1"/>
  <c r="F81" i="13"/>
  <c r="G95" i="13" s="1"/>
  <c r="BL80" i="13"/>
  <c r="BM94" i="13" s="1"/>
  <c r="BJ80" i="13"/>
  <c r="BK94" i="13" s="1"/>
  <c r="BH80" i="13"/>
  <c r="BI94" i="13" s="1"/>
  <c r="BF80" i="13"/>
  <c r="BG94" i="13" s="1"/>
  <c r="BD80" i="13"/>
  <c r="BE94" i="13" s="1"/>
  <c r="BB80" i="13"/>
  <c r="BC94" i="13" s="1"/>
  <c r="AZ80" i="13"/>
  <c r="BA94" i="13" s="1"/>
  <c r="AX80" i="13"/>
  <c r="AY94" i="13" s="1"/>
  <c r="AV80" i="13"/>
  <c r="AW94" i="13" s="1"/>
  <c r="AT80" i="13"/>
  <c r="AU94" i="13" s="1"/>
  <c r="AR80" i="13"/>
  <c r="AS94" i="13" s="1"/>
  <c r="AP80" i="13"/>
  <c r="AQ94" i="13" s="1"/>
  <c r="AN80" i="13"/>
  <c r="AO94" i="13" s="1"/>
  <c r="AL80" i="13"/>
  <c r="AM94" i="13" s="1"/>
  <c r="AJ80" i="13"/>
  <c r="AK94" i="13" s="1"/>
  <c r="AH80" i="13"/>
  <c r="AI94" i="13" s="1"/>
  <c r="AF80" i="13"/>
  <c r="AG94" i="13" s="1"/>
  <c r="AD80" i="13"/>
  <c r="AE94" i="13" s="1"/>
  <c r="AB80" i="13"/>
  <c r="AC94" i="13" s="1"/>
  <c r="Z80" i="13"/>
  <c r="AA94" i="13" s="1"/>
  <c r="X80" i="13"/>
  <c r="Y94" i="13" s="1"/>
  <c r="V80" i="13"/>
  <c r="W94" i="13" s="1"/>
  <c r="T80" i="13"/>
  <c r="U94" i="13" s="1"/>
  <c r="R80" i="13"/>
  <c r="S94" i="13" s="1"/>
  <c r="P80" i="13"/>
  <c r="Q94" i="13" s="1"/>
  <c r="N80" i="13"/>
  <c r="O94" i="13" s="1"/>
  <c r="L80" i="13"/>
  <c r="M94" i="13" s="1"/>
  <c r="J80" i="13"/>
  <c r="K94" i="13" s="1"/>
  <c r="H80" i="13"/>
  <c r="I94" i="13" s="1"/>
  <c r="F80" i="13"/>
  <c r="G94" i="13" s="1"/>
  <c r="BP79" i="13"/>
  <c r="BL79" i="13"/>
  <c r="BM93" i="13" s="1"/>
  <c r="BJ79" i="13"/>
  <c r="BK93" i="13" s="1"/>
  <c r="BH79" i="13"/>
  <c r="BI93" i="13" s="1"/>
  <c r="BF79" i="13"/>
  <c r="BG93" i="13" s="1"/>
  <c r="BD79" i="13"/>
  <c r="BE93" i="13" s="1"/>
  <c r="BB79" i="13"/>
  <c r="BC93" i="13" s="1"/>
  <c r="AZ79" i="13"/>
  <c r="BA93" i="13" s="1"/>
  <c r="AX79" i="13"/>
  <c r="AY93" i="13" s="1"/>
  <c r="AV79" i="13"/>
  <c r="AW93" i="13" s="1"/>
  <c r="AT79" i="13"/>
  <c r="AU93" i="13" s="1"/>
  <c r="AR79" i="13"/>
  <c r="AS93" i="13" s="1"/>
  <c r="AP79" i="13"/>
  <c r="AQ93" i="13" s="1"/>
  <c r="AN79" i="13"/>
  <c r="AL79" i="13"/>
  <c r="AM93" i="13" s="1"/>
  <c r="AJ79" i="13"/>
  <c r="AK93" i="13" s="1"/>
  <c r="AH79" i="13"/>
  <c r="AI93" i="13" s="1"/>
  <c r="AF79" i="13"/>
  <c r="AG93" i="13" s="1"/>
  <c r="AD79" i="13"/>
  <c r="AE93" i="13" s="1"/>
  <c r="AB79" i="13"/>
  <c r="AC93" i="13" s="1"/>
  <c r="Z79" i="13"/>
  <c r="AA93" i="13" s="1"/>
  <c r="X79" i="13"/>
  <c r="Y93" i="13" s="1"/>
  <c r="V79" i="13"/>
  <c r="W93" i="13" s="1"/>
  <c r="T79" i="13"/>
  <c r="U93" i="13" s="1"/>
  <c r="R79" i="13"/>
  <c r="S93" i="13" s="1"/>
  <c r="P79" i="13"/>
  <c r="Q93" i="13" s="1"/>
  <c r="N79" i="13"/>
  <c r="O93" i="13" s="1"/>
  <c r="L79" i="13"/>
  <c r="M93" i="13" s="1"/>
  <c r="J79" i="13"/>
  <c r="K93" i="13" s="1"/>
  <c r="H79" i="13"/>
  <c r="I93" i="13" s="1"/>
  <c r="F79" i="13"/>
  <c r="G93" i="13" s="1"/>
  <c r="BL78" i="13"/>
  <c r="BM92" i="13" s="1"/>
  <c r="BJ78" i="13"/>
  <c r="BK92" i="13" s="1"/>
  <c r="BH78" i="13"/>
  <c r="BI92" i="13" s="1"/>
  <c r="BF78" i="13"/>
  <c r="BG92" i="13" s="1"/>
  <c r="BD78" i="13"/>
  <c r="BE92" i="13" s="1"/>
  <c r="BB78" i="13"/>
  <c r="BC92" i="13" s="1"/>
  <c r="AZ78" i="13"/>
  <c r="BA92" i="13" s="1"/>
  <c r="AX78" i="13"/>
  <c r="AY92" i="13" s="1"/>
  <c r="AV78" i="13"/>
  <c r="AW92" i="13" s="1"/>
  <c r="AT78" i="13"/>
  <c r="AU92" i="13" s="1"/>
  <c r="AR78" i="13"/>
  <c r="AS92" i="13" s="1"/>
  <c r="AP78" i="13"/>
  <c r="AQ92" i="13" s="1"/>
  <c r="AN78" i="13"/>
  <c r="AO92" i="13" s="1"/>
  <c r="AL78" i="13"/>
  <c r="AM92" i="13" s="1"/>
  <c r="AJ78" i="13"/>
  <c r="AK92" i="13" s="1"/>
  <c r="AH78" i="13"/>
  <c r="AI92" i="13" s="1"/>
  <c r="AF78" i="13"/>
  <c r="AG92" i="13" s="1"/>
  <c r="AD78" i="13"/>
  <c r="AE92" i="13" s="1"/>
  <c r="AB78" i="13"/>
  <c r="AC92" i="13" s="1"/>
  <c r="Z78" i="13"/>
  <c r="AA92" i="13" s="1"/>
  <c r="X78" i="13"/>
  <c r="Y92" i="13" s="1"/>
  <c r="V78" i="13"/>
  <c r="W92" i="13" s="1"/>
  <c r="T78" i="13"/>
  <c r="U92" i="13" s="1"/>
  <c r="R78" i="13"/>
  <c r="S92" i="13" s="1"/>
  <c r="P78" i="13"/>
  <c r="Q92" i="13" s="1"/>
  <c r="N78" i="13"/>
  <c r="O92" i="13" s="1"/>
  <c r="L78" i="13"/>
  <c r="M92" i="13" s="1"/>
  <c r="J78" i="13"/>
  <c r="K92" i="13" s="1"/>
  <c r="H78" i="13"/>
  <c r="I92" i="13" s="1"/>
  <c r="F78" i="13"/>
  <c r="G92" i="13" s="1"/>
  <c r="BL77" i="13"/>
  <c r="BM91" i="13" s="1"/>
  <c r="BJ77" i="13"/>
  <c r="BK91" i="13" s="1"/>
  <c r="BH77" i="13"/>
  <c r="BI91" i="13" s="1"/>
  <c r="BF77" i="13"/>
  <c r="BG91" i="13" s="1"/>
  <c r="BD77" i="13"/>
  <c r="BE91" i="13" s="1"/>
  <c r="BB77" i="13"/>
  <c r="BC91" i="13" s="1"/>
  <c r="AZ77" i="13"/>
  <c r="BA91" i="13" s="1"/>
  <c r="AX77" i="13"/>
  <c r="AY91" i="13" s="1"/>
  <c r="AV77" i="13"/>
  <c r="AW91" i="13" s="1"/>
  <c r="AT77" i="13"/>
  <c r="AU91" i="13" s="1"/>
  <c r="AR77" i="13"/>
  <c r="AS91" i="13" s="1"/>
  <c r="AP77" i="13"/>
  <c r="AQ91" i="13" s="1"/>
  <c r="AN77" i="13"/>
  <c r="AO91" i="13" s="1"/>
  <c r="AL77" i="13"/>
  <c r="AM91" i="13" s="1"/>
  <c r="AJ77" i="13"/>
  <c r="AK91" i="13" s="1"/>
  <c r="AH77" i="13"/>
  <c r="AI91" i="13" s="1"/>
  <c r="AF77" i="13"/>
  <c r="AG91" i="13" s="1"/>
  <c r="AD77" i="13"/>
  <c r="AE91" i="13" s="1"/>
  <c r="AB77" i="13"/>
  <c r="AC91" i="13" s="1"/>
  <c r="Z77" i="13"/>
  <c r="AA91" i="13" s="1"/>
  <c r="X77" i="13"/>
  <c r="Y91" i="13" s="1"/>
  <c r="V77" i="13"/>
  <c r="W91" i="13" s="1"/>
  <c r="T77" i="13"/>
  <c r="U91" i="13" s="1"/>
  <c r="R77" i="13"/>
  <c r="S91" i="13" s="1"/>
  <c r="P77" i="13"/>
  <c r="Q91" i="13" s="1"/>
  <c r="N77" i="13"/>
  <c r="O91" i="13" s="1"/>
  <c r="L77" i="13"/>
  <c r="M91" i="13" s="1"/>
  <c r="J77" i="13"/>
  <c r="K91" i="13" s="1"/>
  <c r="H77" i="13"/>
  <c r="I91" i="13" s="1"/>
  <c r="F77" i="13"/>
  <c r="G91" i="13" s="1"/>
  <c r="AC75" i="13"/>
  <c r="AC11" i="13" s="1"/>
  <c r="BO74" i="13"/>
  <c r="B174" i="19" s="1"/>
  <c r="BP72" i="13"/>
  <c r="BM72" i="13"/>
  <c r="BL72" i="13"/>
  <c r="BK72" i="13"/>
  <c r="BJ72" i="13"/>
  <c r="BI72" i="13"/>
  <c r="BH72" i="13"/>
  <c r="BG72" i="13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D72" i="13"/>
  <c r="BP71" i="13"/>
  <c r="BM71" i="13"/>
  <c r="BL71" i="13"/>
  <c r="BK71" i="13"/>
  <c r="BJ71" i="13"/>
  <c r="BI71" i="13"/>
  <c r="BH71" i="13"/>
  <c r="BG71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D71" i="13"/>
  <c r="BP70" i="13"/>
  <c r="BM70" i="13"/>
  <c r="BL70" i="13"/>
  <c r="BK70" i="13"/>
  <c r="BJ70" i="13"/>
  <c r="BI70" i="13"/>
  <c r="BH70" i="13"/>
  <c r="BG70" i="13"/>
  <c r="BF70" i="13"/>
  <c r="BE70" i="13"/>
  <c r="BD70" i="13"/>
  <c r="BC70" i="13"/>
  <c r="BB70" i="13"/>
  <c r="BA70" i="13"/>
  <c r="AZ70" i="13"/>
  <c r="AY70" i="13"/>
  <c r="AX70" i="13"/>
  <c r="AW70" i="13"/>
  <c r="AV70" i="13"/>
  <c r="AU70" i="13"/>
  <c r="AT70" i="13"/>
  <c r="AS70" i="13"/>
  <c r="AR70" i="13"/>
  <c r="AQ70" i="13"/>
  <c r="AP70" i="13"/>
  <c r="AO70" i="13"/>
  <c r="AN70" i="13"/>
  <c r="AM70" i="13"/>
  <c r="AL70" i="13"/>
  <c r="AK70" i="13"/>
  <c r="AJ70" i="13"/>
  <c r="AI70" i="13"/>
  <c r="AH70" i="13"/>
  <c r="AG70" i="13"/>
  <c r="AF70" i="13"/>
  <c r="AE70" i="13"/>
  <c r="AD70" i="13"/>
  <c r="AC70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G70" i="13"/>
  <c r="F70" i="13"/>
  <c r="D70" i="13"/>
  <c r="BP69" i="13"/>
  <c r="BM69" i="13"/>
  <c r="BL69" i="13"/>
  <c r="BK69" i="13"/>
  <c r="BJ69" i="13"/>
  <c r="BI69" i="13"/>
  <c r="BH69" i="13"/>
  <c r="BG69" i="13"/>
  <c r="BF69" i="13"/>
  <c r="BE69" i="13"/>
  <c r="BD69" i="13"/>
  <c r="BC69" i="13"/>
  <c r="BB69" i="13"/>
  <c r="BA69" i="13"/>
  <c r="AZ69" i="13"/>
  <c r="AY69" i="13"/>
  <c r="AX69" i="13"/>
  <c r="AW69" i="13"/>
  <c r="AV69" i="13"/>
  <c r="AU69" i="13"/>
  <c r="AT69" i="13"/>
  <c r="AS69" i="13"/>
  <c r="AR69" i="13"/>
  <c r="AQ69" i="13"/>
  <c r="AP69" i="13"/>
  <c r="AO69" i="13"/>
  <c r="AN69" i="13"/>
  <c r="AM69" i="13"/>
  <c r="AL69" i="13"/>
  <c r="AK69" i="13"/>
  <c r="AJ69" i="13"/>
  <c r="AI69" i="13"/>
  <c r="AH69" i="13"/>
  <c r="AG69" i="13"/>
  <c r="AF69" i="13"/>
  <c r="AE69" i="13"/>
  <c r="AD69" i="13"/>
  <c r="AC69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O69" i="13"/>
  <c r="N69" i="13"/>
  <c r="M69" i="13"/>
  <c r="L69" i="13"/>
  <c r="K69" i="13"/>
  <c r="J69" i="13"/>
  <c r="I69" i="13"/>
  <c r="H69" i="13"/>
  <c r="G69" i="13"/>
  <c r="F69" i="13"/>
  <c r="D69" i="13"/>
  <c r="BP68" i="13"/>
  <c r="BM68" i="13"/>
  <c r="BL68" i="13"/>
  <c r="BK68" i="13"/>
  <c r="BJ68" i="13"/>
  <c r="BI68" i="13"/>
  <c r="BH68" i="13"/>
  <c r="BG68" i="13"/>
  <c r="BF68" i="13"/>
  <c r="BE68" i="13"/>
  <c r="BD68" i="13"/>
  <c r="BC68" i="13"/>
  <c r="BB68" i="13"/>
  <c r="BA68" i="13"/>
  <c r="AZ68" i="13"/>
  <c r="AY68" i="13"/>
  <c r="AX68" i="13"/>
  <c r="AW68" i="13"/>
  <c r="AV68" i="13"/>
  <c r="AU68" i="13"/>
  <c r="AT68" i="13"/>
  <c r="AS68" i="13"/>
  <c r="AR68" i="13"/>
  <c r="AQ68" i="13"/>
  <c r="AP68" i="13"/>
  <c r="AO68" i="13"/>
  <c r="AN68" i="13"/>
  <c r="AM68" i="13"/>
  <c r="AL68" i="13"/>
  <c r="AK68" i="13"/>
  <c r="AJ68" i="13"/>
  <c r="AI68" i="13"/>
  <c r="AH68" i="13"/>
  <c r="AG68" i="13"/>
  <c r="AF68" i="13"/>
  <c r="AE68" i="13"/>
  <c r="AD68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D68" i="13"/>
  <c r="BL66" i="13"/>
  <c r="BJ66" i="13"/>
  <c r="BH66" i="13"/>
  <c r="BF66" i="13"/>
  <c r="BD66" i="13"/>
  <c r="BB66" i="13"/>
  <c r="AZ66" i="13"/>
  <c r="AX66" i="13"/>
  <c r="AV66" i="13"/>
  <c r="AT66" i="13"/>
  <c r="AR66" i="13"/>
  <c r="AP66" i="13"/>
  <c r="AN66" i="13"/>
  <c r="AL66" i="13"/>
  <c r="AJ66" i="13"/>
  <c r="AH66" i="13"/>
  <c r="AF66" i="13"/>
  <c r="AD66" i="13"/>
  <c r="AB66" i="13"/>
  <c r="Z66" i="13"/>
  <c r="X66" i="13"/>
  <c r="V66" i="13"/>
  <c r="T66" i="13"/>
  <c r="R66" i="13"/>
  <c r="P66" i="13"/>
  <c r="N66" i="13"/>
  <c r="L66" i="13"/>
  <c r="J66" i="13"/>
  <c r="H66" i="13"/>
  <c r="F66" i="13"/>
  <c r="BL65" i="13"/>
  <c r="BJ65" i="13"/>
  <c r="BH65" i="13"/>
  <c r="BF65" i="13"/>
  <c r="BD65" i="13"/>
  <c r="BB65" i="13"/>
  <c r="AZ65" i="13"/>
  <c r="AX65" i="13"/>
  <c r="AV65" i="13"/>
  <c r="AT65" i="13"/>
  <c r="AR65" i="13"/>
  <c r="AP65" i="13"/>
  <c r="AN65" i="13"/>
  <c r="AL65" i="13"/>
  <c r="AJ65" i="13"/>
  <c r="AH65" i="13"/>
  <c r="AF65" i="13"/>
  <c r="AD65" i="13"/>
  <c r="AB65" i="13"/>
  <c r="Z65" i="13"/>
  <c r="X65" i="13"/>
  <c r="V65" i="13"/>
  <c r="T65" i="13"/>
  <c r="R65" i="13"/>
  <c r="P65" i="13"/>
  <c r="N65" i="13"/>
  <c r="L65" i="13"/>
  <c r="J65" i="13"/>
  <c r="H65" i="13"/>
  <c r="F65" i="13"/>
  <c r="D65" i="13"/>
  <c r="B65" i="13"/>
  <c r="BL64" i="13"/>
  <c r="BJ64" i="13"/>
  <c r="BH64" i="13"/>
  <c r="BF64" i="13"/>
  <c r="BD64" i="13"/>
  <c r="BB64" i="13"/>
  <c r="AZ64" i="13"/>
  <c r="AX64" i="13"/>
  <c r="AV64" i="13"/>
  <c r="AT64" i="13"/>
  <c r="AR64" i="13"/>
  <c r="AP64" i="13"/>
  <c r="AN64" i="13"/>
  <c r="AL64" i="13"/>
  <c r="AJ64" i="13"/>
  <c r="AH64" i="13"/>
  <c r="AF64" i="13"/>
  <c r="AD64" i="13"/>
  <c r="AB64" i="13"/>
  <c r="Z64" i="13"/>
  <c r="X64" i="13"/>
  <c r="V64" i="13"/>
  <c r="T64" i="13"/>
  <c r="R64" i="13"/>
  <c r="P64" i="13"/>
  <c r="N64" i="13"/>
  <c r="L64" i="13"/>
  <c r="J64" i="13"/>
  <c r="H64" i="13"/>
  <c r="F64" i="13"/>
  <c r="BL63" i="13"/>
  <c r="BJ63" i="13"/>
  <c r="BH63" i="13"/>
  <c r="BF63" i="13"/>
  <c r="BD63" i="13"/>
  <c r="BB63" i="13"/>
  <c r="AZ63" i="13"/>
  <c r="AX63" i="13"/>
  <c r="AV63" i="13"/>
  <c r="AT63" i="13"/>
  <c r="AR63" i="13"/>
  <c r="AP63" i="13"/>
  <c r="AN63" i="13"/>
  <c r="AL63" i="13"/>
  <c r="AJ63" i="13"/>
  <c r="AH63" i="13"/>
  <c r="AF63" i="13"/>
  <c r="AD63" i="13"/>
  <c r="AB63" i="13"/>
  <c r="Z63" i="13"/>
  <c r="X63" i="13"/>
  <c r="V63" i="13"/>
  <c r="T63" i="13"/>
  <c r="R63" i="13"/>
  <c r="P63" i="13"/>
  <c r="N63" i="13"/>
  <c r="L63" i="13"/>
  <c r="J63" i="13"/>
  <c r="H63" i="13"/>
  <c r="F63" i="13"/>
  <c r="BP62" i="13"/>
  <c r="BL62" i="13"/>
  <c r="BJ62" i="13"/>
  <c r="BH62" i="13"/>
  <c r="BF62" i="13"/>
  <c r="BD62" i="13"/>
  <c r="BB62" i="13"/>
  <c r="AZ62" i="13"/>
  <c r="AX62" i="13"/>
  <c r="AV62" i="13"/>
  <c r="AT62" i="13"/>
  <c r="AR62" i="13"/>
  <c r="AP62" i="13"/>
  <c r="AP67" i="13" s="1"/>
  <c r="AN62" i="13"/>
  <c r="AL62" i="13"/>
  <c r="AJ62" i="13"/>
  <c r="AH62" i="13"/>
  <c r="AF62" i="13"/>
  <c r="AD62" i="13"/>
  <c r="AB62" i="13"/>
  <c r="Z62" i="13"/>
  <c r="X62" i="13"/>
  <c r="V62" i="13"/>
  <c r="T62" i="13"/>
  <c r="R62" i="13"/>
  <c r="R67" i="13" s="1"/>
  <c r="P62" i="13"/>
  <c r="N62" i="13"/>
  <c r="L62" i="13"/>
  <c r="J62" i="13"/>
  <c r="H62" i="13"/>
  <c r="F62" i="13"/>
  <c r="BM59" i="13"/>
  <c r="C59" i="14" s="1"/>
  <c r="BK59" i="13"/>
  <c r="BK7" i="13" s="1"/>
  <c r="BI59" i="13"/>
  <c r="BI7" i="13" s="1"/>
  <c r="BG59" i="13"/>
  <c r="BG7" i="13" s="1"/>
  <c r="BE59" i="13"/>
  <c r="BE7" i="13" s="1"/>
  <c r="BC59" i="13"/>
  <c r="BC7" i="13" s="1"/>
  <c r="BA59" i="13"/>
  <c r="BA7" i="13" s="1"/>
  <c r="AY59" i="13"/>
  <c r="AY7" i="13" s="1"/>
  <c r="AW59" i="13"/>
  <c r="AU59" i="13"/>
  <c r="AU7" i="13" s="1"/>
  <c r="AS59" i="13"/>
  <c r="AS7" i="13" s="1"/>
  <c r="AQ59" i="13"/>
  <c r="AQ7" i="13" s="1"/>
  <c r="AO59" i="13"/>
  <c r="AO7" i="13" s="1"/>
  <c r="AM59" i="13"/>
  <c r="AM7" i="13" s="1"/>
  <c r="AK59" i="13"/>
  <c r="AI59" i="13"/>
  <c r="AG59" i="13"/>
  <c r="AG7" i="13" s="1"/>
  <c r="AE59" i="13"/>
  <c r="AE7" i="13" s="1"/>
  <c r="AC59" i="13"/>
  <c r="AA59" i="13"/>
  <c r="Y59" i="13"/>
  <c r="W59" i="13"/>
  <c r="W7" i="13" s="1"/>
  <c r="U59" i="13"/>
  <c r="U7" i="13" s="1"/>
  <c r="S59" i="13"/>
  <c r="S7" i="13" s="1"/>
  <c r="Q59" i="13"/>
  <c r="Q7" i="13" s="1"/>
  <c r="O59" i="13"/>
  <c r="O7" i="13" s="1"/>
  <c r="M59" i="13"/>
  <c r="M7" i="13" s="1"/>
  <c r="K59" i="13"/>
  <c r="K7" i="13" s="1"/>
  <c r="I59" i="13"/>
  <c r="I7" i="13" s="1"/>
  <c r="G59" i="13"/>
  <c r="G7" i="13" s="1"/>
  <c r="E59" i="13"/>
  <c r="E7" i="13" s="1"/>
  <c r="BM57" i="13"/>
  <c r="BQ57" i="13" s="1"/>
  <c r="BK57" i="13"/>
  <c r="BK75" i="13" s="1"/>
  <c r="BK11" i="13" s="1"/>
  <c r="BI57" i="13"/>
  <c r="BI75" i="13" s="1"/>
  <c r="BI11" i="13" s="1"/>
  <c r="BG57" i="13"/>
  <c r="BG75" i="13" s="1"/>
  <c r="BG11" i="13" s="1"/>
  <c r="BE57" i="13"/>
  <c r="BE75" i="13" s="1"/>
  <c r="BE11" i="13" s="1"/>
  <c r="BC57" i="13"/>
  <c r="BC75" i="13" s="1"/>
  <c r="BC11" i="13" s="1"/>
  <c r="BA57" i="13"/>
  <c r="BA75" i="13" s="1"/>
  <c r="BA11" i="13" s="1"/>
  <c r="AY57" i="13"/>
  <c r="AY75" i="13" s="1"/>
  <c r="AY11" i="13" s="1"/>
  <c r="AW57" i="13"/>
  <c r="AW75" i="13" s="1"/>
  <c r="AW11" i="13" s="1"/>
  <c r="AU57" i="13"/>
  <c r="AU75" i="13" s="1"/>
  <c r="AU11" i="13" s="1"/>
  <c r="AS57" i="13"/>
  <c r="AS75" i="13" s="1"/>
  <c r="AS11" i="13" s="1"/>
  <c r="AQ57" i="13"/>
  <c r="AQ75" i="13" s="1"/>
  <c r="AQ11" i="13" s="1"/>
  <c r="AO57" i="13"/>
  <c r="AO75" i="13" s="1"/>
  <c r="AO11" i="13" s="1"/>
  <c r="AM57" i="13"/>
  <c r="AM75" i="13" s="1"/>
  <c r="AK57" i="13"/>
  <c r="AK75" i="13" s="1"/>
  <c r="AK11" i="13" s="1"/>
  <c r="AI57" i="13"/>
  <c r="AI75" i="13" s="1"/>
  <c r="AI11" i="13" s="1"/>
  <c r="AG57" i="13"/>
  <c r="AG75" i="13" s="1"/>
  <c r="AG11" i="13" s="1"/>
  <c r="AE57" i="13"/>
  <c r="AE75" i="13" s="1"/>
  <c r="AE11" i="13" s="1"/>
  <c r="AC57" i="13"/>
  <c r="AA57" i="13"/>
  <c r="AA75" i="13" s="1"/>
  <c r="AA11" i="13" s="1"/>
  <c r="Y57" i="13"/>
  <c r="Y75" i="13" s="1"/>
  <c r="Y11" i="13" s="1"/>
  <c r="W57" i="13"/>
  <c r="W75" i="13" s="1"/>
  <c r="W11" i="13" s="1"/>
  <c r="U57" i="13"/>
  <c r="U75" i="13" s="1"/>
  <c r="U11" i="13" s="1"/>
  <c r="S57" i="13"/>
  <c r="S75" i="13" s="1"/>
  <c r="S11" i="13" s="1"/>
  <c r="Q57" i="13"/>
  <c r="Q75" i="13" s="1"/>
  <c r="Q11" i="13" s="1"/>
  <c r="O57" i="13"/>
  <c r="O75" i="13" s="1"/>
  <c r="O11" i="13" s="1"/>
  <c r="M57" i="13"/>
  <c r="M75" i="13" s="1"/>
  <c r="M11" i="13" s="1"/>
  <c r="K57" i="13"/>
  <c r="K75" i="13" s="1"/>
  <c r="K11" i="13" s="1"/>
  <c r="I57" i="13"/>
  <c r="I75" i="13" s="1"/>
  <c r="I11" i="13" s="1"/>
  <c r="G57" i="13"/>
  <c r="G75" i="13" s="1"/>
  <c r="G11" i="13" s="1"/>
  <c r="E57" i="13"/>
  <c r="E75" i="13" s="1"/>
  <c r="E11" i="13" s="1"/>
  <c r="BO56" i="13"/>
  <c r="B157" i="19" s="1"/>
  <c r="BO55" i="13"/>
  <c r="B156" i="19" s="1"/>
  <c r="BO53" i="13"/>
  <c r="B154" i="19" s="1"/>
  <c r="BO52" i="13"/>
  <c r="B153" i="19" s="1"/>
  <c r="BO51" i="13"/>
  <c r="B152" i="19" s="1"/>
  <c r="BM49" i="13"/>
  <c r="C49" i="14" s="1"/>
  <c r="BK49" i="13"/>
  <c r="BI49" i="13"/>
  <c r="BG49" i="13"/>
  <c r="BE49" i="13"/>
  <c r="BC49" i="13"/>
  <c r="BA49" i="13"/>
  <c r="AY49" i="13"/>
  <c r="AW49" i="13"/>
  <c r="AU49" i="13"/>
  <c r="AS49" i="13"/>
  <c r="AQ49" i="13"/>
  <c r="AO49" i="13"/>
  <c r="AM49" i="13"/>
  <c r="AK49" i="13"/>
  <c r="AI49" i="13"/>
  <c r="AG49" i="13"/>
  <c r="AE49" i="13"/>
  <c r="AC49" i="13"/>
  <c r="AA49" i="13"/>
  <c r="AA50" i="13" s="1"/>
  <c r="Y49" i="13"/>
  <c r="W49" i="13"/>
  <c r="U49" i="13"/>
  <c r="S49" i="13"/>
  <c r="Q49" i="13"/>
  <c r="O49" i="13"/>
  <c r="M49" i="13"/>
  <c r="K49" i="13"/>
  <c r="I49" i="13"/>
  <c r="G49" i="13"/>
  <c r="E49" i="13"/>
  <c r="BO48" i="13"/>
  <c r="B149" i="19" s="1"/>
  <c r="BO47" i="13"/>
  <c r="B148" i="19" s="1"/>
  <c r="BO46" i="13"/>
  <c r="B147" i="19" s="1"/>
  <c r="BO45" i="13"/>
  <c r="B146" i="19" s="1"/>
  <c r="H146" i="19" s="1"/>
  <c r="BO44" i="13"/>
  <c r="B145" i="19" s="1"/>
  <c r="BO43" i="13"/>
  <c r="B144" i="19" s="1"/>
  <c r="BM42" i="13"/>
  <c r="BQ42" i="13" s="1"/>
  <c r="BK42" i="13"/>
  <c r="BI42" i="13"/>
  <c r="BG42" i="13"/>
  <c r="BG50" i="13" s="1"/>
  <c r="BE42" i="13"/>
  <c r="BC42" i="13"/>
  <c r="BC50" i="13" s="1"/>
  <c r="BA42" i="13"/>
  <c r="BA50" i="13" s="1"/>
  <c r="AY42" i="13"/>
  <c r="AW42" i="13"/>
  <c r="AU42" i="13"/>
  <c r="AS42" i="13"/>
  <c r="AQ42" i="13"/>
  <c r="AO42" i="13"/>
  <c r="AM42" i="13"/>
  <c r="AK42" i="13"/>
  <c r="AI42" i="13"/>
  <c r="AI50" i="13" s="1"/>
  <c r="AG42" i="13"/>
  <c r="AE42" i="13"/>
  <c r="AE50" i="13" s="1"/>
  <c r="AC42" i="13"/>
  <c r="AC50" i="13" s="1"/>
  <c r="AA42" i="13"/>
  <c r="Y42" i="13"/>
  <c r="W42" i="13"/>
  <c r="U42" i="13"/>
  <c r="S42" i="13"/>
  <c r="S50" i="13" s="1"/>
  <c r="Q42" i="13"/>
  <c r="O42" i="13"/>
  <c r="M42" i="13"/>
  <c r="K42" i="13"/>
  <c r="K50" i="13" s="1"/>
  <c r="I42" i="13"/>
  <c r="G42" i="13"/>
  <c r="G50" i="13" s="1"/>
  <c r="E42" i="13"/>
  <c r="BO41" i="13"/>
  <c r="B142" i="19" s="1"/>
  <c r="BO40" i="13"/>
  <c r="B141" i="19" s="1"/>
  <c r="BO39" i="13"/>
  <c r="B140" i="19" s="1"/>
  <c r="BO38" i="13"/>
  <c r="B139" i="19" s="1"/>
  <c r="BO37" i="13"/>
  <c r="B138" i="19" s="1"/>
  <c r="BO36" i="13"/>
  <c r="B137" i="19" s="1"/>
  <c r="BO35" i="13"/>
  <c r="B136" i="19" s="1"/>
  <c r="BO34" i="13"/>
  <c r="B135" i="19" s="1"/>
  <c r="BO33" i="13"/>
  <c r="B134" i="19" s="1"/>
  <c r="BO32" i="13"/>
  <c r="B133" i="19" s="1"/>
  <c r="BM31" i="13"/>
  <c r="BK31" i="13"/>
  <c r="BI31" i="13"/>
  <c r="BG31" i="13"/>
  <c r="BE31" i="13"/>
  <c r="BC31" i="13"/>
  <c r="BA31" i="13"/>
  <c r="AY31" i="13"/>
  <c r="AW31" i="13"/>
  <c r="AU31" i="13"/>
  <c r="AS31" i="13"/>
  <c r="AQ31" i="13"/>
  <c r="AO31" i="13"/>
  <c r="AM31" i="13"/>
  <c r="AK31" i="13"/>
  <c r="AI31" i="13"/>
  <c r="AG31" i="13"/>
  <c r="AE31" i="13"/>
  <c r="AC31" i="13"/>
  <c r="AA31" i="13"/>
  <c r="Y31" i="13"/>
  <c r="W31" i="13"/>
  <c r="U31" i="13"/>
  <c r="S31" i="13"/>
  <c r="Q31" i="13"/>
  <c r="O31" i="13"/>
  <c r="M31" i="13"/>
  <c r="K31" i="13"/>
  <c r="I31" i="13"/>
  <c r="G31" i="13"/>
  <c r="E31" i="13"/>
  <c r="BM30" i="13"/>
  <c r="BK30" i="13"/>
  <c r="BI30" i="13"/>
  <c r="BG30" i="13"/>
  <c r="BE30" i="13"/>
  <c r="BC30" i="13"/>
  <c r="BA30" i="13"/>
  <c r="AY30" i="13"/>
  <c r="AW30" i="13"/>
  <c r="AU30" i="13"/>
  <c r="AS30" i="13"/>
  <c r="AQ30" i="13"/>
  <c r="AO30" i="13"/>
  <c r="AM30" i="13"/>
  <c r="AK30" i="13"/>
  <c r="AI30" i="13"/>
  <c r="AG30" i="13"/>
  <c r="AE30" i="13"/>
  <c r="AC30" i="13"/>
  <c r="AA30" i="13"/>
  <c r="Y30" i="13"/>
  <c r="W30" i="13"/>
  <c r="U30" i="13"/>
  <c r="S30" i="13"/>
  <c r="Q30" i="13"/>
  <c r="O30" i="13"/>
  <c r="M30" i="13"/>
  <c r="K30" i="13"/>
  <c r="I30" i="13"/>
  <c r="G30" i="13"/>
  <c r="BO29" i="13"/>
  <c r="B130" i="19" s="1"/>
  <c r="BO28" i="13"/>
  <c r="B129" i="19" s="1"/>
  <c r="BO27" i="13"/>
  <c r="B128" i="19" s="1"/>
  <c r="BO26" i="13"/>
  <c r="B127" i="19" s="1"/>
  <c r="BO25" i="13"/>
  <c r="B126" i="19" s="1"/>
  <c r="BO24" i="13"/>
  <c r="B125" i="19" s="1"/>
  <c r="BO23" i="13"/>
  <c r="B124" i="19" s="1"/>
  <c r="BM22" i="13"/>
  <c r="C22" i="14" s="1"/>
  <c r="BK22" i="13"/>
  <c r="BI22" i="13"/>
  <c r="BG22" i="13"/>
  <c r="BE22" i="13"/>
  <c r="BC22" i="13"/>
  <c r="BA22" i="13"/>
  <c r="AY22" i="13"/>
  <c r="AW22" i="13"/>
  <c r="AU22" i="13"/>
  <c r="AS22" i="13"/>
  <c r="AQ22" i="13"/>
  <c r="AO22" i="13"/>
  <c r="AM22" i="13"/>
  <c r="AK22" i="13"/>
  <c r="AI22" i="13"/>
  <c r="AG22" i="13"/>
  <c r="AE22" i="13"/>
  <c r="AC22" i="13"/>
  <c r="AA22" i="13"/>
  <c r="Y22" i="13"/>
  <c r="W22" i="13"/>
  <c r="U22" i="13"/>
  <c r="S22" i="13"/>
  <c r="Q22" i="13"/>
  <c r="O22" i="13"/>
  <c r="M22" i="13"/>
  <c r="K22" i="13"/>
  <c r="I22" i="13"/>
  <c r="G22" i="13"/>
  <c r="G54" i="13" s="1"/>
  <c r="E22" i="13"/>
  <c r="BO21" i="13"/>
  <c r="B122" i="19" s="1"/>
  <c r="BO20" i="13"/>
  <c r="B121" i="19" s="1"/>
  <c r="BO19" i="13"/>
  <c r="B120" i="19" s="1"/>
  <c r="BO18" i="13"/>
  <c r="B119" i="19" s="1"/>
  <c r="BO17" i="13"/>
  <c r="B118" i="19" s="1"/>
  <c r="AM11" i="13"/>
  <c r="AL11" i="13"/>
  <c r="AJ11" i="13"/>
  <c r="AH11" i="13"/>
  <c r="AF11" i="13"/>
  <c r="AD11" i="13"/>
  <c r="AB11" i="13"/>
  <c r="Z11" i="13"/>
  <c r="X11" i="13"/>
  <c r="AW7" i="13"/>
  <c r="AK7" i="13"/>
  <c r="AI7" i="13"/>
  <c r="AC7" i="13"/>
  <c r="AA7" i="13"/>
  <c r="Y7" i="13"/>
  <c r="BP6" i="13"/>
  <c r="BL6" i="13"/>
  <c r="BJ6" i="13"/>
  <c r="BH6" i="13"/>
  <c r="BH5" i="13" s="1"/>
  <c r="BF6" i="13"/>
  <c r="BF5" i="13" s="1"/>
  <c r="BD6" i="13"/>
  <c r="BB6" i="13"/>
  <c r="BB5" i="13" s="1"/>
  <c r="AZ6" i="13"/>
  <c r="AX6" i="13"/>
  <c r="AX5" i="13" s="1"/>
  <c r="AV6" i="13"/>
  <c r="AT6" i="13"/>
  <c r="AT5" i="13" s="1"/>
  <c r="AR6" i="13"/>
  <c r="AR5" i="13" s="1"/>
  <c r="AP6" i="13"/>
  <c r="AP5" i="13" s="1"/>
  <c r="AN6" i="13"/>
  <c r="AL6" i="13"/>
  <c r="AJ6" i="13"/>
  <c r="AJ5" i="13" s="1"/>
  <c r="AH6" i="13"/>
  <c r="AH5" i="13" s="1"/>
  <c r="AF6" i="13"/>
  <c r="AD6" i="13"/>
  <c r="AB6" i="13"/>
  <c r="Z6" i="13"/>
  <c r="X6" i="13"/>
  <c r="V6" i="13"/>
  <c r="T6" i="13"/>
  <c r="T5" i="13" s="1"/>
  <c r="R6" i="13"/>
  <c r="R5" i="13" s="1"/>
  <c r="P6" i="13"/>
  <c r="N6" i="13"/>
  <c r="N5" i="13" s="1"/>
  <c r="L6" i="13"/>
  <c r="L5" i="13" s="1"/>
  <c r="J6" i="13"/>
  <c r="H6" i="13"/>
  <c r="F6" i="13"/>
  <c r="F5" i="13" s="1"/>
  <c r="D6" i="13"/>
  <c r="AN5" i="13"/>
  <c r="A5" i="13"/>
  <c r="A1" i="13"/>
  <c r="BQ13" i="12"/>
  <c r="BQ14" i="12"/>
  <c r="BQ15" i="12"/>
  <c r="BQ17" i="12"/>
  <c r="BQ21" i="12"/>
  <c r="BQ25" i="12"/>
  <c r="BQ26" i="12"/>
  <c r="BQ27" i="12"/>
  <c r="BQ28" i="12"/>
  <c r="BQ32" i="12"/>
  <c r="BQ33" i="12"/>
  <c r="BQ34" i="12"/>
  <c r="BQ36" i="12"/>
  <c r="BQ38" i="12"/>
  <c r="BQ39" i="12"/>
  <c r="BQ43" i="12"/>
  <c r="BQ55" i="12"/>
  <c r="BQ56" i="12"/>
  <c r="BQ57" i="12"/>
  <c r="BQ62" i="12"/>
  <c r="BP62" i="12" s="1"/>
  <c r="BQ63" i="12"/>
  <c r="BP63" i="12" s="1"/>
  <c r="BQ64" i="12"/>
  <c r="BQ65" i="12"/>
  <c r="BP65" i="12" s="1"/>
  <c r="BQ66" i="12"/>
  <c r="BP66" i="12" s="1"/>
  <c r="BQ74" i="12"/>
  <c r="BQ77" i="12"/>
  <c r="BP77" i="12" s="1"/>
  <c r="BQ78" i="12"/>
  <c r="BQ79" i="12"/>
  <c r="BP79" i="12" s="1"/>
  <c r="BQ80" i="12"/>
  <c r="BQ81" i="12"/>
  <c r="BP81" i="12" s="1"/>
  <c r="BQ82" i="12"/>
  <c r="BP82" i="12" s="1"/>
  <c r="BQ83" i="12"/>
  <c r="BP83" i="12" s="1"/>
  <c r="BQ84" i="12"/>
  <c r="BP84" i="12" s="1"/>
  <c r="BQ85" i="12"/>
  <c r="BP85" i="12" s="1"/>
  <c r="BQ86" i="12"/>
  <c r="BP86" i="12" s="1"/>
  <c r="BQ87" i="12"/>
  <c r="BP87" i="12" s="1"/>
  <c r="BQ88" i="12"/>
  <c r="C13" i="12"/>
  <c r="C14" i="12"/>
  <c r="C15" i="12"/>
  <c r="C17" i="12"/>
  <c r="C21" i="12"/>
  <c r="C22" i="12"/>
  <c r="C25" i="12"/>
  <c r="C26" i="12"/>
  <c r="C27" i="12"/>
  <c r="C28" i="12"/>
  <c r="E30" i="12" s="1"/>
  <c r="C32" i="12"/>
  <c r="C33" i="12"/>
  <c r="C34" i="12"/>
  <c r="C36" i="12"/>
  <c r="C38" i="12"/>
  <c r="C39" i="12"/>
  <c r="C43" i="12"/>
  <c r="C55" i="12"/>
  <c r="C56" i="12"/>
  <c r="C62" i="12"/>
  <c r="D62" i="12" s="1"/>
  <c r="C63" i="12"/>
  <c r="D63" i="12" s="1"/>
  <c r="C64" i="12"/>
  <c r="B64" i="12" s="1"/>
  <c r="C65" i="12"/>
  <c r="D65" i="12" s="1"/>
  <c r="C66" i="12"/>
  <c r="B66" i="12" s="1"/>
  <c r="C74" i="12"/>
  <c r="C77" i="12"/>
  <c r="D77" i="12" s="1"/>
  <c r="C78" i="12"/>
  <c r="C79" i="12"/>
  <c r="C80" i="12"/>
  <c r="D80" i="12" s="1"/>
  <c r="E94" i="12" s="1"/>
  <c r="C81" i="12"/>
  <c r="D81" i="12" s="1"/>
  <c r="C82" i="12"/>
  <c r="D82" i="12" s="1"/>
  <c r="E96" i="12" s="1"/>
  <c r="C83" i="12"/>
  <c r="D83" i="12" s="1"/>
  <c r="E97" i="12" s="1"/>
  <c r="C84" i="12"/>
  <c r="D84" i="12" s="1"/>
  <c r="E98" i="12" s="1"/>
  <c r="C85" i="12"/>
  <c r="C86" i="12"/>
  <c r="D86" i="12" s="1"/>
  <c r="C87" i="12"/>
  <c r="D87" i="12" s="1"/>
  <c r="C88" i="12"/>
  <c r="BO120" i="12"/>
  <c r="H108" i="19" s="1"/>
  <c r="BO119" i="12"/>
  <c r="H107" i="19" s="1"/>
  <c r="BO118" i="12"/>
  <c r="H106" i="19" s="1"/>
  <c r="BO117" i="12"/>
  <c r="H105" i="19" s="1"/>
  <c r="BO116" i="12"/>
  <c r="H104" i="19" s="1"/>
  <c r="BO115" i="12"/>
  <c r="H103" i="19" s="1"/>
  <c r="BO114" i="12"/>
  <c r="H102" i="19" s="1"/>
  <c r="BO113" i="12"/>
  <c r="H101" i="19" s="1"/>
  <c r="BO112" i="12"/>
  <c r="H100" i="19" s="1"/>
  <c r="BO111" i="12"/>
  <c r="H99" i="19" s="1"/>
  <c r="BO110" i="12"/>
  <c r="H98" i="19" s="1"/>
  <c r="BO109" i="12"/>
  <c r="H97" i="19" s="1"/>
  <c r="BO108" i="12"/>
  <c r="H96" i="19" s="1"/>
  <c r="BO107" i="12"/>
  <c r="H95" i="19" s="1"/>
  <c r="BO106" i="12"/>
  <c r="H94" i="19" s="1"/>
  <c r="BP104" i="12"/>
  <c r="BF104" i="12"/>
  <c r="BD104" i="12"/>
  <c r="BB104" i="12"/>
  <c r="AZ104" i="12"/>
  <c r="AX104" i="12"/>
  <c r="AV104" i="12"/>
  <c r="AT104" i="12"/>
  <c r="AR104" i="12"/>
  <c r="AP104" i="12"/>
  <c r="AN104" i="12"/>
  <c r="AL104" i="12"/>
  <c r="AJ104" i="12"/>
  <c r="AH104" i="12"/>
  <c r="AF104" i="12"/>
  <c r="AD104" i="12"/>
  <c r="AB104" i="12"/>
  <c r="Z104" i="12"/>
  <c r="X104" i="12"/>
  <c r="V104" i="12"/>
  <c r="T104" i="12"/>
  <c r="R104" i="12"/>
  <c r="P104" i="12"/>
  <c r="N104" i="12"/>
  <c r="L104" i="12"/>
  <c r="J104" i="12"/>
  <c r="H104" i="12"/>
  <c r="F104" i="12"/>
  <c r="D104" i="12"/>
  <c r="BP103" i="12"/>
  <c r="BF103" i="12"/>
  <c r="BD103" i="12"/>
  <c r="BB103" i="12"/>
  <c r="AZ103" i="12"/>
  <c r="AX103" i="12"/>
  <c r="AV103" i="12"/>
  <c r="AT103" i="12"/>
  <c r="AR103" i="12"/>
  <c r="AP103" i="12"/>
  <c r="AN103" i="12"/>
  <c r="AL103" i="12"/>
  <c r="AJ103" i="12"/>
  <c r="AH103" i="12"/>
  <c r="AF103" i="12"/>
  <c r="AD103" i="12"/>
  <c r="AB103" i="12"/>
  <c r="Z103" i="12"/>
  <c r="X103" i="12"/>
  <c r="V103" i="12"/>
  <c r="T103" i="12"/>
  <c r="R103" i="12"/>
  <c r="P103" i="12"/>
  <c r="N103" i="12"/>
  <c r="L103" i="12"/>
  <c r="J103" i="12"/>
  <c r="H103" i="12"/>
  <c r="F103" i="12"/>
  <c r="D103" i="12"/>
  <c r="AK102" i="12"/>
  <c r="G102" i="12"/>
  <c r="S101" i="12"/>
  <c r="U96" i="12"/>
  <c r="O91" i="12"/>
  <c r="BP89" i="12"/>
  <c r="BF89" i="12"/>
  <c r="BD89" i="12"/>
  <c r="BB89" i="12"/>
  <c r="AZ89" i="12"/>
  <c r="AX89" i="12"/>
  <c r="AV89" i="12"/>
  <c r="AT89" i="12"/>
  <c r="AR89" i="12"/>
  <c r="AP89" i="12"/>
  <c r="AN89" i="12"/>
  <c r="AL89" i="12"/>
  <c r="AJ89" i="12"/>
  <c r="AH89" i="12"/>
  <c r="AF89" i="12"/>
  <c r="AD89" i="12"/>
  <c r="AB89" i="12"/>
  <c r="Z89" i="12"/>
  <c r="X89" i="12"/>
  <c r="V89" i="12"/>
  <c r="T89" i="12"/>
  <c r="R89" i="12"/>
  <c r="P89" i="12"/>
  <c r="N89" i="12"/>
  <c r="L89" i="12"/>
  <c r="J89" i="12"/>
  <c r="H89" i="12"/>
  <c r="F89" i="12"/>
  <c r="D89" i="12"/>
  <c r="BP88" i="12"/>
  <c r="BF88" i="12"/>
  <c r="BG102" i="12" s="1"/>
  <c r="BD88" i="12"/>
  <c r="BE102" i="12" s="1"/>
  <c r="BB88" i="12"/>
  <c r="BC102" i="12" s="1"/>
  <c r="AZ88" i="12"/>
  <c r="BA102" i="12" s="1"/>
  <c r="AX88" i="12"/>
  <c r="AY102" i="12" s="1"/>
  <c r="AV88" i="12"/>
  <c r="AW102" i="12" s="1"/>
  <c r="AT88" i="12"/>
  <c r="AU102" i="12" s="1"/>
  <c r="AR88" i="12"/>
  <c r="AS102" i="12" s="1"/>
  <c r="AP88" i="12"/>
  <c r="AQ102" i="12" s="1"/>
  <c r="AN88" i="12"/>
  <c r="AO102" i="12" s="1"/>
  <c r="AL88" i="12"/>
  <c r="AM102" i="12" s="1"/>
  <c r="AJ88" i="12"/>
  <c r="AH88" i="12"/>
  <c r="AI102" i="12" s="1"/>
  <c r="AF88" i="12"/>
  <c r="AG102" i="12" s="1"/>
  <c r="AD88" i="12"/>
  <c r="AE102" i="12" s="1"/>
  <c r="AB88" i="12"/>
  <c r="AC102" i="12" s="1"/>
  <c r="Z88" i="12"/>
  <c r="AA102" i="12" s="1"/>
  <c r="X88" i="12"/>
  <c r="Y102" i="12" s="1"/>
  <c r="V88" i="12"/>
  <c r="W102" i="12" s="1"/>
  <c r="T88" i="12"/>
  <c r="U102" i="12" s="1"/>
  <c r="R88" i="12"/>
  <c r="S102" i="12" s="1"/>
  <c r="P88" i="12"/>
  <c r="Q102" i="12" s="1"/>
  <c r="N88" i="12"/>
  <c r="O102" i="12" s="1"/>
  <c r="L88" i="12"/>
  <c r="M102" i="12" s="1"/>
  <c r="J88" i="12"/>
  <c r="K102" i="12" s="1"/>
  <c r="H88" i="12"/>
  <c r="I102" i="12" s="1"/>
  <c r="F88" i="12"/>
  <c r="BF87" i="12"/>
  <c r="BG101" i="12" s="1"/>
  <c r="BD87" i="12"/>
  <c r="BE101" i="12" s="1"/>
  <c r="BB87" i="12"/>
  <c r="BC101" i="12" s="1"/>
  <c r="AZ87" i="12"/>
  <c r="BA101" i="12" s="1"/>
  <c r="AX87" i="12"/>
  <c r="AY101" i="12" s="1"/>
  <c r="AV87" i="12"/>
  <c r="AW101" i="12" s="1"/>
  <c r="AT87" i="12"/>
  <c r="AU101" i="12" s="1"/>
  <c r="AR87" i="12"/>
  <c r="AS101" i="12" s="1"/>
  <c r="AP87" i="12"/>
  <c r="AQ101" i="12" s="1"/>
  <c r="AN87" i="12"/>
  <c r="AO101" i="12" s="1"/>
  <c r="AL87" i="12"/>
  <c r="AM101" i="12" s="1"/>
  <c r="AJ87" i="12"/>
  <c r="AK101" i="12" s="1"/>
  <c r="AH87" i="12"/>
  <c r="AI101" i="12" s="1"/>
  <c r="AF87" i="12"/>
  <c r="AG101" i="12" s="1"/>
  <c r="AD87" i="12"/>
  <c r="AE101" i="12" s="1"/>
  <c r="AB87" i="12"/>
  <c r="AC101" i="12" s="1"/>
  <c r="Z87" i="12"/>
  <c r="AA101" i="12" s="1"/>
  <c r="X87" i="12"/>
  <c r="Y101" i="12" s="1"/>
  <c r="V87" i="12"/>
  <c r="W101" i="12" s="1"/>
  <c r="T87" i="12"/>
  <c r="U101" i="12" s="1"/>
  <c r="R87" i="12"/>
  <c r="P87" i="12"/>
  <c r="Q101" i="12" s="1"/>
  <c r="N87" i="12"/>
  <c r="O101" i="12" s="1"/>
  <c r="L87" i="12"/>
  <c r="M101" i="12" s="1"/>
  <c r="J87" i="12"/>
  <c r="K101" i="12" s="1"/>
  <c r="H87" i="12"/>
  <c r="I101" i="12" s="1"/>
  <c r="F87" i="12"/>
  <c r="G101" i="12" s="1"/>
  <c r="BF86" i="12"/>
  <c r="BG100" i="12" s="1"/>
  <c r="BD86" i="12"/>
  <c r="BE100" i="12" s="1"/>
  <c r="BB86" i="12"/>
  <c r="BC100" i="12" s="1"/>
  <c r="AZ86" i="12"/>
  <c r="BA100" i="12" s="1"/>
  <c r="AX86" i="12"/>
  <c r="AY100" i="12" s="1"/>
  <c r="AV86" i="12"/>
  <c r="AW100" i="12" s="1"/>
  <c r="AT86" i="12"/>
  <c r="AU100" i="12" s="1"/>
  <c r="AR86" i="12"/>
  <c r="AS100" i="12" s="1"/>
  <c r="AP86" i="12"/>
  <c r="AQ100" i="12" s="1"/>
  <c r="AN86" i="12"/>
  <c r="AO100" i="12" s="1"/>
  <c r="AL86" i="12"/>
  <c r="AM100" i="12" s="1"/>
  <c r="AJ86" i="12"/>
  <c r="AK100" i="12" s="1"/>
  <c r="AH86" i="12"/>
  <c r="AI100" i="12" s="1"/>
  <c r="AF86" i="12"/>
  <c r="AG100" i="12" s="1"/>
  <c r="AD86" i="12"/>
  <c r="AE100" i="12" s="1"/>
  <c r="AB86" i="12"/>
  <c r="AC100" i="12" s="1"/>
  <c r="Z86" i="12"/>
  <c r="AA100" i="12" s="1"/>
  <c r="X86" i="12"/>
  <c r="Y100" i="12" s="1"/>
  <c r="V86" i="12"/>
  <c r="W100" i="12" s="1"/>
  <c r="T86" i="12"/>
  <c r="U100" i="12" s="1"/>
  <c r="R86" i="12"/>
  <c r="S100" i="12" s="1"/>
  <c r="P86" i="12"/>
  <c r="Q100" i="12" s="1"/>
  <c r="N86" i="12"/>
  <c r="O100" i="12" s="1"/>
  <c r="L86" i="12"/>
  <c r="M100" i="12" s="1"/>
  <c r="J86" i="12"/>
  <c r="K100" i="12" s="1"/>
  <c r="H86" i="12"/>
  <c r="I100" i="12" s="1"/>
  <c r="F86" i="12"/>
  <c r="G100" i="12" s="1"/>
  <c r="BF85" i="12"/>
  <c r="BG99" i="12" s="1"/>
  <c r="BD85" i="12"/>
  <c r="BE99" i="12" s="1"/>
  <c r="BB85" i="12"/>
  <c r="BC99" i="12" s="1"/>
  <c r="AZ85" i="12"/>
  <c r="BA99" i="12" s="1"/>
  <c r="AX85" i="12"/>
  <c r="AY99" i="12" s="1"/>
  <c r="AV85" i="12"/>
  <c r="AW99" i="12" s="1"/>
  <c r="AT85" i="12"/>
  <c r="AU99" i="12" s="1"/>
  <c r="AR85" i="12"/>
  <c r="AS99" i="12" s="1"/>
  <c r="AP85" i="12"/>
  <c r="AQ99" i="12" s="1"/>
  <c r="AN85" i="12"/>
  <c r="AO99" i="12" s="1"/>
  <c r="AL85" i="12"/>
  <c r="AM99" i="12" s="1"/>
  <c r="AJ85" i="12"/>
  <c r="AK99" i="12" s="1"/>
  <c r="AH85" i="12"/>
  <c r="AI99" i="12" s="1"/>
  <c r="AF85" i="12"/>
  <c r="AG99" i="12" s="1"/>
  <c r="AD85" i="12"/>
  <c r="AE99" i="12" s="1"/>
  <c r="AB85" i="12"/>
  <c r="AC99" i="12" s="1"/>
  <c r="Z85" i="12"/>
  <c r="AA99" i="12" s="1"/>
  <c r="X85" i="12"/>
  <c r="Y99" i="12" s="1"/>
  <c r="V85" i="12"/>
  <c r="W99" i="12" s="1"/>
  <c r="T85" i="12"/>
  <c r="U99" i="12" s="1"/>
  <c r="R85" i="12"/>
  <c r="S99" i="12" s="1"/>
  <c r="P85" i="12"/>
  <c r="Q99" i="12" s="1"/>
  <c r="N85" i="12"/>
  <c r="O99" i="12" s="1"/>
  <c r="L85" i="12"/>
  <c r="M99" i="12" s="1"/>
  <c r="J85" i="12"/>
  <c r="K99" i="12" s="1"/>
  <c r="H85" i="12"/>
  <c r="I99" i="12" s="1"/>
  <c r="F85" i="12"/>
  <c r="G99" i="12" s="1"/>
  <c r="BF84" i="12"/>
  <c r="BG98" i="12" s="1"/>
  <c r="BD84" i="12"/>
  <c r="BE98" i="12" s="1"/>
  <c r="BB84" i="12"/>
  <c r="BC98" i="12" s="1"/>
  <c r="AZ84" i="12"/>
  <c r="BA98" i="12" s="1"/>
  <c r="AX84" i="12"/>
  <c r="AY98" i="12" s="1"/>
  <c r="AV84" i="12"/>
  <c r="AW98" i="12" s="1"/>
  <c r="AT84" i="12"/>
  <c r="AU98" i="12" s="1"/>
  <c r="AR84" i="12"/>
  <c r="AS98" i="12" s="1"/>
  <c r="AP84" i="12"/>
  <c r="AQ98" i="12" s="1"/>
  <c r="AN84" i="12"/>
  <c r="AO98" i="12" s="1"/>
  <c r="AL84" i="12"/>
  <c r="AM98" i="12" s="1"/>
  <c r="AJ84" i="12"/>
  <c r="AK98" i="12" s="1"/>
  <c r="AH84" i="12"/>
  <c r="AI98" i="12" s="1"/>
  <c r="AF84" i="12"/>
  <c r="AG98" i="12" s="1"/>
  <c r="AD84" i="12"/>
  <c r="AE98" i="12" s="1"/>
  <c r="AB84" i="12"/>
  <c r="AC98" i="12" s="1"/>
  <c r="Z84" i="12"/>
  <c r="AA98" i="12" s="1"/>
  <c r="X84" i="12"/>
  <c r="Y98" i="12" s="1"/>
  <c r="V84" i="12"/>
  <c r="W98" i="12" s="1"/>
  <c r="T84" i="12"/>
  <c r="U98" i="12" s="1"/>
  <c r="R84" i="12"/>
  <c r="S98" i="12" s="1"/>
  <c r="P84" i="12"/>
  <c r="Q98" i="12" s="1"/>
  <c r="N84" i="12"/>
  <c r="O98" i="12" s="1"/>
  <c r="L84" i="12"/>
  <c r="M98" i="12" s="1"/>
  <c r="J84" i="12"/>
  <c r="K98" i="12" s="1"/>
  <c r="H84" i="12"/>
  <c r="I98" i="12" s="1"/>
  <c r="F84" i="12"/>
  <c r="G98" i="12" s="1"/>
  <c r="BF83" i="12"/>
  <c r="BG97" i="12" s="1"/>
  <c r="BD83" i="12"/>
  <c r="BE97" i="12" s="1"/>
  <c r="BB83" i="12"/>
  <c r="BC97" i="12" s="1"/>
  <c r="AZ83" i="12"/>
  <c r="BA97" i="12" s="1"/>
  <c r="AX83" i="12"/>
  <c r="AY97" i="12" s="1"/>
  <c r="AV83" i="12"/>
  <c r="AW97" i="12" s="1"/>
  <c r="AT83" i="12"/>
  <c r="AU97" i="12" s="1"/>
  <c r="AR83" i="12"/>
  <c r="AS97" i="12" s="1"/>
  <c r="AP83" i="12"/>
  <c r="AQ97" i="12" s="1"/>
  <c r="AN83" i="12"/>
  <c r="AO97" i="12" s="1"/>
  <c r="AL83" i="12"/>
  <c r="AM97" i="12" s="1"/>
  <c r="AJ83" i="12"/>
  <c r="AK97" i="12" s="1"/>
  <c r="AH83" i="12"/>
  <c r="AI97" i="12" s="1"/>
  <c r="AF83" i="12"/>
  <c r="AG97" i="12" s="1"/>
  <c r="AD83" i="12"/>
  <c r="AE97" i="12" s="1"/>
  <c r="AB83" i="12"/>
  <c r="AC97" i="12" s="1"/>
  <c r="Z83" i="12"/>
  <c r="AA97" i="12" s="1"/>
  <c r="X83" i="12"/>
  <c r="Y97" i="12" s="1"/>
  <c r="V83" i="12"/>
  <c r="W97" i="12" s="1"/>
  <c r="T83" i="12"/>
  <c r="U97" i="12" s="1"/>
  <c r="R83" i="12"/>
  <c r="S97" i="12" s="1"/>
  <c r="P83" i="12"/>
  <c r="Q97" i="12" s="1"/>
  <c r="N83" i="12"/>
  <c r="O97" i="12" s="1"/>
  <c r="L83" i="12"/>
  <c r="M97" i="12" s="1"/>
  <c r="J83" i="12"/>
  <c r="K97" i="12" s="1"/>
  <c r="H83" i="12"/>
  <c r="I97" i="12" s="1"/>
  <c r="F83" i="12"/>
  <c r="G97" i="12" s="1"/>
  <c r="BF82" i="12"/>
  <c r="BG96" i="12" s="1"/>
  <c r="BD82" i="12"/>
  <c r="BE96" i="12" s="1"/>
  <c r="BB82" i="12"/>
  <c r="BC96" i="12" s="1"/>
  <c r="AZ82" i="12"/>
  <c r="BA96" i="12" s="1"/>
  <c r="AX82" i="12"/>
  <c r="AY96" i="12" s="1"/>
  <c r="AV82" i="12"/>
  <c r="AW96" i="12" s="1"/>
  <c r="AT82" i="12"/>
  <c r="AU96" i="12" s="1"/>
  <c r="AR82" i="12"/>
  <c r="AS96" i="12" s="1"/>
  <c r="AP82" i="12"/>
  <c r="AQ96" i="12" s="1"/>
  <c r="AN82" i="12"/>
  <c r="AO96" i="12" s="1"/>
  <c r="AL82" i="12"/>
  <c r="AM96" i="12" s="1"/>
  <c r="AJ82" i="12"/>
  <c r="AK96" i="12" s="1"/>
  <c r="AH82" i="12"/>
  <c r="AI96" i="12" s="1"/>
  <c r="AF82" i="12"/>
  <c r="AG96" i="12" s="1"/>
  <c r="AD82" i="12"/>
  <c r="AE96" i="12" s="1"/>
  <c r="AB82" i="12"/>
  <c r="AC96" i="12" s="1"/>
  <c r="Z82" i="12"/>
  <c r="AA96" i="12" s="1"/>
  <c r="X82" i="12"/>
  <c r="Y96" i="12" s="1"/>
  <c r="V82" i="12"/>
  <c r="W96" i="12" s="1"/>
  <c r="T82" i="12"/>
  <c r="R82" i="12"/>
  <c r="S96" i="12" s="1"/>
  <c r="P82" i="12"/>
  <c r="Q96" i="12" s="1"/>
  <c r="N82" i="12"/>
  <c r="O96" i="12" s="1"/>
  <c r="L82" i="12"/>
  <c r="M96" i="12" s="1"/>
  <c r="J82" i="12"/>
  <c r="K96" i="12" s="1"/>
  <c r="H82" i="12"/>
  <c r="I96" i="12" s="1"/>
  <c r="F82" i="12"/>
  <c r="G96" i="12" s="1"/>
  <c r="BF81" i="12"/>
  <c r="BG95" i="12" s="1"/>
  <c r="BD81" i="12"/>
  <c r="BE95" i="12" s="1"/>
  <c r="BB81" i="12"/>
  <c r="BC95" i="12" s="1"/>
  <c r="AZ81" i="12"/>
  <c r="BA95" i="12" s="1"/>
  <c r="AX81" i="12"/>
  <c r="AY95" i="12" s="1"/>
  <c r="AV81" i="12"/>
  <c r="AW95" i="12" s="1"/>
  <c r="AT81" i="12"/>
  <c r="AU95" i="12" s="1"/>
  <c r="AR81" i="12"/>
  <c r="AS95" i="12" s="1"/>
  <c r="AP81" i="12"/>
  <c r="AQ95" i="12" s="1"/>
  <c r="AN81" i="12"/>
  <c r="AO95" i="12" s="1"/>
  <c r="AL81" i="12"/>
  <c r="AM95" i="12" s="1"/>
  <c r="AJ81" i="12"/>
  <c r="AK95" i="12" s="1"/>
  <c r="AH81" i="12"/>
  <c r="AI95" i="12" s="1"/>
  <c r="AF81" i="12"/>
  <c r="AG95" i="12" s="1"/>
  <c r="AD81" i="12"/>
  <c r="AE95" i="12" s="1"/>
  <c r="AB81" i="12"/>
  <c r="AC95" i="12" s="1"/>
  <c r="Z81" i="12"/>
  <c r="AA95" i="12" s="1"/>
  <c r="X81" i="12"/>
  <c r="Y95" i="12" s="1"/>
  <c r="V81" i="12"/>
  <c r="W95" i="12" s="1"/>
  <c r="T81" i="12"/>
  <c r="U95" i="12" s="1"/>
  <c r="R81" i="12"/>
  <c r="S95" i="12" s="1"/>
  <c r="P81" i="12"/>
  <c r="Q95" i="12" s="1"/>
  <c r="N81" i="12"/>
  <c r="O95" i="12" s="1"/>
  <c r="L81" i="12"/>
  <c r="M95" i="12" s="1"/>
  <c r="J81" i="12"/>
  <c r="K95" i="12" s="1"/>
  <c r="H81" i="12"/>
  <c r="I95" i="12" s="1"/>
  <c r="F81" i="12"/>
  <c r="G95" i="12" s="1"/>
  <c r="BF80" i="12"/>
  <c r="BG94" i="12" s="1"/>
  <c r="BD80" i="12"/>
  <c r="BE94" i="12" s="1"/>
  <c r="BB80" i="12"/>
  <c r="BC94" i="12" s="1"/>
  <c r="AZ80" i="12"/>
  <c r="BA94" i="12" s="1"/>
  <c r="AX80" i="12"/>
  <c r="AY94" i="12" s="1"/>
  <c r="AV80" i="12"/>
  <c r="AW94" i="12" s="1"/>
  <c r="AT80" i="12"/>
  <c r="AU94" i="12" s="1"/>
  <c r="AR80" i="12"/>
  <c r="AS94" i="12" s="1"/>
  <c r="AP80" i="12"/>
  <c r="AQ94" i="12" s="1"/>
  <c r="AN80" i="12"/>
  <c r="AO94" i="12" s="1"/>
  <c r="AL80" i="12"/>
  <c r="AM94" i="12" s="1"/>
  <c r="AJ80" i="12"/>
  <c r="AK94" i="12" s="1"/>
  <c r="AH80" i="12"/>
  <c r="AI94" i="12" s="1"/>
  <c r="AF80" i="12"/>
  <c r="AG94" i="12" s="1"/>
  <c r="AD80" i="12"/>
  <c r="AE94" i="12" s="1"/>
  <c r="AB80" i="12"/>
  <c r="AC94" i="12" s="1"/>
  <c r="Z80" i="12"/>
  <c r="AA94" i="12" s="1"/>
  <c r="X80" i="12"/>
  <c r="Y94" i="12" s="1"/>
  <c r="V80" i="12"/>
  <c r="W94" i="12" s="1"/>
  <c r="T80" i="12"/>
  <c r="U94" i="12" s="1"/>
  <c r="R80" i="12"/>
  <c r="S94" i="12" s="1"/>
  <c r="P80" i="12"/>
  <c r="Q94" i="12" s="1"/>
  <c r="N80" i="12"/>
  <c r="O94" i="12" s="1"/>
  <c r="L80" i="12"/>
  <c r="M94" i="12" s="1"/>
  <c r="J80" i="12"/>
  <c r="K94" i="12" s="1"/>
  <c r="H80" i="12"/>
  <c r="I94" i="12" s="1"/>
  <c r="F80" i="12"/>
  <c r="BF79" i="12"/>
  <c r="BG93" i="12" s="1"/>
  <c r="BD79" i="12"/>
  <c r="BE93" i="12" s="1"/>
  <c r="BB79" i="12"/>
  <c r="BC93" i="12" s="1"/>
  <c r="AZ79" i="12"/>
  <c r="BA93" i="12" s="1"/>
  <c r="AX79" i="12"/>
  <c r="AY93" i="12" s="1"/>
  <c r="AV79" i="12"/>
  <c r="AW93" i="12" s="1"/>
  <c r="AT79" i="12"/>
  <c r="AU93" i="12" s="1"/>
  <c r="AR79" i="12"/>
  <c r="AS93" i="12" s="1"/>
  <c r="AP79" i="12"/>
  <c r="AQ93" i="12" s="1"/>
  <c r="AN79" i="12"/>
  <c r="AL79" i="12"/>
  <c r="AM93" i="12" s="1"/>
  <c r="AJ79" i="12"/>
  <c r="AK93" i="12" s="1"/>
  <c r="AH79" i="12"/>
  <c r="AI93" i="12" s="1"/>
  <c r="AF79" i="12"/>
  <c r="AG93" i="12" s="1"/>
  <c r="AD79" i="12"/>
  <c r="AE93" i="12" s="1"/>
  <c r="AB79" i="12"/>
  <c r="AC93" i="12" s="1"/>
  <c r="Z79" i="12"/>
  <c r="AA93" i="12" s="1"/>
  <c r="X79" i="12"/>
  <c r="Y93" i="12" s="1"/>
  <c r="V79" i="12"/>
  <c r="W93" i="12" s="1"/>
  <c r="T79" i="12"/>
  <c r="U93" i="12" s="1"/>
  <c r="R79" i="12"/>
  <c r="S93" i="12" s="1"/>
  <c r="P79" i="12"/>
  <c r="Q93" i="12" s="1"/>
  <c r="N79" i="12"/>
  <c r="O93" i="12" s="1"/>
  <c r="L79" i="12"/>
  <c r="M93" i="12" s="1"/>
  <c r="J79" i="12"/>
  <c r="K93" i="12" s="1"/>
  <c r="H79" i="12"/>
  <c r="I93" i="12" s="1"/>
  <c r="F79" i="12"/>
  <c r="G93" i="12" s="1"/>
  <c r="BP78" i="12"/>
  <c r="BF78" i="12"/>
  <c r="BG92" i="12" s="1"/>
  <c r="BD78" i="12"/>
  <c r="BE92" i="12" s="1"/>
  <c r="BB78" i="12"/>
  <c r="BC92" i="12" s="1"/>
  <c r="AZ78" i="12"/>
  <c r="BA92" i="12" s="1"/>
  <c r="AX78" i="12"/>
  <c r="AY92" i="12" s="1"/>
  <c r="AV78" i="12"/>
  <c r="AW92" i="12" s="1"/>
  <c r="AT78" i="12"/>
  <c r="AU92" i="12" s="1"/>
  <c r="AR78" i="12"/>
  <c r="AS92" i="12" s="1"/>
  <c r="AP78" i="12"/>
  <c r="AQ92" i="12" s="1"/>
  <c r="AN78" i="12"/>
  <c r="AO92" i="12" s="1"/>
  <c r="AL78" i="12"/>
  <c r="AM92" i="12" s="1"/>
  <c r="AJ78" i="12"/>
  <c r="AK92" i="12" s="1"/>
  <c r="AH78" i="12"/>
  <c r="AI92" i="12" s="1"/>
  <c r="AF78" i="12"/>
  <c r="AG92" i="12" s="1"/>
  <c r="AD78" i="12"/>
  <c r="AE92" i="12" s="1"/>
  <c r="AB78" i="12"/>
  <c r="AC92" i="12" s="1"/>
  <c r="Z78" i="12"/>
  <c r="AA92" i="12" s="1"/>
  <c r="X78" i="12"/>
  <c r="Y92" i="12" s="1"/>
  <c r="V78" i="12"/>
  <c r="W92" i="12" s="1"/>
  <c r="T78" i="12"/>
  <c r="U92" i="12" s="1"/>
  <c r="R78" i="12"/>
  <c r="S92" i="12" s="1"/>
  <c r="P78" i="12"/>
  <c r="Q92" i="12" s="1"/>
  <c r="N78" i="12"/>
  <c r="O92" i="12" s="1"/>
  <c r="L78" i="12"/>
  <c r="M92" i="12" s="1"/>
  <c r="J78" i="12"/>
  <c r="K92" i="12" s="1"/>
  <c r="H78" i="12"/>
  <c r="I92" i="12" s="1"/>
  <c r="F78" i="12"/>
  <c r="G92" i="12" s="1"/>
  <c r="BF77" i="12"/>
  <c r="BG91" i="12" s="1"/>
  <c r="BD77" i="12"/>
  <c r="BE91" i="12" s="1"/>
  <c r="BB77" i="12"/>
  <c r="BC91" i="12" s="1"/>
  <c r="AZ77" i="12"/>
  <c r="BA91" i="12" s="1"/>
  <c r="AX77" i="12"/>
  <c r="AY91" i="12" s="1"/>
  <c r="AV77" i="12"/>
  <c r="AW91" i="12" s="1"/>
  <c r="AT77" i="12"/>
  <c r="AU91" i="12" s="1"/>
  <c r="AR77" i="12"/>
  <c r="AS91" i="12" s="1"/>
  <c r="AP77" i="12"/>
  <c r="AQ91" i="12" s="1"/>
  <c r="AN77" i="12"/>
  <c r="AO91" i="12" s="1"/>
  <c r="AL77" i="12"/>
  <c r="AM91" i="12" s="1"/>
  <c r="AJ77" i="12"/>
  <c r="AK91" i="12" s="1"/>
  <c r="AH77" i="12"/>
  <c r="AI91" i="12" s="1"/>
  <c r="AF77" i="12"/>
  <c r="AG91" i="12" s="1"/>
  <c r="AD77" i="12"/>
  <c r="AE91" i="12" s="1"/>
  <c r="AB77" i="12"/>
  <c r="AC91" i="12" s="1"/>
  <c r="Z77" i="12"/>
  <c r="AA91" i="12" s="1"/>
  <c r="X77" i="12"/>
  <c r="Y91" i="12" s="1"/>
  <c r="V77" i="12"/>
  <c r="W91" i="12" s="1"/>
  <c r="T77" i="12"/>
  <c r="U91" i="12" s="1"/>
  <c r="R77" i="12"/>
  <c r="S91" i="12" s="1"/>
  <c r="P77" i="12"/>
  <c r="Q91" i="12" s="1"/>
  <c r="N77" i="12"/>
  <c r="L77" i="12"/>
  <c r="M91" i="12" s="1"/>
  <c r="J77" i="12"/>
  <c r="K91" i="12" s="1"/>
  <c r="H77" i="12"/>
  <c r="I91" i="12" s="1"/>
  <c r="F77" i="12"/>
  <c r="G91" i="12" s="1"/>
  <c r="BK11" i="12"/>
  <c r="AK75" i="12"/>
  <c r="AK11" i="12" s="1"/>
  <c r="BO74" i="12"/>
  <c r="H67" i="19" s="1"/>
  <c r="BP72" i="12"/>
  <c r="BG72" i="12"/>
  <c r="BF72" i="12"/>
  <c r="BE72" i="12"/>
  <c r="BD72" i="12"/>
  <c r="BC72" i="12"/>
  <c r="BB72" i="12"/>
  <c r="BA72" i="12"/>
  <c r="AZ72" i="12"/>
  <c r="AY72" i="12"/>
  <c r="AX72" i="12"/>
  <c r="AW72" i="12"/>
  <c r="AV72" i="12"/>
  <c r="AU72" i="12"/>
  <c r="AT72" i="12"/>
  <c r="AS72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AF72" i="12"/>
  <c r="AE72" i="12"/>
  <c r="AD72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D72" i="12"/>
  <c r="BP71" i="12"/>
  <c r="BG71" i="12"/>
  <c r="BF71" i="12"/>
  <c r="BE71" i="12"/>
  <c r="BD71" i="12"/>
  <c r="BC71" i="12"/>
  <c r="BB71" i="12"/>
  <c r="BA71" i="12"/>
  <c r="AZ71" i="12"/>
  <c r="AY71" i="12"/>
  <c r="AX71" i="12"/>
  <c r="AW71" i="12"/>
  <c r="AV71" i="12"/>
  <c r="AU71" i="12"/>
  <c r="AT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AF71" i="12"/>
  <c r="AE71" i="12"/>
  <c r="AD71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D71" i="12"/>
  <c r="BP70" i="12"/>
  <c r="BG70" i="12"/>
  <c r="BF70" i="12"/>
  <c r="BE70" i="12"/>
  <c r="BD70" i="12"/>
  <c r="BC70" i="12"/>
  <c r="BB70" i="12"/>
  <c r="BA70" i="12"/>
  <c r="AZ70" i="12"/>
  <c r="AY70" i="12"/>
  <c r="AX70" i="12"/>
  <c r="AW70" i="12"/>
  <c r="AV70" i="12"/>
  <c r="AU70" i="12"/>
  <c r="AT70" i="12"/>
  <c r="AS70" i="12"/>
  <c r="AR70" i="12"/>
  <c r="AQ70" i="12"/>
  <c r="AP70" i="12"/>
  <c r="AO70" i="12"/>
  <c r="AN70" i="12"/>
  <c r="AM70" i="12"/>
  <c r="AL70" i="12"/>
  <c r="AK70" i="12"/>
  <c r="AJ70" i="12"/>
  <c r="AI70" i="12"/>
  <c r="AH70" i="12"/>
  <c r="AG70" i="12"/>
  <c r="AF70" i="12"/>
  <c r="AE70" i="12"/>
  <c r="AD70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D70" i="12"/>
  <c r="BP69" i="12"/>
  <c r="BG69" i="12"/>
  <c r="BF69" i="12"/>
  <c r="BE69" i="12"/>
  <c r="BD69" i="12"/>
  <c r="BC69" i="12"/>
  <c r="BB69" i="12"/>
  <c r="BA69" i="12"/>
  <c r="AZ69" i="12"/>
  <c r="AY69" i="12"/>
  <c r="AX69" i="12"/>
  <c r="AW69" i="12"/>
  <c r="AV69" i="12"/>
  <c r="AU69" i="12"/>
  <c r="AT69" i="12"/>
  <c r="AS69" i="12"/>
  <c r="AR69" i="12"/>
  <c r="AQ69" i="12"/>
  <c r="AP69" i="12"/>
  <c r="AO69" i="12"/>
  <c r="AN69" i="12"/>
  <c r="AM69" i="12"/>
  <c r="AL69" i="12"/>
  <c r="AK69" i="12"/>
  <c r="AJ69" i="12"/>
  <c r="AI69" i="12"/>
  <c r="AH69" i="12"/>
  <c r="AG69" i="12"/>
  <c r="AF69" i="12"/>
  <c r="AE69" i="12"/>
  <c r="AD69" i="12"/>
  <c r="AC69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O69" i="12"/>
  <c r="N69" i="12"/>
  <c r="M69" i="12"/>
  <c r="L69" i="12"/>
  <c r="K69" i="12"/>
  <c r="J69" i="12"/>
  <c r="I69" i="12"/>
  <c r="H69" i="12"/>
  <c r="G69" i="12"/>
  <c r="F69" i="12"/>
  <c r="D69" i="12"/>
  <c r="BP68" i="12"/>
  <c r="BG68" i="12"/>
  <c r="BF68" i="12"/>
  <c r="BE68" i="12"/>
  <c r="BD68" i="12"/>
  <c r="BC68" i="12"/>
  <c r="BB68" i="12"/>
  <c r="BA68" i="12"/>
  <c r="AZ68" i="12"/>
  <c r="AY68" i="12"/>
  <c r="AX68" i="12"/>
  <c r="AW68" i="12"/>
  <c r="AV68" i="12"/>
  <c r="AU68" i="12"/>
  <c r="AT68" i="12"/>
  <c r="AS68" i="12"/>
  <c r="AR68" i="12"/>
  <c r="AQ68" i="12"/>
  <c r="AP68" i="12"/>
  <c r="AO68" i="12"/>
  <c r="AN68" i="12"/>
  <c r="AM68" i="12"/>
  <c r="AL68" i="12"/>
  <c r="AK68" i="12"/>
  <c r="AJ68" i="12"/>
  <c r="AI68" i="12"/>
  <c r="AI73" i="12" s="1"/>
  <c r="AH68" i="12"/>
  <c r="AG68" i="12"/>
  <c r="AF68" i="12"/>
  <c r="AE68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D68" i="12"/>
  <c r="BF66" i="12"/>
  <c r="BD66" i="12"/>
  <c r="BB66" i="12"/>
  <c r="AZ66" i="12"/>
  <c r="AX66" i="12"/>
  <c r="AV66" i="12"/>
  <c r="AT66" i="12"/>
  <c r="AR66" i="12"/>
  <c r="AP66" i="12"/>
  <c r="AN66" i="12"/>
  <c r="AL66" i="12"/>
  <c r="AJ66" i="12"/>
  <c r="AH66" i="12"/>
  <c r="AF66" i="12"/>
  <c r="AD66" i="12"/>
  <c r="AB66" i="12"/>
  <c r="Z66" i="12"/>
  <c r="X66" i="12"/>
  <c r="V66" i="12"/>
  <c r="T66" i="12"/>
  <c r="R66" i="12"/>
  <c r="P66" i="12"/>
  <c r="N66" i="12"/>
  <c r="L66" i="12"/>
  <c r="J66" i="12"/>
  <c r="H66" i="12"/>
  <c r="F66" i="12"/>
  <c r="BF65" i="12"/>
  <c r="BD65" i="12"/>
  <c r="BB65" i="12"/>
  <c r="AZ65" i="12"/>
  <c r="AX65" i="12"/>
  <c r="AV65" i="12"/>
  <c r="AT65" i="12"/>
  <c r="AR65" i="12"/>
  <c r="AP65" i="12"/>
  <c r="AN65" i="12"/>
  <c r="AL65" i="12"/>
  <c r="AJ65" i="12"/>
  <c r="AH65" i="12"/>
  <c r="AF65" i="12"/>
  <c r="AD65" i="12"/>
  <c r="AB65" i="12"/>
  <c r="Z65" i="12"/>
  <c r="X65" i="12"/>
  <c r="V65" i="12"/>
  <c r="T65" i="12"/>
  <c r="R65" i="12"/>
  <c r="P65" i="12"/>
  <c r="N65" i="12"/>
  <c r="L65" i="12"/>
  <c r="J65" i="12"/>
  <c r="H65" i="12"/>
  <c r="F65" i="12"/>
  <c r="BP64" i="12"/>
  <c r="BF64" i="12"/>
  <c r="BD64" i="12"/>
  <c r="BB64" i="12"/>
  <c r="AZ64" i="12"/>
  <c r="AX64" i="12"/>
  <c r="AV64" i="12"/>
  <c r="AT64" i="12"/>
  <c r="AR64" i="12"/>
  <c r="AP64" i="12"/>
  <c r="AN64" i="12"/>
  <c r="AL64" i="12"/>
  <c r="AJ64" i="12"/>
  <c r="AH64" i="12"/>
  <c r="AF64" i="12"/>
  <c r="AD64" i="12"/>
  <c r="AB64" i="12"/>
  <c r="Z64" i="12"/>
  <c r="X64" i="12"/>
  <c r="V64" i="12"/>
  <c r="T64" i="12"/>
  <c r="R64" i="12"/>
  <c r="P64" i="12"/>
  <c r="N64" i="12"/>
  <c r="L64" i="12"/>
  <c r="J64" i="12"/>
  <c r="H64" i="12"/>
  <c r="F64" i="12"/>
  <c r="BF63" i="12"/>
  <c r="BD63" i="12"/>
  <c r="BB63" i="12"/>
  <c r="AZ63" i="12"/>
  <c r="AX63" i="12"/>
  <c r="AV63" i="12"/>
  <c r="AT63" i="12"/>
  <c r="AR63" i="12"/>
  <c r="AP63" i="12"/>
  <c r="AN63" i="12"/>
  <c r="AL63" i="12"/>
  <c r="AJ63" i="12"/>
  <c r="AH63" i="12"/>
  <c r="AF63" i="12"/>
  <c r="AD63" i="12"/>
  <c r="AB63" i="12"/>
  <c r="Z63" i="12"/>
  <c r="X63" i="12"/>
  <c r="V63" i="12"/>
  <c r="T63" i="12"/>
  <c r="R63" i="12"/>
  <c r="P63" i="12"/>
  <c r="N63" i="12"/>
  <c r="L63" i="12"/>
  <c r="J63" i="12"/>
  <c r="H63" i="12"/>
  <c r="F63" i="12"/>
  <c r="BF62" i="12"/>
  <c r="BD62" i="12"/>
  <c r="BB62" i="12"/>
  <c r="AZ62" i="12"/>
  <c r="AX62" i="12"/>
  <c r="AV62" i="12"/>
  <c r="AT62" i="12"/>
  <c r="AR62" i="12"/>
  <c r="AP62" i="12"/>
  <c r="AN62" i="12"/>
  <c r="AL62" i="12"/>
  <c r="AJ62" i="12"/>
  <c r="AH62" i="12"/>
  <c r="AF62" i="12"/>
  <c r="AD62" i="12"/>
  <c r="AB62" i="12"/>
  <c r="Z62" i="12"/>
  <c r="X62" i="12"/>
  <c r="V62" i="12"/>
  <c r="T62" i="12"/>
  <c r="R62" i="12"/>
  <c r="P62" i="12"/>
  <c r="N62" i="12"/>
  <c r="L62" i="12"/>
  <c r="J62" i="12"/>
  <c r="H62" i="12"/>
  <c r="F62" i="12"/>
  <c r="BM7" i="12"/>
  <c r="BK7" i="12"/>
  <c r="BG59" i="12"/>
  <c r="BQ59" i="12" s="1"/>
  <c r="BQ7" i="12" s="1"/>
  <c r="BE59" i="12"/>
  <c r="BE7" i="12" s="1"/>
  <c r="BC59" i="12"/>
  <c r="BC7" i="12" s="1"/>
  <c r="BA59" i="12"/>
  <c r="BA7" i="12" s="1"/>
  <c r="AY59" i="12"/>
  <c r="AY7" i="12" s="1"/>
  <c r="AW59" i="12"/>
  <c r="AW7" i="12" s="1"/>
  <c r="AU59" i="12"/>
  <c r="AU7" i="12" s="1"/>
  <c r="AS59" i="12"/>
  <c r="AS7" i="12" s="1"/>
  <c r="AQ59" i="12"/>
  <c r="AO59" i="12"/>
  <c r="AO7" i="12" s="1"/>
  <c r="AM59" i="12"/>
  <c r="AM7" i="12" s="1"/>
  <c r="AK59" i="12"/>
  <c r="AK7" i="12" s="1"/>
  <c r="AI59" i="12"/>
  <c r="AI7" i="12" s="1"/>
  <c r="AG59" i="12"/>
  <c r="AG7" i="12" s="1"/>
  <c r="AE59" i="12"/>
  <c r="AE7" i="12" s="1"/>
  <c r="AC59" i="12"/>
  <c r="AC7" i="12" s="1"/>
  <c r="AA59" i="12"/>
  <c r="AA7" i="12" s="1"/>
  <c r="Y59" i="12"/>
  <c r="Y7" i="12" s="1"/>
  <c r="W59" i="12"/>
  <c r="W7" i="12" s="1"/>
  <c r="U59" i="12"/>
  <c r="U7" i="12" s="1"/>
  <c r="S59" i="12"/>
  <c r="Q59" i="12"/>
  <c r="Q7" i="12" s="1"/>
  <c r="O59" i="12"/>
  <c r="O7" i="12" s="1"/>
  <c r="M59" i="12"/>
  <c r="M7" i="12" s="1"/>
  <c r="K59" i="12"/>
  <c r="K7" i="12" s="1"/>
  <c r="I59" i="12"/>
  <c r="G59" i="12"/>
  <c r="G7" i="12" s="1"/>
  <c r="E59" i="12"/>
  <c r="BI8" i="12"/>
  <c r="BM11" i="12"/>
  <c r="BI11" i="12"/>
  <c r="BG57" i="12"/>
  <c r="BG75" i="12" s="1"/>
  <c r="BG11" i="12" s="1"/>
  <c r="BE57" i="12"/>
  <c r="BE75" i="12" s="1"/>
  <c r="BE11" i="12" s="1"/>
  <c r="BC57" i="12"/>
  <c r="BC75" i="12" s="1"/>
  <c r="BC11" i="12" s="1"/>
  <c r="BA57" i="12"/>
  <c r="BA75" i="12" s="1"/>
  <c r="BA11" i="12" s="1"/>
  <c r="AY57" i="12"/>
  <c r="AY75" i="12" s="1"/>
  <c r="AY11" i="12" s="1"/>
  <c r="AW57" i="12"/>
  <c r="AW75" i="12" s="1"/>
  <c r="AW11" i="12" s="1"/>
  <c r="AU57" i="12"/>
  <c r="AU75" i="12" s="1"/>
  <c r="AU11" i="12" s="1"/>
  <c r="AS57" i="12"/>
  <c r="AS75" i="12" s="1"/>
  <c r="AS11" i="12" s="1"/>
  <c r="AQ57" i="12"/>
  <c r="AQ75" i="12" s="1"/>
  <c r="AQ11" i="12" s="1"/>
  <c r="AO57" i="12"/>
  <c r="AO75" i="12" s="1"/>
  <c r="AO11" i="12" s="1"/>
  <c r="AM57" i="12"/>
  <c r="AM75" i="12" s="1"/>
  <c r="AM11" i="12" s="1"/>
  <c r="AK57" i="12"/>
  <c r="AI57" i="12"/>
  <c r="AI75" i="12" s="1"/>
  <c r="AI11" i="12" s="1"/>
  <c r="AG57" i="12"/>
  <c r="AG75" i="12" s="1"/>
  <c r="AG11" i="12" s="1"/>
  <c r="AE57" i="12"/>
  <c r="AE75" i="12" s="1"/>
  <c r="AE11" i="12" s="1"/>
  <c r="AC57" i="12"/>
  <c r="AC75" i="12" s="1"/>
  <c r="AC11" i="12" s="1"/>
  <c r="AA57" i="12"/>
  <c r="AA75" i="12" s="1"/>
  <c r="AA11" i="12" s="1"/>
  <c r="Y57" i="12"/>
  <c r="Y75" i="12" s="1"/>
  <c r="Y11" i="12" s="1"/>
  <c r="W57" i="12"/>
  <c r="W75" i="12" s="1"/>
  <c r="W11" i="12" s="1"/>
  <c r="U57" i="12"/>
  <c r="U75" i="12" s="1"/>
  <c r="U11" i="12" s="1"/>
  <c r="S57" i="12"/>
  <c r="S75" i="12" s="1"/>
  <c r="S11" i="12" s="1"/>
  <c r="Q57" i="12"/>
  <c r="Q75" i="12" s="1"/>
  <c r="Q11" i="12" s="1"/>
  <c r="O57" i="12"/>
  <c r="O75" i="12" s="1"/>
  <c r="O11" i="12" s="1"/>
  <c r="M57" i="12"/>
  <c r="M75" i="12" s="1"/>
  <c r="M11" i="12" s="1"/>
  <c r="K57" i="12"/>
  <c r="K75" i="12" s="1"/>
  <c r="K11" i="12" s="1"/>
  <c r="I57" i="12"/>
  <c r="I75" i="12" s="1"/>
  <c r="I11" i="12" s="1"/>
  <c r="G57" i="12"/>
  <c r="G75" i="12" s="1"/>
  <c r="G11" i="12" s="1"/>
  <c r="E57" i="12"/>
  <c r="E75" i="12" s="1"/>
  <c r="E11" i="12" s="1"/>
  <c r="BO56" i="12"/>
  <c r="H50" i="19" s="1"/>
  <c r="BO55" i="12"/>
  <c r="H49" i="19" s="1"/>
  <c r="BO53" i="12"/>
  <c r="H47" i="19" s="1"/>
  <c r="BO52" i="12"/>
  <c r="H46" i="19" s="1"/>
  <c r="BO51" i="12"/>
  <c r="H45" i="19" s="1"/>
  <c r="BG49" i="12"/>
  <c r="C49" i="13" s="1"/>
  <c r="BE49" i="12"/>
  <c r="BC49" i="12"/>
  <c r="BA49" i="12"/>
  <c r="AY49" i="12"/>
  <c r="AW49" i="12"/>
  <c r="AU49" i="12"/>
  <c r="AS49" i="12"/>
  <c r="AQ49" i="12"/>
  <c r="AO49" i="12"/>
  <c r="AM49" i="12"/>
  <c r="AK49" i="12"/>
  <c r="AI49" i="12"/>
  <c r="AG49" i="12"/>
  <c r="AE49" i="12"/>
  <c r="AC49" i="12"/>
  <c r="AA49" i="12"/>
  <c r="Y49" i="12"/>
  <c r="W49" i="12"/>
  <c r="U49" i="12"/>
  <c r="S49" i="12"/>
  <c r="Q49" i="12"/>
  <c r="O49" i="12"/>
  <c r="M49" i="12"/>
  <c r="K49" i="12"/>
  <c r="I49" i="12"/>
  <c r="G49" i="12"/>
  <c r="E49" i="12"/>
  <c r="BO48" i="12"/>
  <c r="H42" i="19" s="1"/>
  <c r="BO47" i="12"/>
  <c r="H41" i="19" s="1"/>
  <c r="BO46" i="12"/>
  <c r="H40" i="19" s="1"/>
  <c r="BO45" i="12"/>
  <c r="H39" i="19" s="1"/>
  <c r="BO44" i="12"/>
  <c r="H38" i="19" s="1"/>
  <c r="BO43" i="12"/>
  <c r="H37" i="19" s="1"/>
  <c r="BG42" i="12"/>
  <c r="BG50" i="12" s="1"/>
  <c r="C50" i="13" s="1"/>
  <c r="BE42" i="12"/>
  <c r="BC42" i="12"/>
  <c r="BA42" i="12"/>
  <c r="AY42" i="12"/>
  <c r="AW42" i="12"/>
  <c r="AU42" i="12"/>
  <c r="AS42" i="12"/>
  <c r="AQ42" i="12"/>
  <c r="AO42" i="12"/>
  <c r="AM42" i="12"/>
  <c r="AK42" i="12"/>
  <c r="AK50" i="12" s="1"/>
  <c r="AI42" i="12"/>
  <c r="AI50" i="12" s="1"/>
  <c r="AG42" i="12"/>
  <c r="AE42" i="12"/>
  <c r="AC42" i="12"/>
  <c r="AA42" i="12"/>
  <c r="AA50" i="12" s="1"/>
  <c r="Y42" i="12"/>
  <c r="W42" i="12"/>
  <c r="U42" i="12"/>
  <c r="S42" i="12"/>
  <c r="Q42" i="12"/>
  <c r="O42" i="12"/>
  <c r="M42" i="12"/>
  <c r="M50" i="12" s="1"/>
  <c r="K42" i="12"/>
  <c r="K50" i="12" s="1"/>
  <c r="I42" i="12"/>
  <c r="G42" i="12"/>
  <c r="E42" i="12"/>
  <c r="BO41" i="12"/>
  <c r="H35" i="19" s="1"/>
  <c r="BO40" i="12"/>
  <c r="H34" i="19" s="1"/>
  <c r="BO39" i="12"/>
  <c r="H33" i="19" s="1"/>
  <c r="BO38" i="12"/>
  <c r="H32" i="19" s="1"/>
  <c r="BO37" i="12"/>
  <c r="H31" i="19" s="1"/>
  <c r="BO36" i="12"/>
  <c r="H30" i="19" s="1"/>
  <c r="BO35" i="12"/>
  <c r="H29" i="19" s="1"/>
  <c r="BO34" i="12"/>
  <c r="H28" i="19" s="1"/>
  <c r="BO33" i="12"/>
  <c r="H27" i="19" s="1"/>
  <c r="BO32" i="12"/>
  <c r="H26" i="19" s="1"/>
  <c r="BG31" i="12"/>
  <c r="BE31" i="12"/>
  <c r="BC31" i="12"/>
  <c r="BA31" i="12"/>
  <c r="AY31" i="12"/>
  <c r="AW31" i="12"/>
  <c r="AU31" i="12"/>
  <c r="AS31" i="12"/>
  <c r="AQ31" i="12"/>
  <c r="AO31" i="12"/>
  <c r="AM31" i="12"/>
  <c r="AK31" i="12"/>
  <c r="AI31" i="12"/>
  <c r="AG31" i="12"/>
  <c r="AE31" i="12"/>
  <c r="AC31" i="12"/>
  <c r="AA31" i="12"/>
  <c r="Y31" i="12"/>
  <c r="W31" i="12"/>
  <c r="U31" i="12"/>
  <c r="S31" i="12"/>
  <c r="Q31" i="12"/>
  <c r="O31" i="12"/>
  <c r="M31" i="12"/>
  <c r="K31" i="12"/>
  <c r="I31" i="12"/>
  <c r="G31" i="12"/>
  <c r="E31" i="12"/>
  <c r="BG30" i="12"/>
  <c r="BE30" i="12"/>
  <c r="BC30" i="12"/>
  <c r="BA30" i="12"/>
  <c r="AY30" i="12"/>
  <c r="AW30" i="12"/>
  <c r="AU30" i="12"/>
  <c r="AS30" i="12"/>
  <c r="AQ30" i="12"/>
  <c r="AO30" i="12"/>
  <c r="AM30" i="12"/>
  <c r="AK30" i="12"/>
  <c r="AI30" i="12"/>
  <c r="AG30" i="12"/>
  <c r="AE30" i="12"/>
  <c r="AC30" i="12"/>
  <c r="AA30" i="12"/>
  <c r="Y30" i="12"/>
  <c r="W30" i="12"/>
  <c r="U30" i="12"/>
  <c r="S30" i="12"/>
  <c r="Q30" i="12"/>
  <c r="O30" i="12"/>
  <c r="M30" i="12"/>
  <c r="K30" i="12"/>
  <c r="I30" i="12"/>
  <c r="G30" i="12"/>
  <c r="BO29" i="12"/>
  <c r="H23" i="19" s="1"/>
  <c r="BO28" i="12"/>
  <c r="H22" i="19" s="1"/>
  <c r="BO27" i="12"/>
  <c r="H21" i="19" s="1"/>
  <c r="BO26" i="12"/>
  <c r="H20" i="19" s="1"/>
  <c r="BO25" i="12"/>
  <c r="H19" i="19" s="1"/>
  <c r="BO24" i="12"/>
  <c r="H18" i="19" s="1"/>
  <c r="BO23" i="12"/>
  <c r="H17" i="19" s="1"/>
  <c r="BG22" i="12"/>
  <c r="C22" i="13" s="1"/>
  <c r="BE22" i="12"/>
  <c r="BC22" i="12"/>
  <c r="BA22" i="12"/>
  <c r="AY22" i="12"/>
  <c r="AW22" i="12"/>
  <c r="AU22" i="12"/>
  <c r="AS22" i="12"/>
  <c r="AQ22" i="12"/>
  <c r="AO22" i="12"/>
  <c r="AM22" i="12"/>
  <c r="AK22" i="12"/>
  <c r="AI22" i="12"/>
  <c r="AG22" i="12"/>
  <c r="AE22" i="12"/>
  <c r="AC22" i="12"/>
  <c r="AA22" i="12"/>
  <c r="Y22" i="12"/>
  <c r="W22" i="12"/>
  <c r="U22" i="12"/>
  <c r="S22" i="12"/>
  <c r="Q22" i="12"/>
  <c r="O22" i="12"/>
  <c r="M22" i="12"/>
  <c r="K22" i="12"/>
  <c r="I22" i="12"/>
  <c r="G22" i="12"/>
  <c r="E22" i="12"/>
  <c r="BO21" i="12"/>
  <c r="H15" i="19" s="1"/>
  <c r="BO20" i="12"/>
  <c r="H14" i="19" s="1"/>
  <c r="BO19" i="12"/>
  <c r="H13" i="19" s="1"/>
  <c r="BO18" i="12"/>
  <c r="H12" i="19" s="1"/>
  <c r="BO17" i="12"/>
  <c r="H11" i="19" s="1"/>
  <c r="AL11" i="12"/>
  <c r="AJ11" i="12"/>
  <c r="AH11" i="12"/>
  <c r="AF11" i="12"/>
  <c r="AD11" i="12"/>
  <c r="AB11" i="12"/>
  <c r="Z11" i="12"/>
  <c r="X11" i="12"/>
  <c r="BI7" i="12"/>
  <c r="BG7" i="12"/>
  <c r="AQ7" i="12"/>
  <c r="S7" i="12"/>
  <c r="I7" i="12"/>
  <c r="E7" i="12"/>
  <c r="BP6" i="12"/>
  <c r="BL6" i="12"/>
  <c r="BJ6" i="12"/>
  <c r="BJ5" i="12" s="1"/>
  <c r="BH6" i="12"/>
  <c r="BH5" i="12" s="1"/>
  <c r="BF6" i="12"/>
  <c r="BD6" i="12"/>
  <c r="BB6" i="12"/>
  <c r="BB5" i="12" s="1"/>
  <c r="AZ6" i="12"/>
  <c r="AX6" i="12"/>
  <c r="AV6" i="12"/>
  <c r="AV5" i="12" s="1"/>
  <c r="AT6" i="12"/>
  <c r="AT5" i="12" s="1"/>
  <c r="AR6" i="12"/>
  <c r="AP6" i="12"/>
  <c r="AP5" i="12" s="1"/>
  <c r="AN6" i="12"/>
  <c r="AL6" i="12"/>
  <c r="AJ6" i="12"/>
  <c r="AH6" i="12"/>
  <c r="AH5" i="12" s="1"/>
  <c r="AF6" i="12"/>
  <c r="AD6" i="12"/>
  <c r="AB6" i="12"/>
  <c r="Z6" i="12"/>
  <c r="Z5" i="12" s="1"/>
  <c r="X6" i="12"/>
  <c r="X5" i="12" s="1"/>
  <c r="V6" i="12"/>
  <c r="V5" i="12" s="1"/>
  <c r="T6" i="12"/>
  <c r="R6" i="12"/>
  <c r="R5" i="12" s="1"/>
  <c r="P6" i="12"/>
  <c r="N6" i="12"/>
  <c r="L6" i="12"/>
  <c r="L5" i="12" s="1"/>
  <c r="J6" i="12"/>
  <c r="J5" i="12" s="1"/>
  <c r="H6" i="12"/>
  <c r="H5" i="12" s="1"/>
  <c r="F6" i="12"/>
  <c r="D6" i="12"/>
  <c r="AZ5" i="12"/>
  <c r="AD5" i="12"/>
  <c r="AB5" i="12"/>
  <c r="N5" i="12"/>
  <c r="F5" i="12"/>
  <c r="D5" i="12"/>
  <c r="A5" i="12"/>
  <c r="A1" i="12"/>
  <c r="BQ13" i="11"/>
  <c r="BQ14" i="11"/>
  <c r="BQ15" i="11"/>
  <c r="BQ17" i="11"/>
  <c r="BQ21" i="11"/>
  <c r="BQ25" i="11"/>
  <c r="BQ26" i="11"/>
  <c r="BQ27" i="11"/>
  <c r="BQ28" i="11"/>
  <c r="BQ32" i="11"/>
  <c r="BQ33" i="11"/>
  <c r="BQ34" i="11"/>
  <c r="BQ36" i="11"/>
  <c r="BQ38" i="11"/>
  <c r="BQ39" i="11"/>
  <c r="BQ43" i="11"/>
  <c r="BQ55" i="11"/>
  <c r="BQ56" i="11"/>
  <c r="BQ62" i="11"/>
  <c r="BP62" i="11" s="1"/>
  <c r="BP67" i="11" s="1"/>
  <c r="BQ63" i="11"/>
  <c r="BP63" i="11" s="1"/>
  <c r="BQ64" i="11"/>
  <c r="BQ65" i="11"/>
  <c r="BP65" i="11" s="1"/>
  <c r="BQ66" i="11"/>
  <c r="BQ74" i="11"/>
  <c r="BQ77" i="11"/>
  <c r="BP77" i="11" s="1"/>
  <c r="BQ78" i="11"/>
  <c r="BQ79" i="11"/>
  <c r="BP79" i="11" s="1"/>
  <c r="BQ80" i="11"/>
  <c r="BP80" i="11" s="1"/>
  <c r="BQ81" i="11"/>
  <c r="BP81" i="11" s="1"/>
  <c r="BQ82" i="11"/>
  <c r="BP82" i="11" s="1"/>
  <c r="BQ83" i="11"/>
  <c r="BP83" i="11" s="1"/>
  <c r="BQ84" i="11"/>
  <c r="BP84" i="11" s="1"/>
  <c r="BQ85" i="11"/>
  <c r="BQ86" i="11"/>
  <c r="BP86" i="11" s="1"/>
  <c r="BQ87" i="11"/>
  <c r="BP87" i="11" s="1"/>
  <c r="BQ88" i="11"/>
  <c r="BP88" i="11" s="1"/>
  <c r="C13" i="11"/>
  <c r="C14" i="11"/>
  <c r="C15" i="11"/>
  <c r="C17" i="11"/>
  <c r="C21" i="11"/>
  <c r="C25" i="11"/>
  <c r="C26" i="11"/>
  <c r="C27" i="11"/>
  <c r="C28" i="11"/>
  <c r="E30" i="11" s="1"/>
  <c r="C32" i="11"/>
  <c r="C33" i="11"/>
  <c r="C34" i="11"/>
  <c r="C36" i="11"/>
  <c r="C38" i="11"/>
  <c r="C39" i="11"/>
  <c r="C43" i="11"/>
  <c r="C55" i="11"/>
  <c r="C56" i="11"/>
  <c r="C62" i="11"/>
  <c r="B62" i="11" s="1"/>
  <c r="C63" i="11"/>
  <c r="D63" i="11" s="1"/>
  <c r="C64" i="11"/>
  <c r="D64" i="11" s="1"/>
  <c r="C65" i="11"/>
  <c r="D65" i="11" s="1"/>
  <c r="C66" i="11"/>
  <c r="D66" i="11" s="1"/>
  <c r="C74" i="11"/>
  <c r="C77" i="11"/>
  <c r="C78" i="11"/>
  <c r="D78" i="11" s="1"/>
  <c r="C79" i="11"/>
  <c r="C80" i="11"/>
  <c r="D80" i="11" s="1"/>
  <c r="C81" i="11"/>
  <c r="C82" i="11"/>
  <c r="D82" i="11" s="1"/>
  <c r="E96" i="11" s="1"/>
  <c r="C83" i="11"/>
  <c r="D83" i="11" s="1"/>
  <c r="C84" i="11"/>
  <c r="D84" i="11" s="1"/>
  <c r="E98" i="11" s="1"/>
  <c r="C85" i="11"/>
  <c r="D85" i="11" s="1"/>
  <c r="E99" i="11" s="1"/>
  <c r="C86" i="11"/>
  <c r="D86" i="11" s="1"/>
  <c r="C87" i="11"/>
  <c r="D87" i="11" s="1"/>
  <c r="C88" i="11"/>
  <c r="D88" i="11" s="1"/>
  <c r="E102" i="11" s="1"/>
  <c r="BO120" i="11"/>
  <c r="G108" i="19" s="1"/>
  <c r="BO119" i="11"/>
  <c r="G107" i="19" s="1"/>
  <c r="BO118" i="11"/>
  <c r="G106" i="19" s="1"/>
  <c r="BO117" i="11"/>
  <c r="G105" i="19" s="1"/>
  <c r="BO116" i="11"/>
  <c r="G104" i="19" s="1"/>
  <c r="BO115" i="11"/>
  <c r="G103" i="19" s="1"/>
  <c r="BO114" i="11"/>
  <c r="G102" i="19" s="1"/>
  <c r="BO113" i="11"/>
  <c r="G101" i="19" s="1"/>
  <c r="BO112" i="11"/>
  <c r="G100" i="19" s="1"/>
  <c r="BO111" i="11"/>
  <c r="G99" i="19" s="1"/>
  <c r="BO110" i="11"/>
  <c r="G98" i="19" s="1"/>
  <c r="BO109" i="11"/>
  <c r="G97" i="19" s="1"/>
  <c r="BO108" i="11"/>
  <c r="G96" i="19" s="1"/>
  <c r="BO107" i="11"/>
  <c r="G95" i="19" s="1"/>
  <c r="BO106" i="11"/>
  <c r="G94" i="19" s="1"/>
  <c r="BP104" i="11"/>
  <c r="BL104" i="11"/>
  <c r="BJ104" i="11"/>
  <c r="BH104" i="11"/>
  <c r="BF104" i="11"/>
  <c r="BD104" i="11"/>
  <c r="BB104" i="11"/>
  <c r="AZ104" i="11"/>
  <c r="AX104" i="11"/>
  <c r="AV104" i="11"/>
  <c r="AT104" i="11"/>
  <c r="AR104" i="11"/>
  <c r="AP104" i="11"/>
  <c r="AN104" i="11"/>
  <c r="AL104" i="11"/>
  <c r="AJ104" i="11"/>
  <c r="AH104" i="11"/>
  <c r="AF104" i="11"/>
  <c r="AD104" i="11"/>
  <c r="AB104" i="11"/>
  <c r="Z104" i="11"/>
  <c r="X104" i="11"/>
  <c r="V104" i="11"/>
  <c r="T104" i="11"/>
  <c r="R104" i="11"/>
  <c r="P104" i="11"/>
  <c r="N104" i="11"/>
  <c r="L104" i="11"/>
  <c r="J104" i="11"/>
  <c r="H104" i="11"/>
  <c r="F104" i="11"/>
  <c r="D104" i="11"/>
  <c r="BP103" i="11"/>
  <c r="BL103" i="11"/>
  <c r="BJ103" i="11"/>
  <c r="BH103" i="11"/>
  <c r="BF103" i="11"/>
  <c r="BD103" i="11"/>
  <c r="BB103" i="11"/>
  <c r="AZ103" i="11"/>
  <c r="AX103" i="11"/>
  <c r="AV103" i="11"/>
  <c r="AT103" i="11"/>
  <c r="AR103" i="11"/>
  <c r="AP103" i="11"/>
  <c r="AN103" i="11"/>
  <c r="AL103" i="11"/>
  <c r="AJ103" i="11"/>
  <c r="AH103" i="11"/>
  <c r="AF103" i="11"/>
  <c r="AD103" i="11"/>
  <c r="AB103" i="11"/>
  <c r="Z103" i="11"/>
  <c r="X103" i="11"/>
  <c r="V103" i="11"/>
  <c r="T103" i="11"/>
  <c r="R103" i="11"/>
  <c r="P103" i="11"/>
  <c r="N103" i="11"/>
  <c r="L103" i="11"/>
  <c r="J103" i="11"/>
  <c r="H103" i="11"/>
  <c r="F103" i="11"/>
  <c r="D103" i="11"/>
  <c r="AY102" i="11"/>
  <c r="BK101" i="11"/>
  <c r="BM93" i="11"/>
  <c r="S93" i="11"/>
  <c r="AK92" i="11"/>
  <c r="Y92" i="11"/>
  <c r="BP89" i="11"/>
  <c r="BL89" i="11"/>
  <c r="BJ89" i="11"/>
  <c r="BH89" i="11"/>
  <c r="BF89" i="11"/>
  <c r="BD89" i="11"/>
  <c r="BB89" i="11"/>
  <c r="AZ89" i="11"/>
  <c r="AX89" i="11"/>
  <c r="AV89" i="11"/>
  <c r="AT89" i="11"/>
  <c r="AR89" i="11"/>
  <c r="AP89" i="11"/>
  <c r="AN89" i="11"/>
  <c r="AL89" i="11"/>
  <c r="AJ89" i="11"/>
  <c r="AH89" i="11"/>
  <c r="AF89" i="11"/>
  <c r="AD89" i="11"/>
  <c r="AB89" i="11"/>
  <c r="Z89" i="11"/>
  <c r="X89" i="11"/>
  <c r="V89" i="11"/>
  <c r="T89" i="11"/>
  <c r="R89" i="11"/>
  <c r="P89" i="11"/>
  <c r="N89" i="11"/>
  <c r="L89" i="11"/>
  <c r="J89" i="11"/>
  <c r="H89" i="11"/>
  <c r="F89" i="11"/>
  <c r="D89" i="11"/>
  <c r="BL88" i="11"/>
  <c r="BM102" i="11" s="1"/>
  <c r="BJ88" i="11"/>
  <c r="BK102" i="11" s="1"/>
  <c r="BH88" i="11"/>
  <c r="BI102" i="11" s="1"/>
  <c r="BF88" i="11"/>
  <c r="BG102" i="11" s="1"/>
  <c r="BD88" i="11"/>
  <c r="BE102" i="11" s="1"/>
  <c r="BB88" i="11"/>
  <c r="BC102" i="11" s="1"/>
  <c r="AZ88" i="11"/>
  <c r="BA102" i="11" s="1"/>
  <c r="AX88" i="11"/>
  <c r="AV88" i="11"/>
  <c r="AW102" i="11" s="1"/>
  <c r="AT88" i="11"/>
  <c r="AU102" i="11" s="1"/>
  <c r="AR88" i="11"/>
  <c r="AS102" i="11" s="1"/>
  <c r="AP88" i="11"/>
  <c r="AQ102" i="11" s="1"/>
  <c r="AN88" i="11"/>
  <c r="AO102" i="11" s="1"/>
  <c r="AL88" i="11"/>
  <c r="AM102" i="11" s="1"/>
  <c r="AJ88" i="11"/>
  <c r="AK102" i="11" s="1"/>
  <c r="AH88" i="11"/>
  <c r="AI102" i="11" s="1"/>
  <c r="AF88" i="11"/>
  <c r="AG102" i="11" s="1"/>
  <c r="AD88" i="11"/>
  <c r="AE102" i="11" s="1"/>
  <c r="AB88" i="11"/>
  <c r="AC102" i="11" s="1"/>
  <c r="Z88" i="11"/>
  <c r="AA102" i="11" s="1"/>
  <c r="X88" i="11"/>
  <c r="Y102" i="11" s="1"/>
  <c r="V88" i="11"/>
  <c r="W102" i="11" s="1"/>
  <c r="T88" i="11"/>
  <c r="U102" i="11" s="1"/>
  <c r="R88" i="11"/>
  <c r="S102" i="11" s="1"/>
  <c r="P88" i="11"/>
  <c r="Q102" i="11" s="1"/>
  <c r="N88" i="11"/>
  <c r="O102" i="11" s="1"/>
  <c r="L88" i="11"/>
  <c r="M102" i="11" s="1"/>
  <c r="J88" i="11"/>
  <c r="K102" i="11" s="1"/>
  <c r="H88" i="11"/>
  <c r="I102" i="11" s="1"/>
  <c r="F88" i="11"/>
  <c r="G102" i="11" s="1"/>
  <c r="BL87" i="11"/>
  <c r="BM101" i="11" s="1"/>
  <c r="BJ87" i="11"/>
  <c r="BH87" i="11"/>
  <c r="BI101" i="11" s="1"/>
  <c r="BF87" i="11"/>
  <c r="BG101" i="11" s="1"/>
  <c r="BD87" i="11"/>
  <c r="BE101" i="11" s="1"/>
  <c r="BB87" i="11"/>
  <c r="BC101" i="11" s="1"/>
  <c r="AZ87" i="11"/>
  <c r="BA101" i="11" s="1"/>
  <c r="AX87" i="11"/>
  <c r="AY101" i="11" s="1"/>
  <c r="AV87" i="11"/>
  <c r="AW101" i="11" s="1"/>
  <c r="AT87" i="11"/>
  <c r="AU101" i="11" s="1"/>
  <c r="AR87" i="11"/>
  <c r="AS101" i="11" s="1"/>
  <c r="AP87" i="11"/>
  <c r="AQ101" i="11" s="1"/>
  <c r="AN87" i="11"/>
  <c r="AO101" i="11" s="1"/>
  <c r="AL87" i="11"/>
  <c r="AM101" i="11" s="1"/>
  <c r="AJ87" i="11"/>
  <c r="AK101" i="11" s="1"/>
  <c r="AH87" i="11"/>
  <c r="AI101" i="11" s="1"/>
  <c r="AF87" i="11"/>
  <c r="AG101" i="11" s="1"/>
  <c r="AD87" i="11"/>
  <c r="AE101" i="11" s="1"/>
  <c r="AB87" i="11"/>
  <c r="AC101" i="11" s="1"/>
  <c r="Z87" i="11"/>
  <c r="AA101" i="11" s="1"/>
  <c r="X87" i="11"/>
  <c r="Y101" i="11" s="1"/>
  <c r="V87" i="11"/>
  <c r="W101" i="11" s="1"/>
  <c r="T87" i="11"/>
  <c r="U101" i="11" s="1"/>
  <c r="R87" i="11"/>
  <c r="S101" i="11" s="1"/>
  <c r="P87" i="11"/>
  <c r="Q101" i="11" s="1"/>
  <c r="N87" i="11"/>
  <c r="O101" i="11" s="1"/>
  <c r="L87" i="11"/>
  <c r="M101" i="11" s="1"/>
  <c r="J87" i="11"/>
  <c r="K101" i="11" s="1"/>
  <c r="H87" i="11"/>
  <c r="I101" i="11" s="1"/>
  <c r="F87" i="11"/>
  <c r="G101" i="11" s="1"/>
  <c r="BL86" i="11"/>
  <c r="BM100" i="11" s="1"/>
  <c r="BJ86" i="11"/>
  <c r="BK100" i="11" s="1"/>
  <c r="BH86" i="11"/>
  <c r="BI100" i="11" s="1"/>
  <c r="BF86" i="11"/>
  <c r="BG100" i="11" s="1"/>
  <c r="BD86" i="11"/>
  <c r="BE100" i="11" s="1"/>
  <c r="BB86" i="11"/>
  <c r="BC100" i="11" s="1"/>
  <c r="AZ86" i="11"/>
  <c r="BA100" i="11" s="1"/>
  <c r="AX86" i="11"/>
  <c r="AY100" i="11" s="1"/>
  <c r="AV86" i="11"/>
  <c r="AW100" i="11" s="1"/>
  <c r="AT86" i="11"/>
  <c r="AU100" i="11" s="1"/>
  <c r="AR86" i="11"/>
  <c r="AS100" i="11" s="1"/>
  <c r="AP86" i="11"/>
  <c r="AQ100" i="11" s="1"/>
  <c r="AN86" i="11"/>
  <c r="AO100" i="11" s="1"/>
  <c r="AL86" i="11"/>
  <c r="AM100" i="11" s="1"/>
  <c r="AJ86" i="11"/>
  <c r="AK100" i="11" s="1"/>
  <c r="AH86" i="11"/>
  <c r="AI100" i="11" s="1"/>
  <c r="AF86" i="11"/>
  <c r="AG100" i="11" s="1"/>
  <c r="AD86" i="11"/>
  <c r="AE100" i="11" s="1"/>
  <c r="AB86" i="11"/>
  <c r="AC100" i="11" s="1"/>
  <c r="Z86" i="11"/>
  <c r="AA100" i="11" s="1"/>
  <c r="X86" i="11"/>
  <c r="Y100" i="11" s="1"/>
  <c r="V86" i="11"/>
  <c r="W100" i="11" s="1"/>
  <c r="T86" i="11"/>
  <c r="U100" i="11" s="1"/>
  <c r="R86" i="11"/>
  <c r="S100" i="11" s="1"/>
  <c r="P86" i="11"/>
  <c r="Q100" i="11" s="1"/>
  <c r="N86" i="11"/>
  <c r="O100" i="11" s="1"/>
  <c r="L86" i="11"/>
  <c r="M100" i="11" s="1"/>
  <c r="J86" i="11"/>
  <c r="K100" i="11" s="1"/>
  <c r="H86" i="11"/>
  <c r="I100" i="11" s="1"/>
  <c r="F86" i="11"/>
  <c r="G100" i="11" s="1"/>
  <c r="BL85" i="11"/>
  <c r="BM99" i="11" s="1"/>
  <c r="BJ85" i="11"/>
  <c r="BK99" i="11" s="1"/>
  <c r="BH85" i="11"/>
  <c r="BI99" i="11" s="1"/>
  <c r="BF85" i="11"/>
  <c r="BG99" i="11" s="1"/>
  <c r="BD85" i="11"/>
  <c r="BE99" i="11" s="1"/>
  <c r="BB85" i="11"/>
  <c r="BC99" i="11" s="1"/>
  <c r="AZ85" i="11"/>
  <c r="BA99" i="11" s="1"/>
  <c r="AX85" i="11"/>
  <c r="AY99" i="11" s="1"/>
  <c r="AV85" i="11"/>
  <c r="AW99" i="11" s="1"/>
  <c r="AT85" i="11"/>
  <c r="AU99" i="11" s="1"/>
  <c r="AR85" i="11"/>
  <c r="AS99" i="11" s="1"/>
  <c r="AP85" i="11"/>
  <c r="AQ99" i="11" s="1"/>
  <c r="AN85" i="11"/>
  <c r="AO99" i="11" s="1"/>
  <c r="AL85" i="11"/>
  <c r="AM99" i="11" s="1"/>
  <c r="AJ85" i="11"/>
  <c r="AK99" i="11" s="1"/>
  <c r="AH85" i="11"/>
  <c r="AI99" i="11" s="1"/>
  <c r="AF85" i="11"/>
  <c r="AG99" i="11" s="1"/>
  <c r="AD85" i="11"/>
  <c r="AE99" i="11" s="1"/>
  <c r="AB85" i="11"/>
  <c r="AC99" i="11" s="1"/>
  <c r="Z85" i="11"/>
  <c r="AA99" i="11" s="1"/>
  <c r="X85" i="11"/>
  <c r="Y99" i="11" s="1"/>
  <c r="V85" i="11"/>
  <c r="W99" i="11" s="1"/>
  <c r="T85" i="11"/>
  <c r="U99" i="11" s="1"/>
  <c r="R85" i="11"/>
  <c r="S99" i="11" s="1"/>
  <c r="P85" i="11"/>
  <c r="Q99" i="11" s="1"/>
  <c r="N85" i="11"/>
  <c r="O99" i="11" s="1"/>
  <c r="L85" i="11"/>
  <c r="M99" i="11" s="1"/>
  <c r="J85" i="11"/>
  <c r="K99" i="11" s="1"/>
  <c r="H85" i="11"/>
  <c r="I99" i="11" s="1"/>
  <c r="F85" i="11"/>
  <c r="G99" i="11" s="1"/>
  <c r="BL84" i="11"/>
  <c r="BM98" i="11" s="1"/>
  <c r="BJ84" i="11"/>
  <c r="BK98" i="11" s="1"/>
  <c r="BH84" i="11"/>
  <c r="BI98" i="11" s="1"/>
  <c r="BF84" i="11"/>
  <c r="BG98" i="11" s="1"/>
  <c r="BD84" i="11"/>
  <c r="BE98" i="11" s="1"/>
  <c r="BB84" i="11"/>
  <c r="BC98" i="11" s="1"/>
  <c r="AZ84" i="11"/>
  <c r="BA98" i="11" s="1"/>
  <c r="AX84" i="11"/>
  <c r="AY98" i="11" s="1"/>
  <c r="AV84" i="11"/>
  <c r="AW98" i="11" s="1"/>
  <c r="AT84" i="11"/>
  <c r="AU98" i="11" s="1"/>
  <c r="AR84" i="11"/>
  <c r="AS98" i="11" s="1"/>
  <c r="AP84" i="11"/>
  <c r="AQ98" i="11" s="1"/>
  <c r="AN84" i="11"/>
  <c r="AO98" i="11" s="1"/>
  <c r="AL84" i="11"/>
  <c r="AM98" i="11" s="1"/>
  <c r="AJ84" i="11"/>
  <c r="AK98" i="11" s="1"/>
  <c r="AH84" i="11"/>
  <c r="AI98" i="11" s="1"/>
  <c r="AF84" i="11"/>
  <c r="AG98" i="11" s="1"/>
  <c r="AD84" i="11"/>
  <c r="AE98" i="11" s="1"/>
  <c r="AB84" i="11"/>
  <c r="AC98" i="11" s="1"/>
  <c r="Z84" i="11"/>
  <c r="AA98" i="11" s="1"/>
  <c r="X84" i="11"/>
  <c r="Y98" i="11" s="1"/>
  <c r="V84" i="11"/>
  <c r="W98" i="11" s="1"/>
  <c r="T84" i="11"/>
  <c r="U98" i="11" s="1"/>
  <c r="R84" i="11"/>
  <c r="S98" i="11" s="1"/>
  <c r="P84" i="11"/>
  <c r="Q98" i="11" s="1"/>
  <c r="N84" i="11"/>
  <c r="O98" i="11" s="1"/>
  <c r="L84" i="11"/>
  <c r="M98" i="11" s="1"/>
  <c r="J84" i="11"/>
  <c r="K98" i="11" s="1"/>
  <c r="H84" i="11"/>
  <c r="I98" i="11" s="1"/>
  <c r="F84" i="11"/>
  <c r="G98" i="11" s="1"/>
  <c r="BL83" i="11"/>
  <c r="BM97" i="11" s="1"/>
  <c r="BJ83" i="11"/>
  <c r="BK97" i="11" s="1"/>
  <c r="BH83" i="11"/>
  <c r="BI97" i="11" s="1"/>
  <c r="BF83" i="11"/>
  <c r="BG97" i="11" s="1"/>
  <c r="BD83" i="11"/>
  <c r="BE97" i="11" s="1"/>
  <c r="BB83" i="11"/>
  <c r="BC97" i="11" s="1"/>
  <c r="AZ83" i="11"/>
  <c r="BA97" i="11" s="1"/>
  <c r="AX83" i="11"/>
  <c r="AY97" i="11" s="1"/>
  <c r="AV83" i="11"/>
  <c r="AW97" i="11" s="1"/>
  <c r="AT83" i="11"/>
  <c r="AU97" i="11" s="1"/>
  <c r="AR83" i="11"/>
  <c r="AS97" i="11" s="1"/>
  <c r="AP83" i="11"/>
  <c r="AQ97" i="11" s="1"/>
  <c r="AN83" i="11"/>
  <c r="AO97" i="11" s="1"/>
  <c r="AL83" i="11"/>
  <c r="AM97" i="11" s="1"/>
  <c r="AJ83" i="11"/>
  <c r="AK97" i="11" s="1"/>
  <c r="AH83" i="11"/>
  <c r="AI97" i="11" s="1"/>
  <c r="AF83" i="11"/>
  <c r="AG97" i="11" s="1"/>
  <c r="AD83" i="11"/>
  <c r="AE97" i="11" s="1"/>
  <c r="AB83" i="11"/>
  <c r="AC97" i="11" s="1"/>
  <c r="Z83" i="11"/>
  <c r="AA97" i="11" s="1"/>
  <c r="X83" i="11"/>
  <c r="Y97" i="11" s="1"/>
  <c r="V83" i="11"/>
  <c r="W97" i="11" s="1"/>
  <c r="T83" i="11"/>
  <c r="U97" i="11" s="1"/>
  <c r="R83" i="11"/>
  <c r="S97" i="11" s="1"/>
  <c r="P83" i="11"/>
  <c r="Q97" i="11" s="1"/>
  <c r="N83" i="11"/>
  <c r="O97" i="11" s="1"/>
  <c r="L83" i="11"/>
  <c r="M97" i="11" s="1"/>
  <c r="J83" i="11"/>
  <c r="K97" i="11" s="1"/>
  <c r="H83" i="11"/>
  <c r="I97" i="11" s="1"/>
  <c r="F83" i="11"/>
  <c r="G97" i="11" s="1"/>
  <c r="BL82" i="11"/>
  <c r="BM96" i="11" s="1"/>
  <c r="BJ82" i="11"/>
  <c r="BK96" i="11" s="1"/>
  <c r="BH82" i="11"/>
  <c r="BI96" i="11" s="1"/>
  <c r="BF82" i="11"/>
  <c r="BG96" i="11" s="1"/>
  <c r="BD82" i="11"/>
  <c r="BE96" i="11" s="1"/>
  <c r="BB82" i="11"/>
  <c r="BC96" i="11" s="1"/>
  <c r="AZ82" i="11"/>
  <c r="BA96" i="11" s="1"/>
  <c r="AX82" i="11"/>
  <c r="AY96" i="11" s="1"/>
  <c r="AV82" i="11"/>
  <c r="AW96" i="11" s="1"/>
  <c r="AT82" i="11"/>
  <c r="AU96" i="11" s="1"/>
  <c r="AR82" i="11"/>
  <c r="AS96" i="11" s="1"/>
  <c r="AP82" i="11"/>
  <c r="AQ96" i="11" s="1"/>
  <c r="AN82" i="11"/>
  <c r="AO96" i="11" s="1"/>
  <c r="AL82" i="11"/>
  <c r="AM96" i="11" s="1"/>
  <c r="AJ82" i="11"/>
  <c r="AK96" i="11" s="1"/>
  <c r="AH82" i="11"/>
  <c r="AI96" i="11" s="1"/>
  <c r="AF82" i="11"/>
  <c r="AG96" i="11" s="1"/>
  <c r="AD82" i="11"/>
  <c r="AE96" i="11" s="1"/>
  <c r="AB82" i="11"/>
  <c r="AC96" i="11" s="1"/>
  <c r="Z82" i="11"/>
  <c r="AA96" i="11" s="1"/>
  <c r="X82" i="11"/>
  <c r="Y96" i="11" s="1"/>
  <c r="V82" i="11"/>
  <c r="W96" i="11" s="1"/>
  <c r="T82" i="11"/>
  <c r="U96" i="11" s="1"/>
  <c r="R82" i="11"/>
  <c r="S96" i="11" s="1"/>
  <c r="P82" i="11"/>
  <c r="Q96" i="11" s="1"/>
  <c r="N82" i="11"/>
  <c r="O96" i="11" s="1"/>
  <c r="L82" i="11"/>
  <c r="M96" i="11" s="1"/>
  <c r="J82" i="11"/>
  <c r="K96" i="11" s="1"/>
  <c r="H82" i="11"/>
  <c r="I96" i="11" s="1"/>
  <c r="F82" i="11"/>
  <c r="G96" i="11" s="1"/>
  <c r="BL81" i="11"/>
  <c r="BM95" i="11" s="1"/>
  <c r="BJ81" i="11"/>
  <c r="BK95" i="11" s="1"/>
  <c r="BH81" i="11"/>
  <c r="BI95" i="11" s="1"/>
  <c r="BF81" i="11"/>
  <c r="BG95" i="11" s="1"/>
  <c r="BD81" i="11"/>
  <c r="BE95" i="11" s="1"/>
  <c r="BB81" i="11"/>
  <c r="BC95" i="11" s="1"/>
  <c r="AZ81" i="11"/>
  <c r="BA95" i="11" s="1"/>
  <c r="AX81" i="11"/>
  <c r="AY95" i="11" s="1"/>
  <c r="AV81" i="11"/>
  <c r="AW95" i="11" s="1"/>
  <c r="AT81" i="11"/>
  <c r="AU95" i="11" s="1"/>
  <c r="AR81" i="11"/>
  <c r="AS95" i="11" s="1"/>
  <c r="AP81" i="11"/>
  <c r="AQ95" i="11" s="1"/>
  <c r="AN81" i="11"/>
  <c r="AO95" i="11" s="1"/>
  <c r="AL81" i="11"/>
  <c r="AM95" i="11" s="1"/>
  <c r="AJ81" i="11"/>
  <c r="AK95" i="11" s="1"/>
  <c r="AH81" i="11"/>
  <c r="AI95" i="11" s="1"/>
  <c r="AF81" i="11"/>
  <c r="AG95" i="11" s="1"/>
  <c r="AD81" i="11"/>
  <c r="AE95" i="11" s="1"/>
  <c r="AB81" i="11"/>
  <c r="AC95" i="11" s="1"/>
  <c r="Z81" i="11"/>
  <c r="AA95" i="11" s="1"/>
  <c r="X81" i="11"/>
  <c r="Y95" i="11" s="1"/>
  <c r="V81" i="11"/>
  <c r="W95" i="11" s="1"/>
  <c r="T81" i="11"/>
  <c r="U95" i="11" s="1"/>
  <c r="R81" i="11"/>
  <c r="S95" i="11" s="1"/>
  <c r="P81" i="11"/>
  <c r="Q95" i="11" s="1"/>
  <c r="N81" i="11"/>
  <c r="O95" i="11" s="1"/>
  <c r="L81" i="11"/>
  <c r="M95" i="11" s="1"/>
  <c r="J81" i="11"/>
  <c r="K95" i="11" s="1"/>
  <c r="H81" i="11"/>
  <c r="I95" i="11" s="1"/>
  <c r="F81" i="11"/>
  <c r="G95" i="11" s="1"/>
  <c r="D81" i="11"/>
  <c r="E95" i="11" s="1"/>
  <c r="BL80" i="11"/>
  <c r="BM94" i="11" s="1"/>
  <c r="BJ80" i="11"/>
  <c r="BK94" i="11" s="1"/>
  <c r="BH80" i="11"/>
  <c r="BI94" i="11" s="1"/>
  <c r="BF80" i="11"/>
  <c r="BG94" i="11" s="1"/>
  <c r="BD80" i="11"/>
  <c r="BE94" i="11" s="1"/>
  <c r="BB80" i="11"/>
  <c r="BC94" i="11" s="1"/>
  <c r="AZ80" i="11"/>
  <c r="BA94" i="11" s="1"/>
  <c r="AX80" i="11"/>
  <c r="AY94" i="11" s="1"/>
  <c r="AV80" i="11"/>
  <c r="AW94" i="11" s="1"/>
  <c r="AT80" i="11"/>
  <c r="AU94" i="11" s="1"/>
  <c r="AR80" i="11"/>
  <c r="AS94" i="11" s="1"/>
  <c r="AP80" i="11"/>
  <c r="AQ94" i="11" s="1"/>
  <c r="AN80" i="11"/>
  <c r="AO94" i="11" s="1"/>
  <c r="AL80" i="11"/>
  <c r="AM94" i="11" s="1"/>
  <c r="AJ80" i="11"/>
  <c r="AK94" i="11" s="1"/>
  <c r="AH80" i="11"/>
  <c r="AI94" i="11" s="1"/>
  <c r="AF80" i="11"/>
  <c r="AG94" i="11" s="1"/>
  <c r="AD80" i="11"/>
  <c r="AE94" i="11" s="1"/>
  <c r="AB80" i="11"/>
  <c r="AC94" i="11" s="1"/>
  <c r="Z80" i="11"/>
  <c r="AA94" i="11" s="1"/>
  <c r="X80" i="11"/>
  <c r="Y94" i="11" s="1"/>
  <c r="V80" i="11"/>
  <c r="W94" i="11" s="1"/>
  <c r="T80" i="11"/>
  <c r="U94" i="11" s="1"/>
  <c r="R80" i="11"/>
  <c r="S94" i="11" s="1"/>
  <c r="P80" i="11"/>
  <c r="Q94" i="11" s="1"/>
  <c r="N80" i="11"/>
  <c r="O94" i="11" s="1"/>
  <c r="L80" i="11"/>
  <c r="M94" i="11" s="1"/>
  <c r="J80" i="11"/>
  <c r="K94" i="11" s="1"/>
  <c r="H80" i="11"/>
  <c r="I94" i="11" s="1"/>
  <c r="F80" i="11"/>
  <c r="G94" i="11" s="1"/>
  <c r="BL79" i="11"/>
  <c r="BJ79" i="11"/>
  <c r="BK93" i="11" s="1"/>
  <c r="BH79" i="11"/>
  <c r="BI93" i="11" s="1"/>
  <c r="BF79" i="11"/>
  <c r="BG93" i="11" s="1"/>
  <c r="BD79" i="11"/>
  <c r="BE93" i="11" s="1"/>
  <c r="BB79" i="11"/>
  <c r="BC93" i="11" s="1"/>
  <c r="AZ79" i="11"/>
  <c r="BA93" i="11" s="1"/>
  <c r="AX79" i="11"/>
  <c r="AY93" i="11" s="1"/>
  <c r="AV79" i="11"/>
  <c r="AW93" i="11" s="1"/>
  <c r="AT79" i="11"/>
  <c r="AU93" i="11" s="1"/>
  <c r="AR79" i="11"/>
  <c r="AS93" i="11" s="1"/>
  <c r="AP79" i="11"/>
  <c r="AQ93" i="11" s="1"/>
  <c r="AN79" i="11"/>
  <c r="AL79" i="11"/>
  <c r="AM93" i="11" s="1"/>
  <c r="AJ79" i="11"/>
  <c r="AK93" i="11" s="1"/>
  <c r="AH79" i="11"/>
  <c r="AI93" i="11" s="1"/>
  <c r="AF79" i="11"/>
  <c r="AG93" i="11" s="1"/>
  <c r="AD79" i="11"/>
  <c r="AE93" i="11" s="1"/>
  <c r="AB79" i="11"/>
  <c r="AC93" i="11" s="1"/>
  <c r="Z79" i="11"/>
  <c r="AA93" i="11" s="1"/>
  <c r="X79" i="11"/>
  <c r="Y93" i="11" s="1"/>
  <c r="V79" i="11"/>
  <c r="W93" i="11" s="1"/>
  <c r="T79" i="11"/>
  <c r="U93" i="11" s="1"/>
  <c r="R79" i="11"/>
  <c r="P79" i="11"/>
  <c r="Q93" i="11" s="1"/>
  <c r="N79" i="11"/>
  <c r="O93" i="11" s="1"/>
  <c r="L79" i="11"/>
  <c r="M93" i="11" s="1"/>
  <c r="J79" i="11"/>
  <c r="K93" i="11" s="1"/>
  <c r="H79" i="11"/>
  <c r="I93" i="11" s="1"/>
  <c r="F79" i="11"/>
  <c r="G93" i="11" s="1"/>
  <c r="BL78" i="11"/>
  <c r="BM92" i="11" s="1"/>
  <c r="BJ78" i="11"/>
  <c r="BK92" i="11" s="1"/>
  <c r="BH78" i="11"/>
  <c r="BI92" i="11" s="1"/>
  <c r="BF78" i="11"/>
  <c r="BG92" i="11" s="1"/>
  <c r="BD78" i="11"/>
  <c r="BE92" i="11" s="1"/>
  <c r="BB78" i="11"/>
  <c r="BC92" i="11" s="1"/>
  <c r="AZ78" i="11"/>
  <c r="BA92" i="11" s="1"/>
  <c r="AX78" i="11"/>
  <c r="AY92" i="11" s="1"/>
  <c r="AV78" i="11"/>
  <c r="AW92" i="11" s="1"/>
  <c r="AT78" i="11"/>
  <c r="AU92" i="11" s="1"/>
  <c r="AR78" i="11"/>
  <c r="AS92" i="11" s="1"/>
  <c r="AP78" i="11"/>
  <c r="AQ92" i="11" s="1"/>
  <c r="AN78" i="11"/>
  <c r="AO92" i="11" s="1"/>
  <c r="AL78" i="11"/>
  <c r="AM92" i="11" s="1"/>
  <c r="AJ78" i="11"/>
  <c r="AH78" i="11"/>
  <c r="AI92" i="11" s="1"/>
  <c r="AF78" i="11"/>
  <c r="AG92" i="11" s="1"/>
  <c r="AD78" i="11"/>
  <c r="AE92" i="11" s="1"/>
  <c r="AB78" i="11"/>
  <c r="AC92" i="11" s="1"/>
  <c r="Z78" i="11"/>
  <c r="AA92" i="11" s="1"/>
  <c r="X78" i="11"/>
  <c r="V78" i="11"/>
  <c r="W92" i="11" s="1"/>
  <c r="T78" i="11"/>
  <c r="U92" i="11" s="1"/>
  <c r="R78" i="11"/>
  <c r="S92" i="11" s="1"/>
  <c r="P78" i="11"/>
  <c r="Q92" i="11" s="1"/>
  <c r="N78" i="11"/>
  <c r="O92" i="11" s="1"/>
  <c r="L78" i="11"/>
  <c r="M92" i="11" s="1"/>
  <c r="J78" i="11"/>
  <c r="K92" i="11" s="1"/>
  <c r="H78" i="11"/>
  <c r="I92" i="11" s="1"/>
  <c r="F78" i="11"/>
  <c r="G92" i="11" s="1"/>
  <c r="BL77" i="11"/>
  <c r="BM91" i="11" s="1"/>
  <c r="BJ77" i="11"/>
  <c r="BK91" i="11" s="1"/>
  <c r="BH77" i="11"/>
  <c r="BI91" i="11" s="1"/>
  <c r="BF77" i="11"/>
  <c r="BG91" i="11" s="1"/>
  <c r="BD77" i="11"/>
  <c r="BE91" i="11" s="1"/>
  <c r="BB77" i="11"/>
  <c r="BC91" i="11" s="1"/>
  <c r="AZ77" i="11"/>
  <c r="BA91" i="11" s="1"/>
  <c r="AX77" i="11"/>
  <c r="AY91" i="11" s="1"/>
  <c r="AV77" i="11"/>
  <c r="AW91" i="11" s="1"/>
  <c r="AT77" i="11"/>
  <c r="AU91" i="11" s="1"/>
  <c r="AR77" i="11"/>
  <c r="AS91" i="11" s="1"/>
  <c r="AP77" i="11"/>
  <c r="AQ91" i="11" s="1"/>
  <c r="AN77" i="11"/>
  <c r="AO91" i="11" s="1"/>
  <c r="AL77" i="11"/>
  <c r="AM91" i="11" s="1"/>
  <c r="AJ77" i="11"/>
  <c r="AK91" i="11" s="1"/>
  <c r="AH77" i="11"/>
  <c r="AI91" i="11" s="1"/>
  <c r="AF77" i="11"/>
  <c r="AG91" i="11" s="1"/>
  <c r="AD77" i="11"/>
  <c r="AE91" i="11" s="1"/>
  <c r="AB77" i="11"/>
  <c r="AC91" i="11" s="1"/>
  <c r="Z77" i="11"/>
  <c r="AA91" i="11" s="1"/>
  <c r="X77" i="11"/>
  <c r="Y91" i="11" s="1"/>
  <c r="V77" i="11"/>
  <c r="W91" i="11" s="1"/>
  <c r="T77" i="11"/>
  <c r="U91" i="11" s="1"/>
  <c r="R77" i="11"/>
  <c r="S91" i="11" s="1"/>
  <c r="P77" i="11"/>
  <c r="Q91" i="11" s="1"/>
  <c r="N77" i="11"/>
  <c r="O91" i="11" s="1"/>
  <c r="L77" i="11"/>
  <c r="M91" i="11" s="1"/>
  <c r="J77" i="11"/>
  <c r="K91" i="11" s="1"/>
  <c r="H77" i="11"/>
  <c r="I91" i="11" s="1"/>
  <c r="F77" i="11"/>
  <c r="G91" i="11" s="1"/>
  <c r="BO74" i="11"/>
  <c r="G67" i="19" s="1"/>
  <c r="BP72" i="11"/>
  <c r="BM72" i="11"/>
  <c r="BL72" i="11"/>
  <c r="BK72" i="11"/>
  <c r="BJ72" i="11"/>
  <c r="BI72" i="11"/>
  <c r="BH72" i="11"/>
  <c r="BG72" i="11"/>
  <c r="BF72" i="11"/>
  <c r="BE72" i="11"/>
  <c r="BD72" i="11"/>
  <c r="BC72" i="11"/>
  <c r="BB72" i="11"/>
  <c r="BA72" i="11"/>
  <c r="AZ72" i="11"/>
  <c r="AY72" i="11"/>
  <c r="AX72" i="11"/>
  <c r="AW72" i="11"/>
  <c r="AV72" i="11"/>
  <c r="AU72" i="11"/>
  <c r="AT72" i="11"/>
  <c r="AS72" i="11"/>
  <c r="AR72" i="11"/>
  <c r="AQ72" i="11"/>
  <c r="AP72" i="11"/>
  <c r="AO72" i="11"/>
  <c r="AN72" i="11"/>
  <c r="AM72" i="11"/>
  <c r="AL72" i="11"/>
  <c r="AK72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D72" i="11"/>
  <c r="BP71" i="11"/>
  <c r="BM71" i="11"/>
  <c r="BL71" i="11"/>
  <c r="BK71" i="11"/>
  <c r="BJ71" i="11"/>
  <c r="BI71" i="11"/>
  <c r="BH71" i="11"/>
  <c r="BG71" i="11"/>
  <c r="BF71" i="11"/>
  <c r="BE71" i="11"/>
  <c r="BD71" i="11"/>
  <c r="BC71" i="11"/>
  <c r="BB71" i="11"/>
  <c r="BA71" i="11"/>
  <c r="AZ71" i="11"/>
  <c r="AY71" i="11"/>
  <c r="AX71" i="11"/>
  <c r="AW71" i="11"/>
  <c r="AV71" i="11"/>
  <c r="AU71" i="11"/>
  <c r="AT71" i="11"/>
  <c r="AS71" i="11"/>
  <c r="AR71" i="11"/>
  <c r="AQ71" i="11"/>
  <c r="AP71" i="11"/>
  <c r="AO71" i="11"/>
  <c r="AN71" i="11"/>
  <c r="AM71" i="11"/>
  <c r="AL71" i="11"/>
  <c r="AK71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D71" i="11"/>
  <c r="BP70" i="11"/>
  <c r="BM70" i="11"/>
  <c r="BL70" i="11"/>
  <c r="BK70" i="11"/>
  <c r="BJ70" i="11"/>
  <c r="BI70" i="11"/>
  <c r="BH70" i="11"/>
  <c r="BG70" i="11"/>
  <c r="BF70" i="11"/>
  <c r="BE70" i="11"/>
  <c r="BD70" i="11"/>
  <c r="BC70" i="11"/>
  <c r="BB70" i="11"/>
  <c r="BA70" i="11"/>
  <c r="AZ70" i="11"/>
  <c r="AY70" i="11"/>
  <c r="AX70" i="11"/>
  <c r="AW70" i="11"/>
  <c r="AV70" i="11"/>
  <c r="AU70" i="11"/>
  <c r="AT70" i="11"/>
  <c r="AS70" i="11"/>
  <c r="AR70" i="11"/>
  <c r="AQ70" i="11"/>
  <c r="AP70" i="11"/>
  <c r="AO70" i="11"/>
  <c r="AN70" i="11"/>
  <c r="AM70" i="11"/>
  <c r="AL70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D70" i="11"/>
  <c r="BP69" i="11"/>
  <c r="BM69" i="11"/>
  <c r="BL69" i="11"/>
  <c r="BK69" i="11"/>
  <c r="BJ69" i="11"/>
  <c r="BI69" i="11"/>
  <c r="BH69" i="11"/>
  <c r="BG69" i="11"/>
  <c r="BF69" i="11"/>
  <c r="BE69" i="11"/>
  <c r="BD69" i="11"/>
  <c r="BC69" i="11"/>
  <c r="BB69" i="11"/>
  <c r="BA69" i="11"/>
  <c r="AZ69" i="11"/>
  <c r="AY69" i="11"/>
  <c r="AX69" i="11"/>
  <c r="AW69" i="11"/>
  <c r="AV69" i="11"/>
  <c r="AU69" i="11"/>
  <c r="AT69" i="11"/>
  <c r="AS69" i="11"/>
  <c r="AR69" i="11"/>
  <c r="AQ69" i="11"/>
  <c r="AP69" i="11"/>
  <c r="AO69" i="11"/>
  <c r="AN69" i="11"/>
  <c r="AM69" i="11"/>
  <c r="AL69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D69" i="11"/>
  <c r="BP68" i="11"/>
  <c r="BM68" i="11"/>
  <c r="BL68" i="11"/>
  <c r="BK68" i="11"/>
  <c r="BJ68" i="11"/>
  <c r="BI68" i="11"/>
  <c r="BH68" i="11"/>
  <c r="BG68" i="11"/>
  <c r="BF68" i="11"/>
  <c r="BE68" i="11"/>
  <c r="BD68" i="11"/>
  <c r="BC68" i="11"/>
  <c r="BB68" i="11"/>
  <c r="BA68" i="11"/>
  <c r="AZ68" i="11"/>
  <c r="AY68" i="11"/>
  <c r="AX68" i="11"/>
  <c r="AW68" i="11"/>
  <c r="AV68" i="11"/>
  <c r="AU68" i="11"/>
  <c r="AT68" i="11"/>
  <c r="AS68" i="11"/>
  <c r="AR68" i="11"/>
  <c r="AQ68" i="11"/>
  <c r="AP68" i="11"/>
  <c r="AO68" i="11"/>
  <c r="AN68" i="11"/>
  <c r="AM68" i="11"/>
  <c r="AL68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D68" i="11"/>
  <c r="BP66" i="11"/>
  <c r="BL66" i="11"/>
  <c r="BJ66" i="11"/>
  <c r="BH66" i="11"/>
  <c r="BF66" i="11"/>
  <c r="BD66" i="11"/>
  <c r="BB66" i="11"/>
  <c r="AZ66" i="11"/>
  <c r="AX66" i="11"/>
  <c r="AV66" i="11"/>
  <c r="AT66" i="11"/>
  <c r="AR66" i="11"/>
  <c r="AP66" i="11"/>
  <c r="AN66" i="11"/>
  <c r="AL66" i="11"/>
  <c r="AJ66" i="11"/>
  <c r="AH66" i="11"/>
  <c r="AF66" i="11"/>
  <c r="AD66" i="11"/>
  <c r="AB66" i="11"/>
  <c r="Z66" i="11"/>
  <c r="X66" i="11"/>
  <c r="V66" i="11"/>
  <c r="T66" i="11"/>
  <c r="R66" i="11"/>
  <c r="P66" i="11"/>
  <c r="N66" i="11"/>
  <c r="L66" i="11"/>
  <c r="J66" i="11"/>
  <c r="H66" i="11"/>
  <c r="F66" i="11"/>
  <c r="BL65" i="11"/>
  <c r="BJ65" i="11"/>
  <c r="BH65" i="11"/>
  <c r="BF65" i="11"/>
  <c r="BD65" i="11"/>
  <c r="BB65" i="11"/>
  <c r="AZ65" i="11"/>
  <c r="AX65" i="11"/>
  <c r="AV65" i="11"/>
  <c r="AT65" i="11"/>
  <c r="AR65" i="11"/>
  <c r="AP65" i="11"/>
  <c r="AN65" i="11"/>
  <c r="AL65" i="11"/>
  <c r="AJ65" i="11"/>
  <c r="AH65" i="11"/>
  <c r="AF65" i="11"/>
  <c r="AD65" i="11"/>
  <c r="AB65" i="11"/>
  <c r="Z65" i="11"/>
  <c r="X65" i="11"/>
  <c r="V65" i="11"/>
  <c r="T65" i="11"/>
  <c r="R65" i="11"/>
  <c r="P65" i="11"/>
  <c r="N65" i="11"/>
  <c r="L65" i="11"/>
  <c r="J65" i="11"/>
  <c r="H65" i="11"/>
  <c r="F65" i="11"/>
  <c r="BP64" i="11"/>
  <c r="BL64" i="11"/>
  <c r="BJ64" i="11"/>
  <c r="BH64" i="11"/>
  <c r="BF64" i="11"/>
  <c r="BD64" i="11"/>
  <c r="BB64" i="11"/>
  <c r="AZ64" i="11"/>
  <c r="AX64" i="11"/>
  <c r="AV64" i="11"/>
  <c r="AT64" i="11"/>
  <c r="AR64" i="11"/>
  <c r="AP64" i="11"/>
  <c r="AN64" i="11"/>
  <c r="AL64" i="11"/>
  <c r="AJ64" i="11"/>
  <c r="AH64" i="11"/>
  <c r="AF64" i="11"/>
  <c r="AD64" i="11"/>
  <c r="AB64" i="11"/>
  <c r="Z64" i="11"/>
  <c r="X64" i="11"/>
  <c r="V64" i="11"/>
  <c r="T64" i="11"/>
  <c r="R64" i="11"/>
  <c r="P64" i="11"/>
  <c r="N64" i="11"/>
  <c r="L64" i="11"/>
  <c r="J64" i="11"/>
  <c r="H64" i="11"/>
  <c r="F64" i="11"/>
  <c r="BL63" i="11"/>
  <c r="BJ63" i="11"/>
  <c r="BH63" i="11"/>
  <c r="BF63" i="11"/>
  <c r="BD63" i="11"/>
  <c r="BB63" i="11"/>
  <c r="AZ63" i="11"/>
  <c r="AX63" i="11"/>
  <c r="AV63" i="11"/>
  <c r="AT63" i="11"/>
  <c r="AR63" i="11"/>
  <c r="AP63" i="11"/>
  <c r="AN63" i="11"/>
  <c r="AL63" i="11"/>
  <c r="AJ63" i="11"/>
  <c r="AH63" i="11"/>
  <c r="AF63" i="11"/>
  <c r="AD63" i="11"/>
  <c r="AB63" i="11"/>
  <c r="Z63" i="11"/>
  <c r="X63" i="11"/>
  <c r="V63" i="11"/>
  <c r="T63" i="11"/>
  <c r="R63" i="11"/>
  <c r="P63" i="11"/>
  <c r="N63" i="11"/>
  <c r="L63" i="11"/>
  <c r="J63" i="11"/>
  <c r="H63" i="11"/>
  <c r="F63" i="11"/>
  <c r="BL62" i="11"/>
  <c r="BJ62" i="11"/>
  <c r="BH62" i="11"/>
  <c r="BF62" i="11"/>
  <c r="BD62" i="11"/>
  <c r="BB62" i="11"/>
  <c r="AZ62" i="11"/>
  <c r="AX62" i="11"/>
  <c r="AV62" i="11"/>
  <c r="AT62" i="11"/>
  <c r="AR62" i="11"/>
  <c r="AP62" i="11"/>
  <c r="AN62" i="11"/>
  <c r="AL62" i="11"/>
  <c r="AJ62" i="11"/>
  <c r="AH62" i="11"/>
  <c r="AF62" i="11"/>
  <c r="AD62" i="11"/>
  <c r="AB62" i="11"/>
  <c r="Z62" i="11"/>
  <c r="X62" i="11"/>
  <c r="V62" i="11"/>
  <c r="T62" i="11"/>
  <c r="R62" i="11"/>
  <c r="P62" i="11"/>
  <c r="N62" i="11"/>
  <c r="L62" i="11"/>
  <c r="J62" i="11"/>
  <c r="H62" i="11"/>
  <c r="F62" i="11"/>
  <c r="D62" i="11"/>
  <c r="BM59" i="11"/>
  <c r="C59" i="12" s="1"/>
  <c r="BK59" i="11"/>
  <c r="BK7" i="11" s="1"/>
  <c r="BI59" i="11"/>
  <c r="BI7" i="11" s="1"/>
  <c r="BG59" i="11"/>
  <c r="BE59" i="11"/>
  <c r="BC59" i="11"/>
  <c r="BA59" i="11"/>
  <c r="BA7" i="11" s="1"/>
  <c r="AY59" i="11"/>
  <c r="AY7" i="11" s="1"/>
  <c r="AW59" i="11"/>
  <c r="AW7" i="11" s="1"/>
  <c r="AU59" i="11"/>
  <c r="AU7" i="11" s="1"/>
  <c r="AS59" i="11"/>
  <c r="AS7" i="11" s="1"/>
  <c r="AQ59" i="11"/>
  <c r="AQ7" i="11" s="1"/>
  <c r="AO59" i="11"/>
  <c r="AO7" i="11" s="1"/>
  <c r="AM59" i="11"/>
  <c r="AM7" i="11" s="1"/>
  <c r="AK59" i="11"/>
  <c r="AK7" i="11" s="1"/>
  <c r="AI59" i="11"/>
  <c r="AG59" i="11"/>
  <c r="AG7" i="11" s="1"/>
  <c r="AE59" i="11"/>
  <c r="AE7" i="11" s="1"/>
  <c r="AC59" i="11"/>
  <c r="AC7" i="11" s="1"/>
  <c r="AA59" i="11"/>
  <c r="AA7" i="11" s="1"/>
  <c r="Y59" i="11"/>
  <c r="Y7" i="11" s="1"/>
  <c r="W59" i="11"/>
  <c r="W7" i="11" s="1"/>
  <c r="U59" i="11"/>
  <c r="U7" i="11" s="1"/>
  <c r="S59" i="11"/>
  <c r="S7" i="11" s="1"/>
  <c r="Q59" i="11"/>
  <c r="Q7" i="11" s="1"/>
  <c r="O59" i="11"/>
  <c r="O7" i="11" s="1"/>
  <c r="M59" i="11"/>
  <c r="M7" i="11" s="1"/>
  <c r="K59" i="11"/>
  <c r="K7" i="11" s="1"/>
  <c r="I59" i="11"/>
  <c r="I7" i="11" s="1"/>
  <c r="G59" i="11"/>
  <c r="G7" i="11" s="1"/>
  <c r="E59" i="11"/>
  <c r="BM57" i="11"/>
  <c r="C57" i="12" s="1"/>
  <c r="BK57" i="11"/>
  <c r="BK75" i="11" s="1"/>
  <c r="BK11" i="11" s="1"/>
  <c r="BI57" i="11"/>
  <c r="BI75" i="11" s="1"/>
  <c r="BI11" i="11" s="1"/>
  <c r="BG57" i="11"/>
  <c r="BG75" i="11" s="1"/>
  <c r="BG11" i="11" s="1"/>
  <c r="BE57" i="11"/>
  <c r="BE75" i="11" s="1"/>
  <c r="BE11" i="11" s="1"/>
  <c r="BC57" i="11"/>
  <c r="BC75" i="11" s="1"/>
  <c r="BC11" i="11" s="1"/>
  <c r="BA57" i="11"/>
  <c r="BA75" i="11" s="1"/>
  <c r="BA11" i="11" s="1"/>
  <c r="AY57" i="11"/>
  <c r="AY75" i="11" s="1"/>
  <c r="AY11" i="11" s="1"/>
  <c r="AW57" i="11"/>
  <c r="AW75" i="11" s="1"/>
  <c r="AW11" i="11" s="1"/>
  <c r="AU57" i="11"/>
  <c r="AU75" i="11" s="1"/>
  <c r="AU11" i="11" s="1"/>
  <c r="AS57" i="11"/>
  <c r="AS75" i="11" s="1"/>
  <c r="AS11" i="11" s="1"/>
  <c r="AQ57" i="11"/>
  <c r="AQ75" i="11" s="1"/>
  <c r="AQ11" i="11" s="1"/>
  <c r="AO57" i="11"/>
  <c r="AO75" i="11" s="1"/>
  <c r="AO11" i="11" s="1"/>
  <c r="AM57" i="11"/>
  <c r="AM75" i="11" s="1"/>
  <c r="AK57" i="11"/>
  <c r="AK75" i="11" s="1"/>
  <c r="AK11" i="11" s="1"/>
  <c r="AI57" i="11"/>
  <c r="AI75" i="11" s="1"/>
  <c r="AI11" i="11" s="1"/>
  <c r="AG57" i="11"/>
  <c r="AG75" i="11" s="1"/>
  <c r="AG11" i="11" s="1"/>
  <c r="AE57" i="11"/>
  <c r="AE75" i="11" s="1"/>
  <c r="AE11" i="11" s="1"/>
  <c r="AC57" i="11"/>
  <c r="AC75" i="11" s="1"/>
  <c r="AC11" i="11" s="1"/>
  <c r="AA57" i="11"/>
  <c r="AA75" i="11" s="1"/>
  <c r="AA11" i="11" s="1"/>
  <c r="Y57" i="11"/>
  <c r="Y75" i="11" s="1"/>
  <c r="Y11" i="11" s="1"/>
  <c r="W57" i="11"/>
  <c r="W75" i="11" s="1"/>
  <c r="W11" i="11" s="1"/>
  <c r="U57" i="11"/>
  <c r="U75" i="11" s="1"/>
  <c r="U11" i="11" s="1"/>
  <c r="S57" i="11"/>
  <c r="S75" i="11" s="1"/>
  <c r="Q57" i="11"/>
  <c r="Q75" i="11" s="1"/>
  <c r="Q11" i="11" s="1"/>
  <c r="O57" i="11"/>
  <c r="O75" i="11" s="1"/>
  <c r="M57" i="11"/>
  <c r="M75" i="11" s="1"/>
  <c r="M11" i="11" s="1"/>
  <c r="K57" i="11"/>
  <c r="K75" i="11" s="1"/>
  <c r="K11" i="11" s="1"/>
  <c r="I57" i="11"/>
  <c r="I75" i="11" s="1"/>
  <c r="I11" i="11" s="1"/>
  <c r="G57" i="11"/>
  <c r="G75" i="11" s="1"/>
  <c r="G11" i="11" s="1"/>
  <c r="E57" i="11"/>
  <c r="E75" i="11" s="1"/>
  <c r="E11" i="11" s="1"/>
  <c r="BO56" i="11"/>
  <c r="G50" i="19" s="1"/>
  <c r="BO55" i="11"/>
  <c r="G49" i="19" s="1"/>
  <c r="BO53" i="11"/>
  <c r="G47" i="19" s="1"/>
  <c r="BO52" i="11"/>
  <c r="G46" i="19" s="1"/>
  <c r="BO51" i="11"/>
  <c r="G45" i="19" s="1"/>
  <c r="BM49" i="11"/>
  <c r="BQ49" i="11" s="1"/>
  <c r="BK49" i="11"/>
  <c r="BI49" i="11"/>
  <c r="BG49" i="11"/>
  <c r="BE49" i="11"/>
  <c r="BC49" i="11"/>
  <c r="BA49" i="11"/>
  <c r="AY49" i="11"/>
  <c r="AY50" i="11" s="1"/>
  <c r="AW49" i="11"/>
  <c r="AU49" i="11"/>
  <c r="AS49" i="11"/>
  <c r="AQ49" i="11"/>
  <c r="AO49" i="11"/>
  <c r="AM49" i="11"/>
  <c r="AK49" i="11"/>
  <c r="AI49" i="11"/>
  <c r="AG49" i="11"/>
  <c r="AE49" i="11"/>
  <c r="AC49" i="11"/>
  <c r="AA49" i="11"/>
  <c r="AA50" i="11" s="1"/>
  <c r="Y49" i="11"/>
  <c r="W49" i="11"/>
  <c r="U49" i="11"/>
  <c r="S49" i="11"/>
  <c r="Q49" i="11"/>
  <c r="O49" i="11"/>
  <c r="M49" i="11"/>
  <c r="K49" i="11"/>
  <c r="I49" i="11"/>
  <c r="G49" i="11"/>
  <c r="E49" i="11"/>
  <c r="BO48" i="11"/>
  <c r="G42" i="19" s="1"/>
  <c r="BO47" i="11"/>
  <c r="G41" i="19" s="1"/>
  <c r="BO46" i="11"/>
  <c r="G40" i="19" s="1"/>
  <c r="BO45" i="11"/>
  <c r="G39" i="19" s="1"/>
  <c r="BO44" i="11"/>
  <c r="G38" i="19" s="1"/>
  <c r="BO43" i="11"/>
  <c r="G37" i="19" s="1"/>
  <c r="BM42" i="11"/>
  <c r="C42" i="12" s="1"/>
  <c r="BK42" i="11"/>
  <c r="BK50" i="11" s="1"/>
  <c r="BI42" i="11"/>
  <c r="BI50" i="11" s="1"/>
  <c r="BG42" i="11"/>
  <c r="BE42" i="11"/>
  <c r="BC42" i="11"/>
  <c r="BA42" i="11"/>
  <c r="AY42" i="11"/>
  <c r="AW42" i="11"/>
  <c r="AU42" i="11"/>
  <c r="AS42" i="11"/>
  <c r="AQ42" i="11"/>
  <c r="AO42" i="11"/>
  <c r="AO50" i="11" s="1"/>
  <c r="AM42" i="11"/>
  <c r="AM50" i="11" s="1"/>
  <c r="AK42" i="11"/>
  <c r="AK50" i="11" s="1"/>
  <c r="AI42" i="11"/>
  <c r="AG42" i="11"/>
  <c r="AG50" i="11" s="1"/>
  <c r="AE42" i="11"/>
  <c r="AC42" i="11"/>
  <c r="AA42" i="11"/>
  <c r="Y42" i="11"/>
  <c r="W42" i="11"/>
  <c r="U42" i="11"/>
  <c r="S42" i="11"/>
  <c r="Q42" i="11"/>
  <c r="O42" i="11"/>
  <c r="O50" i="11" s="1"/>
  <c r="M42" i="11"/>
  <c r="M50" i="11" s="1"/>
  <c r="K42" i="11"/>
  <c r="I42" i="11"/>
  <c r="I50" i="11" s="1"/>
  <c r="G42" i="11"/>
  <c r="E42" i="11"/>
  <c r="BO41" i="11"/>
  <c r="G35" i="19" s="1"/>
  <c r="BO40" i="11"/>
  <c r="G34" i="19" s="1"/>
  <c r="BO39" i="11"/>
  <c r="G33" i="19" s="1"/>
  <c r="BO38" i="11"/>
  <c r="G32" i="19" s="1"/>
  <c r="BO37" i="11"/>
  <c r="G31" i="19" s="1"/>
  <c r="BO36" i="11"/>
  <c r="G30" i="19" s="1"/>
  <c r="BO35" i="11"/>
  <c r="G29" i="19" s="1"/>
  <c r="BO34" i="11"/>
  <c r="G28" i="19" s="1"/>
  <c r="BO33" i="11"/>
  <c r="G27" i="19" s="1"/>
  <c r="BO32" i="11"/>
  <c r="G26" i="19" s="1"/>
  <c r="BM31" i="11"/>
  <c r="BK31" i="11"/>
  <c r="BI31" i="11"/>
  <c r="BG31" i="11"/>
  <c r="BE31" i="11"/>
  <c r="BC31" i="11"/>
  <c r="BA31" i="11"/>
  <c r="AY31" i="11"/>
  <c r="AW31" i="11"/>
  <c r="AU31" i="11"/>
  <c r="AS31" i="11"/>
  <c r="AQ31" i="11"/>
  <c r="AO31" i="11"/>
  <c r="AM31" i="11"/>
  <c r="AK31" i="11"/>
  <c r="AI31" i="11"/>
  <c r="AG31" i="11"/>
  <c r="AE31" i="11"/>
  <c r="AC31" i="11"/>
  <c r="AA31" i="11"/>
  <c r="Y31" i="11"/>
  <c r="W31" i="11"/>
  <c r="U31" i="11"/>
  <c r="S31" i="11"/>
  <c r="Q31" i="11"/>
  <c r="O31" i="11"/>
  <c r="M31" i="11"/>
  <c r="K31" i="11"/>
  <c r="I31" i="11"/>
  <c r="G31" i="11"/>
  <c r="E31" i="11"/>
  <c r="BM30" i="11"/>
  <c r="BK30" i="11"/>
  <c r="BI30" i="11"/>
  <c r="BG30" i="11"/>
  <c r="BE30" i="11"/>
  <c r="BC30" i="11"/>
  <c r="BA30" i="11"/>
  <c r="AY30" i="11"/>
  <c r="AW30" i="11"/>
  <c r="AU30" i="11"/>
  <c r="AS30" i="11"/>
  <c r="AQ30" i="11"/>
  <c r="AO30" i="11"/>
  <c r="AM30" i="11"/>
  <c r="AK30" i="11"/>
  <c r="AI30" i="11"/>
  <c r="AG30" i="11"/>
  <c r="AE30" i="11"/>
  <c r="AC30" i="11"/>
  <c r="AA30" i="11"/>
  <c r="Y30" i="11"/>
  <c r="W30" i="11"/>
  <c r="U30" i="11"/>
  <c r="S30" i="11"/>
  <c r="Q30" i="11"/>
  <c r="O30" i="11"/>
  <c r="M30" i="11"/>
  <c r="K30" i="11"/>
  <c r="I30" i="11"/>
  <c r="G30" i="11"/>
  <c r="BO29" i="11"/>
  <c r="G23" i="19" s="1"/>
  <c r="BO28" i="11"/>
  <c r="G22" i="19" s="1"/>
  <c r="BO27" i="11"/>
  <c r="G21" i="19" s="1"/>
  <c r="BO26" i="11"/>
  <c r="G20" i="19" s="1"/>
  <c r="BO25" i="11"/>
  <c r="G19" i="19" s="1"/>
  <c r="BO24" i="11"/>
  <c r="G18" i="19" s="1"/>
  <c r="BO23" i="11"/>
  <c r="G17" i="19" s="1"/>
  <c r="BM22" i="11"/>
  <c r="BQ22" i="11" s="1"/>
  <c r="BK22" i="11"/>
  <c r="BI22" i="11"/>
  <c r="BG22" i="11"/>
  <c r="BE22" i="11"/>
  <c r="BC22" i="11"/>
  <c r="BA22" i="11"/>
  <c r="AY22" i="11"/>
  <c r="AW22" i="11"/>
  <c r="AU22" i="11"/>
  <c r="AS22" i="11"/>
  <c r="AQ22" i="11"/>
  <c r="AO22" i="11"/>
  <c r="AM22" i="11"/>
  <c r="AM54" i="11" s="1"/>
  <c r="AM58" i="11" s="1"/>
  <c r="AM8" i="11" s="1"/>
  <c r="AK22" i="11"/>
  <c r="AI22" i="11"/>
  <c r="AG22" i="11"/>
  <c r="AE22" i="11"/>
  <c r="AC22" i="11"/>
  <c r="AA22" i="11"/>
  <c r="Y22" i="11"/>
  <c r="W22" i="11"/>
  <c r="U22" i="11"/>
  <c r="S22" i="11"/>
  <c r="Q22" i="11"/>
  <c r="O22" i="11"/>
  <c r="M22" i="11"/>
  <c r="K22" i="11"/>
  <c r="I22" i="11"/>
  <c r="G22" i="11"/>
  <c r="E22" i="11"/>
  <c r="BO21" i="11"/>
  <c r="G15" i="19" s="1"/>
  <c r="BO20" i="11"/>
  <c r="G14" i="19" s="1"/>
  <c r="BO19" i="11"/>
  <c r="G13" i="19" s="1"/>
  <c r="BO18" i="11"/>
  <c r="G12" i="19" s="1"/>
  <c r="BO17" i="11"/>
  <c r="G11" i="19" s="1"/>
  <c r="AM11" i="11"/>
  <c r="AL11" i="11"/>
  <c r="AJ11" i="11"/>
  <c r="AH11" i="11"/>
  <c r="AF11" i="11"/>
  <c r="AD11" i="11"/>
  <c r="AB11" i="11"/>
  <c r="Z11" i="11"/>
  <c r="X11" i="11"/>
  <c r="S11" i="11"/>
  <c r="O11" i="11"/>
  <c r="BG7" i="11"/>
  <c r="BE7" i="11"/>
  <c r="BC7" i="11"/>
  <c r="AI7" i="11"/>
  <c r="BP6" i="11"/>
  <c r="BL6" i="11"/>
  <c r="BJ6" i="11"/>
  <c r="BJ5" i="11" s="1"/>
  <c r="BH6" i="11"/>
  <c r="BH5" i="11" s="1"/>
  <c r="BF6" i="11"/>
  <c r="BD6" i="11"/>
  <c r="BD5" i="11" s="1"/>
  <c r="BB6" i="11"/>
  <c r="BB5" i="11" s="1"/>
  <c r="AZ6" i="11"/>
  <c r="AZ5" i="11" s="1"/>
  <c r="AX6" i="11"/>
  <c r="AX5" i="11" s="1"/>
  <c r="AV6" i="11"/>
  <c r="AV5" i="11" s="1"/>
  <c r="AT6" i="11"/>
  <c r="AR6" i="11"/>
  <c r="AR5" i="11" s="1"/>
  <c r="AP6" i="11"/>
  <c r="AP5" i="11" s="1"/>
  <c r="AN6" i="11"/>
  <c r="AL6" i="11"/>
  <c r="AL5" i="11" s="1"/>
  <c r="AJ6" i="11"/>
  <c r="AJ5" i="11" s="1"/>
  <c r="AH6" i="11"/>
  <c r="AF6" i="11"/>
  <c r="AD6" i="11"/>
  <c r="AD5" i="11" s="1"/>
  <c r="AB6" i="11"/>
  <c r="AB5" i="11" s="1"/>
  <c r="Z6" i="11"/>
  <c r="Z5" i="11" s="1"/>
  <c r="X6" i="11"/>
  <c r="X5" i="11" s="1"/>
  <c r="V6" i="11"/>
  <c r="V5" i="11" s="1"/>
  <c r="T6" i="11"/>
  <c r="R6" i="11"/>
  <c r="R5" i="11" s="1"/>
  <c r="P6" i="11"/>
  <c r="N6" i="11"/>
  <c r="N5" i="11" s="1"/>
  <c r="L6" i="11"/>
  <c r="J6" i="11"/>
  <c r="J5" i="11" s="1"/>
  <c r="H6" i="11"/>
  <c r="H5" i="11" s="1"/>
  <c r="F6" i="11"/>
  <c r="F5" i="11" s="1"/>
  <c r="D6" i="11"/>
  <c r="A5" i="11"/>
  <c r="A1" i="11"/>
  <c r="BQ13" i="10"/>
  <c r="BQ14" i="10"/>
  <c r="BQ15" i="10"/>
  <c r="BQ17" i="10"/>
  <c r="BQ21" i="10"/>
  <c r="BQ25" i="10"/>
  <c r="BQ26" i="10"/>
  <c r="BQ27" i="10"/>
  <c r="BQ28" i="10"/>
  <c r="BQ32" i="10"/>
  <c r="BQ33" i="10"/>
  <c r="BQ34" i="10"/>
  <c r="BQ36" i="10"/>
  <c r="BQ38" i="10"/>
  <c r="BQ39" i="10"/>
  <c r="BQ43" i="10"/>
  <c r="BQ55" i="10"/>
  <c r="BQ56" i="10"/>
  <c r="BQ62" i="10"/>
  <c r="BP62" i="10" s="1"/>
  <c r="BQ63" i="10"/>
  <c r="BP63" i="10" s="1"/>
  <c r="BQ64" i="10"/>
  <c r="BP64" i="10" s="1"/>
  <c r="BQ65" i="10"/>
  <c r="BQ66" i="10"/>
  <c r="BQ74" i="10"/>
  <c r="BQ77" i="10"/>
  <c r="BP77" i="10" s="1"/>
  <c r="BQ78" i="10"/>
  <c r="BP78" i="10" s="1"/>
  <c r="BQ79" i="10"/>
  <c r="BP79" i="10" s="1"/>
  <c r="BQ80" i="10"/>
  <c r="BP80" i="10" s="1"/>
  <c r="BQ81" i="10"/>
  <c r="BP81" i="10" s="1"/>
  <c r="BQ82" i="10"/>
  <c r="BP82" i="10" s="1"/>
  <c r="BQ83" i="10"/>
  <c r="BP83" i="10" s="1"/>
  <c r="BQ84" i="10"/>
  <c r="BP84" i="10" s="1"/>
  <c r="BQ85" i="10"/>
  <c r="BQ86" i="10"/>
  <c r="BP86" i="10" s="1"/>
  <c r="BQ87" i="10"/>
  <c r="BP87" i="10" s="1"/>
  <c r="BQ88" i="10"/>
  <c r="BP88" i="10" s="1"/>
  <c r="C13" i="10"/>
  <c r="C14" i="10"/>
  <c r="C15" i="10"/>
  <c r="C17" i="10"/>
  <c r="C21" i="10"/>
  <c r="C25" i="10"/>
  <c r="C26" i="10"/>
  <c r="C27" i="10"/>
  <c r="C28" i="10"/>
  <c r="E30" i="10" s="1"/>
  <c r="C32" i="10"/>
  <c r="C33" i="10"/>
  <c r="C34" i="10"/>
  <c r="C36" i="10"/>
  <c r="C38" i="10"/>
  <c r="C39" i="10"/>
  <c r="C43" i="10"/>
  <c r="C55" i="10"/>
  <c r="C56" i="10"/>
  <c r="C62" i="10"/>
  <c r="D62" i="10" s="1"/>
  <c r="C63" i="10"/>
  <c r="D63" i="10" s="1"/>
  <c r="C64" i="10"/>
  <c r="C65" i="10"/>
  <c r="D65" i="10" s="1"/>
  <c r="C66" i="10"/>
  <c r="D66" i="10" s="1"/>
  <c r="C74" i="10"/>
  <c r="C77" i="10"/>
  <c r="D77" i="10" s="1"/>
  <c r="C78" i="10"/>
  <c r="C79" i="10"/>
  <c r="C80" i="10"/>
  <c r="D80" i="10" s="1"/>
  <c r="C81" i="10"/>
  <c r="D81" i="10" s="1"/>
  <c r="C82" i="10"/>
  <c r="D82" i="10" s="1"/>
  <c r="E96" i="10" s="1"/>
  <c r="C83" i="10"/>
  <c r="D83" i="10" s="1"/>
  <c r="E97" i="10" s="1"/>
  <c r="C84" i="10"/>
  <c r="C85" i="10"/>
  <c r="C86" i="10"/>
  <c r="D86" i="10" s="1"/>
  <c r="E100" i="10" s="1"/>
  <c r="C87" i="10"/>
  <c r="D87" i="10" s="1"/>
  <c r="E101" i="10" s="1"/>
  <c r="C88" i="10"/>
  <c r="D88" i="10" s="1"/>
  <c r="BO120" i="10"/>
  <c r="F108" i="19" s="1"/>
  <c r="BO119" i="10"/>
  <c r="F107" i="19" s="1"/>
  <c r="BO118" i="10"/>
  <c r="F106" i="19" s="1"/>
  <c r="BO117" i="10"/>
  <c r="F105" i="19" s="1"/>
  <c r="BO116" i="10"/>
  <c r="F104" i="19" s="1"/>
  <c r="BO115" i="10"/>
  <c r="F103" i="19" s="1"/>
  <c r="BO114" i="10"/>
  <c r="F102" i="19" s="1"/>
  <c r="BO113" i="10"/>
  <c r="F101" i="19" s="1"/>
  <c r="BO112" i="10"/>
  <c r="F100" i="19" s="1"/>
  <c r="BO111" i="10"/>
  <c r="F99" i="19" s="1"/>
  <c r="BO110" i="10"/>
  <c r="F98" i="19" s="1"/>
  <c r="BO109" i="10"/>
  <c r="F97" i="19" s="1"/>
  <c r="BO108" i="10"/>
  <c r="F96" i="19" s="1"/>
  <c r="BO107" i="10"/>
  <c r="F95" i="19" s="1"/>
  <c r="BO106" i="10"/>
  <c r="F94" i="19" s="1"/>
  <c r="BP104" i="10"/>
  <c r="BL104" i="10"/>
  <c r="BJ104" i="10"/>
  <c r="BH104" i="10"/>
  <c r="BF104" i="10"/>
  <c r="BD104" i="10"/>
  <c r="BB104" i="10"/>
  <c r="AZ104" i="10"/>
  <c r="AX104" i="10"/>
  <c r="AV104" i="10"/>
  <c r="AT104" i="10"/>
  <c r="AR104" i="10"/>
  <c r="AP104" i="10"/>
  <c r="AN104" i="10"/>
  <c r="AL104" i="10"/>
  <c r="AJ104" i="10"/>
  <c r="AH104" i="10"/>
  <c r="AF104" i="10"/>
  <c r="AD104" i="10"/>
  <c r="AB104" i="10"/>
  <c r="Z104" i="10"/>
  <c r="X104" i="10"/>
  <c r="V104" i="10"/>
  <c r="T104" i="10"/>
  <c r="R104" i="10"/>
  <c r="P104" i="10"/>
  <c r="N104" i="10"/>
  <c r="L104" i="10"/>
  <c r="J104" i="10"/>
  <c r="H104" i="10"/>
  <c r="F104" i="10"/>
  <c r="D104" i="10"/>
  <c r="BP103" i="10"/>
  <c r="BL103" i="10"/>
  <c r="BJ103" i="10"/>
  <c r="BH103" i="10"/>
  <c r="BF103" i="10"/>
  <c r="BD103" i="10"/>
  <c r="BB103" i="10"/>
  <c r="AZ103" i="10"/>
  <c r="AX103" i="10"/>
  <c r="AV103" i="10"/>
  <c r="AT103" i="10"/>
  <c r="AR103" i="10"/>
  <c r="AP103" i="10"/>
  <c r="AN103" i="10"/>
  <c r="AL103" i="10"/>
  <c r="AJ103" i="10"/>
  <c r="AH103" i="10"/>
  <c r="AF103" i="10"/>
  <c r="AD103" i="10"/>
  <c r="AB103" i="10"/>
  <c r="Z103" i="10"/>
  <c r="X103" i="10"/>
  <c r="V103" i="10"/>
  <c r="T103" i="10"/>
  <c r="R103" i="10"/>
  <c r="P103" i="10"/>
  <c r="N103" i="10"/>
  <c r="L103" i="10"/>
  <c r="J103" i="10"/>
  <c r="H103" i="10"/>
  <c r="F103" i="10"/>
  <c r="D103" i="10"/>
  <c r="AY92" i="10"/>
  <c r="BP89" i="10"/>
  <c r="BL89" i="10"/>
  <c r="BJ89" i="10"/>
  <c r="BH89" i="10"/>
  <c r="BF89" i="10"/>
  <c r="BD89" i="10"/>
  <c r="BB89" i="10"/>
  <c r="AZ89" i="10"/>
  <c r="AX89" i="10"/>
  <c r="AV89" i="10"/>
  <c r="AT89" i="10"/>
  <c r="AR89" i="10"/>
  <c r="AP89" i="10"/>
  <c r="AN89" i="10"/>
  <c r="AL89" i="10"/>
  <c r="AJ89" i="10"/>
  <c r="AH89" i="10"/>
  <c r="AF89" i="10"/>
  <c r="AD89" i="10"/>
  <c r="AB89" i="10"/>
  <c r="Z89" i="10"/>
  <c r="X89" i="10"/>
  <c r="V89" i="10"/>
  <c r="T89" i="10"/>
  <c r="R89" i="10"/>
  <c r="P89" i="10"/>
  <c r="N89" i="10"/>
  <c r="L89" i="10"/>
  <c r="J89" i="10"/>
  <c r="H89" i="10"/>
  <c r="F89" i="10"/>
  <c r="D89" i="10"/>
  <c r="BL88" i="10"/>
  <c r="BM102" i="10" s="1"/>
  <c r="BJ88" i="10"/>
  <c r="BK102" i="10" s="1"/>
  <c r="BH88" i="10"/>
  <c r="BI102" i="10" s="1"/>
  <c r="BF88" i="10"/>
  <c r="BG102" i="10" s="1"/>
  <c r="BD88" i="10"/>
  <c r="BE102" i="10" s="1"/>
  <c r="BB88" i="10"/>
  <c r="BC102" i="10" s="1"/>
  <c r="AZ88" i="10"/>
  <c r="BA102" i="10" s="1"/>
  <c r="AX88" i="10"/>
  <c r="AY102" i="10" s="1"/>
  <c r="AV88" i="10"/>
  <c r="AW102" i="10" s="1"/>
  <c r="AT88" i="10"/>
  <c r="AU102" i="10" s="1"/>
  <c r="AR88" i="10"/>
  <c r="AS102" i="10" s="1"/>
  <c r="AP88" i="10"/>
  <c r="AQ102" i="10" s="1"/>
  <c r="AN88" i="10"/>
  <c r="AO102" i="10" s="1"/>
  <c r="AL88" i="10"/>
  <c r="AM102" i="10" s="1"/>
  <c r="AJ88" i="10"/>
  <c r="AK102" i="10" s="1"/>
  <c r="AH88" i="10"/>
  <c r="AI102" i="10" s="1"/>
  <c r="AF88" i="10"/>
  <c r="AG102" i="10" s="1"/>
  <c r="AD88" i="10"/>
  <c r="AE102" i="10" s="1"/>
  <c r="AB88" i="10"/>
  <c r="AC102" i="10" s="1"/>
  <c r="Z88" i="10"/>
  <c r="AA102" i="10" s="1"/>
  <c r="X88" i="10"/>
  <c r="Y102" i="10" s="1"/>
  <c r="V88" i="10"/>
  <c r="W102" i="10" s="1"/>
  <c r="T88" i="10"/>
  <c r="U102" i="10" s="1"/>
  <c r="R88" i="10"/>
  <c r="S102" i="10" s="1"/>
  <c r="P88" i="10"/>
  <c r="Q102" i="10" s="1"/>
  <c r="N88" i="10"/>
  <c r="O102" i="10" s="1"/>
  <c r="L88" i="10"/>
  <c r="M102" i="10" s="1"/>
  <c r="J88" i="10"/>
  <c r="K102" i="10" s="1"/>
  <c r="H88" i="10"/>
  <c r="I102" i="10" s="1"/>
  <c r="F88" i="10"/>
  <c r="G102" i="10" s="1"/>
  <c r="BL87" i="10"/>
  <c r="BM101" i="10" s="1"/>
  <c r="BJ87" i="10"/>
  <c r="BK101" i="10" s="1"/>
  <c r="BH87" i="10"/>
  <c r="BI101" i="10" s="1"/>
  <c r="BF87" i="10"/>
  <c r="BG101" i="10" s="1"/>
  <c r="BD87" i="10"/>
  <c r="BE101" i="10" s="1"/>
  <c r="BB87" i="10"/>
  <c r="BC101" i="10" s="1"/>
  <c r="AZ87" i="10"/>
  <c r="BA101" i="10" s="1"/>
  <c r="AX87" i="10"/>
  <c r="AY101" i="10" s="1"/>
  <c r="AV87" i="10"/>
  <c r="AW101" i="10" s="1"/>
  <c r="AT87" i="10"/>
  <c r="AU101" i="10" s="1"/>
  <c r="AR87" i="10"/>
  <c r="AS101" i="10" s="1"/>
  <c r="AP87" i="10"/>
  <c r="AQ101" i="10" s="1"/>
  <c r="AN87" i="10"/>
  <c r="AO101" i="10" s="1"/>
  <c r="AL87" i="10"/>
  <c r="AM101" i="10" s="1"/>
  <c r="AJ87" i="10"/>
  <c r="AK101" i="10" s="1"/>
  <c r="AH87" i="10"/>
  <c r="AI101" i="10" s="1"/>
  <c r="AF87" i="10"/>
  <c r="AG101" i="10" s="1"/>
  <c r="AD87" i="10"/>
  <c r="AE101" i="10" s="1"/>
  <c r="AB87" i="10"/>
  <c r="AC101" i="10" s="1"/>
  <c r="Z87" i="10"/>
  <c r="AA101" i="10" s="1"/>
  <c r="X87" i="10"/>
  <c r="Y101" i="10" s="1"/>
  <c r="V87" i="10"/>
  <c r="W101" i="10" s="1"/>
  <c r="T87" i="10"/>
  <c r="U101" i="10" s="1"/>
  <c r="R87" i="10"/>
  <c r="S101" i="10" s="1"/>
  <c r="P87" i="10"/>
  <c r="Q101" i="10" s="1"/>
  <c r="N87" i="10"/>
  <c r="O101" i="10" s="1"/>
  <c r="L87" i="10"/>
  <c r="M101" i="10" s="1"/>
  <c r="J87" i="10"/>
  <c r="K101" i="10" s="1"/>
  <c r="H87" i="10"/>
  <c r="I101" i="10" s="1"/>
  <c r="F87" i="10"/>
  <c r="G101" i="10" s="1"/>
  <c r="BL86" i="10"/>
  <c r="BM100" i="10" s="1"/>
  <c r="BJ86" i="10"/>
  <c r="BK100" i="10" s="1"/>
  <c r="BH86" i="10"/>
  <c r="BI100" i="10" s="1"/>
  <c r="BF86" i="10"/>
  <c r="BG100" i="10" s="1"/>
  <c r="BD86" i="10"/>
  <c r="BE100" i="10" s="1"/>
  <c r="BB86" i="10"/>
  <c r="BC100" i="10" s="1"/>
  <c r="AZ86" i="10"/>
  <c r="BA100" i="10" s="1"/>
  <c r="AX86" i="10"/>
  <c r="AY100" i="10" s="1"/>
  <c r="AV86" i="10"/>
  <c r="AW100" i="10" s="1"/>
  <c r="AT86" i="10"/>
  <c r="AU100" i="10" s="1"/>
  <c r="AR86" i="10"/>
  <c r="AS100" i="10" s="1"/>
  <c r="AP86" i="10"/>
  <c r="AQ100" i="10" s="1"/>
  <c r="AN86" i="10"/>
  <c r="AO100" i="10" s="1"/>
  <c r="AL86" i="10"/>
  <c r="AM100" i="10" s="1"/>
  <c r="AJ86" i="10"/>
  <c r="AK100" i="10" s="1"/>
  <c r="AH86" i="10"/>
  <c r="AI100" i="10" s="1"/>
  <c r="AF86" i="10"/>
  <c r="AG100" i="10" s="1"/>
  <c r="AD86" i="10"/>
  <c r="AE100" i="10" s="1"/>
  <c r="AB86" i="10"/>
  <c r="AC100" i="10" s="1"/>
  <c r="Z86" i="10"/>
  <c r="AA100" i="10" s="1"/>
  <c r="X86" i="10"/>
  <c r="Y100" i="10" s="1"/>
  <c r="V86" i="10"/>
  <c r="W100" i="10" s="1"/>
  <c r="T86" i="10"/>
  <c r="U100" i="10" s="1"/>
  <c r="R86" i="10"/>
  <c r="S100" i="10" s="1"/>
  <c r="P86" i="10"/>
  <c r="Q100" i="10" s="1"/>
  <c r="N86" i="10"/>
  <c r="O100" i="10" s="1"/>
  <c r="L86" i="10"/>
  <c r="M100" i="10" s="1"/>
  <c r="J86" i="10"/>
  <c r="K100" i="10" s="1"/>
  <c r="H86" i="10"/>
  <c r="I100" i="10" s="1"/>
  <c r="F86" i="10"/>
  <c r="G100" i="10" s="1"/>
  <c r="BP85" i="10"/>
  <c r="BL85" i="10"/>
  <c r="BM99" i="10" s="1"/>
  <c r="BJ85" i="10"/>
  <c r="BK99" i="10" s="1"/>
  <c r="BH85" i="10"/>
  <c r="BI99" i="10" s="1"/>
  <c r="BF85" i="10"/>
  <c r="BG99" i="10" s="1"/>
  <c r="BD85" i="10"/>
  <c r="BE99" i="10" s="1"/>
  <c r="BB85" i="10"/>
  <c r="BC99" i="10" s="1"/>
  <c r="AZ85" i="10"/>
  <c r="BA99" i="10" s="1"/>
  <c r="AX85" i="10"/>
  <c r="AY99" i="10" s="1"/>
  <c r="AV85" i="10"/>
  <c r="AW99" i="10" s="1"/>
  <c r="AT85" i="10"/>
  <c r="AU99" i="10" s="1"/>
  <c r="AR85" i="10"/>
  <c r="AS99" i="10" s="1"/>
  <c r="AP85" i="10"/>
  <c r="AQ99" i="10" s="1"/>
  <c r="AN85" i="10"/>
  <c r="AO99" i="10" s="1"/>
  <c r="AL85" i="10"/>
  <c r="AM99" i="10" s="1"/>
  <c r="AJ85" i="10"/>
  <c r="AK99" i="10" s="1"/>
  <c r="AH85" i="10"/>
  <c r="AI99" i="10" s="1"/>
  <c r="AF85" i="10"/>
  <c r="AG99" i="10" s="1"/>
  <c r="AD85" i="10"/>
  <c r="AE99" i="10" s="1"/>
  <c r="AB85" i="10"/>
  <c r="AC99" i="10" s="1"/>
  <c r="Z85" i="10"/>
  <c r="AA99" i="10" s="1"/>
  <c r="X85" i="10"/>
  <c r="Y99" i="10" s="1"/>
  <c r="V85" i="10"/>
  <c r="W99" i="10" s="1"/>
  <c r="T85" i="10"/>
  <c r="U99" i="10" s="1"/>
  <c r="R85" i="10"/>
  <c r="S99" i="10" s="1"/>
  <c r="P85" i="10"/>
  <c r="Q99" i="10" s="1"/>
  <c r="N85" i="10"/>
  <c r="O99" i="10" s="1"/>
  <c r="L85" i="10"/>
  <c r="M99" i="10" s="1"/>
  <c r="J85" i="10"/>
  <c r="K99" i="10" s="1"/>
  <c r="H85" i="10"/>
  <c r="I99" i="10" s="1"/>
  <c r="F85" i="10"/>
  <c r="G99" i="10" s="1"/>
  <c r="D85" i="10"/>
  <c r="BL84" i="10"/>
  <c r="BM98" i="10" s="1"/>
  <c r="BJ84" i="10"/>
  <c r="BK98" i="10" s="1"/>
  <c r="BH84" i="10"/>
  <c r="BI98" i="10" s="1"/>
  <c r="BF84" i="10"/>
  <c r="BG98" i="10" s="1"/>
  <c r="BD84" i="10"/>
  <c r="BE98" i="10" s="1"/>
  <c r="BB84" i="10"/>
  <c r="BC98" i="10" s="1"/>
  <c r="AZ84" i="10"/>
  <c r="BA98" i="10" s="1"/>
  <c r="AX84" i="10"/>
  <c r="AY98" i="10" s="1"/>
  <c r="AV84" i="10"/>
  <c r="AW98" i="10" s="1"/>
  <c r="AT84" i="10"/>
  <c r="AU98" i="10" s="1"/>
  <c r="AR84" i="10"/>
  <c r="AS98" i="10" s="1"/>
  <c r="AP84" i="10"/>
  <c r="AQ98" i="10" s="1"/>
  <c r="AN84" i="10"/>
  <c r="AO98" i="10" s="1"/>
  <c r="AL84" i="10"/>
  <c r="AM98" i="10" s="1"/>
  <c r="AJ84" i="10"/>
  <c r="AK98" i="10" s="1"/>
  <c r="AH84" i="10"/>
  <c r="AI98" i="10" s="1"/>
  <c r="AF84" i="10"/>
  <c r="AG98" i="10" s="1"/>
  <c r="AD84" i="10"/>
  <c r="AE98" i="10" s="1"/>
  <c r="AB84" i="10"/>
  <c r="AC98" i="10" s="1"/>
  <c r="Z84" i="10"/>
  <c r="AA98" i="10" s="1"/>
  <c r="X84" i="10"/>
  <c r="Y98" i="10" s="1"/>
  <c r="V84" i="10"/>
  <c r="W98" i="10" s="1"/>
  <c r="T84" i="10"/>
  <c r="U98" i="10" s="1"/>
  <c r="R84" i="10"/>
  <c r="S98" i="10" s="1"/>
  <c r="P84" i="10"/>
  <c r="Q98" i="10" s="1"/>
  <c r="N84" i="10"/>
  <c r="O98" i="10" s="1"/>
  <c r="L84" i="10"/>
  <c r="M98" i="10" s="1"/>
  <c r="J84" i="10"/>
  <c r="K98" i="10" s="1"/>
  <c r="H84" i="10"/>
  <c r="I98" i="10" s="1"/>
  <c r="F84" i="10"/>
  <c r="G98" i="10" s="1"/>
  <c r="D84" i="10"/>
  <c r="BL83" i="10"/>
  <c r="BM97" i="10" s="1"/>
  <c r="BJ83" i="10"/>
  <c r="BK97" i="10" s="1"/>
  <c r="BH83" i="10"/>
  <c r="BI97" i="10" s="1"/>
  <c r="BF83" i="10"/>
  <c r="BG97" i="10" s="1"/>
  <c r="BD83" i="10"/>
  <c r="BE97" i="10" s="1"/>
  <c r="BB83" i="10"/>
  <c r="BC97" i="10" s="1"/>
  <c r="AZ83" i="10"/>
  <c r="BA97" i="10" s="1"/>
  <c r="AX83" i="10"/>
  <c r="AY97" i="10" s="1"/>
  <c r="AV83" i="10"/>
  <c r="AW97" i="10" s="1"/>
  <c r="AT83" i="10"/>
  <c r="AU97" i="10" s="1"/>
  <c r="AR83" i="10"/>
  <c r="AS97" i="10" s="1"/>
  <c r="AP83" i="10"/>
  <c r="AQ97" i="10" s="1"/>
  <c r="AN83" i="10"/>
  <c r="AO97" i="10" s="1"/>
  <c r="AL83" i="10"/>
  <c r="AM97" i="10" s="1"/>
  <c r="AJ83" i="10"/>
  <c r="AK97" i="10" s="1"/>
  <c r="AH83" i="10"/>
  <c r="AI97" i="10" s="1"/>
  <c r="AF83" i="10"/>
  <c r="AG97" i="10" s="1"/>
  <c r="AD83" i="10"/>
  <c r="AE97" i="10" s="1"/>
  <c r="AB83" i="10"/>
  <c r="AC97" i="10" s="1"/>
  <c r="Z83" i="10"/>
  <c r="AA97" i="10" s="1"/>
  <c r="X83" i="10"/>
  <c r="Y97" i="10" s="1"/>
  <c r="V83" i="10"/>
  <c r="W97" i="10" s="1"/>
  <c r="T83" i="10"/>
  <c r="U97" i="10" s="1"/>
  <c r="R83" i="10"/>
  <c r="S97" i="10" s="1"/>
  <c r="P83" i="10"/>
  <c r="Q97" i="10" s="1"/>
  <c r="N83" i="10"/>
  <c r="O97" i="10" s="1"/>
  <c r="L83" i="10"/>
  <c r="M97" i="10" s="1"/>
  <c r="J83" i="10"/>
  <c r="K97" i="10" s="1"/>
  <c r="H83" i="10"/>
  <c r="I97" i="10" s="1"/>
  <c r="F83" i="10"/>
  <c r="G97" i="10" s="1"/>
  <c r="BL82" i="10"/>
  <c r="BM96" i="10" s="1"/>
  <c r="BJ82" i="10"/>
  <c r="BK96" i="10" s="1"/>
  <c r="BH82" i="10"/>
  <c r="BI96" i="10" s="1"/>
  <c r="BF82" i="10"/>
  <c r="BG96" i="10" s="1"/>
  <c r="BD82" i="10"/>
  <c r="BE96" i="10" s="1"/>
  <c r="BB82" i="10"/>
  <c r="BC96" i="10" s="1"/>
  <c r="AZ82" i="10"/>
  <c r="BA96" i="10" s="1"/>
  <c r="AX82" i="10"/>
  <c r="AY96" i="10" s="1"/>
  <c r="AV82" i="10"/>
  <c r="AW96" i="10" s="1"/>
  <c r="AT82" i="10"/>
  <c r="AU96" i="10" s="1"/>
  <c r="AR82" i="10"/>
  <c r="AS96" i="10" s="1"/>
  <c r="AP82" i="10"/>
  <c r="AQ96" i="10" s="1"/>
  <c r="AN82" i="10"/>
  <c r="AO96" i="10" s="1"/>
  <c r="AL82" i="10"/>
  <c r="AM96" i="10" s="1"/>
  <c r="AJ82" i="10"/>
  <c r="AK96" i="10" s="1"/>
  <c r="AH82" i="10"/>
  <c r="AI96" i="10" s="1"/>
  <c r="AF82" i="10"/>
  <c r="AG96" i="10" s="1"/>
  <c r="AD82" i="10"/>
  <c r="AE96" i="10" s="1"/>
  <c r="AB82" i="10"/>
  <c r="AC96" i="10" s="1"/>
  <c r="Z82" i="10"/>
  <c r="AA96" i="10" s="1"/>
  <c r="X82" i="10"/>
  <c r="Y96" i="10" s="1"/>
  <c r="V82" i="10"/>
  <c r="W96" i="10" s="1"/>
  <c r="T82" i="10"/>
  <c r="U96" i="10" s="1"/>
  <c r="R82" i="10"/>
  <c r="S96" i="10" s="1"/>
  <c r="P82" i="10"/>
  <c r="Q96" i="10" s="1"/>
  <c r="N82" i="10"/>
  <c r="O96" i="10" s="1"/>
  <c r="L82" i="10"/>
  <c r="M96" i="10" s="1"/>
  <c r="J82" i="10"/>
  <c r="K96" i="10" s="1"/>
  <c r="H82" i="10"/>
  <c r="I96" i="10" s="1"/>
  <c r="F82" i="10"/>
  <c r="G96" i="10" s="1"/>
  <c r="BL81" i="10"/>
  <c r="BM95" i="10" s="1"/>
  <c r="BJ81" i="10"/>
  <c r="BK95" i="10" s="1"/>
  <c r="BH81" i="10"/>
  <c r="BI95" i="10" s="1"/>
  <c r="BF81" i="10"/>
  <c r="BG95" i="10" s="1"/>
  <c r="BD81" i="10"/>
  <c r="BE95" i="10" s="1"/>
  <c r="BB81" i="10"/>
  <c r="BC95" i="10" s="1"/>
  <c r="AZ81" i="10"/>
  <c r="BA95" i="10" s="1"/>
  <c r="AX81" i="10"/>
  <c r="AY95" i="10" s="1"/>
  <c r="AV81" i="10"/>
  <c r="AW95" i="10" s="1"/>
  <c r="AT81" i="10"/>
  <c r="AU95" i="10" s="1"/>
  <c r="AR81" i="10"/>
  <c r="AS95" i="10" s="1"/>
  <c r="AP81" i="10"/>
  <c r="AQ95" i="10" s="1"/>
  <c r="AN81" i="10"/>
  <c r="AO95" i="10" s="1"/>
  <c r="AL81" i="10"/>
  <c r="AM95" i="10" s="1"/>
  <c r="AJ81" i="10"/>
  <c r="AK95" i="10" s="1"/>
  <c r="AH81" i="10"/>
  <c r="AI95" i="10" s="1"/>
  <c r="AF81" i="10"/>
  <c r="AG95" i="10" s="1"/>
  <c r="AD81" i="10"/>
  <c r="AE95" i="10" s="1"/>
  <c r="AB81" i="10"/>
  <c r="AC95" i="10" s="1"/>
  <c r="Z81" i="10"/>
  <c r="AA95" i="10" s="1"/>
  <c r="X81" i="10"/>
  <c r="Y95" i="10" s="1"/>
  <c r="V81" i="10"/>
  <c r="W95" i="10" s="1"/>
  <c r="T81" i="10"/>
  <c r="U95" i="10" s="1"/>
  <c r="R81" i="10"/>
  <c r="S95" i="10" s="1"/>
  <c r="P81" i="10"/>
  <c r="Q95" i="10" s="1"/>
  <c r="N81" i="10"/>
  <c r="O95" i="10" s="1"/>
  <c r="L81" i="10"/>
  <c r="M95" i="10" s="1"/>
  <c r="J81" i="10"/>
  <c r="K95" i="10" s="1"/>
  <c r="H81" i="10"/>
  <c r="I95" i="10" s="1"/>
  <c r="F81" i="10"/>
  <c r="G95" i="10" s="1"/>
  <c r="BL80" i="10"/>
  <c r="BM94" i="10" s="1"/>
  <c r="BJ80" i="10"/>
  <c r="BK94" i="10" s="1"/>
  <c r="BH80" i="10"/>
  <c r="BI94" i="10" s="1"/>
  <c r="BF80" i="10"/>
  <c r="BG94" i="10" s="1"/>
  <c r="BD80" i="10"/>
  <c r="BE94" i="10" s="1"/>
  <c r="BB80" i="10"/>
  <c r="BC94" i="10" s="1"/>
  <c r="AZ80" i="10"/>
  <c r="BA94" i="10" s="1"/>
  <c r="AX80" i="10"/>
  <c r="AY94" i="10" s="1"/>
  <c r="AV80" i="10"/>
  <c r="AW94" i="10" s="1"/>
  <c r="AT80" i="10"/>
  <c r="AU94" i="10" s="1"/>
  <c r="AR80" i="10"/>
  <c r="AS94" i="10" s="1"/>
  <c r="AP80" i="10"/>
  <c r="AQ94" i="10" s="1"/>
  <c r="AN80" i="10"/>
  <c r="AO94" i="10" s="1"/>
  <c r="AL80" i="10"/>
  <c r="AM94" i="10" s="1"/>
  <c r="AJ80" i="10"/>
  <c r="AK94" i="10" s="1"/>
  <c r="AH80" i="10"/>
  <c r="AI94" i="10" s="1"/>
  <c r="AF80" i="10"/>
  <c r="AG94" i="10" s="1"/>
  <c r="AD80" i="10"/>
  <c r="AE94" i="10" s="1"/>
  <c r="AB80" i="10"/>
  <c r="AC94" i="10" s="1"/>
  <c r="Z80" i="10"/>
  <c r="AA94" i="10" s="1"/>
  <c r="X80" i="10"/>
  <c r="Y94" i="10" s="1"/>
  <c r="V80" i="10"/>
  <c r="W94" i="10" s="1"/>
  <c r="T80" i="10"/>
  <c r="U94" i="10" s="1"/>
  <c r="R80" i="10"/>
  <c r="S94" i="10" s="1"/>
  <c r="P80" i="10"/>
  <c r="Q94" i="10" s="1"/>
  <c r="N80" i="10"/>
  <c r="O94" i="10" s="1"/>
  <c r="L80" i="10"/>
  <c r="M94" i="10" s="1"/>
  <c r="J80" i="10"/>
  <c r="K94" i="10" s="1"/>
  <c r="H80" i="10"/>
  <c r="I94" i="10" s="1"/>
  <c r="F80" i="10"/>
  <c r="G94" i="10" s="1"/>
  <c r="BL79" i="10"/>
  <c r="BM93" i="10" s="1"/>
  <c r="BJ79" i="10"/>
  <c r="BK93" i="10" s="1"/>
  <c r="BH79" i="10"/>
  <c r="BI93" i="10" s="1"/>
  <c r="BF79" i="10"/>
  <c r="BG93" i="10" s="1"/>
  <c r="BD79" i="10"/>
  <c r="BE93" i="10" s="1"/>
  <c r="BB79" i="10"/>
  <c r="BC93" i="10" s="1"/>
  <c r="AZ79" i="10"/>
  <c r="BA93" i="10" s="1"/>
  <c r="AX79" i="10"/>
  <c r="AY93" i="10" s="1"/>
  <c r="AV79" i="10"/>
  <c r="AW93" i="10" s="1"/>
  <c r="AT79" i="10"/>
  <c r="AU93" i="10" s="1"/>
  <c r="AR79" i="10"/>
  <c r="AS93" i="10" s="1"/>
  <c r="AP79" i="10"/>
  <c r="AQ93" i="10" s="1"/>
  <c r="AN79" i="10"/>
  <c r="AL79" i="10"/>
  <c r="AM93" i="10" s="1"/>
  <c r="AJ79" i="10"/>
  <c r="AK93" i="10" s="1"/>
  <c r="AH79" i="10"/>
  <c r="AI93" i="10" s="1"/>
  <c r="AF79" i="10"/>
  <c r="AG93" i="10" s="1"/>
  <c r="AD79" i="10"/>
  <c r="AE93" i="10" s="1"/>
  <c r="AB79" i="10"/>
  <c r="AC93" i="10" s="1"/>
  <c r="Z79" i="10"/>
  <c r="AA93" i="10" s="1"/>
  <c r="X79" i="10"/>
  <c r="Y93" i="10" s="1"/>
  <c r="V79" i="10"/>
  <c r="W93" i="10" s="1"/>
  <c r="T79" i="10"/>
  <c r="U93" i="10" s="1"/>
  <c r="R79" i="10"/>
  <c r="S93" i="10" s="1"/>
  <c r="P79" i="10"/>
  <c r="Q93" i="10" s="1"/>
  <c r="N79" i="10"/>
  <c r="O93" i="10" s="1"/>
  <c r="L79" i="10"/>
  <c r="M93" i="10" s="1"/>
  <c r="J79" i="10"/>
  <c r="K93" i="10" s="1"/>
  <c r="H79" i="10"/>
  <c r="I93" i="10" s="1"/>
  <c r="F79" i="10"/>
  <c r="G93" i="10" s="1"/>
  <c r="BL78" i="10"/>
  <c r="BM92" i="10" s="1"/>
  <c r="BJ78" i="10"/>
  <c r="BK92" i="10" s="1"/>
  <c r="BH78" i="10"/>
  <c r="BI92" i="10" s="1"/>
  <c r="BF78" i="10"/>
  <c r="BG92" i="10" s="1"/>
  <c r="BD78" i="10"/>
  <c r="BE92" i="10" s="1"/>
  <c r="BB78" i="10"/>
  <c r="BC92" i="10" s="1"/>
  <c r="AZ78" i="10"/>
  <c r="BA92" i="10" s="1"/>
  <c r="AX78" i="10"/>
  <c r="AV78" i="10"/>
  <c r="AW92" i="10" s="1"/>
  <c r="AT78" i="10"/>
  <c r="AU92" i="10" s="1"/>
  <c r="AR78" i="10"/>
  <c r="AS92" i="10" s="1"/>
  <c r="AP78" i="10"/>
  <c r="AQ92" i="10" s="1"/>
  <c r="AN78" i="10"/>
  <c r="AO92" i="10" s="1"/>
  <c r="AL78" i="10"/>
  <c r="AM92" i="10" s="1"/>
  <c r="AJ78" i="10"/>
  <c r="AK92" i="10" s="1"/>
  <c r="AH78" i="10"/>
  <c r="AI92" i="10" s="1"/>
  <c r="AF78" i="10"/>
  <c r="AG92" i="10" s="1"/>
  <c r="AD78" i="10"/>
  <c r="AE92" i="10" s="1"/>
  <c r="AB78" i="10"/>
  <c r="AC92" i="10" s="1"/>
  <c r="Z78" i="10"/>
  <c r="AA92" i="10" s="1"/>
  <c r="X78" i="10"/>
  <c r="Y92" i="10" s="1"/>
  <c r="V78" i="10"/>
  <c r="W92" i="10" s="1"/>
  <c r="T78" i="10"/>
  <c r="U92" i="10" s="1"/>
  <c r="R78" i="10"/>
  <c r="S92" i="10" s="1"/>
  <c r="P78" i="10"/>
  <c r="Q92" i="10" s="1"/>
  <c r="N78" i="10"/>
  <c r="O92" i="10" s="1"/>
  <c r="L78" i="10"/>
  <c r="M92" i="10" s="1"/>
  <c r="J78" i="10"/>
  <c r="K92" i="10" s="1"/>
  <c r="H78" i="10"/>
  <c r="I92" i="10" s="1"/>
  <c r="F78" i="10"/>
  <c r="G92" i="10" s="1"/>
  <c r="BL77" i="10"/>
  <c r="BM91" i="10" s="1"/>
  <c r="BJ77" i="10"/>
  <c r="BK91" i="10" s="1"/>
  <c r="BH77" i="10"/>
  <c r="BI91" i="10" s="1"/>
  <c r="BF77" i="10"/>
  <c r="BG91" i="10" s="1"/>
  <c r="BD77" i="10"/>
  <c r="BE91" i="10" s="1"/>
  <c r="BB77" i="10"/>
  <c r="BC91" i="10" s="1"/>
  <c r="AZ77" i="10"/>
  <c r="BA91" i="10" s="1"/>
  <c r="AX77" i="10"/>
  <c r="AY91" i="10" s="1"/>
  <c r="AV77" i="10"/>
  <c r="AW91" i="10" s="1"/>
  <c r="AT77" i="10"/>
  <c r="AU91" i="10" s="1"/>
  <c r="AR77" i="10"/>
  <c r="AS91" i="10" s="1"/>
  <c r="AP77" i="10"/>
  <c r="AQ91" i="10" s="1"/>
  <c r="AN77" i="10"/>
  <c r="AO91" i="10" s="1"/>
  <c r="AL77" i="10"/>
  <c r="AM91" i="10" s="1"/>
  <c r="AJ77" i="10"/>
  <c r="AK91" i="10" s="1"/>
  <c r="AH77" i="10"/>
  <c r="AI91" i="10" s="1"/>
  <c r="AF77" i="10"/>
  <c r="AG91" i="10" s="1"/>
  <c r="AD77" i="10"/>
  <c r="AE91" i="10" s="1"/>
  <c r="AB77" i="10"/>
  <c r="AC91" i="10" s="1"/>
  <c r="Z77" i="10"/>
  <c r="AA91" i="10" s="1"/>
  <c r="X77" i="10"/>
  <c r="Y91" i="10" s="1"/>
  <c r="V77" i="10"/>
  <c r="W91" i="10" s="1"/>
  <c r="T77" i="10"/>
  <c r="U91" i="10" s="1"/>
  <c r="R77" i="10"/>
  <c r="S91" i="10" s="1"/>
  <c r="P77" i="10"/>
  <c r="Q91" i="10" s="1"/>
  <c r="N77" i="10"/>
  <c r="O91" i="10" s="1"/>
  <c r="L77" i="10"/>
  <c r="M91" i="10" s="1"/>
  <c r="J77" i="10"/>
  <c r="K91" i="10" s="1"/>
  <c r="H77" i="10"/>
  <c r="I91" i="10" s="1"/>
  <c r="F77" i="10"/>
  <c r="G91" i="10" s="1"/>
  <c r="BO74" i="10"/>
  <c r="F67" i="19" s="1"/>
  <c r="BP72" i="10"/>
  <c r="BM72" i="10"/>
  <c r="BL72" i="10"/>
  <c r="BK72" i="10"/>
  <c r="BJ72" i="10"/>
  <c r="BI72" i="10"/>
  <c r="BH72" i="10"/>
  <c r="BG72" i="10"/>
  <c r="BF72" i="10"/>
  <c r="BE72" i="10"/>
  <c r="BD72" i="10"/>
  <c r="BC72" i="10"/>
  <c r="BB72" i="10"/>
  <c r="BA72" i="10"/>
  <c r="AZ72" i="10"/>
  <c r="AY72" i="10"/>
  <c r="AX72" i="10"/>
  <c r="AW72" i="10"/>
  <c r="AV72" i="10"/>
  <c r="AU72" i="10"/>
  <c r="AT72" i="10"/>
  <c r="AS72" i="10"/>
  <c r="AR72" i="10"/>
  <c r="AQ72" i="10"/>
  <c r="AP72" i="10"/>
  <c r="AO72" i="10"/>
  <c r="AN72" i="10"/>
  <c r="AM72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D72" i="10"/>
  <c r="BP71" i="10"/>
  <c r="BM71" i="10"/>
  <c r="BL71" i="10"/>
  <c r="BK71" i="10"/>
  <c r="BJ71" i="10"/>
  <c r="BI71" i="10"/>
  <c r="BH71" i="10"/>
  <c r="BG71" i="10"/>
  <c r="BF71" i="10"/>
  <c r="BE71" i="10"/>
  <c r="BD71" i="10"/>
  <c r="BC71" i="10"/>
  <c r="BB71" i="10"/>
  <c r="BA71" i="10"/>
  <c r="AZ71" i="10"/>
  <c r="AY71" i="10"/>
  <c r="AX71" i="10"/>
  <c r="AW71" i="10"/>
  <c r="AV71" i="10"/>
  <c r="AU71" i="10"/>
  <c r="AT71" i="10"/>
  <c r="AS71" i="10"/>
  <c r="AR71" i="10"/>
  <c r="AQ71" i="10"/>
  <c r="AP71" i="10"/>
  <c r="AO71" i="10"/>
  <c r="AN71" i="10"/>
  <c r="AM71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D71" i="10"/>
  <c r="BP70" i="10"/>
  <c r="BM70" i="10"/>
  <c r="BL70" i="10"/>
  <c r="BK70" i="10"/>
  <c r="BJ70" i="10"/>
  <c r="BI70" i="10"/>
  <c r="BH70" i="10"/>
  <c r="BG70" i="10"/>
  <c r="BF70" i="10"/>
  <c r="BE70" i="10"/>
  <c r="BD70" i="10"/>
  <c r="BC70" i="10"/>
  <c r="BB70" i="10"/>
  <c r="BA70" i="10"/>
  <c r="AZ70" i="10"/>
  <c r="AY70" i="10"/>
  <c r="AX70" i="10"/>
  <c r="AW70" i="10"/>
  <c r="AV70" i="10"/>
  <c r="AU70" i="10"/>
  <c r="AT70" i="10"/>
  <c r="AS70" i="10"/>
  <c r="AR70" i="10"/>
  <c r="AQ70" i="10"/>
  <c r="AP70" i="10"/>
  <c r="AO70" i="10"/>
  <c r="AN70" i="10"/>
  <c r="AM70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D70" i="10"/>
  <c r="BP69" i="10"/>
  <c r="BM69" i="10"/>
  <c r="BL69" i="10"/>
  <c r="BK69" i="10"/>
  <c r="BJ69" i="10"/>
  <c r="BI69" i="10"/>
  <c r="BH69" i="10"/>
  <c r="BG69" i="10"/>
  <c r="BF69" i="10"/>
  <c r="BE69" i="10"/>
  <c r="BD69" i="10"/>
  <c r="BC69" i="10"/>
  <c r="BB69" i="10"/>
  <c r="BA69" i="10"/>
  <c r="AZ69" i="10"/>
  <c r="AY69" i="10"/>
  <c r="AX69" i="10"/>
  <c r="AW69" i="10"/>
  <c r="AV69" i="10"/>
  <c r="AU69" i="10"/>
  <c r="AT69" i="10"/>
  <c r="AS69" i="10"/>
  <c r="AR69" i="10"/>
  <c r="AQ69" i="10"/>
  <c r="AP69" i="10"/>
  <c r="AO69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D69" i="10"/>
  <c r="BP68" i="10"/>
  <c r="BM68" i="10"/>
  <c r="BL68" i="10"/>
  <c r="BK68" i="10"/>
  <c r="BJ68" i="10"/>
  <c r="BI68" i="10"/>
  <c r="BH68" i="10"/>
  <c r="BG68" i="10"/>
  <c r="BF68" i="10"/>
  <c r="BE68" i="10"/>
  <c r="BD68" i="10"/>
  <c r="BC68" i="10"/>
  <c r="BB68" i="10"/>
  <c r="BA68" i="10"/>
  <c r="AZ68" i="10"/>
  <c r="AY68" i="10"/>
  <c r="AX68" i="10"/>
  <c r="AW68" i="10"/>
  <c r="AV68" i="10"/>
  <c r="AU68" i="10"/>
  <c r="AT68" i="10"/>
  <c r="AS68" i="10"/>
  <c r="AR68" i="10"/>
  <c r="AQ68" i="10"/>
  <c r="AP68" i="10"/>
  <c r="AO68" i="10"/>
  <c r="AN68" i="10"/>
  <c r="AM68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D68" i="10"/>
  <c r="BP66" i="10"/>
  <c r="BL66" i="10"/>
  <c r="BJ66" i="10"/>
  <c r="BH66" i="10"/>
  <c r="BF66" i="10"/>
  <c r="BD66" i="10"/>
  <c r="BB66" i="10"/>
  <c r="AZ66" i="10"/>
  <c r="AX66" i="10"/>
  <c r="AV66" i="10"/>
  <c r="AT66" i="10"/>
  <c r="AR66" i="10"/>
  <c r="AP66" i="10"/>
  <c r="AN66" i="10"/>
  <c r="AL66" i="10"/>
  <c r="AJ66" i="10"/>
  <c r="AH66" i="10"/>
  <c r="AF66" i="10"/>
  <c r="AD66" i="10"/>
  <c r="AB66" i="10"/>
  <c r="Z66" i="10"/>
  <c r="X66" i="10"/>
  <c r="V66" i="10"/>
  <c r="T66" i="10"/>
  <c r="R66" i="10"/>
  <c r="P66" i="10"/>
  <c r="N66" i="10"/>
  <c r="L66" i="10"/>
  <c r="J66" i="10"/>
  <c r="H66" i="10"/>
  <c r="F66" i="10"/>
  <c r="BP65" i="10"/>
  <c r="BL65" i="10"/>
  <c r="BJ65" i="10"/>
  <c r="BH65" i="10"/>
  <c r="BF65" i="10"/>
  <c r="BD65" i="10"/>
  <c r="BB65" i="10"/>
  <c r="AZ65" i="10"/>
  <c r="AX65" i="10"/>
  <c r="AV65" i="10"/>
  <c r="AT65" i="10"/>
  <c r="AR65" i="10"/>
  <c r="AP65" i="10"/>
  <c r="AN65" i="10"/>
  <c r="AL65" i="10"/>
  <c r="AJ65" i="10"/>
  <c r="AH65" i="10"/>
  <c r="AF65" i="10"/>
  <c r="AD65" i="10"/>
  <c r="AB65" i="10"/>
  <c r="Z65" i="10"/>
  <c r="X65" i="10"/>
  <c r="V65" i="10"/>
  <c r="T65" i="10"/>
  <c r="R65" i="10"/>
  <c r="P65" i="10"/>
  <c r="N65" i="10"/>
  <c r="L65" i="10"/>
  <c r="J65" i="10"/>
  <c r="H65" i="10"/>
  <c r="F65" i="10"/>
  <c r="BL64" i="10"/>
  <c r="BJ64" i="10"/>
  <c r="BH64" i="10"/>
  <c r="BF64" i="10"/>
  <c r="BD64" i="10"/>
  <c r="BB64" i="10"/>
  <c r="AZ64" i="10"/>
  <c r="AX64" i="10"/>
  <c r="AV64" i="10"/>
  <c r="AT64" i="10"/>
  <c r="AR64" i="10"/>
  <c r="AP64" i="10"/>
  <c r="AN64" i="10"/>
  <c r="AL64" i="10"/>
  <c r="AJ64" i="10"/>
  <c r="AH64" i="10"/>
  <c r="AF64" i="10"/>
  <c r="AD64" i="10"/>
  <c r="AB64" i="10"/>
  <c r="Z64" i="10"/>
  <c r="X64" i="10"/>
  <c r="V64" i="10"/>
  <c r="T64" i="10"/>
  <c r="R64" i="10"/>
  <c r="P64" i="10"/>
  <c r="N64" i="10"/>
  <c r="L64" i="10"/>
  <c r="J64" i="10"/>
  <c r="H64" i="10"/>
  <c r="F64" i="10"/>
  <c r="D64" i="10"/>
  <c r="B64" i="10"/>
  <c r="BL63" i="10"/>
  <c r="BJ63" i="10"/>
  <c r="BH63" i="10"/>
  <c r="BF63" i="10"/>
  <c r="BD63" i="10"/>
  <c r="BB63" i="10"/>
  <c r="AZ63" i="10"/>
  <c r="AX63" i="10"/>
  <c r="AV63" i="10"/>
  <c r="AT63" i="10"/>
  <c r="AR63" i="10"/>
  <c r="AP63" i="10"/>
  <c r="AN63" i="10"/>
  <c r="AL63" i="10"/>
  <c r="AJ63" i="10"/>
  <c r="AH63" i="10"/>
  <c r="AF63" i="10"/>
  <c r="AD63" i="10"/>
  <c r="AB63" i="10"/>
  <c r="Z63" i="10"/>
  <c r="X63" i="10"/>
  <c r="V63" i="10"/>
  <c r="T63" i="10"/>
  <c r="R63" i="10"/>
  <c r="P63" i="10"/>
  <c r="N63" i="10"/>
  <c r="L63" i="10"/>
  <c r="J63" i="10"/>
  <c r="H63" i="10"/>
  <c r="F63" i="10"/>
  <c r="B63" i="10"/>
  <c r="BL62" i="10"/>
  <c r="BJ62" i="10"/>
  <c r="BH62" i="10"/>
  <c r="BF62" i="10"/>
  <c r="BD62" i="10"/>
  <c r="BB62" i="10"/>
  <c r="AZ62" i="10"/>
  <c r="AX62" i="10"/>
  <c r="AV62" i="10"/>
  <c r="AT62" i="10"/>
  <c r="AR62" i="10"/>
  <c r="AP62" i="10"/>
  <c r="AN62" i="10"/>
  <c r="AL62" i="10"/>
  <c r="AJ62" i="10"/>
  <c r="AH62" i="10"/>
  <c r="AF62" i="10"/>
  <c r="AD62" i="10"/>
  <c r="AB62" i="10"/>
  <c r="Z62" i="10"/>
  <c r="X62" i="10"/>
  <c r="V62" i="10"/>
  <c r="T62" i="10"/>
  <c r="R62" i="10"/>
  <c r="P62" i="10"/>
  <c r="N62" i="10"/>
  <c r="L62" i="10"/>
  <c r="J62" i="10"/>
  <c r="H62" i="10"/>
  <c r="F62" i="10"/>
  <c r="BM59" i="10"/>
  <c r="BQ59" i="10" s="1"/>
  <c r="BQ7" i="10" s="1"/>
  <c r="BK59" i="10"/>
  <c r="BK7" i="10" s="1"/>
  <c r="BI59" i="10"/>
  <c r="BI7" i="10" s="1"/>
  <c r="BG59" i="10"/>
  <c r="BG7" i="10" s="1"/>
  <c r="BE59" i="10"/>
  <c r="BE7" i="10" s="1"/>
  <c r="BC59" i="10"/>
  <c r="BC7" i="10" s="1"/>
  <c r="BA59" i="10"/>
  <c r="BA7" i="10" s="1"/>
  <c r="AY59" i="10"/>
  <c r="AY7" i="10" s="1"/>
  <c r="AW59" i="10"/>
  <c r="AW7" i="10" s="1"/>
  <c r="AU59" i="10"/>
  <c r="AU7" i="10" s="1"/>
  <c r="AS59" i="10"/>
  <c r="AS7" i="10" s="1"/>
  <c r="AQ59" i="10"/>
  <c r="AQ7" i="10" s="1"/>
  <c r="AO59" i="10"/>
  <c r="AM59" i="10"/>
  <c r="AM7" i="10" s="1"/>
  <c r="AK59" i="10"/>
  <c r="AI59" i="10"/>
  <c r="AI7" i="10" s="1"/>
  <c r="AG59" i="10"/>
  <c r="AE59" i="10"/>
  <c r="AC59" i="10"/>
  <c r="AC7" i="10" s="1"/>
  <c r="AA59" i="10"/>
  <c r="AA7" i="10" s="1"/>
  <c r="Y59" i="10"/>
  <c r="Y7" i="10" s="1"/>
  <c r="W59" i="10"/>
  <c r="W7" i="10" s="1"/>
  <c r="U59" i="10"/>
  <c r="U7" i="10" s="1"/>
  <c r="S59" i="10"/>
  <c r="S7" i="10" s="1"/>
  <c r="Q59" i="10"/>
  <c r="Q7" i="10" s="1"/>
  <c r="O59" i="10"/>
  <c r="O7" i="10" s="1"/>
  <c r="M59" i="10"/>
  <c r="M7" i="10" s="1"/>
  <c r="K59" i="10"/>
  <c r="I59" i="10"/>
  <c r="I7" i="10" s="1"/>
  <c r="G59" i="10"/>
  <c r="G7" i="10" s="1"/>
  <c r="E59" i="10"/>
  <c r="E7" i="10" s="1"/>
  <c r="BM57" i="10"/>
  <c r="BM75" i="10" s="1"/>
  <c r="BM11" i="10" s="1"/>
  <c r="BK57" i="10"/>
  <c r="BK75" i="10" s="1"/>
  <c r="BK11" i="10" s="1"/>
  <c r="BI57" i="10"/>
  <c r="BI75" i="10" s="1"/>
  <c r="BI11" i="10" s="1"/>
  <c r="BG57" i="10"/>
  <c r="BG75" i="10" s="1"/>
  <c r="BG11" i="10" s="1"/>
  <c r="BE57" i="10"/>
  <c r="BE75" i="10" s="1"/>
  <c r="BE11" i="10" s="1"/>
  <c r="BC57" i="10"/>
  <c r="BC75" i="10" s="1"/>
  <c r="BC11" i="10" s="1"/>
  <c r="BA57" i="10"/>
  <c r="BA75" i="10" s="1"/>
  <c r="BA11" i="10" s="1"/>
  <c r="AY57" i="10"/>
  <c r="AY75" i="10" s="1"/>
  <c r="AY11" i="10" s="1"/>
  <c r="AW57" i="10"/>
  <c r="AW75" i="10" s="1"/>
  <c r="AW11" i="10" s="1"/>
  <c r="AU57" i="10"/>
  <c r="AU75" i="10" s="1"/>
  <c r="AU11" i="10" s="1"/>
  <c r="AQ57" i="10"/>
  <c r="AQ75" i="10" s="1"/>
  <c r="AQ11" i="10" s="1"/>
  <c r="AO57" i="10"/>
  <c r="AO75" i="10" s="1"/>
  <c r="AO11" i="10" s="1"/>
  <c r="AM57" i="10"/>
  <c r="AM75" i="10" s="1"/>
  <c r="AM11" i="10" s="1"/>
  <c r="AK57" i="10"/>
  <c r="AK75" i="10" s="1"/>
  <c r="AK11" i="10" s="1"/>
  <c r="AI57" i="10"/>
  <c r="AI75" i="10" s="1"/>
  <c r="AI11" i="10" s="1"/>
  <c r="AG57" i="10"/>
  <c r="AG75" i="10" s="1"/>
  <c r="AG11" i="10" s="1"/>
  <c r="AE57" i="10"/>
  <c r="AE75" i="10" s="1"/>
  <c r="AE11" i="10" s="1"/>
  <c r="AC57" i="10"/>
  <c r="AC75" i="10" s="1"/>
  <c r="AC11" i="10" s="1"/>
  <c r="AA57" i="10"/>
  <c r="AA75" i="10" s="1"/>
  <c r="AA11" i="10" s="1"/>
  <c r="Y57" i="10"/>
  <c r="Y75" i="10" s="1"/>
  <c r="Y11" i="10" s="1"/>
  <c r="U57" i="10"/>
  <c r="U75" i="10" s="1"/>
  <c r="U11" i="10" s="1"/>
  <c r="S57" i="10"/>
  <c r="S75" i="10" s="1"/>
  <c r="S11" i="10" s="1"/>
  <c r="Q57" i="10"/>
  <c r="Q75" i="10" s="1"/>
  <c r="Q11" i="10" s="1"/>
  <c r="O57" i="10"/>
  <c r="O75" i="10" s="1"/>
  <c r="O11" i="10" s="1"/>
  <c r="M57" i="10"/>
  <c r="M75" i="10" s="1"/>
  <c r="M11" i="10" s="1"/>
  <c r="K57" i="10"/>
  <c r="K75" i="10" s="1"/>
  <c r="K11" i="10" s="1"/>
  <c r="I57" i="10"/>
  <c r="I75" i="10" s="1"/>
  <c r="I11" i="10" s="1"/>
  <c r="G57" i="10"/>
  <c r="G75" i="10" s="1"/>
  <c r="G11" i="10" s="1"/>
  <c r="E57" i="10"/>
  <c r="E75" i="10" s="1"/>
  <c r="AS57" i="10"/>
  <c r="AS75" i="10" s="1"/>
  <c r="AS11" i="10" s="1"/>
  <c r="BO55" i="10"/>
  <c r="F49" i="19" s="1"/>
  <c r="BO53" i="10"/>
  <c r="F47" i="19" s="1"/>
  <c r="BO52" i="10"/>
  <c r="F46" i="19" s="1"/>
  <c r="BO51" i="10"/>
  <c r="F45" i="19" s="1"/>
  <c r="BM49" i="10"/>
  <c r="BQ49" i="10" s="1"/>
  <c r="BK49" i="10"/>
  <c r="BI49" i="10"/>
  <c r="BG49" i="10"/>
  <c r="BE49" i="10"/>
  <c r="BC49" i="10"/>
  <c r="BA49" i="10"/>
  <c r="AY49" i="10"/>
  <c r="AW49" i="10"/>
  <c r="AU49" i="10"/>
  <c r="AS49" i="10"/>
  <c r="AQ49" i="10"/>
  <c r="AO49" i="10"/>
  <c r="AM49" i="10"/>
  <c r="AK49" i="10"/>
  <c r="AI49" i="10"/>
  <c r="AG49" i="10"/>
  <c r="AE49" i="10"/>
  <c r="AC49" i="10"/>
  <c r="AA49" i="10"/>
  <c r="Y49" i="10"/>
  <c r="W49" i="10"/>
  <c r="U49" i="10"/>
  <c r="S49" i="10"/>
  <c r="Q49" i="10"/>
  <c r="O49" i="10"/>
  <c r="M49" i="10"/>
  <c r="K49" i="10"/>
  <c r="I49" i="10"/>
  <c r="G49" i="10"/>
  <c r="E49" i="10"/>
  <c r="BO48" i="10"/>
  <c r="F42" i="19" s="1"/>
  <c r="BO47" i="10"/>
  <c r="F41" i="19" s="1"/>
  <c r="BO46" i="10"/>
  <c r="F40" i="19" s="1"/>
  <c r="BO45" i="10"/>
  <c r="F39" i="19" s="1"/>
  <c r="BO44" i="10"/>
  <c r="F38" i="19" s="1"/>
  <c r="BO43" i="10"/>
  <c r="F37" i="19" s="1"/>
  <c r="BM42" i="10"/>
  <c r="BQ42" i="10" s="1"/>
  <c r="BK42" i="10"/>
  <c r="BI42" i="10"/>
  <c r="BG42" i="10"/>
  <c r="BE42" i="10"/>
  <c r="BC42" i="10"/>
  <c r="BA42" i="10"/>
  <c r="AY42" i="10"/>
  <c r="AW42" i="10"/>
  <c r="AW50" i="10" s="1"/>
  <c r="AU42" i="10"/>
  <c r="AS42" i="10"/>
  <c r="AQ42" i="10"/>
  <c r="AO42" i="10"/>
  <c r="AM42" i="10"/>
  <c r="AK42" i="10"/>
  <c r="AI42" i="10"/>
  <c r="AE42" i="10"/>
  <c r="AE50" i="10" s="1"/>
  <c r="AC42" i="10"/>
  <c r="Y42" i="10"/>
  <c r="Y50" i="10" s="1"/>
  <c r="W42" i="10"/>
  <c r="U42" i="10"/>
  <c r="S42" i="10"/>
  <c r="Q42" i="10"/>
  <c r="M42" i="10"/>
  <c r="K42" i="10"/>
  <c r="I42" i="10"/>
  <c r="G42" i="10"/>
  <c r="E42" i="10"/>
  <c r="BO41" i="10"/>
  <c r="F35" i="19" s="1"/>
  <c r="BO40" i="10"/>
  <c r="F34" i="19" s="1"/>
  <c r="BO39" i="10"/>
  <c r="F33" i="19" s="1"/>
  <c r="BO38" i="10"/>
  <c r="F32" i="19" s="1"/>
  <c r="BO37" i="10"/>
  <c r="F31" i="19" s="1"/>
  <c r="BO36" i="10"/>
  <c r="F30" i="19" s="1"/>
  <c r="AG42" i="10"/>
  <c r="AA42" i="10"/>
  <c r="O42" i="10"/>
  <c r="BO35" i="10"/>
  <c r="F29" i="19" s="1"/>
  <c r="BO33" i="10"/>
  <c r="F27" i="19" s="1"/>
  <c r="BO32" i="10"/>
  <c r="F26" i="19" s="1"/>
  <c r="BK31" i="10"/>
  <c r="BI31" i="10"/>
  <c r="BG31" i="10"/>
  <c r="BE31" i="10"/>
  <c r="BC31" i="10"/>
  <c r="BA31" i="10"/>
  <c r="AM31" i="10"/>
  <c r="AK31" i="10"/>
  <c r="AI31" i="10"/>
  <c r="AG31" i="10"/>
  <c r="AE31" i="10"/>
  <c r="AC31" i="10"/>
  <c r="O31" i="10"/>
  <c r="K31" i="10"/>
  <c r="I31" i="10"/>
  <c r="G31" i="10"/>
  <c r="E31" i="10"/>
  <c r="BM30" i="10"/>
  <c r="BM31" i="10" s="1"/>
  <c r="BK30" i="10"/>
  <c r="BI30" i="10"/>
  <c r="BG30" i="10"/>
  <c r="BE30" i="10"/>
  <c r="BC30" i="10"/>
  <c r="BA30" i="10"/>
  <c r="AY30" i="10"/>
  <c r="AY31" i="10" s="1"/>
  <c r="AW30" i="10"/>
  <c r="AW31" i="10" s="1"/>
  <c r="AU30" i="10"/>
  <c r="AU31" i="10" s="1"/>
  <c r="AS30" i="10"/>
  <c r="AS31" i="10" s="1"/>
  <c r="AQ30" i="10"/>
  <c r="AQ31" i="10" s="1"/>
  <c r="AO30" i="10"/>
  <c r="AO31" i="10" s="1"/>
  <c r="AM30" i="10"/>
  <c r="AK30" i="10"/>
  <c r="AI30" i="10"/>
  <c r="AG30" i="10"/>
  <c r="AE30" i="10"/>
  <c r="AC30" i="10"/>
  <c r="AA30" i="10"/>
  <c r="AA31" i="10" s="1"/>
  <c r="Y30" i="10"/>
  <c r="Y31" i="10" s="1"/>
  <c r="W30" i="10"/>
  <c r="W31" i="10" s="1"/>
  <c r="U30" i="10"/>
  <c r="U31" i="10" s="1"/>
  <c r="S30" i="10"/>
  <c r="S31" i="10" s="1"/>
  <c r="Q30" i="10"/>
  <c r="Q31" i="10" s="1"/>
  <c r="O30" i="10"/>
  <c r="M30" i="10"/>
  <c r="M31" i="10" s="1"/>
  <c r="K30" i="10"/>
  <c r="I30" i="10"/>
  <c r="G30" i="10"/>
  <c r="BO29" i="10"/>
  <c r="F23" i="19" s="1"/>
  <c r="BO28" i="10"/>
  <c r="F22" i="19" s="1"/>
  <c r="BO27" i="10"/>
  <c r="F21" i="19" s="1"/>
  <c r="BO26" i="10"/>
  <c r="F20" i="19" s="1"/>
  <c r="BO25" i="10"/>
  <c r="F19" i="19" s="1"/>
  <c r="BO24" i="10"/>
  <c r="F18" i="19" s="1"/>
  <c r="BO23" i="10"/>
  <c r="F17" i="19" s="1"/>
  <c r="BM22" i="10"/>
  <c r="BQ22" i="10" s="1"/>
  <c r="BK22" i="10"/>
  <c r="BA22" i="10"/>
  <c r="AY22" i="10"/>
  <c r="AS22" i="10"/>
  <c r="AO22" i="10"/>
  <c r="AG22" i="10"/>
  <c r="AE22" i="10"/>
  <c r="AA22" i="10"/>
  <c r="Q22" i="10"/>
  <c r="O22" i="10"/>
  <c r="M22" i="10"/>
  <c r="K22" i="10"/>
  <c r="I22" i="10"/>
  <c r="G22" i="10"/>
  <c r="E22" i="10"/>
  <c r="BI22" i="10"/>
  <c r="BG22" i="10"/>
  <c r="BE22" i="10"/>
  <c r="BC22" i="10"/>
  <c r="AW22" i="10"/>
  <c r="AU22" i="10"/>
  <c r="AQ22" i="10"/>
  <c r="AM22" i="10"/>
  <c r="AK22" i="10"/>
  <c r="AI22" i="10"/>
  <c r="AC22" i="10"/>
  <c r="Y22" i="10"/>
  <c r="Y54" i="10" s="1"/>
  <c r="W22" i="10"/>
  <c r="U22" i="10"/>
  <c r="S22" i="10"/>
  <c r="BO20" i="10"/>
  <c r="F14" i="19" s="1"/>
  <c r="BO19" i="10"/>
  <c r="F13" i="19" s="1"/>
  <c r="BO18" i="10"/>
  <c r="F12" i="19" s="1"/>
  <c r="BO17" i="10"/>
  <c r="F11" i="19" s="1"/>
  <c r="AL11" i="10"/>
  <c r="AJ11" i="10"/>
  <c r="AH11" i="10"/>
  <c r="AF11" i="10"/>
  <c r="AD11" i="10"/>
  <c r="AB11" i="10"/>
  <c r="Z11" i="10"/>
  <c r="X11" i="10"/>
  <c r="BM7" i="10"/>
  <c r="AO7" i="10"/>
  <c r="AK7" i="10"/>
  <c r="AG7" i="10"/>
  <c r="AE7" i="10"/>
  <c r="K7" i="10"/>
  <c r="BP6" i="10"/>
  <c r="BL6" i="10"/>
  <c r="BL5" i="10" s="1"/>
  <c r="BJ6" i="10"/>
  <c r="BJ5" i="10" s="1"/>
  <c r="BH6" i="10"/>
  <c r="BH5" i="10" s="1"/>
  <c r="BF6" i="10"/>
  <c r="BF5" i="10" s="1"/>
  <c r="BD6" i="10"/>
  <c r="BB6" i="10"/>
  <c r="AZ6" i="10"/>
  <c r="AX6" i="10"/>
  <c r="AV6" i="10"/>
  <c r="AT6" i="10"/>
  <c r="AR6" i="10"/>
  <c r="AR5" i="10" s="1"/>
  <c r="AP6" i="10"/>
  <c r="AP5" i="10" s="1"/>
  <c r="AN6" i="10"/>
  <c r="AN5" i="10" s="1"/>
  <c r="AL6" i="10"/>
  <c r="AL5" i="10" s="1"/>
  <c r="AJ6" i="10"/>
  <c r="AJ5" i="10" s="1"/>
  <c r="AH6" i="10"/>
  <c r="AH5" i="10" s="1"/>
  <c r="AF6" i="10"/>
  <c r="AD6" i="10"/>
  <c r="AB6" i="10"/>
  <c r="AB5" i="10" s="1"/>
  <c r="Z6" i="10"/>
  <c r="X6" i="10"/>
  <c r="X5" i="10" s="1"/>
  <c r="V6" i="10"/>
  <c r="T6" i="10"/>
  <c r="R6" i="10"/>
  <c r="P6" i="10"/>
  <c r="P5" i="10" s="1"/>
  <c r="N6" i="10"/>
  <c r="L6" i="10"/>
  <c r="L5" i="10" s="1"/>
  <c r="J6" i="10"/>
  <c r="J5" i="10" s="1"/>
  <c r="H6" i="10"/>
  <c r="F6" i="10"/>
  <c r="D6" i="10"/>
  <c r="D5" i="10" s="1"/>
  <c r="V5" i="10"/>
  <c r="R5" i="10"/>
  <c r="N5" i="10"/>
  <c r="A5" i="10"/>
  <c r="A1" i="10"/>
  <c r="BQ13" i="9"/>
  <c r="BQ14" i="9"/>
  <c r="BQ15" i="9"/>
  <c r="BQ17" i="9"/>
  <c r="BQ21" i="9"/>
  <c r="BQ25" i="9"/>
  <c r="BQ26" i="9"/>
  <c r="BQ27" i="9"/>
  <c r="BQ28" i="9"/>
  <c r="BQ32" i="9"/>
  <c r="BQ33" i="9"/>
  <c r="BQ34" i="9"/>
  <c r="BQ36" i="9"/>
  <c r="BQ38" i="9"/>
  <c r="BQ39" i="9"/>
  <c r="BQ43" i="9"/>
  <c r="BQ55" i="9"/>
  <c r="BQ56" i="9"/>
  <c r="BQ62" i="9"/>
  <c r="BP62" i="9" s="1"/>
  <c r="BQ63" i="9"/>
  <c r="BP63" i="9" s="1"/>
  <c r="BQ64" i="9"/>
  <c r="BP64" i="9" s="1"/>
  <c r="BQ65" i="9"/>
  <c r="BP65" i="9" s="1"/>
  <c r="BQ66" i="9"/>
  <c r="BP66" i="9" s="1"/>
  <c r="BQ74" i="9"/>
  <c r="BQ77" i="9"/>
  <c r="BP77" i="9" s="1"/>
  <c r="BQ91" i="9" s="1"/>
  <c r="BQ103" i="9" s="1"/>
  <c r="BQ78" i="9"/>
  <c r="BQ79" i="9"/>
  <c r="BQ80" i="9"/>
  <c r="BQ81" i="9"/>
  <c r="BP81" i="9" s="1"/>
  <c r="BQ95" i="9" s="1"/>
  <c r="BQ82" i="9"/>
  <c r="BQ83" i="9"/>
  <c r="BQ71" i="9" s="1"/>
  <c r="BQ84" i="9"/>
  <c r="BP84" i="9" s="1"/>
  <c r="BQ98" i="9" s="1"/>
  <c r="BQ85" i="9"/>
  <c r="BP85" i="9" s="1"/>
  <c r="BQ99" i="9" s="1"/>
  <c r="BQ86" i="9"/>
  <c r="BP86" i="9" s="1"/>
  <c r="BQ100" i="9" s="1"/>
  <c r="BQ87" i="9"/>
  <c r="BP87" i="9" s="1"/>
  <c r="BQ101" i="9" s="1"/>
  <c r="BQ88" i="9"/>
  <c r="C13" i="9"/>
  <c r="C14" i="9"/>
  <c r="C15" i="9"/>
  <c r="C17" i="9"/>
  <c r="C21" i="9"/>
  <c r="C25" i="9"/>
  <c r="C26" i="9"/>
  <c r="C27" i="9"/>
  <c r="C28" i="9"/>
  <c r="E30" i="9" s="1"/>
  <c r="E31" i="9" s="1"/>
  <c r="C32" i="9"/>
  <c r="C33" i="9"/>
  <c r="C34" i="9"/>
  <c r="C36" i="9"/>
  <c r="C38" i="9"/>
  <c r="C39" i="9"/>
  <c r="C43" i="9"/>
  <c r="C55" i="9"/>
  <c r="C56" i="9"/>
  <c r="C62" i="9"/>
  <c r="D62" i="9" s="1"/>
  <c r="C63" i="9"/>
  <c r="D63" i="9" s="1"/>
  <c r="C64" i="9"/>
  <c r="D64" i="9" s="1"/>
  <c r="C65" i="9"/>
  <c r="D65" i="9" s="1"/>
  <c r="C66" i="9"/>
  <c r="C74" i="9"/>
  <c r="C77" i="9"/>
  <c r="C78" i="9"/>
  <c r="D78" i="9" s="1"/>
  <c r="E92" i="9" s="1"/>
  <c r="C79" i="9"/>
  <c r="D79" i="9" s="1"/>
  <c r="E93" i="9" s="1"/>
  <c r="C80" i="9"/>
  <c r="C81" i="9"/>
  <c r="C82" i="9"/>
  <c r="D82" i="9" s="1"/>
  <c r="E96" i="9" s="1"/>
  <c r="C83" i="9"/>
  <c r="D83" i="9" s="1"/>
  <c r="E97" i="9" s="1"/>
  <c r="C84" i="9"/>
  <c r="D84" i="9" s="1"/>
  <c r="E98" i="9" s="1"/>
  <c r="C85" i="9"/>
  <c r="D85" i="9" s="1"/>
  <c r="C86" i="9"/>
  <c r="C87" i="9"/>
  <c r="D87" i="9" s="1"/>
  <c r="E101" i="9" s="1"/>
  <c r="C88" i="9"/>
  <c r="BO120" i="9"/>
  <c r="E108" i="19" s="1"/>
  <c r="BO119" i="9"/>
  <c r="E107" i="19" s="1"/>
  <c r="BO118" i="9"/>
  <c r="E106" i="19" s="1"/>
  <c r="BO117" i="9"/>
  <c r="E105" i="19" s="1"/>
  <c r="BO116" i="9"/>
  <c r="E104" i="19" s="1"/>
  <c r="BO115" i="9"/>
  <c r="E103" i="19" s="1"/>
  <c r="BO114" i="9"/>
  <c r="E102" i="19" s="1"/>
  <c r="BO113" i="9"/>
  <c r="E101" i="19" s="1"/>
  <c r="BO112" i="9"/>
  <c r="E100" i="19" s="1"/>
  <c r="BO111" i="9"/>
  <c r="E99" i="19" s="1"/>
  <c r="BO110" i="9"/>
  <c r="E98" i="19" s="1"/>
  <c r="BO109" i="9"/>
  <c r="E97" i="19" s="1"/>
  <c r="BO108" i="9"/>
  <c r="E96" i="19" s="1"/>
  <c r="BO107" i="9"/>
  <c r="E95" i="19" s="1"/>
  <c r="BO106" i="9"/>
  <c r="E94" i="19" s="1"/>
  <c r="BP104" i="9"/>
  <c r="BJ104" i="9"/>
  <c r="BH104" i="9"/>
  <c r="BF104" i="9"/>
  <c r="BD104" i="9"/>
  <c r="BB104" i="9"/>
  <c r="AZ104" i="9"/>
  <c r="AX104" i="9"/>
  <c r="AV104" i="9"/>
  <c r="AT104" i="9"/>
  <c r="AR104" i="9"/>
  <c r="AP104" i="9"/>
  <c r="AN104" i="9"/>
  <c r="AL104" i="9"/>
  <c r="AJ104" i="9"/>
  <c r="AH104" i="9"/>
  <c r="AF104" i="9"/>
  <c r="AD104" i="9"/>
  <c r="AB104" i="9"/>
  <c r="Z104" i="9"/>
  <c r="X104" i="9"/>
  <c r="V104" i="9"/>
  <c r="T104" i="9"/>
  <c r="R104" i="9"/>
  <c r="P104" i="9"/>
  <c r="N104" i="9"/>
  <c r="L104" i="9"/>
  <c r="J104" i="9"/>
  <c r="H104" i="9"/>
  <c r="F104" i="9"/>
  <c r="D104" i="9"/>
  <c r="BP103" i="9"/>
  <c r="BJ103" i="9"/>
  <c r="BH103" i="9"/>
  <c r="BF103" i="9"/>
  <c r="BD103" i="9"/>
  <c r="BB103" i="9"/>
  <c r="AZ103" i="9"/>
  <c r="AX103" i="9"/>
  <c r="AV103" i="9"/>
  <c r="AT103" i="9"/>
  <c r="AR103" i="9"/>
  <c r="AP103" i="9"/>
  <c r="AN103" i="9"/>
  <c r="AL103" i="9"/>
  <c r="AJ103" i="9"/>
  <c r="AH103" i="9"/>
  <c r="AF103" i="9"/>
  <c r="AD103" i="9"/>
  <c r="AB103" i="9"/>
  <c r="Z103" i="9"/>
  <c r="X103" i="9"/>
  <c r="V103" i="9"/>
  <c r="T103" i="9"/>
  <c r="R103" i="9"/>
  <c r="P103" i="9"/>
  <c r="N103" i="9"/>
  <c r="L103" i="9"/>
  <c r="J103" i="9"/>
  <c r="H103" i="9"/>
  <c r="F103" i="9"/>
  <c r="D103" i="9"/>
  <c r="M99" i="9"/>
  <c r="I99" i="9"/>
  <c r="AE96" i="9"/>
  <c r="AA93" i="9"/>
  <c r="BP89" i="9"/>
  <c r="BJ89" i="9"/>
  <c r="BH89" i="9"/>
  <c r="BF89" i="9"/>
  <c r="BD89" i="9"/>
  <c r="BB89" i="9"/>
  <c r="AZ89" i="9"/>
  <c r="AX89" i="9"/>
  <c r="AV89" i="9"/>
  <c r="AT89" i="9"/>
  <c r="AR89" i="9"/>
  <c r="AP89" i="9"/>
  <c r="AN89" i="9"/>
  <c r="AL89" i="9"/>
  <c r="AJ89" i="9"/>
  <c r="AH89" i="9"/>
  <c r="AF89" i="9"/>
  <c r="AD89" i="9"/>
  <c r="AB89" i="9"/>
  <c r="Z89" i="9"/>
  <c r="X89" i="9"/>
  <c r="V89" i="9"/>
  <c r="T89" i="9"/>
  <c r="R89" i="9"/>
  <c r="P89" i="9"/>
  <c r="N89" i="9"/>
  <c r="L89" i="9"/>
  <c r="J89" i="9"/>
  <c r="H89" i="9"/>
  <c r="F89" i="9"/>
  <c r="D89" i="9"/>
  <c r="BJ88" i="9"/>
  <c r="BK102" i="9" s="1"/>
  <c r="BH88" i="9"/>
  <c r="BI102" i="9" s="1"/>
  <c r="BF88" i="9"/>
  <c r="BG102" i="9" s="1"/>
  <c r="BD88" i="9"/>
  <c r="BE102" i="9" s="1"/>
  <c r="BB88" i="9"/>
  <c r="BC102" i="9" s="1"/>
  <c r="AZ88" i="9"/>
  <c r="BA102" i="9" s="1"/>
  <c r="AX88" i="9"/>
  <c r="AY102" i="9" s="1"/>
  <c r="AV88" i="9"/>
  <c r="AW102" i="9" s="1"/>
  <c r="AT88" i="9"/>
  <c r="AU102" i="9" s="1"/>
  <c r="AR88" i="9"/>
  <c r="AS102" i="9" s="1"/>
  <c r="AP88" i="9"/>
  <c r="AQ102" i="9" s="1"/>
  <c r="AN88" i="9"/>
  <c r="AO102" i="9" s="1"/>
  <c r="AL88" i="9"/>
  <c r="AM102" i="9" s="1"/>
  <c r="AJ88" i="9"/>
  <c r="AK102" i="9" s="1"/>
  <c r="AH88" i="9"/>
  <c r="AI102" i="9" s="1"/>
  <c r="AF88" i="9"/>
  <c r="AG102" i="9" s="1"/>
  <c r="AD88" i="9"/>
  <c r="AE102" i="9" s="1"/>
  <c r="AB88" i="9"/>
  <c r="AC102" i="9" s="1"/>
  <c r="Z88" i="9"/>
  <c r="AA102" i="9" s="1"/>
  <c r="X88" i="9"/>
  <c r="Y102" i="9" s="1"/>
  <c r="V88" i="9"/>
  <c r="W102" i="9" s="1"/>
  <c r="T88" i="9"/>
  <c r="U102" i="9" s="1"/>
  <c r="R88" i="9"/>
  <c r="S102" i="9" s="1"/>
  <c r="P88" i="9"/>
  <c r="Q102" i="9" s="1"/>
  <c r="N88" i="9"/>
  <c r="O102" i="9" s="1"/>
  <c r="L88" i="9"/>
  <c r="M102" i="9" s="1"/>
  <c r="J88" i="9"/>
  <c r="K102" i="9" s="1"/>
  <c r="H88" i="9"/>
  <c r="F88" i="9"/>
  <c r="G102" i="9" s="1"/>
  <c r="D88" i="9"/>
  <c r="E102" i="9" s="1"/>
  <c r="BJ87" i="9"/>
  <c r="BK101" i="9" s="1"/>
  <c r="BH87" i="9"/>
  <c r="BI101" i="9" s="1"/>
  <c r="BF87" i="9"/>
  <c r="BG101" i="9" s="1"/>
  <c r="BD87" i="9"/>
  <c r="BE101" i="9" s="1"/>
  <c r="BB87" i="9"/>
  <c r="BC101" i="9" s="1"/>
  <c r="AZ87" i="9"/>
  <c r="BA101" i="9" s="1"/>
  <c r="AX87" i="9"/>
  <c r="AY101" i="9" s="1"/>
  <c r="AV87" i="9"/>
  <c r="AW101" i="9" s="1"/>
  <c r="AT87" i="9"/>
  <c r="AU101" i="9" s="1"/>
  <c r="AR87" i="9"/>
  <c r="AS101" i="9" s="1"/>
  <c r="AP87" i="9"/>
  <c r="AQ101" i="9" s="1"/>
  <c r="AN87" i="9"/>
  <c r="AO101" i="9" s="1"/>
  <c r="AL87" i="9"/>
  <c r="AM101" i="9" s="1"/>
  <c r="AJ87" i="9"/>
  <c r="AK101" i="9" s="1"/>
  <c r="AH87" i="9"/>
  <c r="AI101" i="9" s="1"/>
  <c r="AF87" i="9"/>
  <c r="AG101" i="9" s="1"/>
  <c r="AD87" i="9"/>
  <c r="AE101" i="9" s="1"/>
  <c r="AB87" i="9"/>
  <c r="AC101" i="9" s="1"/>
  <c r="Z87" i="9"/>
  <c r="AA101" i="9" s="1"/>
  <c r="X87" i="9"/>
  <c r="Y101" i="9" s="1"/>
  <c r="V87" i="9"/>
  <c r="W101" i="9" s="1"/>
  <c r="T87" i="9"/>
  <c r="U101" i="9" s="1"/>
  <c r="R87" i="9"/>
  <c r="S101" i="9" s="1"/>
  <c r="P87" i="9"/>
  <c r="Q101" i="9" s="1"/>
  <c r="N87" i="9"/>
  <c r="O101" i="9" s="1"/>
  <c r="L87" i="9"/>
  <c r="M101" i="9" s="1"/>
  <c r="J87" i="9"/>
  <c r="K101" i="9" s="1"/>
  <c r="H87" i="9"/>
  <c r="I101" i="9" s="1"/>
  <c r="F87" i="9"/>
  <c r="G101" i="9" s="1"/>
  <c r="BJ86" i="9"/>
  <c r="BK100" i="9" s="1"/>
  <c r="BH86" i="9"/>
  <c r="BI100" i="9" s="1"/>
  <c r="BF86" i="9"/>
  <c r="BG100" i="9" s="1"/>
  <c r="BD86" i="9"/>
  <c r="BE100" i="9" s="1"/>
  <c r="BB86" i="9"/>
  <c r="BC100" i="9" s="1"/>
  <c r="AZ86" i="9"/>
  <c r="BA100" i="9" s="1"/>
  <c r="AX86" i="9"/>
  <c r="AY100" i="9" s="1"/>
  <c r="AV86" i="9"/>
  <c r="AW100" i="9" s="1"/>
  <c r="AT86" i="9"/>
  <c r="AU100" i="9" s="1"/>
  <c r="AR86" i="9"/>
  <c r="AS100" i="9" s="1"/>
  <c r="AP86" i="9"/>
  <c r="AQ100" i="9" s="1"/>
  <c r="AN86" i="9"/>
  <c r="AO100" i="9" s="1"/>
  <c r="AL86" i="9"/>
  <c r="AM100" i="9" s="1"/>
  <c r="AJ86" i="9"/>
  <c r="AK100" i="9" s="1"/>
  <c r="AH86" i="9"/>
  <c r="AI100" i="9" s="1"/>
  <c r="AF86" i="9"/>
  <c r="AG100" i="9" s="1"/>
  <c r="AD86" i="9"/>
  <c r="AE100" i="9" s="1"/>
  <c r="AB86" i="9"/>
  <c r="AC100" i="9" s="1"/>
  <c r="Z86" i="9"/>
  <c r="AA100" i="9" s="1"/>
  <c r="X86" i="9"/>
  <c r="Y100" i="9" s="1"/>
  <c r="V86" i="9"/>
  <c r="W100" i="9" s="1"/>
  <c r="T86" i="9"/>
  <c r="U100" i="9" s="1"/>
  <c r="R86" i="9"/>
  <c r="S100" i="9" s="1"/>
  <c r="P86" i="9"/>
  <c r="Q100" i="9" s="1"/>
  <c r="N86" i="9"/>
  <c r="O100" i="9" s="1"/>
  <c r="L86" i="9"/>
  <c r="M100" i="9" s="1"/>
  <c r="J86" i="9"/>
  <c r="K100" i="9" s="1"/>
  <c r="H86" i="9"/>
  <c r="I100" i="9" s="1"/>
  <c r="F86" i="9"/>
  <c r="G100" i="9" s="1"/>
  <c r="D86" i="9"/>
  <c r="E100" i="9" s="1"/>
  <c r="BJ85" i="9"/>
  <c r="BK99" i="9" s="1"/>
  <c r="BH85" i="9"/>
  <c r="BI99" i="9" s="1"/>
  <c r="BF85" i="9"/>
  <c r="BG99" i="9" s="1"/>
  <c r="BD85" i="9"/>
  <c r="BE99" i="9" s="1"/>
  <c r="BB85" i="9"/>
  <c r="BC99" i="9" s="1"/>
  <c r="AZ85" i="9"/>
  <c r="BA99" i="9" s="1"/>
  <c r="AX85" i="9"/>
  <c r="AY99" i="9" s="1"/>
  <c r="AV85" i="9"/>
  <c r="AW99" i="9" s="1"/>
  <c r="AT85" i="9"/>
  <c r="AU99" i="9" s="1"/>
  <c r="AR85" i="9"/>
  <c r="AS99" i="9" s="1"/>
  <c r="AP85" i="9"/>
  <c r="AQ99" i="9" s="1"/>
  <c r="AN85" i="9"/>
  <c r="AO99" i="9" s="1"/>
  <c r="AL85" i="9"/>
  <c r="AM99" i="9" s="1"/>
  <c r="AJ85" i="9"/>
  <c r="AK99" i="9" s="1"/>
  <c r="AH85" i="9"/>
  <c r="AI99" i="9" s="1"/>
  <c r="AF85" i="9"/>
  <c r="AG99" i="9" s="1"/>
  <c r="AD85" i="9"/>
  <c r="AE99" i="9" s="1"/>
  <c r="AB85" i="9"/>
  <c r="AC99" i="9" s="1"/>
  <c r="Z85" i="9"/>
  <c r="AA99" i="9" s="1"/>
  <c r="X85" i="9"/>
  <c r="Y99" i="9" s="1"/>
  <c r="V85" i="9"/>
  <c r="W99" i="9" s="1"/>
  <c r="T85" i="9"/>
  <c r="U99" i="9" s="1"/>
  <c r="R85" i="9"/>
  <c r="S99" i="9" s="1"/>
  <c r="P85" i="9"/>
  <c r="Q99" i="9" s="1"/>
  <c r="N85" i="9"/>
  <c r="O99" i="9" s="1"/>
  <c r="L85" i="9"/>
  <c r="J85" i="9"/>
  <c r="K99" i="9" s="1"/>
  <c r="H85" i="9"/>
  <c r="F85" i="9"/>
  <c r="G99" i="9" s="1"/>
  <c r="BJ84" i="9"/>
  <c r="BK98" i="9" s="1"/>
  <c r="BH84" i="9"/>
  <c r="BI98" i="9" s="1"/>
  <c r="BF84" i="9"/>
  <c r="BG98" i="9" s="1"/>
  <c r="BD84" i="9"/>
  <c r="BE98" i="9" s="1"/>
  <c r="BB84" i="9"/>
  <c r="BC98" i="9" s="1"/>
  <c r="AZ84" i="9"/>
  <c r="BA98" i="9" s="1"/>
  <c r="AX84" i="9"/>
  <c r="AY98" i="9" s="1"/>
  <c r="AV84" i="9"/>
  <c r="AW98" i="9" s="1"/>
  <c r="AT84" i="9"/>
  <c r="AU98" i="9" s="1"/>
  <c r="AR84" i="9"/>
  <c r="AS98" i="9" s="1"/>
  <c r="AP84" i="9"/>
  <c r="AQ98" i="9" s="1"/>
  <c r="AN84" i="9"/>
  <c r="AO98" i="9" s="1"/>
  <c r="AL84" i="9"/>
  <c r="AM98" i="9" s="1"/>
  <c r="AJ84" i="9"/>
  <c r="AK98" i="9" s="1"/>
  <c r="AH84" i="9"/>
  <c r="AI98" i="9" s="1"/>
  <c r="AF84" i="9"/>
  <c r="AG98" i="9" s="1"/>
  <c r="AD84" i="9"/>
  <c r="AE98" i="9" s="1"/>
  <c r="AB84" i="9"/>
  <c r="AC98" i="9" s="1"/>
  <c r="Z84" i="9"/>
  <c r="AA98" i="9" s="1"/>
  <c r="X84" i="9"/>
  <c r="Y98" i="9" s="1"/>
  <c r="V84" i="9"/>
  <c r="W98" i="9" s="1"/>
  <c r="T84" i="9"/>
  <c r="U98" i="9" s="1"/>
  <c r="R84" i="9"/>
  <c r="S98" i="9" s="1"/>
  <c r="P84" i="9"/>
  <c r="Q98" i="9" s="1"/>
  <c r="N84" i="9"/>
  <c r="O98" i="9" s="1"/>
  <c r="L84" i="9"/>
  <c r="M98" i="9" s="1"/>
  <c r="J84" i="9"/>
  <c r="K98" i="9" s="1"/>
  <c r="H84" i="9"/>
  <c r="F84" i="9"/>
  <c r="G98" i="9" s="1"/>
  <c r="BJ83" i="9"/>
  <c r="BK97" i="9" s="1"/>
  <c r="BH83" i="9"/>
  <c r="BI97" i="9" s="1"/>
  <c r="BF83" i="9"/>
  <c r="BG97" i="9" s="1"/>
  <c r="BD83" i="9"/>
  <c r="BE97" i="9" s="1"/>
  <c r="BB83" i="9"/>
  <c r="BC97" i="9" s="1"/>
  <c r="AZ83" i="9"/>
  <c r="BA97" i="9" s="1"/>
  <c r="AX83" i="9"/>
  <c r="AY97" i="9" s="1"/>
  <c r="AV83" i="9"/>
  <c r="AW97" i="9" s="1"/>
  <c r="AT83" i="9"/>
  <c r="AU97" i="9" s="1"/>
  <c r="AR83" i="9"/>
  <c r="AS97" i="9" s="1"/>
  <c r="AP83" i="9"/>
  <c r="AQ97" i="9" s="1"/>
  <c r="AN83" i="9"/>
  <c r="AO97" i="9" s="1"/>
  <c r="AL83" i="9"/>
  <c r="AM97" i="9" s="1"/>
  <c r="AJ83" i="9"/>
  <c r="AK97" i="9" s="1"/>
  <c r="AH83" i="9"/>
  <c r="AI97" i="9" s="1"/>
  <c r="AF83" i="9"/>
  <c r="AG97" i="9" s="1"/>
  <c r="AD83" i="9"/>
  <c r="AE97" i="9" s="1"/>
  <c r="AB83" i="9"/>
  <c r="AC97" i="9" s="1"/>
  <c r="Z83" i="9"/>
  <c r="AA97" i="9" s="1"/>
  <c r="X83" i="9"/>
  <c r="Y97" i="9" s="1"/>
  <c r="V83" i="9"/>
  <c r="W97" i="9" s="1"/>
  <c r="T83" i="9"/>
  <c r="U97" i="9" s="1"/>
  <c r="R83" i="9"/>
  <c r="S97" i="9" s="1"/>
  <c r="P83" i="9"/>
  <c r="Q97" i="9" s="1"/>
  <c r="N83" i="9"/>
  <c r="O97" i="9" s="1"/>
  <c r="L83" i="9"/>
  <c r="M97" i="9" s="1"/>
  <c r="J83" i="9"/>
  <c r="K97" i="9" s="1"/>
  <c r="H83" i="9"/>
  <c r="I97" i="9" s="1"/>
  <c r="F83" i="9"/>
  <c r="G97" i="9" s="1"/>
  <c r="BP82" i="9"/>
  <c r="BQ96" i="9" s="1"/>
  <c r="BJ82" i="9"/>
  <c r="BK96" i="9" s="1"/>
  <c r="BH82" i="9"/>
  <c r="BI96" i="9" s="1"/>
  <c r="BF82" i="9"/>
  <c r="BG96" i="9" s="1"/>
  <c r="BD82" i="9"/>
  <c r="BE96" i="9" s="1"/>
  <c r="BB82" i="9"/>
  <c r="BC96" i="9" s="1"/>
  <c r="AZ82" i="9"/>
  <c r="BA96" i="9" s="1"/>
  <c r="AX82" i="9"/>
  <c r="AY96" i="9" s="1"/>
  <c r="AV82" i="9"/>
  <c r="AW96" i="9" s="1"/>
  <c r="AT82" i="9"/>
  <c r="AU96" i="9" s="1"/>
  <c r="AR82" i="9"/>
  <c r="AS96" i="9" s="1"/>
  <c r="AP82" i="9"/>
  <c r="AQ96" i="9" s="1"/>
  <c r="AN82" i="9"/>
  <c r="AO96" i="9" s="1"/>
  <c r="AL82" i="9"/>
  <c r="AM96" i="9" s="1"/>
  <c r="AJ82" i="9"/>
  <c r="AK96" i="9" s="1"/>
  <c r="AH82" i="9"/>
  <c r="AI96" i="9" s="1"/>
  <c r="AF82" i="9"/>
  <c r="AG96" i="9" s="1"/>
  <c r="AD82" i="9"/>
  <c r="AB82" i="9"/>
  <c r="AC96" i="9" s="1"/>
  <c r="Z82" i="9"/>
  <c r="AA96" i="9" s="1"/>
  <c r="X82" i="9"/>
  <c r="Y96" i="9" s="1"/>
  <c r="V82" i="9"/>
  <c r="W96" i="9" s="1"/>
  <c r="T82" i="9"/>
  <c r="U96" i="9" s="1"/>
  <c r="R82" i="9"/>
  <c r="S96" i="9" s="1"/>
  <c r="P82" i="9"/>
  <c r="Q96" i="9" s="1"/>
  <c r="N82" i="9"/>
  <c r="O96" i="9" s="1"/>
  <c r="L82" i="9"/>
  <c r="M96" i="9" s="1"/>
  <c r="J82" i="9"/>
  <c r="K96" i="9" s="1"/>
  <c r="H82" i="9"/>
  <c r="I96" i="9" s="1"/>
  <c r="F82" i="9"/>
  <c r="G96" i="9" s="1"/>
  <c r="BJ81" i="9"/>
  <c r="BK95" i="9" s="1"/>
  <c r="BH81" i="9"/>
  <c r="BI95" i="9" s="1"/>
  <c r="BF81" i="9"/>
  <c r="BG95" i="9" s="1"/>
  <c r="BD81" i="9"/>
  <c r="BE95" i="9" s="1"/>
  <c r="BB81" i="9"/>
  <c r="BC95" i="9" s="1"/>
  <c r="AZ81" i="9"/>
  <c r="BA95" i="9" s="1"/>
  <c r="AX81" i="9"/>
  <c r="AY95" i="9" s="1"/>
  <c r="AV81" i="9"/>
  <c r="AW95" i="9" s="1"/>
  <c r="AT81" i="9"/>
  <c r="AU95" i="9" s="1"/>
  <c r="AR81" i="9"/>
  <c r="AS95" i="9" s="1"/>
  <c r="AP81" i="9"/>
  <c r="AQ95" i="9" s="1"/>
  <c r="AN81" i="9"/>
  <c r="AO95" i="9" s="1"/>
  <c r="AL81" i="9"/>
  <c r="AM95" i="9" s="1"/>
  <c r="AJ81" i="9"/>
  <c r="AK95" i="9" s="1"/>
  <c r="AH81" i="9"/>
  <c r="AI95" i="9" s="1"/>
  <c r="AF81" i="9"/>
  <c r="AG95" i="9" s="1"/>
  <c r="AD81" i="9"/>
  <c r="AE95" i="9" s="1"/>
  <c r="AB81" i="9"/>
  <c r="AC95" i="9" s="1"/>
  <c r="Z81" i="9"/>
  <c r="AA95" i="9" s="1"/>
  <c r="X81" i="9"/>
  <c r="Y95" i="9" s="1"/>
  <c r="V81" i="9"/>
  <c r="W95" i="9" s="1"/>
  <c r="T81" i="9"/>
  <c r="U95" i="9" s="1"/>
  <c r="R81" i="9"/>
  <c r="S95" i="9" s="1"/>
  <c r="P81" i="9"/>
  <c r="Q95" i="9" s="1"/>
  <c r="N81" i="9"/>
  <c r="O95" i="9" s="1"/>
  <c r="L81" i="9"/>
  <c r="M95" i="9" s="1"/>
  <c r="J81" i="9"/>
  <c r="K95" i="9" s="1"/>
  <c r="H81" i="9"/>
  <c r="I95" i="9" s="1"/>
  <c r="F81" i="9"/>
  <c r="G95" i="9" s="1"/>
  <c r="BJ80" i="9"/>
  <c r="BK94" i="9" s="1"/>
  <c r="BH80" i="9"/>
  <c r="BI94" i="9" s="1"/>
  <c r="BF80" i="9"/>
  <c r="BG94" i="9" s="1"/>
  <c r="BD80" i="9"/>
  <c r="BE94" i="9" s="1"/>
  <c r="BB80" i="9"/>
  <c r="BC94" i="9" s="1"/>
  <c r="AZ80" i="9"/>
  <c r="BA94" i="9" s="1"/>
  <c r="AX80" i="9"/>
  <c r="AY94" i="9" s="1"/>
  <c r="AV80" i="9"/>
  <c r="AW94" i="9" s="1"/>
  <c r="AT80" i="9"/>
  <c r="AU94" i="9" s="1"/>
  <c r="AR80" i="9"/>
  <c r="AS94" i="9" s="1"/>
  <c r="AP80" i="9"/>
  <c r="AQ94" i="9" s="1"/>
  <c r="AN80" i="9"/>
  <c r="AO94" i="9" s="1"/>
  <c r="AL80" i="9"/>
  <c r="AM94" i="9" s="1"/>
  <c r="AJ80" i="9"/>
  <c r="AK94" i="9" s="1"/>
  <c r="AH80" i="9"/>
  <c r="AI94" i="9" s="1"/>
  <c r="AF80" i="9"/>
  <c r="AG94" i="9" s="1"/>
  <c r="AD80" i="9"/>
  <c r="AE94" i="9" s="1"/>
  <c r="AB80" i="9"/>
  <c r="AC94" i="9" s="1"/>
  <c r="Z80" i="9"/>
  <c r="AA94" i="9" s="1"/>
  <c r="X80" i="9"/>
  <c r="Y94" i="9" s="1"/>
  <c r="V80" i="9"/>
  <c r="W94" i="9" s="1"/>
  <c r="T80" i="9"/>
  <c r="U94" i="9" s="1"/>
  <c r="R80" i="9"/>
  <c r="S94" i="9" s="1"/>
  <c r="P80" i="9"/>
  <c r="Q94" i="9" s="1"/>
  <c r="N80" i="9"/>
  <c r="O94" i="9" s="1"/>
  <c r="L80" i="9"/>
  <c r="M94" i="9" s="1"/>
  <c r="J80" i="9"/>
  <c r="K94" i="9" s="1"/>
  <c r="H80" i="9"/>
  <c r="I94" i="9" s="1"/>
  <c r="F80" i="9"/>
  <c r="G94" i="9" s="1"/>
  <c r="D80" i="9"/>
  <c r="E94" i="9" s="1"/>
  <c r="BP79" i="9"/>
  <c r="BQ93" i="9" s="1"/>
  <c r="BJ79" i="9"/>
  <c r="BK93" i="9" s="1"/>
  <c r="BH79" i="9"/>
  <c r="BI93" i="9" s="1"/>
  <c r="BF79" i="9"/>
  <c r="BG93" i="9" s="1"/>
  <c r="BD79" i="9"/>
  <c r="BE93" i="9" s="1"/>
  <c r="BB79" i="9"/>
  <c r="BC93" i="9" s="1"/>
  <c r="AZ79" i="9"/>
  <c r="BA93" i="9" s="1"/>
  <c r="AX79" i="9"/>
  <c r="AY93" i="9" s="1"/>
  <c r="AV79" i="9"/>
  <c r="AW93" i="9" s="1"/>
  <c r="AT79" i="9"/>
  <c r="AU93" i="9" s="1"/>
  <c r="AR79" i="9"/>
  <c r="AS93" i="9" s="1"/>
  <c r="AP79" i="9"/>
  <c r="AQ93" i="9" s="1"/>
  <c r="AN79" i="9"/>
  <c r="AL79" i="9"/>
  <c r="AM93" i="9" s="1"/>
  <c r="AJ79" i="9"/>
  <c r="AK93" i="9" s="1"/>
  <c r="AH79" i="9"/>
  <c r="AI93" i="9" s="1"/>
  <c r="AF79" i="9"/>
  <c r="AG93" i="9" s="1"/>
  <c r="AD79" i="9"/>
  <c r="AE93" i="9" s="1"/>
  <c r="AB79" i="9"/>
  <c r="AC93" i="9" s="1"/>
  <c r="Z79" i="9"/>
  <c r="X79" i="9"/>
  <c r="Y93" i="9" s="1"/>
  <c r="V79" i="9"/>
  <c r="W93" i="9" s="1"/>
  <c r="T79" i="9"/>
  <c r="U93" i="9" s="1"/>
  <c r="R79" i="9"/>
  <c r="S93" i="9" s="1"/>
  <c r="P79" i="9"/>
  <c r="Q93" i="9" s="1"/>
  <c r="N79" i="9"/>
  <c r="O93" i="9" s="1"/>
  <c r="L79" i="9"/>
  <c r="M93" i="9" s="1"/>
  <c r="J79" i="9"/>
  <c r="K93" i="9" s="1"/>
  <c r="H79" i="9"/>
  <c r="I93" i="9" s="1"/>
  <c r="F79" i="9"/>
  <c r="G93" i="9" s="1"/>
  <c r="BJ78" i="9"/>
  <c r="BK92" i="9" s="1"/>
  <c r="BH78" i="9"/>
  <c r="BI92" i="9" s="1"/>
  <c r="BF78" i="9"/>
  <c r="BG92" i="9" s="1"/>
  <c r="BD78" i="9"/>
  <c r="BE92" i="9" s="1"/>
  <c r="BB78" i="9"/>
  <c r="BC92" i="9" s="1"/>
  <c r="AZ78" i="9"/>
  <c r="BA92" i="9" s="1"/>
  <c r="AX78" i="9"/>
  <c r="AY92" i="9" s="1"/>
  <c r="AV78" i="9"/>
  <c r="AW92" i="9" s="1"/>
  <c r="AT78" i="9"/>
  <c r="AU92" i="9" s="1"/>
  <c r="AR78" i="9"/>
  <c r="AS92" i="9" s="1"/>
  <c r="AP78" i="9"/>
  <c r="AQ92" i="9" s="1"/>
  <c r="AN78" i="9"/>
  <c r="AO92" i="9" s="1"/>
  <c r="AL78" i="9"/>
  <c r="AM92" i="9" s="1"/>
  <c r="AJ78" i="9"/>
  <c r="AK92" i="9" s="1"/>
  <c r="AH78" i="9"/>
  <c r="AI92" i="9" s="1"/>
  <c r="AF78" i="9"/>
  <c r="AG92" i="9" s="1"/>
  <c r="AD78" i="9"/>
  <c r="AE92" i="9" s="1"/>
  <c r="AB78" i="9"/>
  <c r="AC92" i="9" s="1"/>
  <c r="Z78" i="9"/>
  <c r="AA92" i="9" s="1"/>
  <c r="X78" i="9"/>
  <c r="Y92" i="9" s="1"/>
  <c r="V78" i="9"/>
  <c r="W92" i="9" s="1"/>
  <c r="T78" i="9"/>
  <c r="U92" i="9" s="1"/>
  <c r="R78" i="9"/>
  <c r="S92" i="9" s="1"/>
  <c r="P78" i="9"/>
  <c r="Q92" i="9" s="1"/>
  <c r="N78" i="9"/>
  <c r="O92" i="9" s="1"/>
  <c r="L78" i="9"/>
  <c r="M92" i="9" s="1"/>
  <c r="J78" i="9"/>
  <c r="K92" i="9" s="1"/>
  <c r="H78" i="9"/>
  <c r="I92" i="9" s="1"/>
  <c r="F78" i="9"/>
  <c r="G92" i="9" s="1"/>
  <c r="BJ77" i="9"/>
  <c r="BK91" i="9" s="1"/>
  <c r="BH77" i="9"/>
  <c r="BI91" i="9" s="1"/>
  <c r="BF77" i="9"/>
  <c r="BG91" i="9" s="1"/>
  <c r="BD77" i="9"/>
  <c r="BE91" i="9" s="1"/>
  <c r="BB77" i="9"/>
  <c r="BC91" i="9" s="1"/>
  <c r="AZ77" i="9"/>
  <c r="BA91" i="9" s="1"/>
  <c r="AX77" i="9"/>
  <c r="AY91" i="9" s="1"/>
  <c r="AV77" i="9"/>
  <c r="AW91" i="9" s="1"/>
  <c r="AT77" i="9"/>
  <c r="AU91" i="9" s="1"/>
  <c r="AR77" i="9"/>
  <c r="AS91" i="9" s="1"/>
  <c r="AP77" i="9"/>
  <c r="AQ91" i="9" s="1"/>
  <c r="AN77" i="9"/>
  <c r="AO91" i="9" s="1"/>
  <c r="AL77" i="9"/>
  <c r="AM91" i="9" s="1"/>
  <c r="AJ77" i="9"/>
  <c r="AK91" i="9" s="1"/>
  <c r="AH77" i="9"/>
  <c r="AI91" i="9" s="1"/>
  <c r="AF77" i="9"/>
  <c r="AG91" i="9" s="1"/>
  <c r="AD77" i="9"/>
  <c r="AE91" i="9" s="1"/>
  <c r="AB77" i="9"/>
  <c r="AC91" i="9" s="1"/>
  <c r="Z77" i="9"/>
  <c r="AA91" i="9" s="1"/>
  <c r="X77" i="9"/>
  <c r="Y91" i="9" s="1"/>
  <c r="V77" i="9"/>
  <c r="W91" i="9" s="1"/>
  <c r="T77" i="9"/>
  <c r="U91" i="9" s="1"/>
  <c r="R77" i="9"/>
  <c r="S91" i="9" s="1"/>
  <c r="P77" i="9"/>
  <c r="Q91" i="9" s="1"/>
  <c r="N77" i="9"/>
  <c r="O91" i="9" s="1"/>
  <c r="L77" i="9"/>
  <c r="M91" i="9" s="1"/>
  <c r="J77" i="9"/>
  <c r="K91" i="9" s="1"/>
  <c r="H77" i="9"/>
  <c r="I91" i="9" s="1"/>
  <c r="F77" i="9"/>
  <c r="G91" i="9" s="1"/>
  <c r="D77" i="9"/>
  <c r="E91" i="9" s="1"/>
  <c r="BM11" i="9"/>
  <c r="BO74" i="9"/>
  <c r="E67" i="19" s="1"/>
  <c r="BP72" i="9"/>
  <c r="BK72" i="9"/>
  <c r="BJ72" i="9"/>
  <c r="BI72" i="9"/>
  <c r="BH72" i="9"/>
  <c r="BG72" i="9"/>
  <c r="BF72" i="9"/>
  <c r="BE72" i="9"/>
  <c r="BD72" i="9"/>
  <c r="BC72" i="9"/>
  <c r="BB72" i="9"/>
  <c r="BA72" i="9"/>
  <c r="AZ72" i="9"/>
  <c r="AY72" i="9"/>
  <c r="AX72" i="9"/>
  <c r="AW72" i="9"/>
  <c r="AV72" i="9"/>
  <c r="AU72" i="9"/>
  <c r="AT72" i="9"/>
  <c r="AS72" i="9"/>
  <c r="AR72" i="9"/>
  <c r="AQ72" i="9"/>
  <c r="AP72" i="9"/>
  <c r="AO72" i="9"/>
  <c r="AN72" i="9"/>
  <c r="AM72" i="9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D72" i="9"/>
  <c r="BP71" i="9"/>
  <c r="BK71" i="9"/>
  <c r="BJ71" i="9"/>
  <c r="BI71" i="9"/>
  <c r="BH71" i="9"/>
  <c r="BG71" i="9"/>
  <c r="BF71" i="9"/>
  <c r="BE71" i="9"/>
  <c r="BD71" i="9"/>
  <c r="BC71" i="9"/>
  <c r="BB71" i="9"/>
  <c r="BA71" i="9"/>
  <c r="AZ71" i="9"/>
  <c r="AY71" i="9"/>
  <c r="AX71" i="9"/>
  <c r="AW71" i="9"/>
  <c r="AV71" i="9"/>
  <c r="AU71" i="9"/>
  <c r="AT71" i="9"/>
  <c r="AS71" i="9"/>
  <c r="AR71" i="9"/>
  <c r="AQ71" i="9"/>
  <c r="AP71" i="9"/>
  <c r="AO71" i="9"/>
  <c r="AN71" i="9"/>
  <c r="AM71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D71" i="9"/>
  <c r="BP70" i="9"/>
  <c r="BK70" i="9"/>
  <c r="BJ70" i="9"/>
  <c r="BI70" i="9"/>
  <c r="BH70" i="9"/>
  <c r="BG70" i="9"/>
  <c r="BF70" i="9"/>
  <c r="BE70" i="9"/>
  <c r="BD70" i="9"/>
  <c r="BC70" i="9"/>
  <c r="BB70" i="9"/>
  <c r="BA70" i="9"/>
  <c r="AZ70" i="9"/>
  <c r="AY70" i="9"/>
  <c r="AX70" i="9"/>
  <c r="AW70" i="9"/>
  <c r="AV70" i="9"/>
  <c r="AU70" i="9"/>
  <c r="AT70" i="9"/>
  <c r="AS70" i="9"/>
  <c r="AR70" i="9"/>
  <c r="AQ70" i="9"/>
  <c r="AP70" i="9"/>
  <c r="AO70" i="9"/>
  <c r="AN70" i="9"/>
  <c r="AM70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D70" i="9"/>
  <c r="BP69" i="9"/>
  <c r="BK69" i="9"/>
  <c r="BJ69" i="9"/>
  <c r="BI69" i="9"/>
  <c r="BH69" i="9"/>
  <c r="BG69" i="9"/>
  <c r="BF69" i="9"/>
  <c r="BE69" i="9"/>
  <c r="BD69" i="9"/>
  <c r="BC69" i="9"/>
  <c r="BB69" i="9"/>
  <c r="BA69" i="9"/>
  <c r="AZ69" i="9"/>
  <c r="AY69" i="9"/>
  <c r="AX69" i="9"/>
  <c r="AW69" i="9"/>
  <c r="AV69" i="9"/>
  <c r="AU69" i="9"/>
  <c r="AT69" i="9"/>
  <c r="AS69" i="9"/>
  <c r="AR69" i="9"/>
  <c r="AQ69" i="9"/>
  <c r="AP69" i="9"/>
  <c r="AO69" i="9"/>
  <c r="AN69" i="9"/>
  <c r="AM69" i="9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D69" i="9"/>
  <c r="BP68" i="9"/>
  <c r="BP73" i="9" s="1"/>
  <c r="BK68" i="9"/>
  <c r="BJ68" i="9"/>
  <c r="BJ73" i="9" s="1"/>
  <c r="BI68" i="9"/>
  <c r="BH68" i="9"/>
  <c r="BG68" i="9"/>
  <c r="BF68" i="9"/>
  <c r="BE68" i="9"/>
  <c r="BD68" i="9"/>
  <c r="BC68" i="9"/>
  <c r="BB68" i="9"/>
  <c r="BA68" i="9"/>
  <c r="AZ68" i="9"/>
  <c r="AY68" i="9"/>
  <c r="AX68" i="9"/>
  <c r="AW68" i="9"/>
  <c r="AV68" i="9"/>
  <c r="AU68" i="9"/>
  <c r="AT68" i="9"/>
  <c r="AS68" i="9"/>
  <c r="AR68" i="9"/>
  <c r="AQ68" i="9"/>
  <c r="AP68" i="9"/>
  <c r="AO68" i="9"/>
  <c r="AN68" i="9"/>
  <c r="AM68" i="9"/>
  <c r="AL68" i="9"/>
  <c r="AL73" i="9" s="1"/>
  <c r="AK68" i="9"/>
  <c r="AJ68" i="9"/>
  <c r="AI68" i="9"/>
  <c r="AH68" i="9"/>
  <c r="AG68" i="9"/>
  <c r="AF68" i="9"/>
  <c r="AF73" i="9" s="1"/>
  <c r="AE68" i="9"/>
  <c r="AD68" i="9"/>
  <c r="AC68" i="9"/>
  <c r="AB68" i="9"/>
  <c r="AB73" i="9" s="1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BJ66" i="9"/>
  <c r="BH66" i="9"/>
  <c r="BF66" i="9"/>
  <c r="BD66" i="9"/>
  <c r="BB66" i="9"/>
  <c r="AZ66" i="9"/>
  <c r="AX66" i="9"/>
  <c r="AV66" i="9"/>
  <c r="AT66" i="9"/>
  <c r="AR66" i="9"/>
  <c r="AP66" i="9"/>
  <c r="AN66" i="9"/>
  <c r="AL66" i="9"/>
  <c r="AJ66" i="9"/>
  <c r="AH66" i="9"/>
  <c r="AF66" i="9"/>
  <c r="AD66" i="9"/>
  <c r="AB66" i="9"/>
  <c r="Z66" i="9"/>
  <c r="X66" i="9"/>
  <c r="V66" i="9"/>
  <c r="T66" i="9"/>
  <c r="R66" i="9"/>
  <c r="P66" i="9"/>
  <c r="N66" i="9"/>
  <c r="L66" i="9"/>
  <c r="J66" i="9"/>
  <c r="H66" i="9"/>
  <c r="F66" i="9"/>
  <c r="D66" i="9"/>
  <c r="B66" i="9"/>
  <c r="BJ65" i="9"/>
  <c r="BH65" i="9"/>
  <c r="BF65" i="9"/>
  <c r="BD65" i="9"/>
  <c r="BB65" i="9"/>
  <c r="AZ65" i="9"/>
  <c r="AX65" i="9"/>
  <c r="AV65" i="9"/>
  <c r="AT65" i="9"/>
  <c r="AR65" i="9"/>
  <c r="AP65" i="9"/>
  <c r="AN65" i="9"/>
  <c r="AL65" i="9"/>
  <c r="AJ65" i="9"/>
  <c r="AH65" i="9"/>
  <c r="AF65" i="9"/>
  <c r="AD65" i="9"/>
  <c r="AB65" i="9"/>
  <c r="Z65" i="9"/>
  <c r="X65" i="9"/>
  <c r="V65" i="9"/>
  <c r="T65" i="9"/>
  <c r="R65" i="9"/>
  <c r="P65" i="9"/>
  <c r="N65" i="9"/>
  <c r="L65" i="9"/>
  <c r="J65" i="9"/>
  <c r="H65" i="9"/>
  <c r="F65" i="9"/>
  <c r="BJ64" i="9"/>
  <c r="BH64" i="9"/>
  <c r="BF64" i="9"/>
  <c r="BD64" i="9"/>
  <c r="BB64" i="9"/>
  <c r="AZ64" i="9"/>
  <c r="AX64" i="9"/>
  <c r="AV64" i="9"/>
  <c r="AT64" i="9"/>
  <c r="AR64" i="9"/>
  <c r="AP64" i="9"/>
  <c r="AN64" i="9"/>
  <c r="AL64" i="9"/>
  <c r="AJ64" i="9"/>
  <c r="AH64" i="9"/>
  <c r="AF64" i="9"/>
  <c r="AD64" i="9"/>
  <c r="AB64" i="9"/>
  <c r="Z64" i="9"/>
  <c r="X64" i="9"/>
  <c r="V64" i="9"/>
  <c r="T64" i="9"/>
  <c r="R64" i="9"/>
  <c r="P64" i="9"/>
  <c r="N64" i="9"/>
  <c r="L64" i="9"/>
  <c r="J64" i="9"/>
  <c r="H64" i="9"/>
  <c r="F64" i="9"/>
  <c r="BJ63" i="9"/>
  <c r="BH63" i="9"/>
  <c r="BF63" i="9"/>
  <c r="BD63" i="9"/>
  <c r="BB63" i="9"/>
  <c r="AZ63" i="9"/>
  <c r="AX63" i="9"/>
  <c r="AV63" i="9"/>
  <c r="AT63" i="9"/>
  <c r="AR63" i="9"/>
  <c r="AP63" i="9"/>
  <c r="AN63" i="9"/>
  <c r="AL63" i="9"/>
  <c r="AJ63" i="9"/>
  <c r="AH63" i="9"/>
  <c r="AF63" i="9"/>
  <c r="AD63" i="9"/>
  <c r="AB63" i="9"/>
  <c r="Z63" i="9"/>
  <c r="X63" i="9"/>
  <c r="V63" i="9"/>
  <c r="T63" i="9"/>
  <c r="R63" i="9"/>
  <c r="P63" i="9"/>
  <c r="N63" i="9"/>
  <c r="L63" i="9"/>
  <c r="J63" i="9"/>
  <c r="H63" i="9"/>
  <c r="F63" i="9"/>
  <c r="BJ62" i="9"/>
  <c r="BH62" i="9"/>
  <c r="BF62" i="9"/>
  <c r="BD62" i="9"/>
  <c r="BB62" i="9"/>
  <c r="AZ62" i="9"/>
  <c r="AX62" i="9"/>
  <c r="AV62" i="9"/>
  <c r="AT62" i="9"/>
  <c r="AR62" i="9"/>
  <c r="AP62" i="9"/>
  <c r="AN62" i="9"/>
  <c r="AL62" i="9"/>
  <c r="AJ62" i="9"/>
  <c r="AH62" i="9"/>
  <c r="AF62" i="9"/>
  <c r="AD62" i="9"/>
  <c r="AB62" i="9"/>
  <c r="Z62" i="9"/>
  <c r="X62" i="9"/>
  <c r="V62" i="9"/>
  <c r="T62" i="9"/>
  <c r="R62" i="9"/>
  <c r="P62" i="9"/>
  <c r="N62" i="9"/>
  <c r="L62" i="9"/>
  <c r="J62" i="9"/>
  <c r="H62" i="9"/>
  <c r="F62" i="9"/>
  <c r="BK59" i="9"/>
  <c r="BK7" i="9" s="1"/>
  <c r="BI59" i="9"/>
  <c r="BI7" i="9" s="1"/>
  <c r="BG59" i="9"/>
  <c r="BG7" i="9" s="1"/>
  <c r="BE59" i="9"/>
  <c r="BE7" i="9" s="1"/>
  <c r="BC59" i="9"/>
  <c r="BA59" i="9"/>
  <c r="BA7" i="9" s="1"/>
  <c r="AY59" i="9"/>
  <c r="AY7" i="9" s="1"/>
  <c r="AW59" i="9"/>
  <c r="AW7" i="9" s="1"/>
  <c r="AU59" i="9"/>
  <c r="AU7" i="9" s="1"/>
  <c r="AS59" i="9"/>
  <c r="AS7" i="9" s="1"/>
  <c r="AQ59" i="9"/>
  <c r="AQ7" i="9" s="1"/>
  <c r="AO59" i="9"/>
  <c r="AO7" i="9" s="1"/>
  <c r="AM59" i="9"/>
  <c r="AM7" i="9" s="1"/>
  <c r="AK59" i="9"/>
  <c r="AK7" i="9" s="1"/>
  <c r="AI59" i="9"/>
  <c r="AI7" i="9" s="1"/>
  <c r="AG59" i="9"/>
  <c r="AG7" i="9" s="1"/>
  <c r="AE59" i="9"/>
  <c r="AE7" i="9" s="1"/>
  <c r="AC59" i="9"/>
  <c r="AC7" i="9" s="1"/>
  <c r="AA59" i="9"/>
  <c r="AA7" i="9" s="1"/>
  <c r="Y59" i="9"/>
  <c r="Y7" i="9" s="1"/>
  <c r="W59" i="9"/>
  <c r="W7" i="9" s="1"/>
  <c r="U59" i="9"/>
  <c r="S59" i="9"/>
  <c r="S7" i="9" s="1"/>
  <c r="Q59" i="9"/>
  <c r="Q7" i="9" s="1"/>
  <c r="O59" i="9"/>
  <c r="O7" i="9" s="1"/>
  <c r="M59" i="9"/>
  <c r="M7" i="9" s="1"/>
  <c r="K59" i="9"/>
  <c r="K7" i="9" s="1"/>
  <c r="I59" i="9"/>
  <c r="I7" i="9" s="1"/>
  <c r="G59" i="9"/>
  <c r="G7" i="9" s="1"/>
  <c r="E59" i="9"/>
  <c r="BK57" i="9"/>
  <c r="BQ57" i="9" s="1"/>
  <c r="BI57" i="9"/>
  <c r="BI75" i="9" s="1"/>
  <c r="BI11" i="9" s="1"/>
  <c r="BG57" i="9"/>
  <c r="BG75" i="9" s="1"/>
  <c r="BG11" i="9" s="1"/>
  <c r="BE57" i="9"/>
  <c r="BE75" i="9" s="1"/>
  <c r="BE11" i="9" s="1"/>
  <c r="BC57" i="9"/>
  <c r="BC75" i="9" s="1"/>
  <c r="BC11" i="9" s="1"/>
  <c r="BA57" i="9"/>
  <c r="BA75" i="9" s="1"/>
  <c r="BA11" i="9" s="1"/>
  <c r="AY57" i="9"/>
  <c r="AY75" i="9" s="1"/>
  <c r="AY11" i="9" s="1"/>
  <c r="AW57" i="9"/>
  <c r="AW75" i="9" s="1"/>
  <c r="AW11" i="9" s="1"/>
  <c r="AU57" i="9"/>
  <c r="AU75" i="9" s="1"/>
  <c r="AU11" i="9" s="1"/>
  <c r="AQ57" i="9"/>
  <c r="AQ75" i="9" s="1"/>
  <c r="AQ11" i="9" s="1"/>
  <c r="AO57" i="9"/>
  <c r="AO75" i="9" s="1"/>
  <c r="AO11" i="9" s="1"/>
  <c r="AM57" i="9"/>
  <c r="AM75" i="9" s="1"/>
  <c r="AM11" i="9" s="1"/>
  <c r="AK57" i="9"/>
  <c r="AK75" i="9" s="1"/>
  <c r="AK11" i="9" s="1"/>
  <c r="AI57" i="9"/>
  <c r="AI75" i="9" s="1"/>
  <c r="AI11" i="9" s="1"/>
  <c r="AG57" i="9"/>
  <c r="AG75" i="9" s="1"/>
  <c r="AG11" i="9" s="1"/>
  <c r="AE57" i="9"/>
  <c r="AE75" i="9" s="1"/>
  <c r="AE11" i="9" s="1"/>
  <c r="AC57" i="9"/>
  <c r="AC75" i="9" s="1"/>
  <c r="AC11" i="9" s="1"/>
  <c r="AA57" i="9"/>
  <c r="AA75" i="9" s="1"/>
  <c r="AA11" i="9" s="1"/>
  <c r="Y57" i="9"/>
  <c r="Y75" i="9" s="1"/>
  <c r="Y11" i="9" s="1"/>
  <c r="U57" i="9"/>
  <c r="U75" i="9" s="1"/>
  <c r="U11" i="9" s="1"/>
  <c r="S57" i="9"/>
  <c r="S75" i="9" s="1"/>
  <c r="S11" i="9" s="1"/>
  <c r="Q57" i="9"/>
  <c r="Q75" i="9" s="1"/>
  <c r="Q11" i="9" s="1"/>
  <c r="O57" i="9"/>
  <c r="O75" i="9" s="1"/>
  <c r="O11" i="9" s="1"/>
  <c r="M57" i="9"/>
  <c r="M75" i="9" s="1"/>
  <c r="M11" i="9" s="1"/>
  <c r="K57" i="9"/>
  <c r="K75" i="9" s="1"/>
  <c r="K11" i="9" s="1"/>
  <c r="I57" i="9"/>
  <c r="I75" i="9" s="1"/>
  <c r="I11" i="9" s="1"/>
  <c r="G57" i="9"/>
  <c r="G75" i="9" s="1"/>
  <c r="E57" i="9"/>
  <c r="E75" i="9" s="1"/>
  <c r="AS57" i="9"/>
  <c r="AS75" i="9" s="1"/>
  <c r="AS11" i="9" s="1"/>
  <c r="W57" i="9"/>
  <c r="W75" i="9" s="1"/>
  <c r="W11" i="9" s="1"/>
  <c r="BO56" i="9"/>
  <c r="E50" i="19" s="1"/>
  <c r="BO55" i="9"/>
  <c r="E49" i="19" s="1"/>
  <c r="BO53" i="9"/>
  <c r="E47" i="19" s="1"/>
  <c r="BO52" i="9"/>
  <c r="E46" i="19" s="1"/>
  <c r="BO51" i="9"/>
  <c r="E45" i="19" s="1"/>
  <c r="BK49" i="9"/>
  <c r="BI49" i="9"/>
  <c r="BG49" i="9"/>
  <c r="BE49" i="9"/>
  <c r="BC49" i="9"/>
  <c r="BA49" i="9"/>
  <c r="AY49" i="9"/>
  <c r="AW49" i="9"/>
  <c r="AU49" i="9"/>
  <c r="AS49" i="9"/>
  <c r="AQ49" i="9"/>
  <c r="AO49" i="9"/>
  <c r="AM49" i="9"/>
  <c r="AK49" i="9"/>
  <c r="AI49" i="9"/>
  <c r="AG49" i="9"/>
  <c r="AE49" i="9"/>
  <c r="AC49" i="9"/>
  <c r="AA49" i="9"/>
  <c r="Y49" i="9"/>
  <c r="W49" i="9"/>
  <c r="U49" i="9"/>
  <c r="S49" i="9"/>
  <c r="Q49" i="9"/>
  <c r="O49" i="9"/>
  <c r="M49" i="9"/>
  <c r="K49" i="9"/>
  <c r="I49" i="9"/>
  <c r="G49" i="9"/>
  <c r="E49" i="9"/>
  <c r="BO48" i="9"/>
  <c r="E42" i="19" s="1"/>
  <c r="BO47" i="9"/>
  <c r="E41" i="19" s="1"/>
  <c r="BO46" i="9"/>
  <c r="E40" i="19" s="1"/>
  <c r="BO45" i="9"/>
  <c r="E39" i="19" s="1"/>
  <c r="BO44" i="9"/>
  <c r="E38" i="19" s="1"/>
  <c r="BO43" i="9"/>
  <c r="E37" i="19" s="1"/>
  <c r="BK42" i="9"/>
  <c r="BK50" i="9" s="1"/>
  <c r="C50" i="10" s="1"/>
  <c r="BI42" i="9"/>
  <c r="BI50" i="9" s="1"/>
  <c r="BG42" i="9"/>
  <c r="BG50" i="9" s="1"/>
  <c r="BE42" i="9"/>
  <c r="BC42" i="9"/>
  <c r="BA42" i="9"/>
  <c r="AY42" i="9"/>
  <c r="AW42" i="9"/>
  <c r="AU42" i="9"/>
  <c r="AS42" i="9"/>
  <c r="AQ42" i="9"/>
  <c r="AQ50" i="9" s="1"/>
  <c r="AO42" i="9"/>
  <c r="AO50" i="9" s="1"/>
  <c r="AM42" i="9"/>
  <c r="AM50" i="9" s="1"/>
  <c r="AK42" i="9"/>
  <c r="AK50" i="9" s="1"/>
  <c r="AI42" i="9"/>
  <c r="AI50" i="9" s="1"/>
  <c r="AC42" i="9"/>
  <c r="Y42" i="9"/>
  <c r="W42" i="9"/>
  <c r="Q42" i="9"/>
  <c r="O42" i="9"/>
  <c r="M42" i="9"/>
  <c r="K42" i="9"/>
  <c r="G42" i="9"/>
  <c r="E42" i="9"/>
  <c r="BO41" i="9"/>
  <c r="E35" i="19" s="1"/>
  <c r="BO40" i="9"/>
  <c r="E34" i="19" s="1"/>
  <c r="BO39" i="9"/>
  <c r="E33" i="19" s="1"/>
  <c r="U42" i="9"/>
  <c r="S42" i="9"/>
  <c r="BO37" i="9"/>
  <c r="E31" i="19" s="1"/>
  <c r="AG42" i="9"/>
  <c r="AE42" i="9"/>
  <c r="AA42" i="9"/>
  <c r="BO35" i="9"/>
  <c r="E29" i="19" s="1"/>
  <c r="BO34" i="9"/>
  <c r="E28" i="19" s="1"/>
  <c r="BO33" i="9"/>
  <c r="E27" i="19" s="1"/>
  <c r="BI31" i="9"/>
  <c r="BG31" i="9"/>
  <c r="BE31" i="9"/>
  <c r="BC31" i="9"/>
  <c r="AK31" i="9"/>
  <c r="AI31" i="9"/>
  <c r="AG31" i="9"/>
  <c r="AE31" i="9"/>
  <c r="Y31" i="9"/>
  <c r="M31" i="9"/>
  <c r="K31" i="9"/>
  <c r="I31" i="9"/>
  <c r="G31" i="9"/>
  <c r="BK30" i="9"/>
  <c r="BK31" i="9" s="1"/>
  <c r="BI30" i="9"/>
  <c r="BG30" i="9"/>
  <c r="BE30" i="9"/>
  <c r="BC30" i="9"/>
  <c r="BA30" i="9"/>
  <c r="BA31" i="9" s="1"/>
  <c r="AY30" i="9"/>
  <c r="AY31" i="9" s="1"/>
  <c r="AW30" i="9"/>
  <c r="AW31" i="9" s="1"/>
  <c r="AU30" i="9"/>
  <c r="AU31" i="9" s="1"/>
  <c r="AS30" i="9"/>
  <c r="AS31" i="9" s="1"/>
  <c r="AQ30" i="9"/>
  <c r="AQ31" i="9" s="1"/>
  <c r="AO30" i="9"/>
  <c r="AO31" i="9" s="1"/>
  <c r="AM30" i="9"/>
  <c r="AM31" i="9" s="1"/>
  <c r="AK30" i="9"/>
  <c r="AI30" i="9"/>
  <c r="AG30" i="9"/>
  <c r="AE30" i="9"/>
  <c r="AC30" i="9"/>
  <c r="AC31" i="9" s="1"/>
  <c r="AA30" i="9"/>
  <c r="AA31" i="9" s="1"/>
  <c r="Y30" i="9"/>
  <c r="W30" i="9"/>
  <c r="W31" i="9" s="1"/>
  <c r="U30" i="9"/>
  <c r="U31" i="9" s="1"/>
  <c r="S30" i="9"/>
  <c r="S31" i="9" s="1"/>
  <c r="Q30" i="9"/>
  <c r="Q31" i="9" s="1"/>
  <c r="O30" i="9"/>
  <c r="O31" i="9" s="1"/>
  <c r="M30" i="9"/>
  <c r="K30" i="9"/>
  <c r="I30" i="9"/>
  <c r="G30" i="9"/>
  <c r="BO29" i="9"/>
  <c r="E23" i="19" s="1"/>
  <c r="BO28" i="9"/>
  <c r="E22" i="19" s="1"/>
  <c r="BO27" i="9"/>
  <c r="E21" i="19" s="1"/>
  <c r="BO26" i="9"/>
  <c r="E20" i="19" s="1"/>
  <c r="BO25" i="9"/>
  <c r="E19" i="19" s="1"/>
  <c r="BO24" i="9"/>
  <c r="E18" i="19" s="1"/>
  <c r="BO23" i="9"/>
  <c r="E17" i="19" s="1"/>
  <c r="BI22" i="9"/>
  <c r="BG22" i="9"/>
  <c r="BE22" i="9"/>
  <c r="BC22" i="9"/>
  <c r="BA22" i="9"/>
  <c r="AU22" i="9"/>
  <c r="AE22" i="9"/>
  <c r="AC22" i="9"/>
  <c r="Y22" i="9"/>
  <c r="W22" i="9"/>
  <c r="U22" i="9"/>
  <c r="G22" i="9"/>
  <c r="E22" i="9"/>
  <c r="BK22" i="9"/>
  <c r="C22" i="10" s="1"/>
  <c r="AY22" i="9"/>
  <c r="AW22" i="9"/>
  <c r="AS22" i="9"/>
  <c r="AQ22" i="9"/>
  <c r="AO22" i="9"/>
  <c r="AO54" i="9" s="1"/>
  <c r="AO58" i="9" s="1"/>
  <c r="AO8" i="9" s="1"/>
  <c r="AM22" i="9"/>
  <c r="AK22" i="9"/>
  <c r="AI22" i="9"/>
  <c r="AG22" i="9"/>
  <c r="AA22" i="9"/>
  <c r="S22" i="9"/>
  <c r="Q22" i="9"/>
  <c r="O22" i="9"/>
  <c r="M22" i="9"/>
  <c r="K22" i="9"/>
  <c r="I22" i="9"/>
  <c r="BO21" i="9"/>
  <c r="E15" i="19" s="1"/>
  <c r="BO20" i="9"/>
  <c r="E14" i="19" s="1"/>
  <c r="BO19" i="9"/>
  <c r="E13" i="19" s="1"/>
  <c r="BO18" i="9"/>
  <c r="E12" i="19" s="1"/>
  <c r="BO17" i="9"/>
  <c r="E11" i="19" s="1"/>
  <c r="AL11" i="9"/>
  <c r="AJ11" i="9"/>
  <c r="AH11" i="9"/>
  <c r="AF11" i="9"/>
  <c r="AD11" i="9"/>
  <c r="AB11" i="9"/>
  <c r="Z11" i="9"/>
  <c r="X11" i="9"/>
  <c r="G11" i="9"/>
  <c r="E11" i="9"/>
  <c r="BM7" i="9"/>
  <c r="BC7" i="9"/>
  <c r="U7" i="9"/>
  <c r="BP6" i="9"/>
  <c r="BL6" i="9"/>
  <c r="BJ6" i="9"/>
  <c r="BJ5" i="9" s="1"/>
  <c r="BH6" i="9"/>
  <c r="BH5" i="9" s="1"/>
  <c r="BF6" i="9"/>
  <c r="BD6" i="9"/>
  <c r="BD5" i="9" s="1"/>
  <c r="BB6" i="9"/>
  <c r="BB5" i="9" s="1"/>
  <c r="AZ6" i="9"/>
  <c r="AZ5" i="9" s="1"/>
  <c r="AX6" i="9"/>
  <c r="AX5" i="9" s="1"/>
  <c r="AV6" i="9"/>
  <c r="AT6" i="9"/>
  <c r="AR6" i="9"/>
  <c r="AP6" i="9"/>
  <c r="AN6" i="9"/>
  <c r="AL6" i="9"/>
  <c r="AJ6" i="9"/>
  <c r="AH6" i="9"/>
  <c r="AH5" i="9" s="1"/>
  <c r="AF6" i="9"/>
  <c r="AF5" i="9" s="1"/>
  <c r="AD6" i="9"/>
  <c r="AD5" i="9" s="1"/>
  <c r="AB6" i="9"/>
  <c r="AB5" i="9" s="1"/>
  <c r="Z6" i="9"/>
  <c r="Z5" i="9" s="1"/>
  <c r="X6" i="9"/>
  <c r="V6" i="9"/>
  <c r="T6" i="9"/>
  <c r="R6" i="9"/>
  <c r="P6" i="9"/>
  <c r="N6" i="9"/>
  <c r="N5" i="9" s="1"/>
  <c r="L6" i="9"/>
  <c r="L5" i="9" s="1"/>
  <c r="J6" i="9"/>
  <c r="J5" i="9" s="1"/>
  <c r="H6" i="9"/>
  <c r="H5" i="9" s="1"/>
  <c r="F6" i="9"/>
  <c r="F5" i="9" s="1"/>
  <c r="D6" i="9"/>
  <c r="D5" i="9" s="1"/>
  <c r="BF5" i="9"/>
  <c r="A5" i="9"/>
  <c r="A1" i="9"/>
  <c r="BQ13" i="8"/>
  <c r="BQ14" i="8"/>
  <c r="BQ15" i="8"/>
  <c r="BQ17" i="8"/>
  <c r="BQ21" i="8"/>
  <c r="BQ25" i="8"/>
  <c r="BQ26" i="8"/>
  <c r="BQ27" i="8"/>
  <c r="BQ28" i="8"/>
  <c r="BQ32" i="8"/>
  <c r="BQ33" i="8"/>
  <c r="BQ34" i="8"/>
  <c r="BQ36" i="8"/>
  <c r="BQ38" i="8"/>
  <c r="BQ39" i="8"/>
  <c r="BQ43" i="8"/>
  <c r="BQ55" i="8"/>
  <c r="BQ56" i="8"/>
  <c r="BQ62" i="8"/>
  <c r="BP62" i="8" s="1"/>
  <c r="BQ63" i="8"/>
  <c r="BQ64" i="8"/>
  <c r="BP64" i="8" s="1"/>
  <c r="BQ65" i="8"/>
  <c r="BQ66" i="8"/>
  <c r="BP66" i="8" s="1"/>
  <c r="BQ74" i="8"/>
  <c r="BQ77" i="8"/>
  <c r="BQ78" i="8"/>
  <c r="BP78" i="8" s="1"/>
  <c r="BQ92" i="8" s="1"/>
  <c r="BQ79" i="8"/>
  <c r="BQ80" i="8"/>
  <c r="BP80" i="8" s="1"/>
  <c r="BQ94" i="8" s="1"/>
  <c r="BQ81" i="8"/>
  <c r="BP81" i="8" s="1"/>
  <c r="BQ95" i="8" s="1"/>
  <c r="BQ82" i="8"/>
  <c r="BP82" i="8" s="1"/>
  <c r="BQ96" i="8" s="1"/>
  <c r="BQ83" i="8"/>
  <c r="BP83" i="8" s="1"/>
  <c r="BQ97" i="8" s="1"/>
  <c r="BQ84" i="8"/>
  <c r="BP84" i="8" s="1"/>
  <c r="BQ98" i="8" s="1"/>
  <c r="BQ85" i="8"/>
  <c r="BQ86" i="8"/>
  <c r="BP86" i="8" s="1"/>
  <c r="BQ100" i="8" s="1"/>
  <c r="BQ87" i="8"/>
  <c r="BP87" i="8" s="1"/>
  <c r="BQ101" i="8" s="1"/>
  <c r="BQ88" i="8"/>
  <c r="C13" i="8"/>
  <c r="C14" i="8"/>
  <c r="C15" i="8"/>
  <c r="C17" i="8"/>
  <c r="C21" i="8"/>
  <c r="C25" i="8"/>
  <c r="C26" i="8"/>
  <c r="C27" i="8"/>
  <c r="C28" i="8"/>
  <c r="E30" i="8" s="1"/>
  <c r="E31" i="8" s="1"/>
  <c r="C32" i="8"/>
  <c r="C33" i="8"/>
  <c r="C34" i="8"/>
  <c r="C36" i="8"/>
  <c r="C38" i="8"/>
  <c r="C39" i="8"/>
  <c r="C43" i="8"/>
  <c r="C55" i="8"/>
  <c r="C56" i="8"/>
  <c r="C62" i="8"/>
  <c r="C63" i="8"/>
  <c r="D63" i="8" s="1"/>
  <c r="C64" i="8"/>
  <c r="B64" i="8" s="1"/>
  <c r="C65" i="8"/>
  <c r="D65" i="8" s="1"/>
  <c r="C66" i="8"/>
  <c r="D66" i="8" s="1"/>
  <c r="C74" i="8"/>
  <c r="C77" i="8"/>
  <c r="C78" i="8"/>
  <c r="C79" i="8"/>
  <c r="D79" i="8" s="1"/>
  <c r="E93" i="8" s="1"/>
  <c r="C80" i="8"/>
  <c r="D80" i="8" s="1"/>
  <c r="C81" i="8"/>
  <c r="D81" i="8" s="1"/>
  <c r="C82" i="8"/>
  <c r="C83" i="8"/>
  <c r="D83" i="8" s="1"/>
  <c r="E97" i="8" s="1"/>
  <c r="C84" i="8"/>
  <c r="D84" i="8" s="1"/>
  <c r="C85" i="8"/>
  <c r="D85" i="8" s="1"/>
  <c r="C86" i="8"/>
  <c r="D86" i="8" s="1"/>
  <c r="E100" i="8" s="1"/>
  <c r="C87" i="8"/>
  <c r="C88" i="8"/>
  <c r="D88" i="8" s="1"/>
  <c r="BO120" i="8"/>
  <c r="D108" i="19" s="1"/>
  <c r="BO119" i="8"/>
  <c r="D107" i="19" s="1"/>
  <c r="BO118" i="8"/>
  <c r="D106" i="19" s="1"/>
  <c r="BO117" i="8"/>
  <c r="D105" i="19" s="1"/>
  <c r="BO116" i="8"/>
  <c r="D104" i="19" s="1"/>
  <c r="BO115" i="8"/>
  <c r="D103" i="19" s="1"/>
  <c r="BO114" i="8"/>
  <c r="D102" i="19" s="1"/>
  <c r="BO113" i="8"/>
  <c r="D101" i="19" s="1"/>
  <c r="BO112" i="8"/>
  <c r="D100" i="19" s="1"/>
  <c r="BO111" i="8"/>
  <c r="D99" i="19" s="1"/>
  <c r="BO110" i="8"/>
  <c r="D98" i="19" s="1"/>
  <c r="BO109" i="8"/>
  <c r="D97" i="19" s="1"/>
  <c r="BO108" i="8"/>
  <c r="D96" i="19" s="1"/>
  <c r="BO107" i="8"/>
  <c r="D95" i="19" s="1"/>
  <c r="BO106" i="8"/>
  <c r="D94" i="19" s="1"/>
  <c r="BP104" i="8"/>
  <c r="BL104" i="8"/>
  <c r="BJ104" i="8"/>
  <c r="BH104" i="8"/>
  <c r="BF104" i="8"/>
  <c r="BD104" i="8"/>
  <c r="BB104" i="8"/>
  <c r="AZ104" i="8"/>
  <c r="AX104" i="8"/>
  <c r="AV104" i="8"/>
  <c r="AT104" i="8"/>
  <c r="AR104" i="8"/>
  <c r="AP104" i="8"/>
  <c r="AN104" i="8"/>
  <c r="AL104" i="8"/>
  <c r="AJ104" i="8"/>
  <c r="AH104" i="8"/>
  <c r="AF104" i="8"/>
  <c r="AD104" i="8"/>
  <c r="AB104" i="8"/>
  <c r="Z104" i="8"/>
  <c r="X104" i="8"/>
  <c r="V104" i="8"/>
  <c r="T104" i="8"/>
  <c r="R104" i="8"/>
  <c r="P104" i="8"/>
  <c r="N104" i="8"/>
  <c r="L104" i="8"/>
  <c r="J104" i="8"/>
  <c r="H104" i="8"/>
  <c r="F104" i="8"/>
  <c r="D104" i="8"/>
  <c r="BP103" i="8"/>
  <c r="BL103" i="8"/>
  <c r="BJ103" i="8"/>
  <c r="BH103" i="8"/>
  <c r="BF103" i="8"/>
  <c r="BD103" i="8"/>
  <c r="BB103" i="8"/>
  <c r="AZ103" i="8"/>
  <c r="AX103" i="8"/>
  <c r="AV103" i="8"/>
  <c r="AT103" i="8"/>
  <c r="AR103" i="8"/>
  <c r="AP103" i="8"/>
  <c r="AN103" i="8"/>
  <c r="AL103" i="8"/>
  <c r="AJ103" i="8"/>
  <c r="AH103" i="8"/>
  <c r="AF103" i="8"/>
  <c r="AD103" i="8"/>
  <c r="AB103" i="8"/>
  <c r="Z103" i="8"/>
  <c r="X103" i="8"/>
  <c r="V103" i="8"/>
  <c r="T103" i="8"/>
  <c r="R103" i="8"/>
  <c r="P103" i="8"/>
  <c r="N103" i="8"/>
  <c r="L103" i="8"/>
  <c r="J103" i="8"/>
  <c r="H103" i="8"/>
  <c r="F103" i="8"/>
  <c r="D103" i="8"/>
  <c r="O101" i="8"/>
  <c r="AI91" i="8"/>
  <c r="BP89" i="8"/>
  <c r="BL89" i="8"/>
  <c r="BJ89" i="8"/>
  <c r="BH89" i="8"/>
  <c r="BF89" i="8"/>
  <c r="BD89" i="8"/>
  <c r="BB89" i="8"/>
  <c r="AZ89" i="8"/>
  <c r="AX89" i="8"/>
  <c r="AV89" i="8"/>
  <c r="AT89" i="8"/>
  <c r="AR89" i="8"/>
  <c r="AP89" i="8"/>
  <c r="AN89" i="8"/>
  <c r="AL89" i="8"/>
  <c r="AJ89" i="8"/>
  <c r="AH89" i="8"/>
  <c r="AF89" i="8"/>
  <c r="AD89" i="8"/>
  <c r="AB89" i="8"/>
  <c r="Z89" i="8"/>
  <c r="X89" i="8"/>
  <c r="V89" i="8"/>
  <c r="T89" i="8"/>
  <c r="R89" i="8"/>
  <c r="P89" i="8"/>
  <c r="N89" i="8"/>
  <c r="L89" i="8"/>
  <c r="J89" i="8"/>
  <c r="H89" i="8"/>
  <c r="F89" i="8"/>
  <c r="D89" i="8"/>
  <c r="BP88" i="8"/>
  <c r="BQ102" i="8" s="1"/>
  <c r="BL88" i="8"/>
  <c r="BM102" i="8" s="1"/>
  <c r="BJ88" i="8"/>
  <c r="BK102" i="8" s="1"/>
  <c r="BH88" i="8"/>
  <c r="BI102" i="8" s="1"/>
  <c r="BF88" i="8"/>
  <c r="BG102" i="8" s="1"/>
  <c r="BD88" i="8"/>
  <c r="BE102" i="8" s="1"/>
  <c r="BB88" i="8"/>
  <c r="BC102" i="8" s="1"/>
  <c r="AZ88" i="8"/>
  <c r="BA102" i="8" s="1"/>
  <c r="AX88" i="8"/>
  <c r="AY102" i="8" s="1"/>
  <c r="AV88" i="8"/>
  <c r="AW102" i="8" s="1"/>
  <c r="AT88" i="8"/>
  <c r="AU102" i="8" s="1"/>
  <c r="AR88" i="8"/>
  <c r="AS102" i="8" s="1"/>
  <c r="AP88" i="8"/>
  <c r="AQ102" i="8" s="1"/>
  <c r="AN88" i="8"/>
  <c r="AO102" i="8" s="1"/>
  <c r="AL88" i="8"/>
  <c r="AM102" i="8" s="1"/>
  <c r="AJ88" i="8"/>
  <c r="AK102" i="8" s="1"/>
  <c r="AH88" i="8"/>
  <c r="AI102" i="8" s="1"/>
  <c r="AF88" i="8"/>
  <c r="AG102" i="8" s="1"/>
  <c r="AD88" i="8"/>
  <c r="AE102" i="8" s="1"/>
  <c r="AB88" i="8"/>
  <c r="AC102" i="8" s="1"/>
  <c r="Z88" i="8"/>
  <c r="AA102" i="8" s="1"/>
  <c r="X88" i="8"/>
  <c r="Y102" i="8" s="1"/>
  <c r="V88" i="8"/>
  <c r="W102" i="8" s="1"/>
  <c r="T88" i="8"/>
  <c r="U102" i="8" s="1"/>
  <c r="R88" i="8"/>
  <c r="S102" i="8" s="1"/>
  <c r="P88" i="8"/>
  <c r="Q102" i="8" s="1"/>
  <c r="N88" i="8"/>
  <c r="O102" i="8" s="1"/>
  <c r="L88" i="8"/>
  <c r="M102" i="8" s="1"/>
  <c r="J88" i="8"/>
  <c r="K102" i="8" s="1"/>
  <c r="H88" i="8"/>
  <c r="I102" i="8" s="1"/>
  <c r="F88" i="8"/>
  <c r="G102" i="8" s="1"/>
  <c r="BL87" i="8"/>
  <c r="BM101" i="8" s="1"/>
  <c r="BJ87" i="8"/>
  <c r="BK101" i="8" s="1"/>
  <c r="BH87" i="8"/>
  <c r="BI101" i="8" s="1"/>
  <c r="BF87" i="8"/>
  <c r="BG101" i="8" s="1"/>
  <c r="BD87" i="8"/>
  <c r="BE101" i="8" s="1"/>
  <c r="BB87" i="8"/>
  <c r="BC101" i="8" s="1"/>
  <c r="AZ87" i="8"/>
  <c r="BA101" i="8" s="1"/>
  <c r="AX87" i="8"/>
  <c r="AY101" i="8" s="1"/>
  <c r="AV87" i="8"/>
  <c r="AW101" i="8" s="1"/>
  <c r="AT87" i="8"/>
  <c r="AU101" i="8" s="1"/>
  <c r="AR87" i="8"/>
  <c r="AS101" i="8" s="1"/>
  <c r="AP87" i="8"/>
  <c r="AQ101" i="8" s="1"/>
  <c r="AN87" i="8"/>
  <c r="AO101" i="8" s="1"/>
  <c r="AL87" i="8"/>
  <c r="AM101" i="8" s="1"/>
  <c r="AJ87" i="8"/>
  <c r="AK101" i="8" s="1"/>
  <c r="AH87" i="8"/>
  <c r="AI101" i="8" s="1"/>
  <c r="AF87" i="8"/>
  <c r="AG101" i="8" s="1"/>
  <c r="AD87" i="8"/>
  <c r="AE101" i="8" s="1"/>
  <c r="AB87" i="8"/>
  <c r="AC101" i="8" s="1"/>
  <c r="Z87" i="8"/>
  <c r="AA101" i="8" s="1"/>
  <c r="X87" i="8"/>
  <c r="Y101" i="8" s="1"/>
  <c r="V87" i="8"/>
  <c r="W101" i="8" s="1"/>
  <c r="T87" i="8"/>
  <c r="U101" i="8" s="1"/>
  <c r="R87" i="8"/>
  <c r="S101" i="8" s="1"/>
  <c r="P87" i="8"/>
  <c r="Q101" i="8" s="1"/>
  <c r="N87" i="8"/>
  <c r="L87" i="8"/>
  <c r="M101" i="8" s="1"/>
  <c r="J87" i="8"/>
  <c r="K101" i="8" s="1"/>
  <c r="H87" i="8"/>
  <c r="I101" i="8" s="1"/>
  <c r="F87" i="8"/>
  <c r="G101" i="8" s="1"/>
  <c r="D87" i="8"/>
  <c r="E101" i="8" s="1"/>
  <c r="BL86" i="8"/>
  <c r="BM100" i="8" s="1"/>
  <c r="BJ86" i="8"/>
  <c r="BK100" i="8" s="1"/>
  <c r="BH86" i="8"/>
  <c r="BI100" i="8" s="1"/>
  <c r="BF86" i="8"/>
  <c r="BG100" i="8" s="1"/>
  <c r="BD86" i="8"/>
  <c r="BE100" i="8" s="1"/>
  <c r="BB86" i="8"/>
  <c r="BC100" i="8" s="1"/>
  <c r="AZ86" i="8"/>
  <c r="BA100" i="8" s="1"/>
  <c r="AX86" i="8"/>
  <c r="AY100" i="8" s="1"/>
  <c r="AV86" i="8"/>
  <c r="AW100" i="8" s="1"/>
  <c r="AT86" i="8"/>
  <c r="AU100" i="8" s="1"/>
  <c r="AR86" i="8"/>
  <c r="AS100" i="8" s="1"/>
  <c r="AP86" i="8"/>
  <c r="AQ100" i="8" s="1"/>
  <c r="AN86" i="8"/>
  <c r="AO100" i="8" s="1"/>
  <c r="AL86" i="8"/>
  <c r="AM100" i="8" s="1"/>
  <c r="AJ86" i="8"/>
  <c r="AK100" i="8" s="1"/>
  <c r="AH86" i="8"/>
  <c r="AI100" i="8" s="1"/>
  <c r="AF86" i="8"/>
  <c r="AG100" i="8" s="1"/>
  <c r="AD86" i="8"/>
  <c r="AE100" i="8" s="1"/>
  <c r="AB86" i="8"/>
  <c r="AC100" i="8" s="1"/>
  <c r="Z86" i="8"/>
  <c r="AA100" i="8" s="1"/>
  <c r="X86" i="8"/>
  <c r="Y100" i="8" s="1"/>
  <c r="V86" i="8"/>
  <c r="W100" i="8" s="1"/>
  <c r="T86" i="8"/>
  <c r="U100" i="8" s="1"/>
  <c r="R86" i="8"/>
  <c r="S100" i="8" s="1"/>
  <c r="P86" i="8"/>
  <c r="Q100" i="8" s="1"/>
  <c r="N86" i="8"/>
  <c r="O100" i="8" s="1"/>
  <c r="L86" i="8"/>
  <c r="M100" i="8" s="1"/>
  <c r="J86" i="8"/>
  <c r="K100" i="8" s="1"/>
  <c r="H86" i="8"/>
  <c r="I100" i="8" s="1"/>
  <c r="F86" i="8"/>
  <c r="G100" i="8" s="1"/>
  <c r="BL85" i="8"/>
  <c r="BM99" i="8" s="1"/>
  <c r="BJ85" i="8"/>
  <c r="BK99" i="8" s="1"/>
  <c r="BH85" i="8"/>
  <c r="BI99" i="8" s="1"/>
  <c r="BF85" i="8"/>
  <c r="BG99" i="8" s="1"/>
  <c r="BD85" i="8"/>
  <c r="BE99" i="8" s="1"/>
  <c r="BB85" i="8"/>
  <c r="BC99" i="8" s="1"/>
  <c r="AZ85" i="8"/>
  <c r="BA99" i="8" s="1"/>
  <c r="AX85" i="8"/>
  <c r="AY99" i="8" s="1"/>
  <c r="AV85" i="8"/>
  <c r="AW99" i="8" s="1"/>
  <c r="AT85" i="8"/>
  <c r="AU99" i="8" s="1"/>
  <c r="AR85" i="8"/>
  <c r="AS99" i="8" s="1"/>
  <c r="AP85" i="8"/>
  <c r="AQ99" i="8" s="1"/>
  <c r="AN85" i="8"/>
  <c r="AO99" i="8" s="1"/>
  <c r="AL85" i="8"/>
  <c r="AM99" i="8" s="1"/>
  <c r="AJ85" i="8"/>
  <c r="AK99" i="8" s="1"/>
  <c r="AH85" i="8"/>
  <c r="AI99" i="8" s="1"/>
  <c r="AF85" i="8"/>
  <c r="AG99" i="8" s="1"/>
  <c r="AD85" i="8"/>
  <c r="AE99" i="8" s="1"/>
  <c r="AB85" i="8"/>
  <c r="AC99" i="8" s="1"/>
  <c r="Z85" i="8"/>
  <c r="AA99" i="8" s="1"/>
  <c r="X85" i="8"/>
  <c r="Y99" i="8" s="1"/>
  <c r="V85" i="8"/>
  <c r="W99" i="8" s="1"/>
  <c r="T85" i="8"/>
  <c r="U99" i="8" s="1"/>
  <c r="R85" i="8"/>
  <c r="S99" i="8" s="1"/>
  <c r="P85" i="8"/>
  <c r="Q99" i="8" s="1"/>
  <c r="N85" i="8"/>
  <c r="O99" i="8" s="1"/>
  <c r="L85" i="8"/>
  <c r="M99" i="8" s="1"/>
  <c r="J85" i="8"/>
  <c r="K99" i="8" s="1"/>
  <c r="H85" i="8"/>
  <c r="I99" i="8" s="1"/>
  <c r="F85" i="8"/>
  <c r="G99" i="8" s="1"/>
  <c r="BL84" i="8"/>
  <c r="BM98" i="8" s="1"/>
  <c r="BJ84" i="8"/>
  <c r="BK98" i="8" s="1"/>
  <c r="BH84" i="8"/>
  <c r="BI98" i="8" s="1"/>
  <c r="BF84" i="8"/>
  <c r="BG98" i="8" s="1"/>
  <c r="BD84" i="8"/>
  <c r="BE98" i="8" s="1"/>
  <c r="BB84" i="8"/>
  <c r="BC98" i="8" s="1"/>
  <c r="AZ84" i="8"/>
  <c r="BA98" i="8" s="1"/>
  <c r="AX84" i="8"/>
  <c r="AY98" i="8" s="1"/>
  <c r="AV84" i="8"/>
  <c r="AW98" i="8" s="1"/>
  <c r="AT84" i="8"/>
  <c r="AU98" i="8" s="1"/>
  <c r="AR84" i="8"/>
  <c r="AS98" i="8" s="1"/>
  <c r="AP84" i="8"/>
  <c r="AQ98" i="8" s="1"/>
  <c r="AN84" i="8"/>
  <c r="AO98" i="8" s="1"/>
  <c r="AL84" i="8"/>
  <c r="AM98" i="8" s="1"/>
  <c r="AJ84" i="8"/>
  <c r="AK98" i="8" s="1"/>
  <c r="AH84" i="8"/>
  <c r="AI98" i="8" s="1"/>
  <c r="AF84" i="8"/>
  <c r="AG98" i="8" s="1"/>
  <c r="AD84" i="8"/>
  <c r="AE98" i="8" s="1"/>
  <c r="AB84" i="8"/>
  <c r="AC98" i="8" s="1"/>
  <c r="Z84" i="8"/>
  <c r="AA98" i="8" s="1"/>
  <c r="X84" i="8"/>
  <c r="Y98" i="8" s="1"/>
  <c r="V84" i="8"/>
  <c r="W98" i="8" s="1"/>
  <c r="T84" i="8"/>
  <c r="U98" i="8" s="1"/>
  <c r="R84" i="8"/>
  <c r="S98" i="8" s="1"/>
  <c r="P84" i="8"/>
  <c r="Q98" i="8" s="1"/>
  <c r="N84" i="8"/>
  <c r="O98" i="8" s="1"/>
  <c r="L84" i="8"/>
  <c r="M98" i="8" s="1"/>
  <c r="J84" i="8"/>
  <c r="K98" i="8" s="1"/>
  <c r="H84" i="8"/>
  <c r="I98" i="8" s="1"/>
  <c r="F84" i="8"/>
  <c r="G98" i="8" s="1"/>
  <c r="BL83" i="8"/>
  <c r="BM97" i="8" s="1"/>
  <c r="BJ83" i="8"/>
  <c r="BK97" i="8" s="1"/>
  <c r="BH83" i="8"/>
  <c r="BI97" i="8" s="1"/>
  <c r="BF83" i="8"/>
  <c r="BG97" i="8" s="1"/>
  <c r="BD83" i="8"/>
  <c r="BE97" i="8" s="1"/>
  <c r="BB83" i="8"/>
  <c r="BC97" i="8" s="1"/>
  <c r="AZ83" i="8"/>
  <c r="BA97" i="8" s="1"/>
  <c r="AX83" i="8"/>
  <c r="AY97" i="8" s="1"/>
  <c r="AV83" i="8"/>
  <c r="AW97" i="8" s="1"/>
  <c r="AT83" i="8"/>
  <c r="AU97" i="8" s="1"/>
  <c r="AR83" i="8"/>
  <c r="AS97" i="8" s="1"/>
  <c r="AP83" i="8"/>
  <c r="AQ97" i="8" s="1"/>
  <c r="AN83" i="8"/>
  <c r="AO97" i="8" s="1"/>
  <c r="AL83" i="8"/>
  <c r="AM97" i="8" s="1"/>
  <c r="AJ83" i="8"/>
  <c r="AK97" i="8" s="1"/>
  <c r="AH83" i="8"/>
  <c r="AI97" i="8" s="1"/>
  <c r="AF83" i="8"/>
  <c r="AG97" i="8" s="1"/>
  <c r="AD83" i="8"/>
  <c r="AE97" i="8" s="1"/>
  <c r="AB83" i="8"/>
  <c r="AC97" i="8" s="1"/>
  <c r="Z83" i="8"/>
  <c r="AA97" i="8" s="1"/>
  <c r="X83" i="8"/>
  <c r="Y97" i="8" s="1"/>
  <c r="V83" i="8"/>
  <c r="W97" i="8" s="1"/>
  <c r="T83" i="8"/>
  <c r="U97" i="8" s="1"/>
  <c r="R83" i="8"/>
  <c r="S97" i="8" s="1"/>
  <c r="P83" i="8"/>
  <c r="Q97" i="8" s="1"/>
  <c r="N83" i="8"/>
  <c r="O97" i="8" s="1"/>
  <c r="L83" i="8"/>
  <c r="M97" i="8" s="1"/>
  <c r="J83" i="8"/>
  <c r="K97" i="8" s="1"/>
  <c r="H83" i="8"/>
  <c r="I97" i="8" s="1"/>
  <c r="F83" i="8"/>
  <c r="G97" i="8" s="1"/>
  <c r="BL82" i="8"/>
  <c r="BM96" i="8" s="1"/>
  <c r="BJ82" i="8"/>
  <c r="BK96" i="8" s="1"/>
  <c r="BH82" i="8"/>
  <c r="BI96" i="8" s="1"/>
  <c r="BF82" i="8"/>
  <c r="BG96" i="8" s="1"/>
  <c r="BD82" i="8"/>
  <c r="BE96" i="8" s="1"/>
  <c r="BB82" i="8"/>
  <c r="BC96" i="8" s="1"/>
  <c r="AZ82" i="8"/>
  <c r="BA96" i="8" s="1"/>
  <c r="AX82" i="8"/>
  <c r="AY96" i="8" s="1"/>
  <c r="AV82" i="8"/>
  <c r="AW96" i="8" s="1"/>
  <c r="AT82" i="8"/>
  <c r="AU96" i="8" s="1"/>
  <c r="AR82" i="8"/>
  <c r="AS96" i="8" s="1"/>
  <c r="AP82" i="8"/>
  <c r="AQ96" i="8" s="1"/>
  <c r="AN82" i="8"/>
  <c r="AO96" i="8" s="1"/>
  <c r="AL82" i="8"/>
  <c r="AM96" i="8" s="1"/>
  <c r="AJ82" i="8"/>
  <c r="AK96" i="8" s="1"/>
  <c r="AH82" i="8"/>
  <c r="AI96" i="8" s="1"/>
  <c r="AF82" i="8"/>
  <c r="AG96" i="8" s="1"/>
  <c r="AD82" i="8"/>
  <c r="AE96" i="8" s="1"/>
  <c r="AB82" i="8"/>
  <c r="AC96" i="8" s="1"/>
  <c r="Z82" i="8"/>
  <c r="AA96" i="8" s="1"/>
  <c r="X82" i="8"/>
  <c r="Y96" i="8" s="1"/>
  <c r="V82" i="8"/>
  <c r="W96" i="8" s="1"/>
  <c r="T82" i="8"/>
  <c r="U96" i="8" s="1"/>
  <c r="R82" i="8"/>
  <c r="S96" i="8" s="1"/>
  <c r="P82" i="8"/>
  <c r="Q96" i="8" s="1"/>
  <c r="N82" i="8"/>
  <c r="O96" i="8" s="1"/>
  <c r="L82" i="8"/>
  <c r="M96" i="8" s="1"/>
  <c r="J82" i="8"/>
  <c r="K96" i="8" s="1"/>
  <c r="H82" i="8"/>
  <c r="I96" i="8" s="1"/>
  <c r="F82" i="8"/>
  <c r="G96" i="8" s="1"/>
  <c r="D82" i="8"/>
  <c r="E96" i="8" s="1"/>
  <c r="BL81" i="8"/>
  <c r="BM95" i="8" s="1"/>
  <c r="BJ81" i="8"/>
  <c r="BK95" i="8" s="1"/>
  <c r="BH81" i="8"/>
  <c r="BI95" i="8" s="1"/>
  <c r="BF81" i="8"/>
  <c r="BG95" i="8" s="1"/>
  <c r="BD81" i="8"/>
  <c r="BE95" i="8" s="1"/>
  <c r="BB81" i="8"/>
  <c r="BC95" i="8" s="1"/>
  <c r="AZ81" i="8"/>
  <c r="BA95" i="8" s="1"/>
  <c r="AX81" i="8"/>
  <c r="AY95" i="8" s="1"/>
  <c r="AV81" i="8"/>
  <c r="AW95" i="8" s="1"/>
  <c r="AT81" i="8"/>
  <c r="AU95" i="8" s="1"/>
  <c r="AR81" i="8"/>
  <c r="AS95" i="8" s="1"/>
  <c r="AP81" i="8"/>
  <c r="AQ95" i="8" s="1"/>
  <c r="AN81" i="8"/>
  <c r="AO95" i="8" s="1"/>
  <c r="AL81" i="8"/>
  <c r="AM95" i="8" s="1"/>
  <c r="AJ81" i="8"/>
  <c r="AK95" i="8" s="1"/>
  <c r="AH81" i="8"/>
  <c r="AI95" i="8" s="1"/>
  <c r="AF81" i="8"/>
  <c r="AG95" i="8" s="1"/>
  <c r="AD81" i="8"/>
  <c r="AE95" i="8" s="1"/>
  <c r="AB81" i="8"/>
  <c r="AC95" i="8" s="1"/>
  <c r="Z81" i="8"/>
  <c r="AA95" i="8" s="1"/>
  <c r="X81" i="8"/>
  <c r="Y95" i="8" s="1"/>
  <c r="V81" i="8"/>
  <c r="W95" i="8" s="1"/>
  <c r="T81" i="8"/>
  <c r="U95" i="8" s="1"/>
  <c r="R81" i="8"/>
  <c r="S95" i="8" s="1"/>
  <c r="P81" i="8"/>
  <c r="Q95" i="8" s="1"/>
  <c r="N81" i="8"/>
  <c r="O95" i="8" s="1"/>
  <c r="L81" i="8"/>
  <c r="M95" i="8" s="1"/>
  <c r="J81" i="8"/>
  <c r="K95" i="8" s="1"/>
  <c r="H81" i="8"/>
  <c r="I95" i="8" s="1"/>
  <c r="F81" i="8"/>
  <c r="G95" i="8" s="1"/>
  <c r="BL80" i="8"/>
  <c r="BM94" i="8" s="1"/>
  <c r="BJ80" i="8"/>
  <c r="BK94" i="8" s="1"/>
  <c r="BH80" i="8"/>
  <c r="BI94" i="8" s="1"/>
  <c r="BF80" i="8"/>
  <c r="BG94" i="8" s="1"/>
  <c r="BD80" i="8"/>
  <c r="BE94" i="8" s="1"/>
  <c r="BB80" i="8"/>
  <c r="BC94" i="8" s="1"/>
  <c r="AZ80" i="8"/>
  <c r="BA94" i="8" s="1"/>
  <c r="AX80" i="8"/>
  <c r="AY94" i="8" s="1"/>
  <c r="AV80" i="8"/>
  <c r="AW94" i="8" s="1"/>
  <c r="AT80" i="8"/>
  <c r="AU94" i="8" s="1"/>
  <c r="AR80" i="8"/>
  <c r="AS94" i="8" s="1"/>
  <c r="AP80" i="8"/>
  <c r="AQ94" i="8" s="1"/>
  <c r="AN80" i="8"/>
  <c r="AO94" i="8" s="1"/>
  <c r="AL80" i="8"/>
  <c r="AM94" i="8" s="1"/>
  <c r="AJ80" i="8"/>
  <c r="AK94" i="8" s="1"/>
  <c r="AH80" i="8"/>
  <c r="AI94" i="8" s="1"/>
  <c r="AF80" i="8"/>
  <c r="AG94" i="8" s="1"/>
  <c r="AD80" i="8"/>
  <c r="AE94" i="8" s="1"/>
  <c r="AB80" i="8"/>
  <c r="AC94" i="8" s="1"/>
  <c r="Z80" i="8"/>
  <c r="AA94" i="8" s="1"/>
  <c r="X80" i="8"/>
  <c r="Y94" i="8" s="1"/>
  <c r="V80" i="8"/>
  <c r="W94" i="8" s="1"/>
  <c r="T80" i="8"/>
  <c r="U94" i="8" s="1"/>
  <c r="R80" i="8"/>
  <c r="S94" i="8" s="1"/>
  <c r="P80" i="8"/>
  <c r="Q94" i="8" s="1"/>
  <c r="N80" i="8"/>
  <c r="O94" i="8" s="1"/>
  <c r="L80" i="8"/>
  <c r="M94" i="8" s="1"/>
  <c r="J80" i="8"/>
  <c r="K94" i="8" s="1"/>
  <c r="H80" i="8"/>
  <c r="I94" i="8" s="1"/>
  <c r="F80" i="8"/>
  <c r="G94" i="8" s="1"/>
  <c r="BL79" i="8"/>
  <c r="BM93" i="8" s="1"/>
  <c r="BJ79" i="8"/>
  <c r="BK93" i="8" s="1"/>
  <c r="BH79" i="8"/>
  <c r="BI93" i="8" s="1"/>
  <c r="BF79" i="8"/>
  <c r="BG93" i="8" s="1"/>
  <c r="BD79" i="8"/>
  <c r="BE93" i="8" s="1"/>
  <c r="BB79" i="8"/>
  <c r="BC93" i="8" s="1"/>
  <c r="AZ79" i="8"/>
  <c r="BA93" i="8" s="1"/>
  <c r="AX79" i="8"/>
  <c r="AY93" i="8" s="1"/>
  <c r="AV79" i="8"/>
  <c r="AW93" i="8" s="1"/>
  <c r="AT79" i="8"/>
  <c r="AU93" i="8" s="1"/>
  <c r="AR79" i="8"/>
  <c r="AS93" i="8" s="1"/>
  <c r="AP79" i="8"/>
  <c r="AQ93" i="8" s="1"/>
  <c r="AN79" i="8"/>
  <c r="AL79" i="8"/>
  <c r="AM93" i="8" s="1"/>
  <c r="AJ79" i="8"/>
  <c r="AK93" i="8" s="1"/>
  <c r="AH79" i="8"/>
  <c r="AI93" i="8" s="1"/>
  <c r="AF79" i="8"/>
  <c r="AG93" i="8" s="1"/>
  <c r="AD79" i="8"/>
  <c r="AE93" i="8" s="1"/>
  <c r="AB79" i="8"/>
  <c r="AC93" i="8" s="1"/>
  <c r="Z79" i="8"/>
  <c r="AA93" i="8" s="1"/>
  <c r="X79" i="8"/>
  <c r="Y93" i="8" s="1"/>
  <c r="V79" i="8"/>
  <c r="W93" i="8" s="1"/>
  <c r="T79" i="8"/>
  <c r="U93" i="8" s="1"/>
  <c r="R79" i="8"/>
  <c r="S93" i="8" s="1"/>
  <c r="P79" i="8"/>
  <c r="Q93" i="8" s="1"/>
  <c r="N79" i="8"/>
  <c r="O93" i="8" s="1"/>
  <c r="L79" i="8"/>
  <c r="M93" i="8" s="1"/>
  <c r="J79" i="8"/>
  <c r="K93" i="8" s="1"/>
  <c r="H79" i="8"/>
  <c r="I93" i="8" s="1"/>
  <c r="F79" i="8"/>
  <c r="G93" i="8" s="1"/>
  <c r="BL78" i="8"/>
  <c r="BM92" i="8" s="1"/>
  <c r="BJ78" i="8"/>
  <c r="BK92" i="8" s="1"/>
  <c r="BH78" i="8"/>
  <c r="BI92" i="8" s="1"/>
  <c r="BF78" i="8"/>
  <c r="BG92" i="8" s="1"/>
  <c r="BD78" i="8"/>
  <c r="BE92" i="8" s="1"/>
  <c r="BB78" i="8"/>
  <c r="BC92" i="8" s="1"/>
  <c r="AZ78" i="8"/>
  <c r="BA92" i="8" s="1"/>
  <c r="AX78" i="8"/>
  <c r="AY92" i="8" s="1"/>
  <c r="AV78" i="8"/>
  <c r="AW92" i="8" s="1"/>
  <c r="AT78" i="8"/>
  <c r="AU92" i="8" s="1"/>
  <c r="AR78" i="8"/>
  <c r="AS92" i="8" s="1"/>
  <c r="AP78" i="8"/>
  <c r="AQ92" i="8" s="1"/>
  <c r="AN78" i="8"/>
  <c r="AO92" i="8" s="1"/>
  <c r="AL78" i="8"/>
  <c r="AM92" i="8" s="1"/>
  <c r="AJ78" i="8"/>
  <c r="AK92" i="8" s="1"/>
  <c r="AH78" i="8"/>
  <c r="AI92" i="8" s="1"/>
  <c r="AF78" i="8"/>
  <c r="AG92" i="8" s="1"/>
  <c r="AD78" i="8"/>
  <c r="AE92" i="8" s="1"/>
  <c r="AB78" i="8"/>
  <c r="AC92" i="8" s="1"/>
  <c r="Z78" i="8"/>
  <c r="AA92" i="8" s="1"/>
  <c r="X78" i="8"/>
  <c r="Y92" i="8" s="1"/>
  <c r="V78" i="8"/>
  <c r="W92" i="8" s="1"/>
  <c r="T78" i="8"/>
  <c r="U92" i="8" s="1"/>
  <c r="R78" i="8"/>
  <c r="S92" i="8" s="1"/>
  <c r="P78" i="8"/>
  <c r="Q92" i="8" s="1"/>
  <c r="N78" i="8"/>
  <c r="O92" i="8" s="1"/>
  <c r="L78" i="8"/>
  <c r="M92" i="8" s="1"/>
  <c r="J78" i="8"/>
  <c r="K92" i="8" s="1"/>
  <c r="H78" i="8"/>
  <c r="I92" i="8" s="1"/>
  <c r="F78" i="8"/>
  <c r="G92" i="8" s="1"/>
  <c r="BP77" i="8"/>
  <c r="BQ91" i="8" s="1"/>
  <c r="BQ103" i="8" s="1"/>
  <c r="BL77" i="8"/>
  <c r="BM91" i="8" s="1"/>
  <c r="BJ77" i="8"/>
  <c r="BK91" i="8" s="1"/>
  <c r="BH77" i="8"/>
  <c r="BI91" i="8" s="1"/>
  <c r="BF77" i="8"/>
  <c r="BG91" i="8" s="1"/>
  <c r="BD77" i="8"/>
  <c r="BE91" i="8" s="1"/>
  <c r="BB77" i="8"/>
  <c r="BC91" i="8" s="1"/>
  <c r="AZ77" i="8"/>
  <c r="BA91" i="8" s="1"/>
  <c r="AX77" i="8"/>
  <c r="AY91" i="8" s="1"/>
  <c r="AV77" i="8"/>
  <c r="AW91" i="8" s="1"/>
  <c r="AT77" i="8"/>
  <c r="AU91" i="8" s="1"/>
  <c r="AR77" i="8"/>
  <c r="AS91" i="8" s="1"/>
  <c r="AP77" i="8"/>
  <c r="AQ91" i="8" s="1"/>
  <c r="AN77" i="8"/>
  <c r="AO91" i="8" s="1"/>
  <c r="AL77" i="8"/>
  <c r="AM91" i="8" s="1"/>
  <c r="AJ77" i="8"/>
  <c r="AK91" i="8" s="1"/>
  <c r="AH77" i="8"/>
  <c r="AF77" i="8"/>
  <c r="AG91" i="8" s="1"/>
  <c r="AD77" i="8"/>
  <c r="AE91" i="8" s="1"/>
  <c r="AB77" i="8"/>
  <c r="AC91" i="8" s="1"/>
  <c r="Z77" i="8"/>
  <c r="AA91" i="8" s="1"/>
  <c r="X77" i="8"/>
  <c r="Y91" i="8" s="1"/>
  <c r="V77" i="8"/>
  <c r="W91" i="8" s="1"/>
  <c r="T77" i="8"/>
  <c r="U91" i="8" s="1"/>
  <c r="R77" i="8"/>
  <c r="S91" i="8" s="1"/>
  <c r="P77" i="8"/>
  <c r="Q91" i="8" s="1"/>
  <c r="N77" i="8"/>
  <c r="O91" i="8" s="1"/>
  <c r="L77" i="8"/>
  <c r="M91" i="8" s="1"/>
  <c r="J77" i="8"/>
  <c r="K91" i="8" s="1"/>
  <c r="H77" i="8"/>
  <c r="I91" i="8" s="1"/>
  <c r="F77" i="8"/>
  <c r="G91" i="8" s="1"/>
  <c r="BO74" i="8"/>
  <c r="D67" i="19" s="1"/>
  <c r="BP72" i="8"/>
  <c r="BM72" i="8"/>
  <c r="BL72" i="8"/>
  <c r="BK72" i="8"/>
  <c r="BJ72" i="8"/>
  <c r="BI72" i="8"/>
  <c r="BH72" i="8"/>
  <c r="BG72" i="8"/>
  <c r="BF72" i="8"/>
  <c r="BE72" i="8"/>
  <c r="BD72" i="8"/>
  <c r="BC72" i="8"/>
  <c r="BB72" i="8"/>
  <c r="BA72" i="8"/>
  <c r="AZ72" i="8"/>
  <c r="AY72" i="8"/>
  <c r="AX72" i="8"/>
  <c r="AW72" i="8"/>
  <c r="AV72" i="8"/>
  <c r="AU72" i="8"/>
  <c r="AT72" i="8"/>
  <c r="AS72" i="8"/>
  <c r="AR72" i="8"/>
  <c r="AQ72" i="8"/>
  <c r="AP72" i="8"/>
  <c r="AO72" i="8"/>
  <c r="AN72" i="8"/>
  <c r="AM72" i="8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D72" i="8"/>
  <c r="BP71" i="8"/>
  <c r="BM71" i="8"/>
  <c r="BL71" i="8"/>
  <c r="BK71" i="8"/>
  <c r="BJ71" i="8"/>
  <c r="BI71" i="8"/>
  <c r="BH71" i="8"/>
  <c r="BG71" i="8"/>
  <c r="BF71" i="8"/>
  <c r="BE71" i="8"/>
  <c r="BD71" i="8"/>
  <c r="BC71" i="8"/>
  <c r="BB71" i="8"/>
  <c r="BA71" i="8"/>
  <c r="AZ71" i="8"/>
  <c r="AY71" i="8"/>
  <c r="AX71" i="8"/>
  <c r="AW71" i="8"/>
  <c r="AV71" i="8"/>
  <c r="AU71" i="8"/>
  <c r="AT71" i="8"/>
  <c r="AS71" i="8"/>
  <c r="AR71" i="8"/>
  <c r="AQ71" i="8"/>
  <c r="AP71" i="8"/>
  <c r="AO71" i="8"/>
  <c r="AN71" i="8"/>
  <c r="AM71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D71" i="8"/>
  <c r="BP70" i="8"/>
  <c r="BM70" i="8"/>
  <c r="BL70" i="8"/>
  <c r="BK70" i="8"/>
  <c r="BJ70" i="8"/>
  <c r="BI70" i="8"/>
  <c r="BH70" i="8"/>
  <c r="BG70" i="8"/>
  <c r="BF70" i="8"/>
  <c r="BE70" i="8"/>
  <c r="BD70" i="8"/>
  <c r="BC70" i="8"/>
  <c r="BB70" i="8"/>
  <c r="BA70" i="8"/>
  <c r="AZ70" i="8"/>
  <c r="AY70" i="8"/>
  <c r="AX70" i="8"/>
  <c r="AW70" i="8"/>
  <c r="AV70" i="8"/>
  <c r="AU70" i="8"/>
  <c r="AT70" i="8"/>
  <c r="AS70" i="8"/>
  <c r="AR70" i="8"/>
  <c r="AQ70" i="8"/>
  <c r="AP70" i="8"/>
  <c r="AO70" i="8"/>
  <c r="AN70" i="8"/>
  <c r="AM70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D70" i="8"/>
  <c r="BP69" i="8"/>
  <c r="BM69" i="8"/>
  <c r="BL69" i="8"/>
  <c r="BK69" i="8"/>
  <c r="BJ69" i="8"/>
  <c r="BI69" i="8"/>
  <c r="BH69" i="8"/>
  <c r="BG69" i="8"/>
  <c r="BF69" i="8"/>
  <c r="BE69" i="8"/>
  <c r="BD69" i="8"/>
  <c r="BC69" i="8"/>
  <c r="BB69" i="8"/>
  <c r="BA69" i="8"/>
  <c r="AZ69" i="8"/>
  <c r="AY69" i="8"/>
  <c r="AX69" i="8"/>
  <c r="AW69" i="8"/>
  <c r="AV69" i="8"/>
  <c r="AU69" i="8"/>
  <c r="AT69" i="8"/>
  <c r="AS69" i="8"/>
  <c r="AR69" i="8"/>
  <c r="AQ69" i="8"/>
  <c r="AP69" i="8"/>
  <c r="AO69" i="8"/>
  <c r="AN69" i="8"/>
  <c r="AM69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D69" i="8"/>
  <c r="BP68" i="8"/>
  <c r="BM68" i="8"/>
  <c r="BL68" i="8"/>
  <c r="BK68" i="8"/>
  <c r="BJ68" i="8"/>
  <c r="BI68" i="8"/>
  <c r="BH68" i="8"/>
  <c r="BG68" i="8"/>
  <c r="BF68" i="8"/>
  <c r="BE68" i="8"/>
  <c r="BD68" i="8"/>
  <c r="BC68" i="8"/>
  <c r="BB68" i="8"/>
  <c r="BA68" i="8"/>
  <c r="AZ68" i="8"/>
  <c r="AY68" i="8"/>
  <c r="AX68" i="8"/>
  <c r="AW68" i="8"/>
  <c r="AV68" i="8"/>
  <c r="AU68" i="8"/>
  <c r="AT68" i="8"/>
  <c r="AS68" i="8"/>
  <c r="AR68" i="8"/>
  <c r="AQ68" i="8"/>
  <c r="AP68" i="8"/>
  <c r="AO68" i="8"/>
  <c r="AN68" i="8"/>
  <c r="AM68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D68" i="8"/>
  <c r="BL66" i="8"/>
  <c r="BJ66" i="8"/>
  <c r="BH66" i="8"/>
  <c r="BF66" i="8"/>
  <c r="BD66" i="8"/>
  <c r="BB66" i="8"/>
  <c r="AZ66" i="8"/>
  <c r="AX66" i="8"/>
  <c r="AV66" i="8"/>
  <c r="AT66" i="8"/>
  <c r="AR66" i="8"/>
  <c r="AP66" i="8"/>
  <c r="AN66" i="8"/>
  <c r="AL66" i="8"/>
  <c r="AJ66" i="8"/>
  <c r="AH66" i="8"/>
  <c r="AF66" i="8"/>
  <c r="AD66" i="8"/>
  <c r="AB66" i="8"/>
  <c r="Z66" i="8"/>
  <c r="X66" i="8"/>
  <c r="V66" i="8"/>
  <c r="T66" i="8"/>
  <c r="R66" i="8"/>
  <c r="P66" i="8"/>
  <c r="N66" i="8"/>
  <c r="L66" i="8"/>
  <c r="J66" i="8"/>
  <c r="H66" i="8"/>
  <c r="F66" i="8"/>
  <c r="BP65" i="8"/>
  <c r="BL65" i="8"/>
  <c r="BJ65" i="8"/>
  <c r="BH65" i="8"/>
  <c r="BF65" i="8"/>
  <c r="BD65" i="8"/>
  <c r="BB65" i="8"/>
  <c r="AZ65" i="8"/>
  <c r="AX65" i="8"/>
  <c r="AV65" i="8"/>
  <c r="AT65" i="8"/>
  <c r="AR65" i="8"/>
  <c r="AP65" i="8"/>
  <c r="AN65" i="8"/>
  <c r="AL65" i="8"/>
  <c r="AJ65" i="8"/>
  <c r="AH65" i="8"/>
  <c r="AF65" i="8"/>
  <c r="AD65" i="8"/>
  <c r="AB65" i="8"/>
  <c r="Z65" i="8"/>
  <c r="X65" i="8"/>
  <c r="V65" i="8"/>
  <c r="T65" i="8"/>
  <c r="R65" i="8"/>
  <c r="P65" i="8"/>
  <c r="N65" i="8"/>
  <c r="L65" i="8"/>
  <c r="J65" i="8"/>
  <c r="H65" i="8"/>
  <c r="F65" i="8"/>
  <c r="BL64" i="8"/>
  <c r="BJ64" i="8"/>
  <c r="BH64" i="8"/>
  <c r="BF64" i="8"/>
  <c r="BD64" i="8"/>
  <c r="BB64" i="8"/>
  <c r="AZ64" i="8"/>
  <c r="AX64" i="8"/>
  <c r="AV64" i="8"/>
  <c r="AT64" i="8"/>
  <c r="AR64" i="8"/>
  <c r="AP64" i="8"/>
  <c r="AN64" i="8"/>
  <c r="AL64" i="8"/>
  <c r="AJ64" i="8"/>
  <c r="AH64" i="8"/>
  <c r="AF64" i="8"/>
  <c r="AD64" i="8"/>
  <c r="AB64" i="8"/>
  <c r="Z64" i="8"/>
  <c r="X64" i="8"/>
  <c r="V64" i="8"/>
  <c r="T64" i="8"/>
  <c r="R64" i="8"/>
  <c r="P64" i="8"/>
  <c r="N64" i="8"/>
  <c r="L64" i="8"/>
  <c r="J64" i="8"/>
  <c r="H64" i="8"/>
  <c r="F64" i="8"/>
  <c r="D64" i="8"/>
  <c r="BP63" i="8"/>
  <c r="BL63" i="8"/>
  <c r="BJ63" i="8"/>
  <c r="BH63" i="8"/>
  <c r="BF63" i="8"/>
  <c r="BD63" i="8"/>
  <c r="BB63" i="8"/>
  <c r="AZ63" i="8"/>
  <c r="AX63" i="8"/>
  <c r="AV63" i="8"/>
  <c r="AT63" i="8"/>
  <c r="AR63" i="8"/>
  <c r="AP63" i="8"/>
  <c r="AN63" i="8"/>
  <c r="AL63" i="8"/>
  <c r="AJ63" i="8"/>
  <c r="AH63" i="8"/>
  <c r="AF63" i="8"/>
  <c r="AD63" i="8"/>
  <c r="AB63" i="8"/>
  <c r="Z63" i="8"/>
  <c r="X63" i="8"/>
  <c r="V63" i="8"/>
  <c r="T63" i="8"/>
  <c r="R63" i="8"/>
  <c r="P63" i="8"/>
  <c r="N63" i="8"/>
  <c r="L63" i="8"/>
  <c r="J63" i="8"/>
  <c r="H63" i="8"/>
  <c r="F63" i="8"/>
  <c r="B63" i="8"/>
  <c r="BL62" i="8"/>
  <c r="BJ62" i="8"/>
  <c r="BH62" i="8"/>
  <c r="BF62" i="8"/>
  <c r="BD62" i="8"/>
  <c r="BB62" i="8"/>
  <c r="AZ62" i="8"/>
  <c r="AX62" i="8"/>
  <c r="AV62" i="8"/>
  <c r="AT62" i="8"/>
  <c r="AR62" i="8"/>
  <c r="AP62" i="8"/>
  <c r="AN62" i="8"/>
  <c r="AL62" i="8"/>
  <c r="AJ62" i="8"/>
  <c r="AH62" i="8"/>
  <c r="AF62" i="8"/>
  <c r="AD62" i="8"/>
  <c r="AB62" i="8"/>
  <c r="Z62" i="8"/>
  <c r="X62" i="8"/>
  <c r="V62" i="8"/>
  <c r="T62" i="8"/>
  <c r="R62" i="8"/>
  <c r="P62" i="8"/>
  <c r="N62" i="8"/>
  <c r="L62" i="8"/>
  <c r="J62" i="8"/>
  <c r="H62" i="8"/>
  <c r="F62" i="8"/>
  <c r="D62" i="8"/>
  <c r="B62" i="8"/>
  <c r="BM59" i="8"/>
  <c r="C59" i="9" s="1"/>
  <c r="BK59" i="8"/>
  <c r="BK7" i="8" s="1"/>
  <c r="BI59" i="8"/>
  <c r="BI7" i="8" s="1"/>
  <c r="BG59" i="8"/>
  <c r="BG7" i="8" s="1"/>
  <c r="BE59" i="8"/>
  <c r="BE7" i="8" s="1"/>
  <c r="BC59" i="8"/>
  <c r="BC7" i="8" s="1"/>
  <c r="BA59" i="8"/>
  <c r="BA7" i="8" s="1"/>
  <c r="AY59" i="8"/>
  <c r="AY7" i="8" s="1"/>
  <c r="AW59" i="8"/>
  <c r="AW7" i="8" s="1"/>
  <c r="AU59" i="8"/>
  <c r="AU7" i="8" s="1"/>
  <c r="AS59" i="8"/>
  <c r="AS7" i="8" s="1"/>
  <c r="AQ59" i="8"/>
  <c r="AQ7" i="8" s="1"/>
  <c r="AO59" i="8"/>
  <c r="AM59" i="8"/>
  <c r="AM7" i="8" s="1"/>
  <c r="AK59" i="8"/>
  <c r="AK7" i="8" s="1"/>
  <c r="AI59" i="8"/>
  <c r="AI7" i="8" s="1"/>
  <c r="AG59" i="8"/>
  <c r="AG7" i="8" s="1"/>
  <c r="AE59" i="8"/>
  <c r="AE7" i="8" s="1"/>
  <c r="AC59" i="8"/>
  <c r="AC7" i="8" s="1"/>
  <c r="AA59" i="8"/>
  <c r="AA7" i="8" s="1"/>
  <c r="Y59" i="8"/>
  <c r="Y7" i="8" s="1"/>
  <c r="W59" i="8"/>
  <c r="W7" i="8" s="1"/>
  <c r="U59" i="8"/>
  <c r="S59" i="8"/>
  <c r="S7" i="8" s="1"/>
  <c r="Q59" i="8"/>
  <c r="O59" i="8"/>
  <c r="O7" i="8" s="1"/>
  <c r="M59" i="8"/>
  <c r="M7" i="8" s="1"/>
  <c r="K59" i="8"/>
  <c r="K7" i="8" s="1"/>
  <c r="I59" i="8"/>
  <c r="G59" i="8"/>
  <c r="G7" i="8" s="1"/>
  <c r="E59" i="8"/>
  <c r="E7" i="8" s="1"/>
  <c r="BM57" i="8"/>
  <c r="BM75" i="8" s="1"/>
  <c r="BM11" i="8" s="1"/>
  <c r="BK57" i="8"/>
  <c r="BK75" i="8" s="1"/>
  <c r="BI57" i="8"/>
  <c r="BI75" i="8" s="1"/>
  <c r="BI11" i="8" s="1"/>
  <c r="BG57" i="8"/>
  <c r="BG75" i="8" s="1"/>
  <c r="BG11" i="8" s="1"/>
  <c r="BE57" i="8"/>
  <c r="BE75" i="8" s="1"/>
  <c r="BE11" i="8" s="1"/>
  <c r="BC57" i="8"/>
  <c r="BC75" i="8" s="1"/>
  <c r="BC11" i="8" s="1"/>
  <c r="BA57" i="8"/>
  <c r="BA75" i="8" s="1"/>
  <c r="BA11" i="8" s="1"/>
  <c r="AY57" i="8"/>
  <c r="AY75" i="8" s="1"/>
  <c r="AY11" i="8" s="1"/>
  <c r="AW57" i="8"/>
  <c r="AW75" i="8" s="1"/>
  <c r="AW11" i="8" s="1"/>
  <c r="AU57" i="8"/>
  <c r="AU75" i="8" s="1"/>
  <c r="AU11" i="8" s="1"/>
  <c r="AQ57" i="8"/>
  <c r="AQ75" i="8" s="1"/>
  <c r="AQ11" i="8" s="1"/>
  <c r="AO57" i="8"/>
  <c r="AO75" i="8" s="1"/>
  <c r="AO11" i="8" s="1"/>
  <c r="AM57" i="8"/>
  <c r="AM75" i="8" s="1"/>
  <c r="AM11" i="8" s="1"/>
  <c r="AK57" i="8"/>
  <c r="AK75" i="8" s="1"/>
  <c r="AK11" i="8" s="1"/>
  <c r="AI57" i="8"/>
  <c r="AI75" i="8" s="1"/>
  <c r="AI11" i="8" s="1"/>
  <c r="AG57" i="8"/>
  <c r="AG75" i="8" s="1"/>
  <c r="AG11" i="8" s="1"/>
  <c r="AE57" i="8"/>
  <c r="AE75" i="8" s="1"/>
  <c r="AE11" i="8" s="1"/>
  <c r="AC57" i="8"/>
  <c r="AC75" i="8" s="1"/>
  <c r="AC11" i="8" s="1"/>
  <c r="AA57" i="8"/>
  <c r="AA75" i="8" s="1"/>
  <c r="AA11" i="8" s="1"/>
  <c r="Y57" i="8"/>
  <c r="Y75" i="8" s="1"/>
  <c r="Y11" i="8" s="1"/>
  <c r="U57" i="8"/>
  <c r="U75" i="8" s="1"/>
  <c r="U11" i="8" s="1"/>
  <c r="Q57" i="8"/>
  <c r="Q75" i="8" s="1"/>
  <c r="Q11" i="8" s="1"/>
  <c r="O57" i="8"/>
  <c r="O75" i="8" s="1"/>
  <c r="O11" i="8" s="1"/>
  <c r="M57" i="8"/>
  <c r="M75" i="8" s="1"/>
  <c r="M11" i="8" s="1"/>
  <c r="K57" i="8"/>
  <c r="K75" i="8" s="1"/>
  <c r="K11" i="8" s="1"/>
  <c r="I57" i="8"/>
  <c r="I75" i="8" s="1"/>
  <c r="I11" i="8" s="1"/>
  <c r="G57" i="8"/>
  <c r="G75" i="8" s="1"/>
  <c r="G11" i="8" s="1"/>
  <c r="E57" i="8"/>
  <c r="E75" i="8" s="1"/>
  <c r="E11" i="8" s="1"/>
  <c r="AS57" i="8"/>
  <c r="AS75" i="8" s="1"/>
  <c r="AS11" i="8" s="1"/>
  <c r="W57" i="8"/>
  <c r="W75" i="8" s="1"/>
  <c r="W11" i="8" s="1"/>
  <c r="BO55" i="8"/>
  <c r="D49" i="19" s="1"/>
  <c r="BO53" i="8"/>
  <c r="D47" i="19" s="1"/>
  <c r="BO52" i="8"/>
  <c r="D46" i="19" s="1"/>
  <c r="BO51" i="8"/>
  <c r="D45" i="19" s="1"/>
  <c r="BM49" i="8"/>
  <c r="C49" i="9" s="1"/>
  <c r="BK49" i="8"/>
  <c r="BI49" i="8"/>
  <c r="BG49" i="8"/>
  <c r="BE49" i="8"/>
  <c r="BC49" i="8"/>
  <c r="BA49" i="8"/>
  <c r="AY49" i="8"/>
  <c r="AW49" i="8"/>
  <c r="AU49" i="8"/>
  <c r="AS49" i="8"/>
  <c r="AQ49" i="8"/>
  <c r="AO49" i="8"/>
  <c r="AM49" i="8"/>
  <c r="AK49" i="8"/>
  <c r="AI49" i="8"/>
  <c r="AG49" i="8"/>
  <c r="AE49" i="8"/>
  <c r="AC49" i="8"/>
  <c r="AA49" i="8"/>
  <c r="Y49" i="8"/>
  <c r="W49" i="8"/>
  <c r="U49" i="8"/>
  <c r="S49" i="8"/>
  <c r="Q49" i="8"/>
  <c r="O49" i="8"/>
  <c r="M49" i="8"/>
  <c r="K49" i="8"/>
  <c r="I49" i="8"/>
  <c r="G49" i="8"/>
  <c r="E49" i="8"/>
  <c r="BO48" i="8"/>
  <c r="D42" i="19" s="1"/>
  <c r="BO47" i="8"/>
  <c r="D41" i="19" s="1"/>
  <c r="BO46" i="8"/>
  <c r="D40" i="19" s="1"/>
  <c r="BO45" i="8"/>
  <c r="D39" i="19" s="1"/>
  <c r="BO44" i="8"/>
  <c r="D38" i="19" s="1"/>
  <c r="BO43" i="8"/>
  <c r="D37" i="19" s="1"/>
  <c r="BM42" i="8"/>
  <c r="C42" i="9" s="1"/>
  <c r="BK42" i="8"/>
  <c r="BI42" i="8"/>
  <c r="BG42" i="8"/>
  <c r="BE42" i="8"/>
  <c r="BC42" i="8"/>
  <c r="BA42" i="8"/>
  <c r="AY42" i="8"/>
  <c r="AW42" i="8"/>
  <c r="AW50" i="8" s="1"/>
  <c r="AU42" i="8"/>
  <c r="AS42" i="8"/>
  <c r="AQ42" i="8"/>
  <c r="AO42" i="8"/>
  <c r="AM42" i="8"/>
  <c r="AK42" i="8"/>
  <c r="AI42" i="8"/>
  <c r="AG42" i="8"/>
  <c r="AE42" i="8"/>
  <c r="AC42" i="8"/>
  <c r="AA42" i="8"/>
  <c r="Y42" i="8"/>
  <c r="Y50" i="8" s="1"/>
  <c r="W42" i="8"/>
  <c r="U42" i="8"/>
  <c r="U50" i="8" s="1"/>
  <c r="Q42" i="8"/>
  <c r="M42" i="8"/>
  <c r="K42" i="8"/>
  <c r="G42" i="8"/>
  <c r="G50" i="8" s="1"/>
  <c r="E42" i="8"/>
  <c r="BO41" i="8"/>
  <c r="D35" i="19" s="1"/>
  <c r="BO40" i="8"/>
  <c r="D34" i="19" s="1"/>
  <c r="BO39" i="8"/>
  <c r="D33" i="19" s="1"/>
  <c r="BO38" i="8"/>
  <c r="D32" i="19" s="1"/>
  <c r="BO37" i="8"/>
  <c r="D31" i="19" s="1"/>
  <c r="O42" i="8"/>
  <c r="BO35" i="8"/>
  <c r="D29" i="19" s="1"/>
  <c r="BO33" i="8"/>
  <c r="D27" i="19" s="1"/>
  <c r="BO32" i="8"/>
  <c r="D26" i="19" s="1"/>
  <c r="BM31" i="8"/>
  <c r="BK31" i="8"/>
  <c r="AQ31" i="8"/>
  <c r="AO31" i="8"/>
  <c r="AM31" i="8"/>
  <c r="AI31" i="8"/>
  <c r="AG31" i="8"/>
  <c r="S31" i="8"/>
  <c r="Q31" i="8"/>
  <c r="O31" i="8"/>
  <c r="BM30" i="8"/>
  <c r="BK30" i="8"/>
  <c r="BI30" i="8"/>
  <c r="BI31" i="8" s="1"/>
  <c r="BG30" i="8"/>
  <c r="BG31" i="8" s="1"/>
  <c r="BE30" i="8"/>
  <c r="BE31" i="8" s="1"/>
  <c r="BC30" i="8"/>
  <c r="BC31" i="8" s="1"/>
  <c r="BA30" i="8"/>
  <c r="BA31" i="8" s="1"/>
  <c r="AY30" i="8"/>
  <c r="AY31" i="8" s="1"/>
  <c r="AW30" i="8"/>
  <c r="AW31" i="8" s="1"/>
  <c r="AU30" i="8"/>
  <c r="AU31" i="8" s="1"/>
  <c r="AS30" i="8"/>
  <c r="AS31" i="8" s="1"/>
  <c r="AQ30" i="8"/>
  <c r="AO30" i="8"/>
  <c r="AM30" i="8"/>
  <c r="AK30" i="8"/>
  <c r="AK31" i="8" s="1"/>
  <c r="AI30" i="8"/>
  <c r="AG30" i="8"/>
  <c r="AE30" i="8"/>
  <c r="AE31" i="8" s="1"/>
  <c r="AC30" i="8"/>
  <c r="AC31" i="8" s="1"/>
  <c r="AA30" i="8"/>
  <c r="AA31" i="8" s="1"/>
  <c r="Y30" i="8"/>
  <c r="Y31" i="8" s="1"/>
  <c r="W30" i="8"/>
  <c r="W31" i="8" s="1"/>
  <c r="U30" i="8"/>
  <c r="U31" i="8" s="1"/>
  <c r="S30" i="8"/>
  <c r="Q30" i="8"/>
  <c r="O30" i="8"/>
  <c r="M30" i="8"/>
  <c r="M31" i="8" s="1"/>
  <c r="K30" i="8"/>
  <c r="K31" i="8" s="1"/>
  <c r="I30" i="8"/>
  <c r="I31" i="8" s="1"/>
  <c r="G30" i="8"/>
  <c r="G31" i="8" s="1"/>
  <c r="BO29" i="8"/>
  <c r="D23" i="19" s="1"/>
  <c r="BO28" i="8"/>
  <c r="D22" i="19" s="1"/>
  <c r="BO27" i="8"/>
  <c r="D21" i="19" s="1"/>
  <c r="BO26" i="8"/>
  <c r="D20" i="19" s="1"/>
  <c r="BO25" i="8"/>
  <c r="D19" i="19" s="1"/>
  <c r="BO24" i="8"/>
  <c r="D18" i="19" s="1"/>
  <c r="BO23" i="8"/>
  <c r="D17" i="19" s="1"/>
  <c r="BM22" i="8"/>
  <c r="BK22" i="8"/>
  <c r="BI22" i="8"/>
  <c r="BG22" i="8"/>
  <c r="BE22" i="8"/>
  <c r="AQ22" i="8"/>
  <c r="AO22" i="8"/>
  <c r="AM22" i="8"/>
  <c r="AK22" i="8"/>
  <c r="AI22" i="8"/>
  <c r="AG22" i="8"/>
  <c r="AE22" i="8"/>
  <c r="AA22" i="8"/>
  <c r="U22" i="8"/>
  <c r="K22" i="8"/>
  <c r="I22" i="8"/>
  <c r="G22" i="8"/>
  <c r="BC22" i="8"/>
  <c r="BA22" i="8"/>
  <c r="AY22" i="8"/>
  <c r="AW22" i="8"/>
  <c r="AU22" i="8"/>
  <c r="AS22" i="8"/>
  <c r="AC22" i="8"/>
  <c r="Y22" i="8"/>
  <c r="W22" i="8"/>
  <c r="S22" i="8"/>
  <c r="Q22" i="8"/>
  <c r="O22" i="8"/>
  <c r="M22" i="8"/>
  <c r="BO21" i="8"/>
  <c r="D15" i="19" s="1"/>
  <c r="BO20" i="8"/>
  <c r="D14" i="19" s="1"/>
  <c r="BO19" i="8"/>
  <c r="D13" i="19" s="1"/>
  <c r="BO18" i="8"/>
  <c r="D12" i="19" s="1"/>
  <c r="BO17" i="8"/>
  <c r="D11" i="19" s="1"/>
  <c r="BK11" i="8"/>
  <c r="AL11" i="8"/>
  <c r="AJ11" i="8"/>
  <c r="AH11" i="8"/>
  <c r="AF11" i="8"/>
  <c r="AD11" i="8"/>
  <c r="AB11" i="8"/>
  <c r="Z11" i="8"/>
  <c r="X11" i="8"/>
  <c r="BM7" i="8"/>
  <c r="AO7" i="8"/>
  <c r="U7" i="8"/>
  <c r="Q7" i="8"/>
  <c r="BP6" i="8"/>
  <c r="BL6" i="8"/>
  <c r="BJ6" i="8"/>
  <c r="BJ5" i="8" s="1"/>
  <c r="BH6" i="8"/>
  <c r="BH5" i="8" s="1"/>
  <c r="BF6" i="8"/>
  <c r="BF5" i="8" s="1"/>
  <c r="BD6" i="8"/>
  <c r="BB6" i="8"/>
  <c r="BB5" i="8" s="1"/>
  <c r="AZ6" i="8"/>
  <c r="AZ5" i="8" s="1"/>
  <c r="AX6" i="8"/>
  <c r="AV6" i="8"/>
  <c r="AV5" i="8" s="1"/>
  <c r="AT6" i="8"/>
  <c r="AR6" i="8"/>
  <c r="AR5" i="8" s="1"/>
  <c r="AP6" i="8"/>
  <c r="AN6" i="8"/>
  <c r="AL6" i="8"/>
  <c r="AL5" i="8" s="1"/>
  <c r="AJ6" i="8"/>
  <c r="AJ5" i="8" s="1"/>
  <c r="AH6" i="8"/>
  <c r="AH5" i="8" s="1"/>
  <c r="AF6" i="8"/>
  <c r="AD6" i="8"/>
  <c r="AB6" i="8"/>
  <c r="Z6" i="8"/>
  <c r="X6" i="8"/>
  <c r="X5" i="8" s="1"/>
  <c r="V6" i="8"/>
  <c r="V5" i="8" s="1"/>
  <c r="T6" i="8"/>
  <c r="T5" i="8" s="1"/>
  <c r="R6" i="8"/>
  <c r="R5" i="8" s="1"/>
  <c r="P6" i="8"/>
  <c r="N6" i="8"/>
  <c r="L6" i="8"/>
  <c r="J6" i="8"/>
  <c r="J5" i="8" s="1"/>
  <c r="H6" i="8"/>
  <c r="F6" i="8"/>
  <c r="D6" i="8"/>
  <c r="AX5" i="8"/>
  <c r="Z5" i="8"/>
  <c r="A5" i="8"/>
  <c r="A1" i="8"/>
  <c r="BQ13" i="7"/>
  <c r="BQ14" i="7"/>
  <c r="BQ15" i="7"/>
  <c r="BQ17" i="7"/>
  <c r="BQ21" i="7"/>
  <c r="BQ25" i="7"/>
  <c r="BQ26" i="7"/>
  <c r="BQ27" i="7"/>
  <c r="BQ28" i="7"/>
  <c r="BQ30" i="7" s="1"/>
  <c r="BQ31" i="7" s="1"/>
  <c r="BQ32" i="7"/>
  <c r="BQ33" i="7"/>
  <c r="BQ34" i="7"/>
  <c r="BQ36" i="7"/>
  <c r="BQ38" i="7"/>
  <c r="BQ39" i="7"/>
  <c r="BQ43" i="7"/>
  <c r="BQ55" i="7"/>
  <c r="BQ56" i="7"/>
  <c r="BQ62" i="7"/>
  <c r="BP62" i="7" s="1"/>
  <c r="BQ63" i="7"/>
  <c r="BQ64" i="7"/>
  <c r="BP64" i="7" s="1"/>
  <c r="BQ65" i="7"/>
  <c r="BQ66" i="7"/>
  <c r="BP66" i="7" s="1"/>
  <c r="BQ74" i="7"/>
  <c r="BQ77" i="7"/>
  <c r="BQ78" i="7"/>
  <c r="BP78" i="7" s="1"/>
  <c r="BQ92" i="7" s="1"/>
  <c r="BQ79" i="7"/>
  <c r="BP79" i="7" s="1"/>
  <c r="BQ93" i="7" s="1"/>
  <c r="BQ80" i="7"/>
  <c r="BQ81" i="7"/>
  <c r="BP81" i="7" s="1"/>
  <c r="BQ95" i="7" s="1"/>
  <c r="BQ82" i="7"/>
  <c r="BP82" i="7" s="1"/>
  <c r="BQ96" i="7" s="1"/>
  <c r="BQ83" i="7"/>
  <c r="BP83" i="7" s="1"/>
  <c r="BQ97" i="7" s="1"/>
  <c r="BQ84" i="7"/>
  <c r="BP84" i="7" s="1"/>
  <c r="BQ98" i="7" s="1"/>
  <c r="BQ85" i="7"/>
  <c r="BQ86" i="7"/>
  <c r="BP86" i="7" s="1"/>
  <c r="BQ100" i="7" s="1"/>
  <c r="BQ87" i="7"/>
  <c r="BP87" i="7" s="1"/>
  <c r="BQ101" i="7" s="1"/>
  <c r="BQ88" i="7"/>
  <c r="BP88" i="7" s="1"/>
  <c r="BQ102" i="7" s="1"/>
  <c r="C17" i="7"/>
  <c r="C25" i="7"/>
  <c r="C26" i="7"/>
  <c r="C27" i="7"/>
  <c r="C28" i="7"/>
  <c r="E30" i="7" s="1"/>
  <c r="C36" i="7"/>
  <c r="C38" i="7"/>
  <c r="C39" i="7"/>
  <c r="C43" i="7"/>
  <c r="C55" i="7"/>
  <c r="C56" i="7"/>
  <c r="C62" i="7"/>
  <c r="D62" i="7" s="1"/>
  <c r="C63" i="7"/>
  <c r="D63" i="7" s="1"/>
  <c r="C64" i="7"/>
  <c r="B64" i="7" s="1"/>
  <c r="C65" i="7"/>
  <c r="D65" i="7" s="1"/>
  <c r="C66" i="7"/>
  <c r="D66" i="7" s="1"/>
  <c r="C74" i="7"/>
  <c r="C77" i="7"/>
  <c r="C78" i="7"/>
  <c r="C79" i="7"/>
  <c r="D79" i="7" s="1"/>
  <c r="E93" i="7" s="1"/>
  <c r="C80" i="7"/>
  <c r="C81" i="7"/>
  <c r="D81" i="7" s="1"/>
  <c r="C82" i="7"/>
  <c r="D82" i="7" s="1"/>
  <c r="E96" i="7" s="1"/>
  <c r="C83" i="7"/>
  <c r="E71" i="7" s="1"/>
  <c r="C84" i="7"/>
  <c r="D84" i="7" s="1"/>
  <c r="E98" i="7" s="1"/>
  <c r="C85" i="7"/>
  <c r="C86" i="7"/>
  <c r="D86" i="7" s="1"/>
  <c r="E100" i="7" s="1"/>
  <c r="C87" i="7"/>
  <c r="D87" i="7" s="1"/>
  <c r="E101" i="7" s="1"/>
  <c r="C88" i="7"/>
  <c r="BO120" i="7"/>
  <c r="C108" i="19" s="1"/>
  <c r="BO119" i="7"/>
  <c r="C107" i="19" s="1"/>
  <c r="BO118" i="7"/>
  <c r="C106" i="19" s="1"/>
  <c r="BO117" i="7"/>
  <c r="C105" i="19" s="1"/>
  <c r="BO116" i="7"/>
  <c r="C104" i="19" s="1"/>
  <c r="BO115" i="7"/>
  <c r="C103" i="19" s="1"/>
  <c r="BO114" i="7"/>
  <c r="C102" i="19" s="1"/>
  <c r="BO113" i="7"/>
  <c r="C101" i="19" s="1"/>
  <c r="BO112" i="7"/>
  <c r="C100" i="19" s="1"/>
  <c r="BO111" i="7"/>
  <c r="C99" i="19" s="1"/>
  <c r="BO110" i="7"/>
  <c r="C98" i="19" s="1"/>
  <c r="BO109" i="7"/>
  <c r="C97" i="19" s="1"/>
  <c r="BO108" i="7"/>
  <c r="C96" i="19" s="1"/>
  <c r="BO107" i="7"/>
  <c r="C95" i="19" s="1"/>
  <c r="BO106" i="7"/>
  <c r="C94" i="19" s="1"/>
  <c r="BP104" i="7"/>
  <c r="BJ104" i="7"/>
  <c r="BH104" i="7"/>
  <c r="BF104" i="7"/>
  <c r="BD104" i="7"/>
  <c r="BB104" i="7"/>
  <c r="AZ104" i="7"/>
  <c r="AX104" i="7"/>
  <c r="AV104" i="7"/>
  <c r="AT104" i="7"/>
  <c r="AR104" i="7"/>
  <c r="AP104" i="7"/>
  <c r="AN104" i="7"/>
  <c r="AL104" i="7"/>
  <c r="AJ104" i="7"/>
  <c r="AH104" i="7"/>
  <c r="AF104" i="7"/>
  <c r="AD104" i="7"/>
  <c r="AB104" i="7"/>
  <c r="Z104" i="7"/>
  <c r="X104" i="7"/>
  <c r="V104" i="7"/>
  <c r="T104" i="7"/>
  <c r="R104" i="7"/>
  <c r="P104" i="7"/>
  <c r="N104" i="7"/>
  <c r="L104" i="7"/>
  <c r="J104" i="7"/>
  <c r="H104" i="7"/>
  <c r="F104" i="7"/>
  <c r="D104" i="7"/>
  <c r="BP103" i="7"/>
  <c r="BJ103" i="7"/>
  <c r="BH103" i="7"/>
  <c r="BF103" i="7"/>
  <c r="BD103" i="7"/>
  <c r="BB103" i="7"/>
  <c r="AZ103" i="7"/>
  <c r="AX103" i="7"/>
  <c r="AV103" i="7"/>
  <c r="AT103" i="7"/>
  <c r="AR103" i="7"/>
  <c r="AP103" i="7"/>
  <c r="AN103" i="7"/>
  <c r="AL103" i="7"/>
  <c r="AJ103" i="7"/>
  <c r="AH103" i="7"/>
  <c r="AF103" i="7"/>
  <c r="AD103" i="7"/>
  <c r="AB103" i="7"/>
  <c r="Z103" i="7"/>
  <c r="X103" i="7"/>
  <c r="V103" i="7"/>
  <c r="T103" i="7"/>
  <c r="R103" i="7"/>
  <c r="P103" i="7"/>
  <c r="N103" i="7"/>
  <c r="L103" i="7"/>
  <c r="J103" i="7"/>
  <c r="H103" i="7"/>
  <c r="F103" i="7"/>
  <c r="D103" i="7"/>
  <c r="BC100" i="7"/>
  <c r="BI99" i="7"/>
  <c r="BP89" i="7"/>
  <c r="BJ89" i="7"/>
  <c r="BH89" i="7"/>
  <c r="BF89" i="7"/>
  <c r="BD89" i="7"/>
  <c r="BB89" i="7"/>
  <c r="AZ89" i="7"/>
  <c r="AX89" i="7"/>
  <c r="AV89" i="7"/>
  <c r="AT89" i="7"/>
  <c r="AR89" i="7"/>
  <c r="AP89" i="7"/>
  <c r="AN89" i="7"/>
  <c r="AL89" i="7"/>
  <c r="AJ89" i="7"/>
  <c r="AH89" i="7"/>
  <c r="AF89" i="7"/>
  <c r="AD89" i="7"/>
  <c r="AB89" i="7"/>
  <c r="Z89" i="7"/>
  <c r="X89" i="7"/>
  <c r="V89" i="7"/>
  <c r="T89" i="7"/>
  <c r="R89" i="7"/>
  <c r="P89" i="7"/>
  <c r="N89" i="7"/>
  <c r="L89" i="7"/>
  <c r="J89" i="7"/>
  <c r="H89" i="7"/>
  <c r="F89" i="7"/>
  <c r="D89" i="7"/>
  <c r="BJ88" i="7"/>
  <c r="BK102" i="7" s="1"/>
  <c r="BH88" i="7"/>
  <c r="BI102" i="7" s="1"/>
  <c r="BF88" i="7"/>
  <c r="BG102" i="7" s="1"/>
  <c r="BD88" i="7"/>
  <c r="BE102" i="7" s="1"/>
  <c r="BB88" i="7"/>
  <c r="BC102" i="7" s="1"/>
  <c r="AZ88" i="7"/>
  <c r="BA102" i="7" s="1"/>
  <c r="AX88" i="7"/>
  <c r="AY102" i="7" s="1"/>
  <c r="AV88" i="7"/>
  <c r="AW102" i="7" s="1"/>
  <c r="AT88" i="7"/>
  <c r="AU102" i="7" s="1"/>
  <c r="AR88" i="7"/>
  <c r="AS102" i="7" s="1"/>
  <c r="AP88" i="7"/>
  <c r="AQ102" i="7" s="1"/>
  <c r="AN88" i="7"/>
  <c r="AO102" i="7" s="1"/>
  <c r="AL88" i="7"/>
  <c r="AM102" i="7" s="1"/>
  <c r="AJ88" i="7"/>
  <c r="AK102" i="7" s="1"/>
  <c r="AH88" i="7"/>
  <c r="AI102" i="7" s="1"/>
  <c r="AF88" i="7"/>
  <c r="AG102" i="7" s="1"/>
  <c r="AD88" i="7"/>
  <c r="AE102" i="7" s="1"/>
  <c r="AB88" i="7"/>
  <c r="AC102" i="7" s="1"/>
  <c r="Z88" i="7"/>
  <c r="AA102" i="7" s="1"/>
  <c r="X88" i="7"/>
  <c r="Y102" i="7" s="1"/>
  <c r="V88" i="7"/>
  <c r="W102" i="7" s="1"/>
  <c r="T88" i="7"/>
  <c r="U102" i="7" s="1"/>
  <c r="R88" i="7"/>
  <c r="S102" i="7" s="1"/>
  <c r="P88" i="7"/>
  <c r="Q102" i="7" s="1"/>
  <c r="N88" i="7"/>
  <c r="O102" i="7" s="1"/>
  <c r="L88" i="7"/>
  <c r="M102" i="7" s="1"/>
  <c r="J88" i="7"/>
  <c r="K102" i="7" s="1"/>
  <c r="H88" i="7"/>
  <c r="I102" i="7" s="1"/>
  <c r="F88" i="7"/>
  <c r="G102" i="7" s="1"/>
  <c r="BJ87" i="7"/>
  <c r="BK101" i="7" s="1"/>
  <c r="BH87" i="7"/>
  <c r="BI101" i="7" s="1"/>
  <c r="BF87" i="7"/>
  <c r="BG101" i="7" s="1"/>
  <c r="BD87" i="7"/>
  <c r="BE101" i="7" s="1"/>
  <c r="BB87" i="7"/>
  <c r="BC101" i="7" s="1"/>
  <c r="AZ87" i="7"/>
  <c r="BA101" i="7" s="1"/>
  <c r="AX87" i="7"/>
  <c r="AY101" i="7" s="1"/>
  <c r="AV87" i="7"/>
  <c r="AW101" i="7" s="1"/>
  <c r="AT87" i="7"/>
  <c r="AU101" i="7" s="1"/>
  <c r="AR87" i="7"/>
  <c r="AS101" i="7" s="1"/>
  <c r="AP87" i="7"/>
  <c r="AQ101" i="7" s="1"/>
  <c r="AN87" i="7"/>
  <c r="AO101" i="7" s="1"/>
  <c r="AL87" i="7"/>
  <c r="AM101" i="7" s="1"/>
  <c r="AJ87" i="7"/>
  <c r="AK101" i="7" s="1"/>
  <c r="AH87" i="7"/>
  <c r="AI101" i="7" s="1"/>
  <c r="AF87" i="7"/>
  <c r="AG101" i="7" s="1"/>
  <c r="AD87" i="7"/>
  <c r="AE101" i="7" s="1"/>
  <c r="AB87" i="7"/>
  <c r="AC101" i="7" s="1"/>
  <c r="Z87" i="7"/>
  <c r="AA101" i="7" s="1"/>
  <c r="X87" i="7"/>
  <c r="Y101" i="7" s="1"/>
  <c r="V87" i="7"/>
  <c r="W101" i="7" s="1"/>
  <c r="T87" i="7"/>
  <c r="U101" i="7" s="1"/>
  <c r="R87" i="7"/>
  <c r="S101" i="7" s="1"/>
  <c r="P87" i="7"/>
  <c r="Q101" i="7" s="1"/>
  <c r="N87" i="7"/>
  <c r="O101" i="7" s="1"/>
  <c r="L87" i="7"/>
  <c r="M101" i="7" s="1"/>
  <c r="J87" i="7"/>
  <c r="K101" i="7" s="1"/>
  <c r="H87" i="7"/>
  <c r="I101" i="7" s="1"/>
  <c r="F87" i="7"/>
  <c r="G101" i="7" s="1"/>
  <c r="BJ86" i="7"/>
  <c r="BK100" i="7" s="1"/>
  <c r="BH86" i="7"/>
  <c r="BI100" i="7" s="1"/>
  <c r="BF86" i="7"/>
  <c r="BG100" i="7" s="1"/>
  <c r="BD86" i="7"/>
  <c r="BE100" i="7" s="1"/>
  <c r="BB86" i="7"/>
  <c r="AZ86" i="7"/>
  <c r="BA100" i="7" s="1"/>
  <c r="AX86" i="7"/>
  <c r="AY100" i="7" s="1"/>
  <c r="AV86" i="7"/>
  <c r="AW100" i="7" s="1"/>
  <c r="AT86" i="7"/>
  <c r="AU100" i="7" s="1"/>
  <c r="AR86" i="7"/>
  <c r="AS100" i="7" s="1"/>
  <c r="AP86" i="7"/>
  <c r="AQ100" i="7" s="1"/>
  <c r="AN86" i="7"/>
  <c r="AO100" i="7" s="1"/>
  <c r="AL86" i="7"/>
  <c r="AM100" i="7" s="1"/>
  <c r="AJ86" i="7"/>
  <c r="AK100" i="7" s="1"/>
  <c r="AH86" i="7"/>
  <c r="AI100" i="7" s="1"/>
  <c r="AF86" i="7"/>
  <c r="AG100" i="7" s="1"/>
  <c r="AD86" i="7"/>
  <c r="AE100" i="7" s="1"/>
  <c r="AB86" i="7"/>
  <c r="AC100" i="7" s="1"/>
  <c r="Z86" i="7"/>
  <c r="AA100" i="7" s="1"/>
  <c r="X86" i="7"/>
  <c r="Y100" i="7" s="1"/>
  <c r="V86" i="7"/>
  <c r="W100" i="7" s="1"/>
  <c r="T86" i="7"/>
  <c r="U100" i="7" s="1"/>
  <c r="R86" i="7"/>
  <c r="S100" i="7" s="1"/>
  <c r="P86" i="7"/>
  <c r="Q100" i="7" s="1"/>
  <c r="N86" i="7"/>
  <c r="O100" i="7" s="1"/>
  <c r="L86" i="7"/>
  <c r="M100" i="7" s="1"/>
  <c r="J86" i="7"/>
  <c r="K100" i="7" s="1"/>
  <c r="H86" i="7"/>
  <c r="F86" i="7"/>
  <c r="G100" i="7" s="1"/>
  <c r="BJ85" i="7"/>
  <c r="BK99" i="7" s="1"/>
  <c r="BH85" i="7"/>
  <c r="BF85" i="7"/>
  <c r="BG99" i="7" s="1"/>
  <c r="BD85" i="7"/>
  <c r="BE99" i="7" s="1"/>
  <c r="BB85" i="7"/>
  <c r="BC99" i="7" s="1"/>
  <c r="AZ85" i="7"/>
  <c r="BA99" i="7" s="1"/>
  <c r="AX85" i="7"/>
  <c r="AY99" i="7" s="1"/>
  <c r="AV85" i="7"/>
  <c r="AW99" i="7" s="1"/>
  <c r="AT85" i="7"/>
  <c r="AU99" i="7" s="1"/>
  <c r="AR85" i="7"/>
  <c r="AS99" i="7" s="1"/>
  <c r="AP85" i="7"/>
  <c r="AQ99" i="7" s="1"/>
  <c r="AN85" i="7"/>
  <c r="AO99" i="7" s="1"/>
  <c r="AL85" i="7"/>
  <c r="AM99" i="7" s="1"/>
  <c r="AJ85" i="7"/>
  <c r="AK99" i="7" s="1"/>
  <c r="AH85" i="7"/>
  <c r="AI99" i="7" s="1"/>
  <c r="AF85" i="7"/>
  <c r="AG99" i="7" s="1"/>
  <c r="AD85" i="7"/>
  <c r="AE99" i="7" s="1"/>
  <c r="AB85" i="7"/>
  <c r="AC99" i="7" s="1"/>
  <c r="Z85" i="7"/>
  <c r="AA99" i="7" s="1"/>
  <c r="X85" i="7"/>
  <c r="Y99" i="7" s="1"/>
  <c r="V85" i="7"/>
  <c r="W99" i="7" s="1"/>
  <c r="T85" i="7"/>
  <c r="U99" i="7" s="1"/>
  <c r="R85" i="7"/>
  <c r="S99" i="7" s="1"/>
  <c r="P85" i="7"/>
  <c r="Q99" i="7" s="1"/>
  <c r="N85" i="7"/>
  <c r="O99" i="7" s="1"/>
  <c r="L85" i="7"/>
  <c r="M99" i="7" s="1"/>
  <c r="J85" i="7"/>
  <c r="K99" i="7" s="1"/>
  <c r="H85" i="7"/>
  <c r="I99" i="7" s="1"/>
  <c r="F85" i="7"/>
  <c r="G99" i="7" s="1"/>
  <c r="D85" i="7"/>
  <c r="BJ84" i="7"/>
  <c r="BK98" i="7" s="1"/>
  <c r="BH84" i="7"/>
  <c r="BI98" i="7" s="1"/>
  <c r="BF84" i="7"/>
  <c r="BG98" i="7" s="1"/>
  <c r="BD84" i="7"/>
  <c r="BE98" i="7" s="1"/>
  <c r="BB84" i="7"/>
  <c r="BC98" i="7" s="1"/>
  <c r="AZ84" i="7"/>
  <c r="BA98" i="7" s="1"/>
  <c r="AX84" i="7"/>
  <c r="AY98" i="7" s="1"/>
  <c r="AV84" i="7"/>
  <c r="AW98" i="7" s="1"/>
  <c r="AT84" i="7"/>
  <c r="AU98" i="7" s="1"/>
  <c r="AR84" i="7"/>
  <c r="AS98" i="7" s="1"/>
  <c r="AP84" i="7"/>
  <c r="AQ98" i="7" s="1"/>
  <c r="AN84" i="7"/>
  <c r="AO98" i="7" s="1"/>
  <c r="AL84" i="7"/>
  <c r="AM98" i="7" s="1"/>
  <c r="AJ84" i="7"/>
  <c r="AK98" i="7" s="1"/>
  <c r="AH84" i="7"/>
  <c r="AI98" i="7" s="1"/>
  <c r="AF84" i="7"/>
  <c r="AG98" i="7" s="1"/>
  <c r="AD84" i="7"/>
  <c r="AE98" i="7" s="1"/>
  <c r="AB84" i="7"/>
  <c r="AC98" i="7" s="1"/>
  <c r="Z84" i="7"/>
  <c r="AA98" i="7" s="1"/>
  <c r="X84" i="7"/>
  <c r="Y98" i="7" s="1"/>
  <c r="V84" i="7"/>
  <c r="W98" i="7" s="1"/>
  <c r="T84" i="7"/>
  <c r="U98" i="7" s="1"/>
  <c r="R84" i="7"/>
  <c r="S98" i="7" s="1"/>
  <c r="P84" i="7"/>
  <c r="Q98" i="7" s="1"/>
  <c r="N84" i="7"/>
  <c r="O98" i="7" s="1"/>
  <c r="L84" i="7"/>
  <c r="M98" i="7" s="1"/>
  <c r="J84" i="7"/>
  <c r="K98" i="7" s="1"/>
  <c r="H84" i="7"/>
  <c r="I98" i="7" s="1"/>
  <c r="F84" i="7"/>
  <c r="G98" i="7" s="1"/>
  <c r="BJ83" i="7"/>
  <c r="BK97" i="7" s="1"/>
  <c r="BH83" i="7"/>
  <c r="BI97" i="7" s="1"/>
  <c r="BF83" i="7"/>
  <c r="BG97" i="7" s="1"/>
  <c r="BD83" i="7"/>
  <c r="BE97" i="7" s="1"/>
  <c r="BB83" i="7"/>
  <c r="BC97" i="7" s="1"/>
  <c r="AZ83" i="7"/>
  <c r="BA97" i="7" s="1"/>
  <c r="AX83" i="7"/>
  <c r="AY97" i="7" s="1"/>
  <c r="AV83" i="7"/>
  <c r="AW97" i="7" s="1"/>
  <c r="AT83" i="7"/>
  <c r="AU97" i="7" s="1"/>
  <c r="AR83" i="7"/>
  <c r="AS97" i="7" s="1"/>
  <c r="AP83" i="7"/>
  <c r="AQ97" i="7" s="1"/>
  <c r="AN83" i="7"/>
  <c r="AO97" i="7" s="1"/>
  <c r="AL83" i="7"/>
  <c r="AM97" i="7" s="1"/>
  <c r="AJ83" i="7"/>
  <c r="AK97" i="7" s="1"/>
  <c r="AH83" i="7"/>
  <c r="AI97" i="7" s="1"/>
  <c r="AF83" i="7"/>
  <c r="AG97" i="7" s="1"/>
  <c r="AD83" i="7"/>
  <c r="AE97" i="7" s="1"/>
  <c r="AB83" i="7"/>
  <c r="AC97" i="7" s="1"/>
  <c r="Z83" i="7"/>
  <c r="AA97" i="7" s="1"/>
  <c r="X83" i="7"/>
  <c r="Y97" i="7" s="1"/>
  <c r="V83" i="7"/>
  <c r="W97" i="7" s="1"/>
  <c r="T83" i="7"/>
  <c r="U97" i="7" s="1"/>
  <c r="R83" i="7"/>
  <c r="S97" i="7" s="1"/>
  <c r="P83" i="7"/>
  <c r="Q97" i="7" s="1"/>
  <c r="N83" i="7"/>
  <c r="O97" i="7" s="1"/>
  <c r="L83" i="7"/>
  <c r="M97" i="7" s="1"/>
  <c r="J83" i="7"/>
  <c r="K97" i="7" s="1"/>
  <c r="H83" i="7"/>
  <c r="I97" i="7" s="1"/>
  <c r="F83" i="7"/>
  <c r="G97" i="7" s="1"/>
  <c r="BJ82" i="7"/>
  <c r="BK96" i="7" s="1"/>
  <c r="BH82" i="7"/>
  <c r="BI96" i="7" s="1"/>
  <c r="BF82" i="7"/>
  <c r="BG96" i="7" s="1"/>
  <c r="BD82" i="7"/>
  <c r="BE96" i="7" s="1"/>
  <c r="BB82" i="7"/>
  <c r="BC96" i="7" s="1"/>
  <c r="AZ82" i="7"/>
  <c r="BA96" i="7" s="1"/>
  <c r="AX82" i="7"/>
  <c r="AY96" i="7" s="1"/>
  <c r="AV82" i="7"/>
  <c r="AW96" i="7" s="1"/>
  <c r="AT82" i="7"/>
  <c r="AU96" i="7" s="1"/>
  <c r="AR82" i="7"/>
  <c r="AS96" i="7" s="1"/>
  <c r="AP82" i="7"/>
  <c r="AQ96" i="7" s="1"/>
  <c r="AN82" i="7"/>
  <c r="AO96" i="7" s="1"/>
  <c r="AL82" i="7"/>
  <c r="AM96" i="7" s="1"/>
  <c r="AJ82" i="7"/>
  <c r="AK96" i="7" s="1"/>
  <c r="AH82" i="7"/>
  <c r="AI96" i="7" s="1"/>
  <c r="AF82" i="7"/>
  <c r="AG96" i="7" s="1"/>
  <c r="AD82" i="7"/>
  <c r="AE96" i="7" s="1"/>
  <c r="AB82" i="7"/>
  <c r="AC96" i="7" s="1"/>
  <c r="Z82" i="7"/>
  <c r="AA96" i="7" s="1"/>
  <c r="X82" i="7"/>
  <c r="Y96" i="7" s="1"/>
  <c r="V82" i="7"/>
  <c r="W96" i="7" s="1"/>
  <c r="T82" i="7"/>
  <c r="U96" i="7" s="1"/>
  <c r="R82" i="7"/>
  <c r="S96" i="7" s="1"/>
  <c r="P82" i="7"/>
  <c r="Q96" i="7" s="1"/>
  <c r="N82" i="7"/>
  <c r="O96" i="7" s="1"/>
  <c r="L82" i="7"/>
  <c r="M96" i="7" s="1"/>
  <c r="J82" i="7"/>
  <c r="K96" i="7" s="1"/>
  <c r="H82" i="7"/>
  <c r="F82" i="7"/>
  <c r="G96" i="7" s="1"/>
  <c r="BJ81" i="7"/>
  <c r="BK95" i="7" s="1"/>
  <c r="BH81" i="7"/>
  <c r="BI95" i="7" s="1"/>
  <c r="BF81" i="7"/>
  <c r="BG95" i="7" s="1"/>
  <c r="BD81" i="7"/>
  <c r="BE95" i="7" s="1"/>
  <c r="BB81" i="7"/>
  <c r="BC95" i="7" s="1"/>
  <c r="AZ81" i="7"/>
  <c r="BA95" i="7" s="1"/>
  <c r="AX81" i="7"/>
  <c r="AY95" i="7" s="1"/>
  <c r="AV81" i="7"/>
  <c r="AW95" i="7" s="1"/>
  <c r="AT81" i="7"/>
  <c r="AU95" i="7" s="1"/>
  <c r="AR81" i="7"/>
  <c r="AS95" i="7" s="1"/>
  <c r="AP81" i="7"/>
  <c r="AQ95" i="7" s="1"/>
  <c r="AN81" i="7"/>
  <c r="AO95" i="7" s="1"/>
  <c r="AL81" i="7"/>
  <c r="AM95" i="7" s="1"/>
  <c r="AJ81" i="7"/>
  <c r="AK95" i="7" s="1"/>
  <c r="AH81" i="7"/>
  <c r="AI95" i="7" s="1"/>
  <c r="AF81" i="7"/>
  <c r="AG95" i="7" s="1"/>
  <c r="AD81" i="7"/>
  <c r="AE95" i="7" s="1"/>
  <c r="AB81" i="7"/>
  <c r="AC95" i="7" s="1"/>
  <c r="Z81" i="7"/>
  <c r="AA95" i="7" s="1"/>
  <c r="X81" i="7"/>
  <c r="Y95" i="7" s="1"/>
  <c r="V81" i="7"/>
  <c r="W95" i="7" s="1"/>
  <c r="T81" i="7"/>
  <c r="U95" i="7" s="1"/>
  <c r="R81" i="7"/>
  <c r="S95" i="7" s="1"/>
  <c r="P81" i="7"/>
  <c r="Q95" i="7" s="1"/>
  <c r="N81" i="7"/>
  <c r="O95" i="7" s="1"/>
  <c r="L81" i="7"/>
  <c r="M95" i="7" s="1"/>
  <c r="J81" i="7"/>
  <c r="K95" i="7" s="1"/>
  <c r="H81" i="7"/>
  <c r="I95" i="7" s="1"/>
  <c r="F81" i="7"/>
  <c r="G95" i="7" s="1"/>
  <c r="BJ80" i="7"/>
  <c r="BK94" i="7" s="1"/>
  <c r="BH80" i="7"/>
  <c r="BI94" i="7" s="1"/>
  <c r="BF80" i="7"/>
  <c r="BG94" i="7" s="1"/>
  <c r="BD80" i="7"/>
  <c r="BE94" i="7" s="1"/>
  <c r="BB80" i="7"/>
  <c r="BC94" i="7" s="1"/>
  <c r="AZ80" i="7"/>
  <c r="BA94" i="7" s="1"/>
  <c r="AX80" i="7"/>
  <c r="AY94" i="7" s="1"/>
  <c r="AV80" i="7"/>
  <c r="AW94" i="7" s="1"/>
  <c r="AT80" i="7"/>
  <c r="AU94" i="7" s="1"/>
  <c r="AR80" i="7"/>
  <c r="AS94" i="7" s="1"/>
  <c r="AP80" i="7"/>
  <c r="AQ94" i="7" s="1"/>
  <c r="AN80" i="7"/>
  <c r="AO94" i="7" s="1"/>
  <c r="AL80" i="7"/>
  <c r="AM94" i="7" s="1"/>
  <c r="AJ80" i="7"/>
  <c r="AK94" i="7" s="1"/>
  <c r="AH80" i="7"/>
  <c r="AI94" i="7" s="1"/>
  <c r="AF80" i="7"/>
  <c r="AG94" i="7" s="1"/>
  <c r="AD80" i="7"/>
  <c r="AE94" i="7" s="1"/>
  <c r="AB80" i="7"/>
  <c r="AC94" i="7" s="1"/>
  <c r="Z80" i="7"/>
  <c r="AA94" i="7" s="1"/>
  <c r="X80" i="7"/>
  <c r="Y94" i="7" s="1"/>
  <c r="V80" i="7"/>
  <c r="W94" i="7" s="1"/>
  <c r="T80" i="7"/>
  <c r="U94" i="7" s="1"/>
  <c r="R80" i="7"/>
  <c r="S94" i="7" s="1"/>
  <c r="P80" i="7"/>
  <c r="Q94" i="7" s="1"/>
  <c r="N80" i="7"/>
  <c r="O94" i="7" s="1"/>
  <c r="L80" i="7"/>
  <c r="M94" i="7" s="1"/>
  <c r="J80" i="7"/>
  <c r="K94" i="7" s="1"/>
  <c r="H80" i="7"/>
  <c r="I94" i="7" s="1"/>
  <c r="F80" i="7"/>
  <c r="G94" i="7" s="1"/>
  <c r="D80" i="7"/>
  <c r="E94" i="7" s="1"/>
  <c r="BJ79" i="7"/>
  <c r="BK93" i="7" s="1"/>
  <c r="BH79" i="7"/>
  <c r="BI93" i="7" s="1"/>
  <c r="BF79" i="7"/>
  <c r="BG93" i="7" s="1"/>
  <c r="BD79" i="7"/>
  <c r="BE93" i="7" s="1"/>
  <c r="BB79" i="7"/>
  <c r="BC93" i="7" s="1"/>
  <c r="AZ79" i="7"/>
  <c r="BA93" i="7" s="1"/>
  <c r="AX79" i="7"/>
  <c r="AY93" i="7" s="1"/>
  <c r="AV79" i="7"/>
  <c r="AW93" i="7" s="1"/>
  <c r="AT79" i="7"/>
  <c r="AU93" i="7" s="1"/>
  <c r="AR79" i="7"/>
  <c r="AS93" i="7" s="1"/>
  <c r="AP79" i="7"/>
  <c r="AQ93" i="7" s="1"/>
  <c r="AN79" i="7"/>
  <c r="AL79" i="7"/>
  <c r="AM93" i="7" s="1"/>
  <c r="AJ79" i="7"/>
  <c r="AK93" i="7" s="1"/>
  <c r="AH79" i="7"/>
  <c r="AI93" i="7" s="1"/>
  <c r="AF79" i="7"/>
  <c r="AG93" i="7" s="1"/>
  <c r="AD79" i="7"/>
  <c r="AE93" i="7" s="1"/>
  <c r="AB79" i="7"/>
  <c r="AC93" i="7" s="1"/>
  <c r="Z79" i="7"/>
  <c r="AA93" i="7" s="1"/>
  <c r="X79" i="7"/>
  <c r="Y93" i="7" s="1"/>
  <c r="V79" i="7"/>
  <c r="W93" i="7" s="1"/>
  <c r="T79" i="7"/>
  <c r="U93" i="7" s="1"/>
  <c r="R79" i="7"/>
  <c r="S93" i="7" s="1"/>
  <c r="P79" i="7"/>
  <c r="Q93" i="7" s="1"/>
  <c r="N79" i="7"/>
  <c r="O93" i="7" s="1"/>
  <c r="L79" i="7"/>
  <c r="M93" i="7" s="1"/>
  <c r="J79" i="7"/>
  <c r="K93" i="7" s="1"/>
  <c r="H79" i="7"/>
  <c r="I93" i="7" s="1"/>
  <c r="F79" i="7"/>
  <c r="G93" i="7" s="1"/>
  <c r="BJ78" i="7"/>
  <c r="BK92" i="7" s="1"/>
  <c r="BH78" i="7"/>
  <c r="BI92" i="7" s="1"/>
  <c r="BF78" i="7"/>
  <c r="BG92" i="7" s="1"/>
  <c r="BD78" i="7"/>
  <c r="BE92" i="7" s="1"/>
  <c r="BB78" i="7"/>
  <c r="BC92" i="7" s="1"/>
  <c r="AZ78" i="7"/>
  <c r="BA92" i="7" s="1"/>
  <c r="AX78" i="7"/>
  <c r="AY92" i="7" s="1"/>
  <c r="AV78" i="7"/>
  <c r="AW92" i="7" s="1"/>
  <c r="AT78" i="7"/>
  <c r="AU92" i="7" s="1"/>
  <c r="AR78" i="7"/>
  <c r="AS92" i="7" s="1"/>
  <c r="AP78" i="7"/>
  <c r="AQ92" i="7" s="1"/>
  <c r="AN78" i="7"/>
  <c r="AO92" i="7" s="1"/>
  <c r="AL78" i="7"/>
  <c r="AM92" i="7" s="1"/>
  <c r="AJ78" i="7"/>
  <c r="AK92" i="7" s="1"/>
  <c r="AH78" i="7"/>
  <c r="AI92" i="7" s="1"/>
  <c r="AF78" i="7"/>
  <c r="AG92" i="7" s="1"/>
  <c r="AD78" i="7"/>
  <c r="AE92" i="7" s="1"/>
  <c r="AB78" i="7"/>
  <c r="AC92" i="7" s="1"/>
  <c r="Z78" i="7"/>
  <c r="AA92" i="7" s="1"/>
  <c r="X78" i="7"/>
  <c r="Y92" i="7" s="1"/>
  <c r="V78" i="7"/>
  <c r="W92" i="7" s="1"/>
  <c r="T78" i="7"/>
  <c r="U92" i="7" s="1"/>
  <c r="R78" i="7"/>
  <c r="S92" i="7" s="1"/>
  <c r="P78" i="7"/>
  <c r="Q92" i="7" s="1"/>
  <c r="N78" i="7"/>
  <c r="O92" i="7" s="1"/>
  <c r="L78" i="7"/>
  <c r="M92" i="7" s="1"/>
  <c r="J78" i="7"/>
  <c r="K92" i="7" s="1"/>
  <c r="H78" i="7"/>
  <c r="F78" i="7"/>
  <c r="G92" i="7" s="1"/>
  <c r="BP77" i="7"/>
  <c r="BQ91" i="7" s="1"/>
  <c r="BQ103" i="7" s="1"/>
  <c r="BJ77" i="7"/>
  <c r="BK91" i="7" s="1"/>
  <c r="BH77" i="7"/>
  <c r="BI91" i="7" s="1"/>
  <c r="BF77" i="7"/>
  <c r="BG91" i="7" s="1"/>
  <c r="BD77" i="7"/>
  <c r="BE91" i="7" s="1"/>
  <c r="BB77" i="7"/>
  <c r="BC91" i="7" s="1"/>
  <c r="AZ77" i="7"/>
  <c r="BA91" i="7" s="1"/>
  <c r="AX77" i="7"/>
  <c r="AY91" i="7" s="1"/>
  <c r="AV77" i="7"/>
  <c r="AW91" i="7" s="1"/>
  <c r="AT77" i="7"/>
  <c r="AU91" i="7" s="1"/>
  <c r="AR77" i="7"/>
  <c r="AS91" i="7" s="1"/>
  <c r="AP77" i="7"/>
  <c r="AQ91" i="7" s="1"/>
  <c r="AN77" i="7"/>
  <c r="AO91" i="7" s="1"/>
  <c r="AL77" i="7"/>
  <c r="AM91" i="7" s="1"/>
  <c r="AJ77" i="7"/>
  <c r="AK91" i="7" s="1"/>
  <c r="AH77" i="7"/>
  <c r="AI91" i="7" s="1"/>
  <c r="AF77" i="7"/>
  <c r="AG91" i="7" s="1"/>
  <c r="AD77" i="7"/>
  <c r="AE91" i="7" s="1"/>
  <c r="AB77" i="7"/>
  <c r="AC91" i="7" s="1"/>
  <c r="Z77" i="7"/>
  <c r="AA91" i="7" s="1"/>
  <c r="X77" i="7"/>
  <c r="Y91" i="7" s="1"/>
  <c r="V77" i="7"/>
  <c r="W91" i="7" s="1"/>
  <c r="T77" i="7"/>
  <c r="U91" i="7" s="1"/>
  <c r="R77" i="7"/>
  <c r="S91" i="7" s="1"/>
  <c r="P77" i="7"/>
  <c r="Q91" i="7" s="1"/>
  <c r="N77" i="7"/>
  <c r="O91" i="7" s="1"/>
  <c r="L77" i="7"/>
  <c r="M91" i="7" s="1"/>
  <c r="J77" i="7"/>
  <c r="K91" i="7" s="1"/>
  <c r="H77" i="7"/>
  <c r="I91" i="7" s="1"/>
  <c r="F77" i="7"/>
  <c r="G91" i="7" s="1"/>
  <c r="AW75" i="7"/>
  <c r="AW11" i="7" s="1"/>
  <c r="BO74" i="7"/>
  <c r="C67" i="19" s="1"/>
  <c r="BP72" i="7"/>
  <c r="BK72" i="7"/>
  <c r="BJ72" i="7"/>
  <c r="BI72" i="7"/>
  <c r="BH72" i="7"/>
  <c r="BG72" i="7"/>
  <c r="BF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P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D72" i="7"/>
  <c r="BP71" i="7"/>
  <c r="BK71" i="7"/>
  <c r="BJ71" i="7"/>
  <c r="BI71" i="7"/>
  <c r="BH71" i="7"/>
  <c r="BG71" i="7"/>
  <c r="BF71" i="7"/>
  <c r="BE71" i="7"/>
  <c r="BD71" i="7"/>
  <c r="BC71" i="7"/>
  <c r="BB71" i="7"/>
  <c r="BA71" i="7"/>
  <c r="AZ71" i="7"/>
  <c r="AY71" i="7"/>
  <c r="AX71" i="7"/>
  <c r="AW71" i="7"/>
  <c r="AV71" i="7"/>
  <c r="AU71" i="7"/>
  <c r="AT71" i="7"/>
  <c r="AS71" i="7"/>
  <c r="AR71" i="7"/>
  <c r="AQ71" i="7"/>
  <c r="AP71" i="7"/>
  <c r="AO71" i="7"/>
  <c r="AN71" i="7"/>
  <c r="AM71" i="7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D71" i="7"/>
  <c r="BP70" i="7"/>
  <c r="BK70" i="7"/>
  <c r="BJ70" i="7"/>
  <c r="BI70" i="7"/>
  <c r="BH70" i="7"/>
  <c r="BG70" i="7"/>
  <c r="BF70" i="7"/>
  <c r="BE70" i="7"/>
  <c r="BD70" i="7"/>
  <c r="BC70" i="7"/>
  <c r="BB70" i="7"/>
  <c r="BA70" i="7"/>
  <c r="AZ70" i="7"/>
  <c r="AY70" i="7"/>
  <c r="AX70" i="7"/>
  <c r="AW70" i="7"/>
  <c r="AV70" i="7"/>
  <c r="AU70" i="7"/>
  <c r="AT70" i="7"/>
  <c r="AS70" i="7"/>
  <c r="AR70" i="7"/>
  <c r="AQ70" i="7"/>
  <c r="AP70" i="7"/>
  <c r="AO70" i="7"/>
  <c r="AN70" i="7"/>
  <c r="AM70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D70" i="7"/>
  <c r="BP69" i="7"/>
  <c r="BK69" i="7"/>
  <c r="BJ69" i="7"/>
  <c r="BI69" i="7"/>
  <c r="BH69" i="7"/>
  <c r="BG69" i="7"/>
  <c r="BF69" i="7"/>
  <c r="BE69" i="7"/>
  <c r="BD69" i="7"/>
  <c r="BC69" i="7"/>
  <c r="BB69" i="7"/>
  <c r="BA69" i="7"/>
  <c r="AZ69" i="7"/>
  <c r="AY69" i="7"/>
  <c r="AX69" i="7"/>
  <c r="AW69" i="7"/>
  <c r="AV69" i="7"/>
  <c r="AU69" i="7"/>
  <c r="AT69" i="7"/>
  <c r="AS69" i="7"/>
  <c r="AR69" i="7"/>
  <c r="AQ69" i="7"/>
  <c r="AP69" i="7"/>
  <c r="AO69" i="7"/>
  <c r="AN69" i="7"/>
  <c r="AM69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D69" i="7"/>
  <c r="BP68" i="7"/>
  <c r="BP73" i="7" s="1"/>
  <c r="BK68" i="7"/>
  <c r="BJ68" i="7"/>
  <c r="BI68" i="7"/>
  <c r="BH68" i="7"/>
  <c r="BG68" i="7"/>
  <c r="BF68" i="7"/>
  <c r="BE68" i="7"/>
  <c r="BD68" i="7"/>
  <c r="BD73" i="7" s="1"/>
  <c r="BC68" i="7"/>
  <c r="BB68" i="7"/>
  <c r="BB73" i="7" s="1"/>
  <c r="BA68" i="7"/>
  <c r="AZ68" i="7"/>
  <c r="AZ73" i="7" s="1"/>
  <c r="AY68" i="7"/>
  <c r="AX68" i="7"/>
  <c r="AW68" i="7"/>
  <c r="AV68" i="7"/>
  <c r="AU68" i="7"/>
  <c r="AT68" i="7"/>
  <c r="AS68" i="7"/>
  <c r="AR68" i="7"/>
  <c r="AR73" i="7" s="1"/>
  <c r="AQ68" i="7"/>
  <c r="AP68" i="7"/>
  <c r="AO68" i="7"/>
  <c r="AN68" i="7"/>
  <c r="AN73" i="7" s="1"/>
  <c r="AM68" i="7"/>
  <c r="AL68" i="7"/>
  <c r="AK68" i="7"/>
  <c r="AJ68" i="7"/>
  <c r="AI68" i="7"/>
  <c r="AH68" i="7"/>
  <c r="AG68" i="7"/>
  <c r="AF68" i="7"/>
  <c r="AF73" i="7" s="1"/>
  <c r="AE68" i="7"/>
  <c r="AD68" i="7"/>
  <c r="AC68" i="7"/>
  <c r="AB68" i="7"/>
  <c r="AB73" i="7" s="1"/>
  <c r="AA68" i="7"/>
  <c r="Z68" i="7"/>
  <c r="Y68" i="7"/>
  <c r="X68" i="7"/>
  <c r="W68" i="7"/>
  <c r="V68" i="7"/>
  <c r="U68" i="7"/>
  <c r="T68" i="7"/>
  <c r="S68" i="7"/>
  <c r="R68" i="7"/>
  <c r="R73" i="7" s="1"/>
  <c r="Q68" i="7"/>
  <c r="P68" i="7"/>
  <c r="P73" i="7" s="1"/>
  <c r="O68" i="7"/>
  <c r="N68" i="7"/>
  <c r="M68" i="7"/>
  <c r="L68" i="7"/>
  <c r="K68" i="7"/>
  <c r="J68" i="7"/>
  <c r="I68" i="7"/>
  <c r="H68" i="7"/>
  <c r="G68" i="7"/>
  <c r="F68" i="7"/>
  <c r="F73" i="7" s="1"/>
  <c r="D68" i="7"/>
  <c r="D73" i="7" s="1"/>
  <c r="BJ66" i="7"/>
  <c r="BH66" i="7"/>
  <c r="BF66" i="7"/>
  <c r="BD66" i="7"/>
  <c r="BB66" i="7"/>
  <c r="AZ66" i="7"/>
  <c r="AX66" i="7"/>
  <c r="AV66" i="7"/>
  <c r="AT66" i="7"/>
  <c r="AR66" i="7"/>
  <c r="AP66" i="7"/>
  <c r="AN66" i="7"/>
  <c r="AL66" i="7"/>
  <c r="AJ66" i="7"/>
  <c r="AH66" i="7"/>
  <c r="AF66" i="7"/>
  <c r="AD66" i="7"/>
  <c r="AB66" i="7"/>
  <c r="Z66" i="7"/>
  <c r="X66" i="7"/>
  <c r="V66" i="7"/>
  <c r="T66" i="7"/>
  <c r="R66" i="7"/>
  <c r="P66" i="7"/>
  <c r="N66" i="7"/>
  <c r="L66" i="7"/>
  <c r="J66" i="7"/>
  <c r="H66" i="7"/>
  <c r="F66" i="7"/>
  <c r="BP65" i="7"/>
  <c r="BJ65" i="7"/>
  <c r="BH65" i="7"/>
  <c r="BF65" i="7"/>
  <c r="BD65" i="7"/>
  <c r="BB65" i="7"/>
  <c r="AZ65" i="7"/>
  <c r="AX65" i="7"/>
  <c r="AV65" i="7"/>
  <c r="AT65" i="7"/>
  <c r="AR65" i="7"/>
  <c r="AP65" i="7"/>
  <c r="AN65" i="7"/>
  <c r="AL65" i="7"/>
  <c r="AJ65" i="7"/>
  <c r="AH65" i="7"/>
  <c r="AF65" i="7"/>
  <c r="AD65" i="7"/>
  <c r="AB65" i="7"/>
  <c r="Z65" i="7"/>
  <c r="X65" i="7"/>
  <c r="V65" i="7"/>
  <c r="T65" i="7"/>
  <c r="R65" i="7"/>
  <c r="P65" i="7"/>
  <c r="N65" i="7"/>
  <c r="L65" i="7"/>
  <c r="J65" i="7"/>
  <c r="H65" i="7"/>
  <c r="F65" i="7"/>
  <c r="B65" i="7"/>
  <c r="BJ64" i="7"/>
  <c r="BH64" i="7"/>
  <c r="BF64" i="7"/>
  <c r="BD64" i="7"/>
  <c r="BB64" i="7"/>
  <c r="AZ64" i="7"/>
  <c r="AX64" i="7"/>
  <c r="AV64" i="7"/>
  <c r="AT64" i="7"/>
  <c r="AR64" i="7"/>
  <c r="AP64" i="7"/>
  <c r="AN64" i="7"/>
  <c r="AL64" i="7"/>
  <c r="AJ64" i="7"/>
  <c r="AH64" i="7"/>
  <c r="AF64" i="7"/>
  <c r="AD64" i="7"/>
  <c r="AB64" i="7"/>
  <c r="Z64" i="7"/>
  <c r="X64" i="7"/>
  <c r="V64" i="7"/>
  <c r="T64" i="7"/>
  <c r="R64" i="7"/>
  <c r="P64" i="7"/>
  <c r="N64" i="7"/>
  <c r="L64" i="7"/>
  <c r="J64" i="7"/>
  <c r="H64" i="7"/>
  <c r="F64" i="7"/>
  <c r="D64" i="7"/>
  <c r="BP63" i="7"/>
  <c r="BJ63" i="7"/>
  <c r="BH63" i="7"/>
  <c r="BF63" i="7"/>
  <c r="BD63" i="7"/>
  <c r="BB63" i="7"/>
  <c r="AZ63" i="7"/>
  <c r="AX63" i="7"/>
  <c r="AV63" i="7"/>
  <c r="AT63" i="7"/>
  <c r="AR63" i="7"/>
  <c r="AP63" i="7"/>
  <c r="AN63" i="7"/>
  <c r="AL63" i="7"/>
  <c r="AJ63" i="7"/>
  <c r="AH63" i="7"/>
  <c r="AF63" i="7"/>
  <c r="AD63" i="7"/>
  <c r="AB63" i="7"/>
  <c r="Z63" i="7"/>
  <c r="X63" i="7"/>
  <c r="V63" i="7"/>
  <c r="T63" i="7"/>
  <c r="R63" i="7"/>
  <c r="P63" i="7"/>
  <c r="N63" i="7"/>
  <c r="L63" i="7"/>
  <c r="J63" i="7"/>
  <c r="H63" i="7"/>
  <c r="F63" i="7"/>
  <c r="BJ62" i="7"/>
  <c r="BH62" i="7"/>
  <c r="BF62" i="7"/>
  <c r="BD62" i="7"/>
  <c r="BB62" i="7"/>
  <c r="AZ62" i="7"/>
  <c r="AX62" i="7"/>
  <c r="AV62" i="7"/>
  <c r="AT62" i="7"/>
  <c r="AR62" i="7"/>
  <c r="AP62" i="7"/>
  <c r="AN62" i="7"/>
  <c r="AL62" i="7"/>
  <c r="AJ62" i="7"/>
  <c r="AH62" i="7"/>
  <c r="AF62" i="7"/>
  <c r="AD62" i="7"/>
  <c r="AB62" i="7"/>
  <c r="Z62" i="7"/>
  <c r="X62" i="7"/>
  <c r="V62" i="7"/>
  <c r="T62" i="7"/>
  <c r="R62" i="7"/>
  <c r="P62" i="7"/>
  <c r="N62" i="7"/>
  <c r="L62" i="7"/>
  <c r="J62" i="7"/>
  <c r="H62" i="7"/>
  <c r="F62" i="7"/>
  <c r="BK59" i="7"/>
  <c r="BK7" i="7" s="1"/>
  <c r="BI59" i="7"/>
  <c r="BI7" i="7" s="1"/>
  <c r="BG59" i="7"/>
  <c r="BG7" i="7" s="1"/>
  <c r="BE59" i="7"/>
  <c r="BE7" i="7" s="1"/>
  <c r="BC59" i="7"/>
  <c r="BC7" i="7" s="1"/>
  <c r="BA59" i="7"/>
  <c r="BA7" i="7" s="1"/>
  <c r="AY59" i="7"/>
  <c r="AW59" i="7"/>
  <c r="AU59" i="7"/>
  <c r="AU7" i="7" s="1"/>
  <c r="AS59" i="7"/>
  <c r="AS7" i="7" s="1"/>
  <c r="AQ59" i="7"/>
  <c r="AQ7" i="7" s="1"/>
  <c r="AO59" i="7"/>
  <c r="AO7" i="7" s="1"/>
  <c r="AM59" i="7"/>
  <c r="AM7" i="7" s="1"/>
  <c r="AK59" i="7"/>
  <c r="AK7" i="7" s="1"/>
  <c r="AI59" i="7"/>
  <c r="AG59" i="7"/>
  <c r="AG7" i="7" s="1"/>
  <c r="AE59" i="7"/>
  <c r="AE7" i="7" s="1"/>
  <c r="AC59" i="7"/>
  <c r="AC7" i="7" s="1"/>
  <c r="AA59" i="7"/>
  <c r="AA7" i="7" s="1"/>
  <c r="Y59" i="7"/>
  <c r="Y7" i="7" s="1"/>
  <c r="W59" i="7"/>
  <c r="W7" i="7" s="1"/>
  <c r="U59" i="7"/>
  <c r="U7" i="7" s="1"/>
  <c r="S59" i="7"/>
  <c r="S7" i="7" s="1"/>
  <c r="Q59" i="7"/>
  <c r="Q7" i="7" s="1"/>
  <c r="O59" i="7"/>
  <c r="O7" i="7" s="1"/>
  <c r="M59" i="7"/>
  <c r="M7" i="7" s="1"/>
  <c r="K59" i="7"/>
  <c r="K7" i="7" s="1"/>
  <c r="I59" i="7"/>
  <c r="I7" i="7" s="1"/>
  <c r="G59" i="7"/>
  <c r="G7" i="7" s="1"/>
  <c r="E59" i="7"/>
  <c r="E7" i="7" s="1"/>
  <c r="BM11" i="7"/>
  <c r="BK57" i="7"/>
  <c r="BK75" i="7" s="1"/>
  <c r="BK11" i="7" s="1"/>
  <c r="BI57" i="7"/>
  <c r="BI75" i="7" s="1"/>
  <c r="BI11" i="7" s="1"/>
  <c r="BG57" i="7"/>
  <c r="BG75" i="7" s="1"/>
  <c r="BG11" i="7" s="1"/>
  <c r="BE57" i="7"/>
  <c r="BE75" i="7" s="1"/>
  <c r="BE11" i="7" s="1"/>
  <c r="BC57" i="7"/>
  <c r="BC75" i="7" s="1"/>
  <c r="BC11" i="7" s="1"/>
  <c r="BA57" i="7"/>
  <c r="BA75" i="7" s="1"/>
  <c r="BA11" i="7" s="1"/>
  <c r="AY57" i="7"/>
  <c r="AY75" i="7" s="1"/>
  <c r="AY11" i="7" s="1"/>
  <c r="AW57" i="7"/>
  <c r="AU57" i="7"/>
  <c r="AU75" i="7" s="1"/>
  <c r="AU11" i="7" s="1"/>
  <c r="AQ57" i="7"/>
  <c r="AQ75" i="7" s="1"/>
  <c r="AQ11" i="7" s="1"/>
  <c r="AO57" i="7"/>
  <c r="AO75" i="7" s="1"/>
  <c r="AO11" i="7" s="1"/>
  <c r="AM57" i="7"/>
  <c r="AM75" i="7" s="1"/>
  <c r="AM11" i="7" s="1"/>
  <c r="AK57" i="7"/>
  <c r="AK75" i="7" s="1"/>
  <c r="AK11" i="7" s="1"/>
  <c r="AI57" i="7"/>
  <c r="AI75" i="7" s="1"/>
  <c r="AI11" i="7" s="1"/>
  <c r="AG57" i="7"/>
  <c r="AG75" i="7" s="1"/>
  <c r="AG11" i="7" s="1"/>
  <c r="AE57" i="7"/>
  <c r="AE75" i="7" s="1"/>
  <c r="AE11" i="7" s="1"/>
  <c r="AC57" i="7"/>
  <c r="AC75" i="7" s="1"/>
  <c r="AC11" i="7" s="1"/>
  <c r="AA57" i="7"/>
  <c r="AA75" i="7" s="1"/>
  <c r="AA11" i="7" s="1"/>
  <c r="Y57" i="7"/>
  <c r="Y75" i="7" s="1"/>
  <c r="Y11" i="7" s="1"/>
  <c r="W57" i="7"/>
  <c r="W75" i="7" s="1"/>
  <c r="W11" i="7" s="1"/>
  <c r="U57" i="7"/>
  <c r="U75" i="7" s="1"/>
  <c r="U11" i="7" s="1"/>
  <c r="Q57" i="7"/>
  <c r="Q75" i="7" s="1"/>
  <c r="Q11" i="7" s="1"/>
  <c r="O57" i="7"/>
  <c r="O75" i="7" s="1"/>
  <c r="O11" i="7" s="1"/>
  <c r="M57" i="7"/>
  <c r="M75" i="7" s="1"/>
  <c r="M11" i="7" s="1"/>
  <c r="K57" i="7"/>
  <c r="K75" i="7" s="1"/>
  <c r="K11" i="7" s="1"/>
  <c r="I57" i="7"/>
  <c r="I75" i="7" s="1"/>
  <c r="I11" i="7" s="1"/>
  <c r="G57" i="7"/>
  <c r="G75" i="7" s="1"/>
  <c r="G11" i="7" s="1"/>
  <c r="E57" i="7"/>
  <c r="AS57" i="7"/>
  <c r="AS75" i="7" s="1"/>
  <c r="AS11" i="7" s="1"/>
  <c r="BO56" i="7"/>
  <c r="C50" i="19" s="1"/>
  <c r="BO55" i="7"/>
  <c r="C49" i="19" s="1"/>
  <c r="BO53" i="7"/>
  <c r="C47" i="19" s="1"/>
  <c r="BO52" i="7"/>
  <c r="C46" i="19" s="1"/>
  <c r="BO51" i="7"/>
  <c r="C45" i="19" s="1"/>
  <c r="BK49" i="7"/>
  <c r="C49" i="8" s="1"/>
  <c r="BI49" i="7"/>
  <c r="BG49" i="7"/>
  <c r="BE49" i="7"/>
  <c r="BC49" i="7"/>
  <c r="BA49" i="7"/>
  <c r="AY49" i="7"/>
  <c r="AW49" i="7"/>
  <c r="AU49" i="7"/>
  <c r="AS49" i="7"/>
  <c r="AQ49" i="7"/>
  <c r="AO49" i="7"/>
  <c r="AM49" i="7"/>
  <c r="AK49" i="7"/>
  <c r="AI49" i="7"/>
  <c r="AG49" i="7"/>
  <c r="AE49" i="7"/>
  <c r="AC49" i="7"/>
  <c r="AA49" i="7"/>
  <c r="Y49" i="7"/>
  <c r="W49" i="7"/>
  <c r="U49" i="7"/>
  <c r="S49" i="7"/>
  <c r="Q49" i="7"/>
  <c r="M49" i="7"/>
  <c r="K49" i="7"/>
  <c r="I49" i="7"/>
  <c r="G49" i="7"/>
  <c r="E49" i="7"/>
  <c r="BO48" i="7"/>
  <c r="C42" i="19" s="1"/>
  <c r="BO47" i="7"/>
  <c r="C41" i="19" s="1"/>
  <c r="BO46" i="7"/>
  <c r="C40" i="19" s="1"/>
  <c r="BO45" i="7"/>
  <c r="C39" i="19" s="1"/>
  <c r="BO44" i="7"/>
  <c r="C38" i="19" s="1"/>
  <c r="BO43" i="7"/>
  <c r="C37" i="19" s="1"/>
  <c r="BK42" i="7"/>
  <c r="BI42" i="7"/>
  <c r="BI50" i="7" s="1"/>
  <c r="BG42" i="7"/>
  <c r="BG50" i="7" s="1"/>
  <c r="BE42" i="7"/>
  <c r="BC42" i="7"/>
  <c r="BC50" i="7" s="1"/>
  <c r="BA42" i="7"/>
  <c r="AY42" i="7"/>
  <c r="AW42" i="7"/>
  <c r="AU42" i="7"/>
  <c r="AU50" i="7" s="1"/>
  <c r="AS42" i="7"/>
  <c r="AQ42" i="7"/>
  <c r="AQ50" i="7" s="1"/>
  <c r="AO42" i="7"/>
  <c r="AM42" i="7"/>
  <c r="AM50" i="7" s="1"/>
  <c r="AK42" i="7"/>
  <c r="AK50" i="7" s="1"/>
  <c r="AI42" i="7"/>
  <c r="AI50" i="7" s="1"/>
  <c r="AE42" i="7"/>
  <c r="AC42" i="7"/>
  <c r="Y42" i="7"/>
  <c r="W42" i="7"/>
  <c r="S42" i="7"/>
  <c r="Q42" i="7"/>
  <c r="M42" i="7"/>
  <c r="K42" i="7"/>
  <c r="G42" i="7"/>
  <c r="E42" i="7"/>
  <c r="BO41" i="7"/>
  <c r="C35" i="19" s="1"/>
  <c r="BO40" i="7"/>
  <c r="C34" i="19" s="1"/>
  <c r="BO39" i="7"/>
  <c r="C33" i="19" s="1"/>
  <c r="BO38" i="7"/>
  <c r="C32" i="19" s="1"/>
  <c r="U42" i="7"/>
  <c r="BO37" i="7"/>
  <c r="C31" i="19" s="1"/>
  <c r="AG42" i="7"/>
  <c r="AA42" i="7"/>
  <c r="I42" i="7"/>
  <c r="BO35" i="7"/>
  <c r="C29" i="19" s="1"/>
  <c r="BO33" i="7"/>
  <c r="C27" i="19" s="1"/>
  <c r="BK31" i="7"/>
  <c r="BI31" i="7"/>
  <c r="BC31" i="7"/>
  <c r="BA31" i="7"/>
  <c r="AM31" i="7"/>
  <c r="AK31" i="7"/>
  <c r="AE31" i="7"/>
  <c r="G31" i="7"/>
  <c r="E31" i="7"/>
  <c r="BK30" i="7"/>
  <c r="BI30" i="7"/>
  <c r="BG30" i="7"/>
  <c r="BG31" i="7" s="1"/>
  <c r="BE30" i="7"/>
  <c r="BE31" i="7" s="1"/>
  <c r="BC30" i="7"/>
  <c r="BA30" i="7"/>
  <c r="AY30" i="7"/>
  <c r="AY31" i="7" s="1"/>
  <c r="AW30" i="7"/>
  <c r="AW31" i="7" s="1"/>
  <c r="AU30" i="7"/>
  <c r="AU31" i="7" s="1"/>
  <c r="AS30" i="7"/>
  <c r="AS31" i="7" s="1"/>
  <c r="AQ30" i="7"/>
  <c r="AQ31" i="7" s="1"/>
  <c r="AO30" i="7"/>
  <c r="AO31" i="7" s="1"/>
  <c r="AM30" i="7"/>
  <c r="AK30" i="7"/>
  <c r="AI30" i="7"/>
  <c r="AI31" i="7" s="1"/>
  <c r="AG30" i="7"/>
  <c r="AG31" i="7" s="1"/>
  <c r="AE30" i="7"/>
  <c r="AC30" i="7"/>
  <c r="AC31" i="7" s="1"/>
  <c r="AA30" i="7"/>
  <c r="AA31" i="7" s="1"/>
  <c r="Y30" i="7"/>
  <c r="Y31" i="7" s="1"/>
  <c r="W30" i="7"/>
  <c r="W31" i="7" s="1"/>
  <c r="U30" i="7"/>
  <c r="U31" i="7" s="1"/>
  <c r="S30" i="7"/>
  <c r="S31" i="7" s="1"/>
  <c r="Q31" i="7"/>
  <c r="O30" i="7"/>
  <c r="O31" i="7" s="1"/>
  <c r="M30" i="7"/>
  <c r="M31" i="7" s="1"/>
  <c r="K30" i="7"/>
  <c r="K31" i="7" s="1"/>
  <c r="I30" i="7"/>
  <c r="I31" i="7" s="1"/>
  <c r="G30" i="7"/>
  <c r="BO29" i="7"/>
  <c r="C23" i="19" s="1"/>
  <c r="BO28" i="7"/>
  <c r="C22" i="19" s="1"/>
  <c r="BO27" i="7"/>
  <c r="C21" i="19" s="1"/>
  <c r="BO26" i="7"/>
  <c r="C20" i="19" s="1"/>
  <c r="BO25" i="7"/>
  <c r="C19" i="19" s="1"/>
  <c r="BO24" i="7"/>
  <c r="C18" i="19" s="1"/>
  <c r="BO23" i="7"/>
  <c r="C17" i="19" s="1"/>
  <c r="BK22" i="7"/>
  <c r="C22" i="8" s="1"/>
  <c r="BG22" i="7"/>
  <c r="BE22" i="7"/>
  <c r="AW22" i="7"/>
  <c r="AM22" i="7"/>
  <c r="AI22" i="7"/>
  <c r="AG22" i="7"/>
  <c r="AE22" i="7"/>
  <c r="AC22" i="7"/>
  <c r="Q22" i="7"/>
  <c r="G22" i="7"/>
  <c r="E22" i="7"/>
  <c r="BI22" i="7"/>
  <c r="BI54" i="7" s="1"/>
  <c r="BC22" i="7"/>
  <c r="BA22" i="7"/>
  <c r="AY22" i="7"/>
  <c r="AU22" i="7"/>
  <c r="AS22" i="7"/>
  <c r="AQ22" i="7"/>
  <c r="AO22" i="7"/>
  <c r="AK22" i="7"/>
  <c r="Y22" i="7"/>
  <c r="W22" i="7"/>
  <c r="U22" i="7"/>
  <c r="S22" i="7"/>
  <c r="M22" i="7"/>
  <c r="BO19" i="7"/>
  <c r="C13" i="19" s="1"/>
  <c r="BO18" i="7"/>
  <c r="C12" i="19" s="1"/>
  <c r="BO17" i="7"/>
  <c r="C11" i="19" s="1"/>
  <c r="AL11" i="7"/>
  <c r="AJ11" i="7"/>
  <c r="AH11" i="7"/>
  <c r="AF11" i="7"/>
  <c r="AD11" i="7"/>
  <c r="AB11" i="7"/>
  <c r="Z11" i="7"/>
  <c r="X11" i="7"/>
  <c r="BM7" i="7"/>
  <c r="AY7" i="7"/>
  <c r="AW7" i="7"/>
  <c r="AI7" i="7"/>
  <c r="BP6" i="7"/>
  <c r="BL6" i="7"/>
  <c r="BL5" i="7" s="1"/>
  <c r="BJ6" i="7"/>
  <c r="BJ5" i="7" s="1"/>
  <c r="BH6" i="7"/>
  <c r="BH5" i="7" s="1"/>
  <c r="BF6" i="7"/>
  <c r="BF5" i="7" s="1"/>
  <c r="BD6" i="7"/>
  <c r="BB6" i="7"/>
  <c r="AZ6" i="7"/>
  <c r="AX6" i="7"/>
  <c r="AV6" i="7"/>
  <c r="AV5" i="7" s="1"/>
  <c r="AT6" i="7"/>
  <c r="AT5" i="7" s="1"/>
  <c r="AR6" i="7"/>
  <c r="AR5" i="7" s="1"/>
  <c r="AP6" i="7"/>
  <c r="AP5" i="7" s="1"/>
  <c r="AN6" i="7"/>
  <c r="AL6" i="7"/>
  <c r="AL5" i="7" s="1"/>
  <c r="AJ6" i="7"/>
  <c r="AH6" i="7"/>
  <c r="AH5" i="7" s="1"/>
  <c r="AF6" i="7"/>
  <c r="AD6" i="7"/>
  <c r="AB6" i="7"/>
  <c r="Z6" i="7"/>
  <c r="X6" i="7"/>
  <c r="V6" i="7"/>
  <c r="T6" i="7"/>
  <c r="R6" i="7"/>
  <c r="R5" i="7" s="1"/>
  <c r="P6" i="7"/>
  <c r="P5" i="7" s="1"/>
  <c r="N6" i="7"/>
  <c r="L6" i="7"/>
  <c r="L5" i="7" s="1"/>
  <c r="J6" i="7"/>
  <c r="J5" i="7" s="1"/>
  <c r="H6" i="7"/>
  <c r="F6" i="7"/>
  <c r="D6" i="7"/>
  <c r="A5" i="7"/>
  <c r="A1" i="7"/>
  <c r="BO17" i="1"/>
  <c r="B11" i="19" s="1"/>
  <c r="BO18" i="1"/>
  <c r="B12" i="19" s="1"/>
  <c r="I12" i="19" s="1"/>
  <c r="BO19" i="1"/>
  <c r="B13" i="19" s="1"/>
  <c r="I13" i="19" s="1"/>
  <c r="BO20" i="1"/>
  <c r="B14" i="19" s="1"/>
  <c r="BO23" i="1"/>
  <c r="B17" i="19" s="1"/>
  <c r="BO24" i="1"/>
  <c r="B18" i="19" s="1"/>
  <c r="BO25" i="1"/>
  <c r="B19" i="19" s="1"/>
  <c r="BO26" i="1"/>
  <c r="B20" i="19" s="1"/>
  <c r="BO27" i="1"/>
  <c r="B21" i="19" s="1"/>
  <c r="BO28" i="1"/>
  <c r="B22" i="19" s="1"/>
  <c r="BO29" i="1"/>
  <c r="B23" i="19" s="1"/>
  <c r="BO35" i="1"/>
  <c r="B29" i="19" s="1"/>
  <c r="I29" i="19" s="1"/>
  <c r="BO37" i="1"/>
  <c r="B31" i="19" s="1"/>
  <c r="I31" i="19" s="1"/>
  <c r="BO39" i="1"/>
  <c r="B33" i="19" s="1"/>
  <c r="I33" i="19" s="1"/>
  <c r="BO40" i="1"/>
  <c r="B34" i="19" s="1"/>
  <c r="I34" i="19" s="1"/>
  <c r="BO41" i="1"/>
  <c r="B35" i="19" s="1"/>
  <c r="BO43" i="1"/>
  <c r="B37" i="19" s="1"/>
  <c r="I37" i="19" s="1"/>
  <c r="BO44" i="1"/>
  <c r="B38" i="19" s="1"/>
  <c r="I38" i="19" s="1"/>
  <c r="BO45" i="1"/>
  <c r="B39" i="19" s="1"/>
  <c r="BO46" i="1"/>
  <c r="B40" i="19" s="1"/>
  <c r="BO47" i="1"/>
  <c r="B41" i="19" s="1"/>
  <c r="I41" i="19" s="1"/>
  <c r="BO48" i="1"/>
  <c r="B42" i="19" s="1"/>
  <c r="BO51" i="1"/>
  <c r="B45" i="19" s="1"/>
  <c r="I45" i="19" s="1"/>
  <c r="BO52" i="1"/>
  <c r="B46" i="19" s="1"/>
  <c r="I46" i="19" s="1"/>
  <c r="BO53" i="1"/>
  <c r="B47" i="19" s="1"/>
  <c r="I47" i="19" s="1"/>
  <c r="BO55" i="1"/>
  <c r="B49" i="19" s="1"/>
  <c r="I49" i="19" s="1"/>
  <c r="BO74" i="1"/>
  <c r="B67" i="19" s="1"/>
  <c r="I67" i="19" s="1"/>
  <c r="BO106" i="1"/>
  <c r="B94" i="19" s="1"/>
  <c r="BO107" i="1"/>
  <c r="B95" i="19" s="1"/>
  <c r="I95" i="19" s="1"/>
  <c r="BO108" i="1"/>
  <c r="B96" i="19" s="1"/>
  <c r="I96" i="19" s="1"/>
  <c r="BO109" i="1"/>
  <c r="B97" i="19" s="1"/>
  <c r="BO110" i="1"/>
  <c r="B98" i="19" s="1"/>
  <c r="I98" i="19" s="1"/>
  <c r="BO111" i="1"/>
  <c r="B99" i="19" s="1"/>
  <c r="I99" i="19" s="1"/>
  <c r="BO112" i="1"/>
  <c r="B100" i="19" s="1"/>
  <c r="I100" i="19" s="1"/>
  <c r="BO113" i="1"/>
  <c r="B101" i="19" s="1"/>
  <c r="I101" i="19" s="1"/>
  <c r="BO114" i="1"/>
  <c r="B102" i="19" s="1"/>
  <c r="I102" i="19" s="1"/>
  <c r="BO115" i="1"/>
  <c r="B103" i="19" s="1"/>
  <c r="I103" i="19" s="1"/>
  <c r="BO116" i="1"/>
  <c r="B104" i="19" s="1"/>
  <c r="I104" i="19" s="1"/>
  <c r="BO117" i="1"/>
  <c r="B105" i="19" s="1"/>
  <c r="I105" i="19" s="1"/>
  <c r="BO118" i="1"/>
  <c r="B106" i="19" s="1"/>
  <c r="BO119" i="1"/>
  <c r="B107" i="19" s="1"/>
  <c r="I107" i="19" s="1"/>
  <c r="BO120" i="1"/>
  <c r="B108" i="19" s="1"/>
  <c r="I108" i="19" s="1"/>
  <c r="BP6" i="1"/>
  <c r="BL6" i="1"/>
  <c r="BL5" i="1" s="1"/>
  <c r="BJ6" i="1"/>
  <c r="BJ5" i="1" s="1"/>
  <c r="BH6" i="1"/>
  <c r="BH5" i="1" s="1"/>
  <c r="BF6" i="1"/>
  <c r="BF5" i="1" s="1"/>
  <c r="BD6" i="1"/>
  <c r="BD5" i="1" s="1"/>
  <c r="BB6" i="1"/>
  <c r="BB5" i="1" s="1"/>
  <c r="AZ6" i="1"/>
  <c r="AZ5" i="1" s="1"/>
  <c r="AX6" i="1"/>
  <c r="AX5" i="1" s="1"/>
  <c r="AV6" i="1"/>
  <c r="AV5" i="1" s="1"/>
  <c r="AT6" i="1"/>
  <c r="AT5" i="1" s="1"/>
  <c r="AR6" i="1"/>
  <c r="AR5" i="1" s="1"/>
  <c r="AP6" i="1"/>
  <c r="AP5" i="1" s="1"/>
  <c r="AN6" i="1"/>
  <c r="AN5" i="1" s="1"/>
  <c r="AL6" i="1"/>
  <c r="AL5" i="1" s="1"/>
  <c r="AJ6" i="1"/>
  <c r="AJ5" i="1" s="1"/>
  <c r="AH6" i="1"/>
  <c r="AH5" i="1" s="1"/>
  <c r="AF6" i="1"/>
  <c r="AF5" i="1" s="1"/>
  <c r="AD6" i="1"/>
  <c r="AD5" i="1" s="1"/>
  <c r="AB6" i="1"/>
  <c r="AB5" i="1" s="1"/>
  <c r="Z6" i="1"/>
  <c r="Z5" i="1" s="1"/>
  <c r="X6" i="1"/>
  <c r="X5" i="1" s="1"/>
  <c r="V6" i="1"/>
  <c r="V5" i="1" s="1"/>
  <c r="T6" i="1"/>
  <c r="T5" i="1" s="1"/>
  <c r="R6" i="1"/>
  <c r="R5" i="1" s="1"/>
  <c r="P6" i="1"/>
  <c r="P5" i="1" s="1"/>
  <c r="N6" i="1"/>
  <c r="N5" i="1" s="1"/>
  <c r="L6" i="1"/>
  <c r="L5" i="1" s="1"/>
  <c r="J6" i="1"/>
  <c r="J5" i="1" s="1"/>
  <c r="H6" i="1"/>
  <c r="H5" i="1" s="1"/>
  <c r="F5" i="1"/>
  <c r="F6" i="1"/>
  <c r="D6" i="1"/>
  <c r="D5" i="1" s="1"/>
  <c r="A1" i="1"/>
  <c r="BP77" i="1"/>
  <c r="BQ91" i="1" s="1"/>
  <c r="BH62" i="1"/>
  <c r="C59" i="8" l="1"/>
  <c r="I18" i="19"/>
  <c r="AE50" i="8"/>
  <c r="BC50" i="8"/>
  <c r="R67" i="8"/>
  <c r="AO50" i="10"/>
  <c r="I17" i="19"/>
  <c r="I124" i="19" s="1"/>
  <c r="BQ68" i="7"/>
  <c r="BQ73" i="7" s="1"/>
  <c r="N73" i="7"/>
  <c r="AL73" i="7"/>
  <c r="I106" i="19"/>
  <c r="I213" i="19" s="1"/>
  <c r="I94" i="19"/>
  <c r="I35" i="19"/>
  <c r="I142" i="19" s="1"/>
  <c r="H121" i="19"/>
  <c r="I149" i="19"/>
  <c r="H149" i="19"/>
  <c r="H206" i="19"/>
  <c r="I206" i="19"/>
  <c r="BJ73" i="7"/>
  <c r="H207" i="19"/>
  <c r="I207" i="19"/>
  <c r="I11" i="19"/>
  <c r="I118" i="19" s="1"/>
  <c r="I23" i="19"/>
  <c r="I130" i="19" s="1"/>
  <c r="I42" i="19"/>
  <c r="I22" i="19"/>
  <c r="I209" i="19"/>
  <c r="H209" i="19"/>
  <c r="BQ49" i="8"/>
  <c r="H135" i="19"/>
  <c r="I21" i="19"/>
  <c r="I128" i="19" s="1"/>
  <c r="I40" i="19"/>
  <c r="BQ70" i="8"/>
  <c r="Z73" i="7"/>
  <c r="AX73" i="7"/>
  <c r="BI58" i="7"/>
  <c r="BI8" i="7" s="1"/>
  <c r="I20" i="19"/>
  <c r="I127" i="19" s="1"/>
  <c r="BP80" i="7"/>
  <c r="BQ94" i="7" s="1"/>
  <c r="I97" i="19"/>
  <c r="I204" i="19" s="1"/>
  <c r="I39" i="19"/>
  <c r="I146" i="19" s="1"/>
  <c r="I19" i="19"/>
  <c r="I126" i="19" s="1"/>
  <c r="C75" i="8"/>
  <c r="H137" i="19"/>
  <c r="AD73" i="10"/>
  <c r="AN73" i="12"/>
  <c r="I212" i="19"/>
  <c r="H212" i="19"/>
  <c r="AO58" i="14"/>
  <c r="AO8" i="14" s="1"/>
  <c r="T67" i="14"/>
  <c r="E68" i="14"/>
  <c r="AB73" i="15"/>
  <c r="BL73" i="15"/>
  <c r="AG73" i="16"/>
  <c r="AG10" i="16" s="1"/>
  <c r="AG54" i="17"/>
  <c r="AG58" i="17" s="1"/>
  <c r="AG8" i="17" s="1"/>
  <c r="AQ54" i="7"/>
  <c r="AQ58" i="7" s="1"/>
  <c r="AQ8" i="7" s="1"/>
  <c r="E69" i="7"/>
  <c r="BJ67" i="11"/>
  <c r="M54" i="12"/>
  <c r="M58" i="12" s="1"/>
  <c r="M8" i="12" s="1"/>
  <c r="AK54" i="12"/>
  <c r="AK58" i="12" s="1"/>
  <c r="AK8" i="12" s="1"/>
  <c r="E69" i="12"/>
  <c r="BO69" i="12" s="1"/>
  <c r="H62" i="19" s="1"/>
  <c r="I136" i="19"/>
  <c r="H136" i="19"/>
  <c r="I201" i="19"/>
  <c r="H201" i="19"/>
  <c r="H213" i="19"/>
  <c r="V67" i="14"/>
  <c r="AT67" i="14"/>
  <c r="W73" i="14"/>
  <c r="W10" i="14" s="1"/>
  <c r="C42" i="14"/>
  <c r="AO50" i="15"/>
  <c r="BM50" i="15"/>
  <c r="T67" i="15"/>
  <c r="M50" i="7"/>
  <c r="BQ30" i="8"/>
  <c r="BQ31" i="8" s="1"/>
  <c r="Y50" i="11"/>
  <c r="AW50" i="11"/>
  <c r="AW54" i="11" s="1"/>
  <c r="AW58" i="11" s="1"/>
  <c r="AW8" i="11" s="1"/>
  <c r="AD73" i="12"/>
  <c r="H118" i="19"/>
  <c r="H124" i="19"/>
  <c r="H202" i="19"/>
  <c r="I202" i="19"/>
  <c r="H214" i="19"/>
  <c r="I214" i="19"/>
  <c r="U50" i="15"/>
  <c r="U54" i="15" s="1"/>
  <c r="U58" i="15" s="1"/>
  <c r="U8" i="15" s="1"/>
  <c r="AH67" i="15"/>
  <c r="K73" i="16"/>
  <c r="K10" i="16" s="1"/>
  <c r="W73" i="16"/>
  <c r="W10" i="16" s="1"/>
  <c r="AI73" i="16"/>
  <c r="AI10" i="16" s="1"/>
  <c r="AU73" i="16"/>
  <c r="AU10" i="16" s="1"/>
  <c r="AG50" i="18"/>
  <c r="H119" i="19"/>
  <c r="I119" i="19"/>
  <c r="I125" i="19"/>
  <c r="H125" i="19"/>
  <c r="I138" i="19"/>
  <c r="H138" i="19"/>
  <c r="H144" i="19"/>
  <c r="I144" i="19"/>
  <c r="H203" i="19"/>
  <c r="I203" i="19"/>
  <c r="H215" i="19"/>
  <c r="I215" i="19"/>
  <c r="B65" i="16"/>
  <c r="F67" i="18"/>
  <c r="AC50" i="11"/>
  <c r="AC54" i="11" s="1"/>
  <c r="AC58" i="11" s="1"/>
  <c r="AC8" i="11" s="1"/>
  <c r="BA50" i="11"/>
  <c r="BA54" i="11" s="1"/>
  <c r="BA58" i="11" s="1"/>
  <c r="BA8" i="11" s="1"/>
  <c r="T67" i="12"/>
  <c r="H120" i="19"/>
  <c r="I120" i="19"/>
  <c r="H126" i="19"/>
  <c r="H139" i="19"/>
  <c r="H145" i="19"/>
  <c r="I145" i="19"/>
  <c r="I152" i="19"/>
  <c r="H152" i="19"/>
  <c r="AN67" i="13"/>
  <c r="BL67" i="13"/>
  <c r="X73" i="13"/>
  <c r="AJ73" i="13"/>
  <c r="H204" i="19"/>
  <c r="AB67" i="14"/>
  <c r="Z73" i="14"/>
  <c r="AL73" i="14"/>
  <c r="BJ73" i="14"/>
  <c r="AJ67" i="17"/>
  <c r="BH67" i="17"/>
  <c r="H127" i="19"/>
  <c r="I140" i="19"/>
  <c r="H140" i="19"/>
  <c r="I153" i="19"/>
  <c r="H153" i="19"/>
  <c r="H205" i="19"/>
  <c r="I205" i="19"/>
  <c r="AA50" i="15"/>
  <c r="AY50" i="15"/>
  <c r="AA73" i="16"/>
  <c r="V73" i="17"/>
  <c r="AH73" i="17"/>
  <c r="BF73" i="17"/>
  <c r="AM73" i="17"/>
  <c r="AM10" i="17" s="1"/>
  <c r="H122" i="19"/>
  <c r="H128" i="19"/>
  <c r="I141" i="19"/>
  <c r="H141" i="19"/>
  <c r="H147" i="19"/>
  <c r="I147" i="19"/>
  <c r="H154" i="19"/>
  <c r="I154" i="19"/>
  <c r="I129" i="19"/>
  <c r="H129" i="19"/>
  <c r="H142" i="19"/>
  <c r="I148" i="19"/>
  <c r="H148" i="19"/>
  <c r="H156" i="19"/>
  <c r="I156" i="19"/>
  <c r="I174" i="19"/>
  <c r="H174" i="19"/>
  <c r="R67" i="17"/>
  <c r="AP67" i="17"/>
  <c r="L67" i="18"/>
  <c r="AJ67" i="18"/>
  <c r="BH67" i="18"/>
  <c r="H130" i="19"/>
  <c r="H157" i="19"/>
  <c r="I208" i="19"/>
  <c r="H208" i="19"/>
  <c r="BB67" i="17"/>
  <c r="U50" i="10"/>
  <c r="AS50" i="12"/>
  <c r="M73" i="12"/>
  <c r="Y73" i="12"/>
  <c r="AK73" i="12"/>
  <c r="AW73" i="12"/>
  <c r="AW10" i="12" s="1"/>
  <c r="Q73" i="12"/>
  <c r="AC73" i="12"/>
  <c r="AO73" i="12"/>
  <c r="BA73" i="12"/>
  <c r="Q73" i="13"/>
  <c r="BM73" i="13"/>
  <c r="BL67" i="18"/>
  <c r="K54" i="13"/>
  <c r="AI54" i="13"/>
  <c r="BG54" i="13"/>
  <c r="BG58" i="13" s="1"/>
  <c r="BG8" i="13" s="1"/>
  <c r="H133" i="19"/>
  <c r="I50" i="13"/>
  <c r="AG50" i="13"/>
  <c r="BE50" i="13"/>
  <c r="I210" i="19"/>
  <c r="H210" i="19"/>
  <c r="E68" i="17"/>
  <c r="AP67" i="18"/>
  <c r="AL67" i="9"/>
  <c r="BJ67" i="9"/>
  <c r="AA73" i="12"/>
  <c r="H134" i="19"/>
  <c r="I211" i="19"/>
  <c r="H211" i="19"/>
  <c r="BK50" i="7"/>
  <c r="C42" i="8"/>
  <c r="BQ42" i="7"/>
  <c r="BQ22" i="8"/>
  <c r="C22" i="9"/>
  <c r="BP80" i="9"/>
  <c r="BQ94" i="9" s="1"/>
  <c r="BQ68" i="9"/>
  <c r="BQ73" i="9" s="1"/>
  <c r="BQ69" i="8"/>
  <c r="BP85" i="8"/>
  <c r="BQ99" i="8" s="1"/>
  <c r="C49" i="10"/>
  <c r="BQ49" i="9"/>
  <c r="O50" i="8"/>
  <c r="BP79" i="8"/>
  <c r="BQ93" i="8" s="1"/>
  <c r="C57" i="9"/>
  <c r="C42" i="11"/>
  <c r="AB73" i="12"/>
  <c r="AZ73" i="12"/>
  <c r="L73" i="12"/>
  <c r="C57" i="14"/>
  <c r="K73" i="15"/>
  <c r="W73" i="15"/>
  <c r="AI73" i="15"/>
  <c r="AU73" i="15"/>
  <c r="BG73" i="15"/>
  <c r="I73" i="15"/>
  <c r="AS73" i="15"/>
  <c r="AS10" i="15" s="1"/>
  <c r="C59" i="18"/>
  <c r="AG50" i="12"/>
  <c r="AG54" i="12" s="1"/>
  <c r="AG58" i="12" s="1"/>
  <c r="AG8" i="12" s="1"/>
  <c r="BE50" i="12"/>
  <c r="BE54" i="12" s="1"/>
  <c r="BE58" i="12" s="1"/>
  <c r="BE8" i="12" s="1"/>
  <c r="U50" i="13"/>
  <c r="AS50" i="13"/>
  <c r="AJ67" i="13"/>
  <c r="BH67" i="13"/>
  <c r="AS73" i="13"/>
  <c r="J73" i="14"/>
  <c r="V73" i="14"/>
  <c r="AH73" i="14"/>
  <c r="AT73" i="14"/>
  <c r="BF73" i="14"/>
  <c r="AA50" i="17"/>
  <c r="AA54" i="17" s="1"/>
  <c r="AA58" i="17" s="1"/>
  <c r="AA8" i="17" s="1"/>
  <c r="AY50" i="17"/>
  <c r="W54" i="18"/>
  <c r="U50" i="18"/>
  <c r="AS50" i="18"/>
  <c r="B62" i="18"/>
  <c r="D62" i="18"/>
  <c r="BQ57" i="7"/>
  <c r="U54" i="10"/>
  <c r="AN67" i="11"/>
  <c r="Y50" i="13"/>
  <c r="Y54" i="13" s="1"/>
  <c r="Y58" i="13" s="1"/>
  <c r="Y8" i="13" s="1"/>
  <c r="AW50" i="13"/>
  <c r="AW54" i="13" s="1"/>
  <c r="AW58" i="13" s="1"/>
  <c r="AW8" i="13" s="1"/>
  <c r="Y54" i="14"/>
  <c r="Y58" i="14" s="1"/>
  <c r="Y8" i="14" s="1"/>
  <c r="AW54" i="14"/>
  <c r="AW58" i="14" s="1"/>
  <c r="AW8" i="14" s="1"/>
  <c r="AC54" i="14"/>
  <c r="AC58" i="14" s="1"/>
  <c r="AC8" i="14" s="1"/>
  <c r="AN67" i="14"/>
  <c r="BQ59" i="14"/>
  <c r="BQ7" i="14" s="1"/>
  <c r="U54" i="16"/>
  <c r="U58" i="16" s="1"/>
  <c r="U8" i="16" s="1"/>
  <c r="AS54" i="16"/>
  <c r="AS58" i="16" s="1"/>
  <c r="AS8" i="16" s="1"/>
  <c r="C42" i="16"/>
  <c r="BA50" i="17"/>
  <c r="BL67" i="17"/>
  <c r="L67" i="17"/>
  <c r="AR67" i="17"/>
  <c r="BO66" i="17"/>
  <c r="F166" i="19" s="1"/>
  <c r="AC50" i="8"/>
  <c r="BA50" i="8"/>
  <c r="AK50" i="10"/>
  <c r="BI50" i="10"/>
  <c r="G50" i="11"/>
  <c r="AE50" i="11"/>
  <c r="BC50" i="11"/>
  <c r="AP67" i="12"/>
  <c r="G58" i="13"/>
  <c r="G8" i="13" s="1"/>
  <c r="AY50" i="13"/>
  <c r="AE54" i="14"/>
  <c r="AE58" i="14" s="1"/>
  <c r="AE8" i="14" s="1"/>
  <c r="AZ67" i="14"/>
  <c r="N73" i="15"/>
  <c r="AX73" i="15"/>
  <c r="BJ73" i="15"/>
  <c r="C22" i="15"/>
  <c r="G50" i="17"/>
  <c r="G54" i="17" s="1"/>
  <c r="G58" i="17" s="1"/>
  <c r="G8" i="17" s="1"/>
  <c r="AE50" i="17"/>
  <c r="BC50" i="17"/>
  <c r="BQ72" i="7"/>
  <c r="S50" i="9"/>
  <c r="BQ22" i="9"/>
  <c r="V67" i="11"/>
  <c r="AT67" i="11"/>
  <c r="V67" i="12"/>
  <c r="AG73" i="12"/>
  <c r="T67" i="13"/>
  <c r="AR67" i="13"/>
  <c r="C59" i="13"/>
  <c r="BQ49" i="14"/>
  <c r="T67" i="16"/>
  <c r="AR67" i="16"/>
  <c r="K50" i="17"/>
  <c r="AI50" i="17"/>
  <c r="BG50" i="17"/>
  <c r="L73" i="17"/>
  <c r="AV73" i="17"/>
  <c r="D88" i="7"/>
  <c r="E102" i="7" s="1"/>
  <c r="E50" i="8"/>
  <c r="F67" i="8"/>
  <c r="AD67" i="8"/>
  <c r="M50" i="10"/>
  <c r="M54" i="10" s="1"/>
  <c r="M58" i="10" s="1"/>
  <c r="M8" i="10" s="1"/>
  <c r="AJ67" i="12"/>
  <c r="N73" i="13"/>
  <c r="BJ73" i="13"/>
  <c r="J67" i="14"/>
  <c r="BF67" i="14"/>
  <c r="AK103" i="14"/>
  <c r="AW103" i="14"/>
  <c r="W54" i="15"/>
  <c r="W58" i="15" s="1"/>
  <c r="W8" i="15" s="1"/>
  <c r="Y54" i="15"/>
  <c r="Y58" i="15" s="1"/>
  <c r="Y8" i="15" s="1"/>
  <c r="C57" i="15"/>
  <c r="BQ50" i="16"/>
  <c r="AM54" i="7"/>
  <c r="AM58" i="7" s="1"/>
  <c r="AM8" i="7" s="1"/>
  <c r="BQ75" i="7"/>
  <c r="BQ11" i="7" s="1"/>
  <c r="BQ22" i="7"/>
  <c r="E69" i="10"/>
  <c r="AO54" i="11"/>
  <c r="AO58" i="11" s="1"/>
  <c r="AO8" i="11" s="1"/>
  <c r="AX73" i="11"/>
  <c r="C59" i="11"/>
  <c r="AC54" i="12"/>
  <c r="AC58" i="12" s="1"/>
  <c r="AC8" i="12" s="1"/>
  <c r="Y50" i="12"/>
  <c r="Y54" i="12" s="1"/>
  <c r="Y58" i="12" s="1"/>
  <c r="Y8" i="12" s="1"/>
  <c r="AR67" i="12"/>
  <c r="BQ50" i="12"/>
  <c r="BO64" i="15"/>
  <c r="D164" i="19" s="1"/>
  <c r="AZ67" i="15"/>
  <c r="Z73" i="15"/>
  <c r="BQ57" i="15"/>
  <c r="AE54" i="16"/>
  <c r="AE58" i="16" s="1"/>
  <c r="AE8" i="16" s="1"/>
  <c r="BC54" i="16"/>
  <c r="BC58" i="16" s="1"/>
  <c r="BC8" i="16" s="1"/>
  <c r="X67" i="16"/>
  <c r="AV67" i="16"/>
  <c r="E68" i="16"/>
  <c r="E73" i="16" s="1"/>
  <c r="E10" i="16" s="1"/>
  <c r="B62" i="17"/>
  <c r="N73" i="17"/>
  <c r="AX73" i="17"/>
  <c r="BP73" i="8"/>
  <c r="BI54" i="9"/>
  <c r="BI58" i="9" s="1"/>
  <c r="BI8" i="9" s="1"/>
  <c r="Q50" i="11"/>
  <c r="BM50" i="11"/>
  <c r="BQ50" i="11" s="1"/>
  <c r="AT67" i="12"/>
  <c r="BQ49" i="12"/>
  <c r="L67" i="13"/>
  <c r="Q54" i="14"/>
  <c r="Q58" i="14" s="1"/>
  <c r="Q8" i="14" s="1"/>
  <c r="D73" i="14"/>
  <c r="Q73" i="14"/>
  <c r="AO73" i="14"/>
  <c r="BA73" i="14"/>
  <c r="C59" i="15"/>
  <c r="C42" i="18"/>
  <c r="BQ42" i="17"/>
  <c r="AA73" i="17"/>
  <c r="BK73" i="17"/>
  <c r="I103" i="17"/>
  <c r="C42" i="17"/>
  <c r="F67" i="11"/>
  <c r="AD67" i="11"/>
  <c r="BB67" i="11"/>
  <c r="P67" i="11"/>
  <c r="BL67" i="11"/>
  <c r="Z67" i="11"/>
  <c r="R67" i="12"/>
  <c r="Y73" i="13"/>
  <c r="AK73" i="13"/>
  <c r="AW73" i="13"/>
  <c r="BI73" i="13"/>
  <c r="W73" i="13"/>
  <c r="W10" i="13" s="1"/>
  <c r="U103" i="13"/>
  <c r="C42" i="13"/>
  <c r="BQ49" i="13"/>
  <c r="BQ22" i="13"/>
  <c r="P67" i="14"/>
  <c r="G54" i="15"/>
  <c r="G58" i="15" s="1"/>
  <c r="G8" i="15" s="1"/>
  <c r="AC54" i="15"/>
  <c r="AC58" i="15" s="1"/>
  <c r="AC8" i="15" s="1"/>
  <c r="BA54" i="15"/>
  <c r="BA58" i="15" s="1"/>
  <c r="BA8" i="15" s="1"/>
  <c r="P67" i="15"/>
  <c r="AN67" i="15"/>
  <c r="BL67" i="15"/>
  <c r="E71" i="16"/>
  <c r="W54" i="17"/>
  <c r="W58" i="17" s="1"/>
  <c r="W8" i="17" s="1"/>
  <c r="C59" i="10"/>
  <c r="AF67" i="11"/>
  <c r="S73" i="11"/>
  <c r="D73" i="11"/>
  <c r="C49" i="11"/>
  <c r="G50" i="12"/>
  <c r="BC50" i="12"/>
  <c r="BC54" i="12" s="1"/>
  <c r="BC58" i="12" s="1"/>
  <c r="BC8" i="12" s="1"/>
  <c r="BD67" i="12"/>
  <c r="Z73" i="12"/>
  <c r="AP73" i="12"/>
  <c r="AT73" i="12"/>
  <c r="BQ42" i="12"/>
  <c r="Q50" i="13"/>
  <c r="BB67" i="13"/>
  <c r="P67" i="13"/>
  <c r="C75" i="13"/>
  <c r="R67" i="15"/>
  <c r="AP67" i="15"/>
  <c r="AG73" i="15"/>
  <c r="F67" i="16"/>
  <c r="AD67" i="16"/>
  <c r="H67" i="17"/>
  <c r="BD67" i="17"/>
  <c r="AC73" i="17"/>
  <c r="BM73" i="17"/>
  <c r="BM10" i="17" s="1"/>
  <c r="AX67" i="8"/>
  <c r="W50" i="11"/>
  <c r="W54" i="11" s="1"/>
  <c r="W58" i="11" s="1"/>
  <c r="W8" i="11" s="1"/>
  <c r="AU50" i="11"/>
  <c r="AU54" i="11" s="1"/>
  <c r="AU58" i="11" s="1"/>
  <c r="AU8" i="11" s="1"/>
  <c r="J67" i="11"/>
  <c r="AH67" i="11"/>
  <c r="BF67" i="11"/>
  <c r="C22" i="11"/>
  <c r="BQ59" i="11"/>
  <c r="AC50" i="12"/>
  <c r="BA50" i="12"/>
  <c r="BA54" i="12" s="1"/>
  <c r="BA58" i="12" s="1"/>
  <c r="BA8" i="12" s="1"/>
  <c r="J67" i="12"/>
  <c r="AH67" i="12"/>
  <c r="BF67" i="12"/>
  <c r="AZ67" i="12"/>
  <c r="W103" i="12"/>
  <c r="AH67" i="14"/>
  <c r="BO30" i="14"/>
  <c r="C131" i="19" s="1"/>
  <c r="K54" i="15"/>
  <c r="K58" i="15" s="1"/>
  <c r="K8" i="15" s="1"/>
  <c r="AI54" i="15"/>
  <c r="AI58" i="15" s="1"/>
  <c r="AI8" i="15" s="1"/>
  <c r="BG54" i="15"/>
  <c r="BG58" i="15" s="1"/>
  <c r="BG8" i="15" s="1"/>
  <c r="I50" i="15"/>
  <c r="AG50" i="15"/>
  <c r="BE50" i="15"/>
  <c r="BE54" i="15" s="1"/>
  <c r="BE58" i="15" s="1"/>
  <c r="BE8" i="15" s="1"/>
  <c r="AR67" i="15"/>
  <c r="J73" i="15"/>
  <c r="V73" i="15"/>
  <c r="AH73" i="15"/>
  <c r="AT73" i="15"/>
  <c r="BF73" i="15"/>
  <c r="AS73" i="16"/>
  <c r="BE73" i="16"/>
  <c r="BE10" i="16" s="1"/>
  <c r="BQ59" i="16"/>
  <c r="BQ7" i="16" s="1"/>
  <c r="T67" i="17"/>
  <c r="E72" i="17"/>
  <c r="BO72" i="17" s="1"/>
  <c r="F172" i="19" s="1"/>
  <c r="BO32" i="7"/>
  <c r="C26" i="19" s="1"/>
  <c r="Q54" i="18"/>
  <c r="Q58" i="18" s="1"/>
  <c r="Q8" i="18" s="1"/>
  <c r="O50" i="18"/>
  <c r="O54" i="18" s="1"/>
  <c r="O58" i="18" s="1"/>
  <c r="O8" i="18" s="1"/>
  <c r="BI50" i="18"/>
  <c r="BB67" i="18"/>
  <c r="AF67" i="18"/>
  <c r="BD67" i="18"/>
  <c r="U54" i="18"/>
  <c r="U58" i="18" s="1"/>
  <c r="U8" i="18" s="1"/>
  <c r="AS54" i="18"/>
  <c r="AS58" i="18" s="1"/>
  <c r="AS8" i="18" s="1"/>
  <c r="J67" i="18"/>
  <c r="K61" i="18" s="1"/>
  <c r="K9" i="18" s="1"/>
  <c r="AH67" i="18"/>
  <c r="AW54" i="18"/>
  <c r="AW58" i="18" s="1"/>
  <c r="AW8" i="18" s="1"/>
  <c r="P67" i="18"/>
  <c r="AN67" i="18"/>
  <c r="AY54" i="18"/>
  <c r="AY58" i="18" s="1"/>
  <c r="AY8" i="18" s="1"/>
  <c r="R67" i="18"/>
  <c r="T67" i="18"/>
  <c r="G50" i="18"/>
  <c r="G54" i="18" s="1"/>
  <c r="G58" i="18" s="1"/>
  <c r="G8" i="18" s="1"/>
  <c r="AE50" i="18"/>
  <c r="AE54" i="18" s="1"/>
  <c r="AE58" i="18" s="1"/>
  <c r="AE8" i="18" s="1"/>
  <c r="BC50" i="18"/>
  <c r="BC54" i="18" s="1"/>
  <c r="BC58" i="18" s="1"/>
  <c r="BC8" i="18" s="1"/>
  <c r="BH73" i="18"/>
  <c r="AG73" i="18"/>
  <c r="Z67" i="18"/>
  <c r="M73" i="18"/>
  <c r="Y73" i="18"/>
  <c r="Y10" i="18" s="1"/>
  <c r="BI73" i="18"/>
  <c r="BI10" i="18" s="1"/>
  <c r="AS103" i="18"/>
  <c r="AD67" i="18"/>
  <c r="AK73" i="18"/>
  <c r="AW73" i="18"/>
  <c r="AW10" i="18" s="1"/>
  <c r="V73" i="18"/>
  <c r="M54" i="18"/>
  <c r="M58" i="18" s="1"/>
  <c r="M8" i="18" s="1"/>
  <c r="AK54" i="18"/>
  <c r="AK58" i="18" s="1"/>
  <c r="AK8" i="18" s="1"/>
  <c r="I50" i="18"/>
  <c r="I54" i="18" s="1"/>
  <c r="I58" i="18" s="1"/>
  <c r="I8" i="18" s="1"/>
  <c r="H67" i="18"/>
  <c r="N73" i="18"/>
  <c r="Z73" i="18"/>
  <c r="AA67" i="18" s="1"/>
  <c r="AL73" i="18"/>
  <c r="AX73" i="18"/>
  <c r="BJ73" i="18"/>
  <c r="K73" i="18"/>
  <c r="K10" i="18" s="1"/>
  <c r="BG73" i="18"/>
  <c r="AK50" i="18"/>
  <c r="BF67" i="18"/>
  <c r="O73" i="18"/>
  <c r="O10" i="18" s="1"/>
  <c r="AA73" i="18"/>
  <c r="AM73" i="18"/>
  <c r="AY73" i="18"/>
  <c r="AY10" i="18" s="1"/>
  <c r="BK73" i="18"/>
  <c r="BK67" i="18" s="1"/>
  <c r="BQ59" i="18"/>
  <c r="BQ7" i="18" s="1"/>
  <c r="AO54" i="18"/>
  <c r="AO58" i="18" s="1"/>
  <c r="AO8" i="18" s="1"/>
  <c r="AM50" i="18"/>
  <c r="AM54" i="18" s="1"/>
  <c r="AM58" i="18" s="1"/>
  <c r="AM8" i="18" s="1"/>
  <c r="BK50" i="18"/>
  <c r="F73" i="18"/>
  <c r="R73" i="18"/>
  <c r="AD73" i="18"/>
  <c r="AP73" i="18"/>
  <c r="BB73" i="18"/>
  <c r="L73" i="18"/>
  <c r="M67" i="18" s="1"/>
  <c r="X73" i="18"/>
  <c r="AV73" i="18"/>
  <c r="U103" i="18"/>
  <c r="BO82" i="18"/>
  <c r="G181" i="19" s="1"/>
  <c r="W58" i="18"/>
  <c r="W8" i="18" s="1"/>
  <c r="AU54" i="18"/>
  <c r="AU58" i="18" s="1"/>
  <c r="AU8" i="18" s="1"/>
  <c r="S50" i="18"/>
  <c r="AQ50" i="18"/>
  <c r="AQ54" i="18" s="1"/>
  <c r="AQ58" i="18" s="1"/>
  <c r="AQ8" i="18" s="1"/>
  <c r="BO57" i="18"/>
  <c r="G158" i="19" s="1"/>
  <c r="B66" i="18"/>
  <c r="W73" i="18"/>
  <c r="W10" i="18" s="1"/>
  <c r="AU73" i="18"/>
  <c r="AR67" i="18"/>
  <c r="Q73" i="18"/>
  <c r="Q10" i="18" s="1"/>
  <c r="AC73" i="18"/>
  <c r="AC61" i="18" s="1"/>
  <c r="AC9" i="18" s="1"/>
  <c r="AA54" i="18"/>
  <c r="AA58" i="18" s="1"/>
  <c r="AA8" i="18" s="1"/>
  <c r="Y54" i="18"/>
  <c r="Y58" i="18" s="1"/>
  <c r="Y8" i="18" s="1"/>
  <c r="V67" i="18"/>
  <c r="AT67" i="18"/>
  <c r="M103" i="18"/>
  <c r="BI103" i="18"/>
  <c r="X67" i="18"/>
  <c r="AV67" i="18"/>
  <c r="E75" i="18"/>
  <c r="E11" i="18" s="1"/>
  <c r="AI103" i="18"/>
  <c r="AC50" i="18"/>
  <c r="AC54" i="18" s="1"/>
  <c r="AC58" i="18" s="1"/>
  <c r="AC8" i="18" s="1"/>
  <c r="BA50" i="18"/>
  <c r="AX67" i="18"/>
  <c r="AY54" i="17"/>
  <c r="AY58" i="17" s="1"/>
  <c r="AY8" i="17" s="1"/>
  <c r="BQ57" i="17"/>
  <c r="E68" i="18"/>
  <c r="E73" i="18" s="1"/>
  <c r="E10" i="18" s="1"/>
  <c r="AO54" i="17"/>
  <c r="AO58" i="17" s="1"/>
  <c r="AO8" i="17" s="1"/>
  <c r="BO70" i="17"/>
  <c r="F170" i="19" s="1"/>
  <c r="Q73" i="17"/>
  <c r="Q10" i="17" s="1"/>
  <c r="AO73" i="17"/>
  <c r="BA73" i="17"/>
  <c r="M103" i="17"/>
  <c r="BO79" i="17"/>
  <c r="F178" i="19" s="1"/>
  <c r="P67" i="17"/>
  <c r="AI73" i="17"/>
  <c r="I73" i="17"/>
  <c r="I61" i="17" s="1"/>
  <c r="I9" i="17" s="1"/>
  <c r="U73" i="17"/>
  <c r="U10" i="17" s="1"/>
  <c r="AG73" i="17"/>
  <c r="AS73" i="17"/>
  <c r="AS10" i="17" s="1"/>
  <c r="BE73" i="17"/>
  <c r="Q50" i="17"/>
  <c r="Q54" i="17" s="1"/>
  <c r="Q58" i="17" s="1"/>
  <c r="Q8" i="17" s="1"/>
  <c r="O50" i="17"/>
  <c r="O54" i="17" s="1"/>
  <c r="O58" i="17" s="1"/>
  <c r="O8" i="17" s="1"/>
  <c r="AM50" i="17"/>
  <c r="AM54" i="17" s="1"/>
  <c r="AM58" i="17" s="1"/>
  <c r="AM8" i="17" s="1"/>
  <c r="BK50" i="17"/>
  <c r="BK54" i="17" s="1"/>
  <c r="BK58" i="17" s="1"/>
  <c r="BK8" i="17" s="1"/>
  <c r="J73" i="17"/>
  <c r="AT73" i="17"/>
  <c r="AU67" i="17" s="1"/>
  <c r="BO49" i="17"/>
  <c r="F150" i="19" s="1"/>
  <c r="Z73" i="17"/>
  <c r="U50" i="17"/>
  <c r="U54" i="17" s="1"/>
  <c r="U58" i="17" s="1"/>
  <c r="U8" i="17" s="1"/>
  <c r="AS50" i="17"/>
  <c r="O73" i="17"/>
  <c r="O10" i="17" s="1"/>
  <c r="AY73" i="17"/>
  <c r="E71" i="17"/>
  <c r="BO71" i="17" s="1"/>
  <c r="F171" i="19" s="1"/>
  <c r="E72" i="18"/>
  <c r="BO72" i="18" s="1"/>
  <c r="G172" i="19" s="1"/>
  <c r="AL73" i="17"/>
  <c r="AM67" i="17" s="1"/>
  <c r="Y50" i="17"/>
  <c r="Y54" i="17" s="1"/>
  <c r="Y58" i="17" s="1"/>
  <c r="Y8" i="17" s="1"/>
  <c r="AW50" i="17"/>
  <c r="AW54" i="17" s="1"/>
  <c r="AW58" i="17" s="1"/>
  <c r="AW8" i="17" s="1"/>
  <c r="AU50" i="17"/>
  <c r="AU54" i="17" s="1"/>
  <c r="AU58" i="17" s="1"/>
  <c r="AU8" i="17" s="1"/>
  <c r="AF67" i="17"/>
  <c r="BE103" i="17"/>
  <c r="B64" i="18"/>
  <c r="BO63" i="17"/>
  <c r="F163" i="19" s="1"/>
  <c r="D73" i="17"/>
  <c r="AY103" i="17"/>
  <c r="D78" i="18"/>
  <c r="BO78" i="18" s="1"/>
  <c r="G177" i="19" s="1"/>
  <c r="C22" i="18"/>
  <c r="F73" i="17"/>
  <c r="R73" i="17"/>
  <c r="AD73" i="17"/>
  <c r="AP73" i="17"/>
  <c r="BB73" i="17"/>
  <c r="BP73" i="17"/>
  <c r="BQ49" i="17"/>
  <c r="AE54" i="17"/>
  <c r="AE58" i="17" s="1"/>
  <c r="AE8" i="17" s="1"/>
  <c r="BC54" i="17"/>
  <c r="BC58" i="17" s="1"/>
  <c r="BC8" i="17" s="1"/>
  <c r="BM50" i="17"/>
  <c r="BM54" i="17" s="1"/>
  <c r="BO62" i="17"/>
  <c r="F162" i="19" s="1"/>
  <c r="AB67" i="17"/>
  <c r="AZ67" i="17"/>
  <c r="X73" i="17"/>
  <c r="AJ73" i="17"/>
  <c r="BH73" i="17"/>
  <c r="B63" i="18"/>
  <c r="AQ50" i="17"/>
  <c r="AQ54" i="17" s="1"/>
  <c r="AQ58" i="17" s="1"/>
  <c r="AQ8" i="17" s="1"/>
  <c r="BJ73" i="17"/>
  <c r="I50" i="17"/>
  <c r="I54" i="17" s="1"/>
  <c r="I58" i="17" s="1"/>
  <c r="I8" i="17" s="1"/>
  <c r="BE50" i="17"/>
  <c r="BE54" i="17" s="1"/>
  <c r="BE58" i="17" s="1"/>
  <c r="BE8" i="17" s="1"/>
  <c r="F67" i="17"/>
  <c r="AD67" i="17"/>
  <c r="E73" i="17"/>
  <c r="BO68" i="17"/>
  <c r="F168" i="19" s="1"/>
  <c r="BO11" i="16"/>
  <c r="E117" i="19" s="1"/>
  <c r="AS10" i="16"/>
  <c r="AS61" i="16"/>
  <c r="AS9" i="16" s="1"/>
  <c r="J67" i="16"/>
  <c r="K61" i="16" s="1"/>
  <c r="K9" i="16" s="1"/>
  <c r="AH67" i="16"/>
  <c r="BF67" i="16"/>
  <c r="BG61" i="16" s="1"/>
  <c r="BG9" i="16" s="1"/>
  <c r="M54" i="16"/>
  <c r="M58" i="16" s="1"/>
  <c r="M8" i="16" s="1"/>
  <c r="BI54" i="16"/>
  <c r="BI58" i="16" s="1"/>
  <c r="BI8" i="16" s="1"/>
  <c r="L67" i="16"/>
  <c r="AJ67" i="16"/>
  <c r="BH67" i="16"/>
  <c r="D73" i="16"/>
  <c r="BQ42" i="16"/>
  <c r="C75" i="17"/>
  <c r="O54" i="16"/>
  <c r="O58" i="16" s="1"/>
  <c r="O8" i="16" s="1"/>
  <c r="AM54" i="16"/>
  <c r="AM58" i="16" s="1"/>
  <c r="AM8" i="16" s="1"/>
  <c r="BK54" i="16"/>
  <c r="O73" i="16"/>
  <c r="O10" i="16" s="1"/>
  <c r="AM73" i="16"/>
  <c r="AM10" i="16" s="1"/>
  <c r="BQ75" i="16"/>
  <c r="BQ11" i="16" s="1"/>
  <c r="S54" i="16"/>
  <c r="S58" i="16" s="1"/>
  <c r="S8" i="16" s="1"/>
  <c r="AQ54" i="16"/>
  <c r="P67" i="16"/>
  <c r="AN67" i="16"/>
  <c r="F73" i="16"/>
  <c r="R73" i="16"/>
  <c r="AD73" i="16"/>
  <c r="AP73" i="16"/>
  <c r="BB73" i="16"/>
  <c r="BQ22" i="16"/>
  <c r="W54" i="16"/>
  <c r="W58" i="16" s="1"/>
  <c r="W8" i="16" s="1"/>
  <c r="AU54" i="16"/>
  <c r="AU58" i="16" s="1"/>
  <c r="AU8" i="16" s="1"/>
  <c r="AC58" i="16"/>
  <c r="AC8" i="16" s="1"/>
  <c r="V67" i="16"/>
  <c r="AT67" i="16"/>
  <c r="G103" i="16"/>
  <c r="BO7" i="16"/>
  <c r="E113" i="19" s="1"/>
  <c r="G73" i="16"/>
  <c r="G10" i="16" s="1"/>
  <c r="AE73" i="16"/>
  <c r="AE10" i="16" s="1"/>
  <c r="AQ73" i="16"/>
  <c r="BC73" i="16"/>
  <c r="BC10" i="16" s="1"/>
  <c r="C57" i="17"/>
  <c r="I10" i="16"/>
  <c r="E50" i="16"/>
  <c r="E54" i="16" s="1"/>
  <c r="BA50" i="16"/>
  <c r="BA54" i="16" s="1"/>
  <c r="BA58" i="16" s="1"/>
  <c r="BA8" i="16" s="1"/>
  <c r="Z67" i="16"/>
  <c r="AX67" i="16"/>
  <c r="B64" i="17"/>
  <c r="B62" i="16"/>
  <c r="AB67" i="16"/>
  <c r="AZ67" i="16"/>
  <c r="BG73" i="16"/>
  <c r="BG10" i="16" s="1"/>
  <c r="S73" i="16"/>
  <c r="L73" i="16"/>
  <c r="X73" i="16"/>
  <c r="AJ73" i="16"/>
  <c r="AV73" i="16"/>
  <c r="BH73" i="16"/>
  <c r="H67" i="16"/>
  <c r="I61" i="16" s="1"/>
  <c r="I9" i="16" s="1"/>
  <c r="AF67" i="16"/>
  <c r="BD67" i="16"/>
  <c r="BE61" i="16" s="1"/>
  <c r="BE9" i="16" s="1"/>
  <c r="N73" i="16"/>
  <c r="Z73" i="16"/>
  <c r="AL73" i="16"/>
  <c r="AX73" i="16"/>
  <c r="BJ73" i="16"/>
  <c r="BO86" i="16"/>
  <c r="E185" i="19" s="1"/>
  <c r="BQ57" i="16"/>
  <c r="C59" i="17"/>
  <c r="AM103" i="15"/>
  <c r="O103" i="15"/>
  <c r="BM54" i="15"/>
  <c r="C50" i="16"/>
  <c r="BQ50" i="15"/>
  <c r="F73" i="15"/>
  <c r="AD73" i="15"/>
  <c r="AL73" i="15"/>
  <c r="S50" i="15"/>
  <c r="S54" i="15" s="1"/>
  <c r="AQ50" i="15"/>
  <c r="AQ54" i="15" s="1"/>
  <c r="AQ58" i="15" s="1"/>
  <c r="AQ8" i="15" s="1"/>
  <c r="AF67" i="15"/>
  <c r="AG61" i="15" s="1"/>
  <c r="AG9" i="15" s="1"/>
  <c r="Y103" i="15"/>
  <c r="BO57" i="15"/>
  <c r="D158" i="19" s="1"/>
  <c r="R73" i="15"/>
  <c r="BB73" i="15"/>
  <c r="AS50" i="15"/>
  <c r="AS54" i="15" s="1"/>
  <c r="AS58" i="15" s="1"/>
  <c r="AS8" i="15" s="1"/>
  <c r="BO64" i="16"/>
  <c r="E164" i="19" s="1"/>
  <c r="AP73" i="15"/>
  <c r="AW50" i="15"/>
  <c r="AW54" i="15" s="1"/>
  <c r="AW58" i="15" s="1"/>
  <c r="AW8" i="15" s="1"/>
  <c r="AU50" i="15"/>
  <c r="AU54" i="15" s="1"/>
  <c r="AU58" i="15" s="1"/>
  <c r="AU8" i="15" s="1"/>
  <c r="E69" i="16"/>
  <c r="BO69" i="16" s="1"/>
  <c r="E169" i="19" s="1"/>
  <c r="P73" i="15"/>
  <c r="AN73" i="15"/>
  <c r="AZ73" i="15"/>
  <c r="AI103" i="15"/>
  <c r="BG103" i="15"/>
  <c r="B64" i="16"/>
  <c r="C22" i="16"/>
  <c r="BB67" i="15"/>
  <c r="V67" i="15"/>
  <c r="W61" i="15" s="1"/>
  <c r="W9" i="15" s="1"/>
  <c r="AT67" i="15"/>
  <c r="AU61" i="15" s="1"/>
  <c r="AU9" i="15" s="1"/>
  <c r="Y73" i="15"/>
  <c r="Y10" i="15" s="1"/>
  <c r="BI73" i="15"/>
  <c r="D73" i="15"/>
  <c r="BC54" i="15"/>
  <c r="BC58" i="15" s="1"/>
  <c r="BC8" i="15" s="1"/>
  <c r="L73" i="15"/>
  <c r="AJ73" i="15"/>
  <c r="AV73" i="15"/>
  <c r="BQ59" i="15"/>
  <c r="BQ7" i="15" s="1"/>
  <c r="C49" i="16"/>
  <c r="M73" i="15"/>
  <c r="AK73" i="15"/>
  <c r="AK10" i="15" s="1"/>
  <c r="AW73" i="15"/>
  <c r="AW10" i="15" s="1"/>
  <c r="U73" i="15"/>
  <c r="U10" i="15" s="1"/>
  <c r="BE73" i="15"/>
  <c r="BQ49" i="15"/>
  <c r="BO86" i="15"/>
  <c r="D185" i="19" s="1"/>
  <c r="C59" i="16"/>
  <c r="AE54" i="15"/>
  <c r="AE58" i="15" s="1"/>
  <c r="AE8" i="15" s="1"/>
  <c r="Q50" i="15"/>
  <c r="Q54" i="15" s="1"/>
  <c r="Q58" i="15" s="1"/>
  <c r="Q8" i="15" s="1"/>
  <c r="Q73" i="15"/>
  <c r="Q10" i="15" s="1"/>
  <c r="AC73" i="15"/>
  <c r="AO73" i="15"/>
  <c r="BA73" i="15"/>
  <c r="BM73" i="15"/>
  <c r="BM61" i="15" s="1"/>
  <c r="BM9" i="15" s="1"/>
  <c r="BO68" i="16"/>
  <c r="E168" i="19" s="1"/>
  <c r="BO96" i="14"/>
  <c r="C193" i="19" s="1"/>
  <c r="Y103" i="14"/>
  <c r="U73" i="14"/>
  <c r="BE73" i="14"/>
  <c r="E54" i="14"/>
  <c r="BA54" i="14"/>
  <c r="BA58" i="14" s="1"/>
  <c r="BA8" i="14" s="1"/>
  <c r="G50" i="14"/>
  <c r="BC50" i="14"/>
  <c r="BC54" i="14" s="1"/>
  <c r="BC58" i="14" s="1"/>
  <c r="BC8" i="14" s="1"/>
  <c r="K73" i="14"/>
  <c r="K10" i="14" s="1"/>
  <c r="AI73" i="14"/>
  <c r="AI67" i="14" s="1"/>
  <c r="AU73" i="14"/>
  <c r="BG73" i="14"/>
  <c r="BQ42" i="14"/>
  <c r="AY54" i="14"/>
  <c r="AY58" i="14" s="1"/>
  <c r="AY8" i="14" s="1"/>
  <c r="AG73" i="14"/>
  <c r="I54" i="14"/>
  <c r="I58" i="14" s="1"/>
  <c r="I8" i="14" s="1"/>
  <c r="L73" i="14"/>
  <c r="X73" i="14"/>
  <c r="AJ73" i="14"/>
  <c r="AV73" i="14"/>
  <c r="BH73" i="14"/>
  <c r="K54" i="14"/>
  <c r="K58" i="14" s="1"/>
  <c r="K8" i="14" s="1"/>
  <c r="BI50" i="14"/>
  <c r="M73" i="14"/>
  <c r="AW73" i="14"/>
  <c r="AW10" i="14" s="1"/>
  <c r="N73" i="14"/>
  <c r="AX73" i="14"/>
  <c r="BE54" i="14"/>
  <c r="BD67" i="14"/>
  <c r="AI103" i="14"/>
  <c r="L67" i="14"/>
  <c r="AJ67" i="14"/>
  <c r="BH67" i="14"/>
  <c r="O103" i="14"/>
  <c r="BQ57" i="14"/>
  <c r="BO31" i="15"/>
  <c r="D132" i="19" s="1"/>
  <c r="B66" i="15"/>
  <c r="C75" i="15"/>
  <c r="AK50" i="14"/>
  <c r="AQ54" i="14"/>
  <c r="AQ58" i="14" s="1"/>
  <c r="AQ8" i="14" s="1"/>
  <c r="N67" i="14"/>
  <c r="AL67" i="14"/>
  <c r="BJ67" i="14"/>
  <c r="P73" i="14"/>
  <c r="Q67" i="14" s="1"/>
  <c r="AB73" i="14"/>
  <c r="AN73" i="14"/>
  <c r="AZ73" i="14"/>
  <c r="AF67" i="14"/>
  <c r="BI73" i="14"/>
  <c r="BI67" i="14" s="1"/>
  <c r="BG103" i="14"/>
  <c r="U50" i="14"/>
  <c r="AS50" i="14"/>
  <c r="BO59" i="14"/>
  <c r="C160" i="19" s="1"/>
  <c r="BO69" i="14"/>
  <c r="C169" i="19" s="1"/>
  <c r="AC73" i="14"/>
  <c r="BG54" i="14"/>
  <c r="BG58" i="14" s="1"/>
  <c r="BG8" i="14" s="1"/>
  <c r="AK73" i="14"/>
  <c r="W50" i="14"/>
  <c r="W54" i="14" s="1"/>
  <c r="W58" i="14" s="1"/>
  <c r="W8" i="14" s="1"/>
  <c r="AU50" i="14"/>
  <c r="AU54" i="14" s="1"/>
  <c r="AU58" i="14" s="1"/>
  <c r="AU8" i="14" s="1"/>
  <c r="R67" i="14"/>
  <c r="AP67" i="14"/>
  <c r="BQ75" i="14"/>
  <c r="BQ11" i="14" s="1"/>
  <c r="AI54" i="14"/>
  <c r="AI58" i="14" s="1"/>
  <c r="AI8" i="14" s="1"/>
  <c r="M50" i="14"/>
  <c r="Y73" i="14"/>
  <c r="K103" i="14"/>
  <c r="H67" i="14"/>
  <c r="E72" i="15"/>
  <c r="BO72" i="15" s="1"/>
  <c r="D172" i="19" s="1"/>
  <c r="BM61" i="13"/>
  <c r="BM9" i="13" s="1"/>
  <c r="BM10" i="13"/>
  <c r="M103" i="13"/>
  <c r="AB67" i="13"/>
  <c r="K58" i="13"/>
  <c r="K8" i="13" s="1"/>
  <c r="AI58" i="13"/>
  <c r="AI8" i="13" s="1"/>
  <c r="AE54" i="13"/>
  <c r="AE58" i="13" s="1"/>
  <c r="AE8" i="13" s="1"/>
  <c r="BC54" i="13"/>
  <c r="BC58" i="13" s="1"/>
  <c r="BC8" i="13" s="1"/>
  <c r="BO49" i="13"/>
  <c r="B150" i="19" s="1"/>
  <c r="J67" i="13"/>
  <c r="AH67" i="13"/>
  <c r="BF67" i="13"/>
  <c r="AZ67" i="13"/>
  <c r="AD67" i="13"/>
  <c r="AC73" i="13"/>
  <c r="BQ59" i="13"/>
  <c r="BO63" i="13"/>
  <c r="B163" i="19" s="1"/>
  <c r="BO30" i="13"/>
  <c r="B131" i="19" s="1"/>
  <c r="AU50" i="13"/>
  <c r="AU54" i="13" s="1"/>
  <c r="AU58" i="13" s="1"/>
  <c r="AU8" i="13" s="1"/>
  <c r="F67" i="13"/>
  <c r="E72" i="14"/>
  <c r="BO72" i="14" s="1"/>
  <c r="C172" i="19" s="1"/>
  <c r="J73" i="13"/>
  <c r="V73" i="13"/>
  <c r="AH73" i="13"/>
  <c r="AT73" i="13"/>
  <c r="BF73" i="13"/>
  <c r="AU103" i="13"/>
  <c r="B64" i="14"/>
  <c r="BO83" i="13"/>
  <c r="B182" i="19" s="1"/>
  <c r="W50" i="13"/>
  <c r="W54" i="13" s="1"/>
  <c r="W58" i="13" s="1"/>
  <c r="W8" i="13" s="1"/>
  <c r="BO96" i="13"/>
  <c r="B193" i="19" s="1"/>
  <c r="E70" i="14"/>
  <c r="BO70" i="14" s="1"/>
  <c r="C170" i="19" s="1"/>
  <c r="D80" i="14"/>
  <c r="D66" i="13"/>
  <c r="K73" i="13"/>
  <c r="K10" i="13" s="1"/>
  <c r="AI73" i="13"/>
  <c r="AU73" i="13"/>
  <c r="BG73" i="13"/>
  <c r="BG10" i="13" s="1"/>
  <c r="I73" i="13"/>
  <c r="AG73" i="13"/>
  <c r="AW103" i="13"/>
  <c r="L73" i="13"/>
  <c r="BH73" i="13"/>
  <c r="AY103" i="13"/>
  <c r="AK103" i="13"/>
  <c r="BM7" i="13"/>
  <c r="BO7" i="13" s="1"/>
  <c r="B113" i="19" s="1"/>
  <c r="AO50" i="13"/>
  <c r="AO54" i="13" s="1"/>
  <c r="AO58" i="13" s="1"/>
  <c r="AO8" i="13" s="1"/>
  <c r="H67" i="13"/>
  <c r="Z73" i="13"/>
  <c r="AL73" i="13"/>
  <c r="AX73" i="13"/>
  <c r="B63" i="14"/>
  <c r="S54" i="13"/>
  <c r="S58" i="13" s="1"/>
  <c r="S8" i="13" s="1"/>
  <c r="AV73" i="13"/>
  <c r="AW67" i="13" s="1"/>
  <c r="AA103" i="13"/>
  <c r="BI103" i="13"/>
  <c r="AQ50" i="13"/>
  <c r="AQ54" i="13" s="1"/>
  <c r="AQ58" i="13" s="1"/>
  <c r="AQ8" i="13" s="1"/>
  <c r="M73" i="13"/>
  <c r="U73" i="13"/>
  <c r="BE73" i="13"/>
  <c r="BO64" i="13"/>
  <c r="B164" i="19" s="1"/>
  <c r="AF67" i="13"/>
  <c r="BD67" i="13"/>
  <c r="AO73" i="13"/>
  <c r="AO61" i="13" s="1"/>
  <c r="AO9" i="13" s="1"/>
  <c r="BA73" i="13"/>
  <c r="BA103" i="12"/>
  <c r="AW50" i="12"/>
  <c r="AW54" i="12" s="1"/>
  <c r="AW58" i="12" s="1"/>
  <c r="AW8" i="12" s="1"/>
  <c r="D85" i="12"/>
  <c r="E99" i="12" s="1"/>
  <c r="BO99" i="12" s="1"/>
  <c r="H89" i="19" s="1"/>
  <c r="BQ22" i="12"/>
  <c r="B63" i="13"/>
  <c r="AY50" i="12"/>
  <c r="AY54" i="12" s="1"/>
  <c r="AY58" i="12" s="1"/>
  <c r="AY8" i="12" s="1"/>
  <c r="G54" i="12"/>
  <c r="G58" i="12" s="1"/>
  <c r="G8" i="12" s="1"/>
  <c r="B63" i="12"/>
  <c r="O103" i="12"/>
  <c r="N73" i="12"/>
  <c r="AX73" i="12"/>
  <c r="BO42" i="12"/>
  <c r="H36" i="19" s="1"/>
  <c r="I73" i="12"/>
  <c r="I10" i="12" s="1"/>
  <c r="BE73" i="12"/>
  <c r="BE67" i="12" s="1"/>
  <c r="AN67" i="12"/>
  <c r="AO61" i="12" s="1"/>
  <c r="AO9" i="12" s="1"/>
  <c r="BB67" i="12"/>
  <c r="AF67" i="12"/>
  <c r="R73" i="12"/>
  <c r="V73" i="12"/>
  <c r="C57" i="13"/>
  <c r="AO103" i="12"/>
  <c r="BO30" i="12"/>
  <c r="H24" i="19" s="1"/>
  <c r="U73" i="12"/>
  <c r="AW103" i="12"/>
  <c r="I50" i="12"/>
  <c r="I54" i="12" s="1"/>
  <c r="I58" i="12" s="1"/>
  <c r="I8" i="12" s="1"/>
  <c r="H67" i="12"/>
  <c r="X67" i="12"/>
  <c r="Y61" i="12" s="1"/>
  <c r="Y9" i="12" s="1"/>
  <c r="AU73" i="12"/>
  <c r="U103" i="12"/>
  <c r="E70" i="12"/>
  <c r="BO70" i="12" s="1"/>
  <c r="H63" i="19" s="1"/>
  <c r="D62" i="13"/>
  <c r="BO62" i="13" s="1"/>
  <c r="B162" i="19" s="1"/>
  <c r="E72" i="13"/>
  <c r="BO72" i="13" s="1"/>
  <c r="B172" i="19" s="1"/>
  <c r="D73" i="12"/>
  <c r="AS73" i="12"/>
  <c r="Y103" i="12"/>
  <c r="H73" i="12"/>
  <c r="T73" i="12"/>
  <c r="AF73" i="12"/>
  <c r="AG67" i="12" s="1"/>
  <c r="AR73" i="12"/>
  <c r="BD73" i="12"/>
  <c r="P73" i="12"/>
  <c r="Q67" i="12" s="1"/>
  <c r="E68" i="13"/>
  <c r="E73" i="13" s="1"/>
  <c r="E10" i="13" s="1"/>
  <c r="I103" i="12"/>
  <c r="AQ50" i="12"/>
  <c r="AQ54" i="12" s="1"/>
  <c r="AQ58" i="12" s="1"/>
  <c r="AQ8" i="12" s="1"/>
  <c r="J73" i="12"/>
  <c r="AH73" i="12"/>
  <c r="BF73" i="12"/>
  <c r="AL73" i="12"/>
  <c r="F73" i="12"/>
  <c r="BB73" i="12"/>
  <c r="K103" i="12"/>
  <c r="BG103" i="12"/>
  <c r="BO31" i="13"/>
  <c r="B132" i="19" s="1"/>
  <c r="AS54" i="12"/>
  <c r="AS58" i="12" s="1"/>
  <c r="AS8" i="12" s="1"/>
  <c r="U50" i="12"/>
  <c r="U54" i="12" s="1"/>
  <c r="U58" i="12" s="1"/>
  <c r="U8" i="12" s="1"/>
  <c r="B62" i="12"/>
  <c r="AA54" i="12"/>
  <c r="AA58" i="12" s="1"/>
  <c r="AA8" i="12" s="1"/>
  <c r="W50" i="12"/>
  <c r="W54" i="12" s="1"/>
  <c r="W58" i="12" s="1"/>
  <c r="W8" i="12" s="1"/>
  <c r="AU50" i="12"/>
  <c r="AU54" i="12" s="1"/>
  <c r="AU58" i="12" s="1"/>
  <c r="AU8" i="12" s="1"/>
  <c r="AB67" i="12"/>
  <c r="AC61" i="12" s="1"/>
  <c r="AC9" i="12" s="1"/>
  <c r="BQ75" i="12"/>
  <c r="BQ11" i="12" s="1"/>
  <c r="E69" i="13"/>
  <c r="BO69" i="13" s="1"/>
  <c r="B169" i="19" s="1"/>
  <c r="AM103" i="11"/>
  <c r="O73" i="11"/>
  <c r="O10" i="11" s="1"/>
  <c r="AA73" i="11"/>
  <c r="AA61" i="11" s="1"/>
  <c r="AA9" i="11" s="1"/>
  <c r="AM73" i="11"/>
  <c r="AY73" i="11"/>
  <c r="BK73" i="11"/>
  <c r="M73" i="11"/>
  <c r="M10" i="11" s="1"/>
  <c r="Y73" i="11"/>
  <c r="AK73" i="11"/>
  <c r="BI73" i="11"/>
  <c r="BI10" i="11" s="1"/>
  <c r="AI73" i="11"/>
  <c r="B65" i="12"/>
  <c r="G54" i="11"/>
  <c r="G58" i="11" s="1"/>
  <c r="G8" i="11" s="1"/>
  <c r="BC54" i="11"/>
  <c r="BC58" i="11" s="1"/>
  <c r="BC8" i="11" s="1"/>
  <c r="O103" i="11"/>
  <c r="BQ42" i="11"/>
  <c r="BE50" i="11"/>
  <c r="BE54" i="11" s="1"/>
  <c r="BE58" i="11" s="1"/>
  <c r="BE8" i="11" s="1"/>
  <c r="AX67" i="11"/>
  <c r="AE54" i="11"/>
  <c r="AE58" i="11" s="1"/>
  <c r="AE8" i="11" s="1"/>
  <c r="M54" i="11"/>
  <c r="M58" i="11" s="1"/>
  <c r="M8" i="11" s="1"/>
  <c r="BO62" i="11"/>
  <c r="G55" i="19" s="1"/>
  <c r="AB67" i="11"/>
  <c r="AZ67" i="11"/>
  <c r="BA61" i="11" s="1"/>
  <c r="BA9" i="11" s="1"/>
  <c r="F73" i="11"/>
  <c r="R73" i="11"/>
  <c r="AD73" i="11"/>
  <c r="AP73" i="11"/>
  <c r="BB73" i="11"/>
  <c r="P73" i="11"/>
  <c r="AB73" i="11"/>
  <c r="AN73" i="11"/>
  <c r="AZ73" i="11"/>
  <c r="BL73" i="11"/>
  <c r="L73" i="11"/>
  <c r="X73" i="11"/>
  <c r="Y67" i="11" s="1"/>
  <c r="AJ73" i="11"/>
  <c r="BH73" i="11"/>
  <c r="C49" i="12"/>
  <c r="BG103" i="11"/>
  <c r="H67" i="11"/>
  <c r="AS73" i="11"/>
  <c r="AS10" i="11" s="1"/>
  <c r="BA73" i="11"/>
  <c r="BA10" i="11" s="1"/>
  <c r="AO103" i="11"/>
  <c r="BO65" i="11"/>
  <c r="G58" i="19" s="1"/>
  <c r="D64" i="12"/>
  <c r="BO64" i="12" s="1"/>
  <c r="H57" i="19" s="1"/>
  <c r="K103" i="11"/>
  <c r="O54" i="11"/>
  <c r="O58" i="11" s="1"/>
  <c r="O8" i="11" s="1"/>
  <c r="BD67" i="11"/>
  <c r="E68" i="12"/>
  <c r="E73" i="12" s="1"/>
  <c r="E10" i="12" s="1"/>
  <c r="I73" i="11"/>
  <c r="BQ57" i="11"/>
  <c r="S50" i="11"/>
  <c r="S54" i="11" s="1"/>
  <c r="S58" i="11" s="1"/>
  <c r="S8" i="11" s="1"/>
  <c r="AQ50" i="11"/>
  <c r="N67" i="11"/>
  <c r="AL67" i="11"/>
  <c r="K73" i="11"/>
  <c r="K61" i="11" s="1"/>
  <c r="K9" i="11" s="1"/>
  <c r="W73" i="11"/>
  <c r="AU73" i="11"/>
  <c r="BG73" i="11"/>
  <c r="BG10" i="11" s="1"/>
  <c r="BE73" i="11"/>
  <c r="AV73" i="11"/>
  <c r="J73" i="11"/>
  <c r="V73" i="11"/>
  <c r="BF73" i="11"/>
  <c r="AS103" i="11"/>
  <c r="BO63" i="11"/>
  <c r="G56" i="19" s="1"/>
  <c r="AG73" i="11"/>
  <c r="AO73" i="11"/>
  <c r="AW73" i="11"/>
  <c r="Q54" i="11"/>
  <c r="Q58" i="11" s="1"/>
  <c r="Q8" i="11" s="1"/>
  <c r="BO59" i="11"/>
  <c r="G53" i="19" s="1"/>
  <c r="U73" i="11"/>
  <c r="AR67" i="11"/>
  <c r="N73" i="11"/>
  <c r="Z73" i="11"/>
  <c r="AL73" i="11"/>
  <c r="AM67" i="11" s="1"/>
  <c r="BJ73" i="11"/>
  <c r="BP73" i="11"/>
  <c r="Y103" i="11"/>
  <c r="E97" i="11"/>
  <c r="BO83" i="11"/>
  <c r="G75" i="19" s="1"/>
  <c r="G50" i="10"/>
  <c r="AB73" i="10"/>
  <c r="BL73" i="10"/>
  <c r="BJ67" i="10"/>
  <c r="AF73" i="10"/>
  <c r="BD73" i="10"/>
  <c r="BB73" i="10"/>
  <c r="BQ57" i="10"/>
  <c r="Q50" i="10"/>
  <c r="B64" i="11"/>
  <c r="S50" i="10"/>
  <c r="AH73" i="10"/>
  <c r="BF73" i="10"/>
  <c r="BQ75" i="10"/>
  <c r="BQ11" i="10" s="1"/>
  <c r="E70" i="11"/>
  <c r="C57" i="11"/>
  <c r="L67" i="10"/>
  <c r="V67" i="10"/>
  <c r="W50" i="10"/>
  <c r="W54" i="10" s="1"/>
  <c r="BP73" i="10"/>
  <c r="B63" i="11"/>
  <c r="C75" i="11"/>
  <c r="AT67" i="9"/>
  <c r="B62" i="9"/>
  <c r="BD73" i="9"/>
  <c r="E71" i="9"/>
  <c r="BQ69" i="9"/>
  <c r="BQ30" i="9"/>
  <c r="BQ31" i="9" s="1"/>
  <c r="AC50" i="9"/>
  <c r="C42" i="10"/>
  <c r="BK75" i="9"/>
  <c r="BQ50" i="9"/>
  <c r="B63" i="9"/>
  <c r="E70" i="10"/>
  <c r="BO70" i="10" s="1"/>
  <c r="F63" i="19" s="1"/>
  <c r="C57" i="10"/>
  <c r="AJ73" i="9"/>
  <c r="R67" i="9"/>
  <c r="E72" i="10"/>
  <c r="BO72" i="10" s="1"/>
  <c r="F65" i="19" s="1"/>
  <c r="BQ42" i="9"/>
  <c r="T67" i="9"/>
  <c r="AR67" i="9"/>
  <c r="BQ59" i="9"/>
  <c r="BQ7" i="9" s="1"/>
  <c r="B62" i="10"/>
  <c r="BH73" i="9"/>
  <c r="O50" i="9"/>
  <c r="O54" i="9" s="1"/>
  <c r="O58" i="9" s="1"/>
  <c r="O8" i="9" s="1"/>
  <c r="E69" i="9"/>
  <c r="BQ70" i="9"/>
  <c r="B65" i="10"/>
  <c r="Q50" i="9"/>
  <c r="AD73" i="9"/>
  <c r="BB73" i="9"/>
  <c r="BP83" i="9"/>
  <c r="BQ97" i="9" s="1"/>
  <c r="BQ72" i="9"/>
  <c r="M50" i="8"/>
  <c r="E70" i="9"/>
  <c r="BB73" i="8"/>
  <c r="AB73" i="8"/>
  <c r="BL73" i="8"/>
  <c r="BQ42" i="8"/>
  <c r="C75" i="9"/>
  <c r="BQ59" i="8"/>
  <c r="BQ7" i="8" s="1"/>
  <c r="BD73" i="8"/>
  <c r="AH73" i="8"/>
  <c r="BF73" i="8"/>
  <c r="AA50" i="8"/>
  <c r="AA54" i="8" s="1"/>
  <c r="AA58" i="8" s="1"/>
  <c r="AA8" i="8" s="1"/>
  <c r="AY50" i="8"/>
  <c r="T67" i="8"/>
  <c r="AR67" i="8"/>
  <c r="BQ57" i="8"/>
  <c r="BA54" i="8"/>
  <c r="BA58" i="8" s="1"/>
  <c r="BA8" i="8" s="1"/>
  <c r="V67" i="8"/>
  <c r="AT67" i="8"/>
  <c r="AJ73" i="8"/>
  <c r="BH73" i="8"/>
  <c r="BQ75" i="8"/>
  <c r="BQ11" i="8" s="1"/>
  <c r="B65" i="9"/>
  <c r="E72" i="9"/>
  <c r="BO72" i="9" s="1"/>
  <c r="E65" i="19" s="1"/>
  <c r="AJ67" i="8"/>
  <c r="BH67" i="8"/>
  <c r="BQ68" i="8"/>
  <c r="BQ73" i="8" s="1"/>
  <c r="E72" i="7"/>
  <c r="AD73" i="7"/>
  <c r="BO20" i="7"/>
  <c r="C14" i="19" s="1"/>
  <c r="I14" i="19" s="1"/>
  <c r="I121" i="19" s="1"/>
  <c r="B62" i="7"/>
  <c r="AY50" i="7"/>
  <c r="BB67" i="7"/>
  <c r="BQ59" i="7"/>
  <c r="BQ7" i="7" s="1"/>
  <c r="E69" i="8"/>
  <c r="BO69" i="8" s="1"/>
  <c r="D62" i="19" s="1"/>
  <c r="D83" i="7"/>
  <c r="E97" i="7" s="1"/>
  <c r="BO97" i="7" s="1"/>
  <c r="C87" i="19" s="1"/>
  <c r="C57" i="8"/>
  <c r="BF73" i="7"/>
  <c r="BQ69" i="7"/>
  <c r="BQ71" i="7"/>
  <c r="B65" i="8"/>
  <c r="E72" i="8"/>
  <c r="AH73" i="7"/>
  <c r="BQ70" i="7"/>
  <c r="E68" i="8"/>
  <c r="I50" i="7"/>
  <c r="R67" i="7"/>
  <c r="BQ49" i="7"/>
  <c r="AA50" i="7"/>
  <c r="E71" i="8"/>
  <c r="BO71" i="8" s="1"/>
  <c r="D64" i="19" s="1"/>
  <c r="W50" i="7"/>
  <c r="S50" i="7"/>
  <c r="S54" i="7" s="1"/>
  <c r="BP67" i="18"/>
  <c r="BQ9" i="18" s="1"/>
  <c r="AJ5" i="18"/>
  <c r="F5" i="18"/>
  <c r="BJ5" i="18"/>
  <c r="R5" i="18"/>
  <c r="AB5" i="18"/>
  <c r="AM10" i="18"/>
  <c r="W61" i="18"/>
  <c r="W9" i="18" s="1"/>
  <c r="AG10" i="18"/>
  <c r="AG61" i="18"/>
  <c r="AG9" i="18" s="1"/>
  <c r="Z5" i="18"/>
  <c r="BO59" i="18"/>
  <c r="G160" i="19" s="1"/>
  <c r="BG10" i="18"/>
  <c r="BP82" i="18"/>
  <c r="BG103" i="18"/>
  <c r="BO49" i="18"/>
  <c r="G150" i="19" s="1"/>
  <c r="BO93" i="18"/>
  <c r="G190" i="19" s="1"/>
  <c r="BO87" i="18"/>
  <c r="G186" i="19" s="1"/>
  <c r="AU103" i="18"/>
  <c r="BO42" i="18"/>
  <c r="G143" i="19" s="1"/>
  <c r="E50" i="18"/>
  <c r="BO81" i="18"/>
  <c r="G180" i="19" s="1"/>
  <c r="BO85" i="18"/>
  <c r="G184" i="19" s="1"/>
  <c r="O103" i="18"/>
  <c r="E101" i="18"/>
  <c r="BO101" i="18" s="1"/>
  <c r="G198" i="19" s="1"/>
  <c r="X5" i="18"/>
  <c r="AA10" i="18"/>
  <c r="BO22" i="18"/>
  <c r="G123" i="19" s="1"/>
  <c r="N67" i="18"/>
  <c r="O61" i="18" s="1"/>
  <c r="O9" i="18" s="1"/>
  <c r="AL67" i="18"/>
  <c r="AM61" i="18" s="1"/>
  <c r="AM9" i="18" s="1"/>
  <c r="BJ67" i="18"/>
  <c r="BP85" i="18"/>
  <c r="Q103" i="18"/>
  <c r="BF5" i="18"/>
  <c r="Y103" i="18"/>
  <c r="AW103" i="18"/>
  <c r="E100" i="18"/>
  <c r="BO100" i="18" s="1"/>
  <c r="G197" i="19" s="1"/>
  <c r="BO86" i="18"/>
  <c r="G185" i="19" s="1"/>
  <c r="L5" i="18"/>
  <c r="BO84" i="18"/>
  <c r="G183" i="19" s="1"/>
  <c r="AV5" i="18"/>
  <c r="BI54" i="18"/>
  <c r="BI58" i="18" s="1"/>
  <c r="BI8" i="18" s="1"/>
  <c r="BO66" i="18"/>
  <c r="G166" i="19" s="1"/>
  <c r="BO68" i="18"/>
  <c r="G168" i="19" s="1"/>
  <c r="I73" i="18"/>
  <c r="U73" i="18"/>
  <c r="AS73" i="18"/>
  <c r="BE73" i="18"/>
  <c r="BO69" i="18"/>
  <c r="G169" i="19" s="1"/>
  <c r="AC10" i="18"/>
  <c r="M10" i="18"/>
  <c r="M61" i="18"/>
  <c r="M9" i="18" s="1"/>
  <c r="W103" i="18"/>
  <c r="AX5" i="18"/>
  <c r="BK54" i="18"/>
  <c r="BK58" i="18" s="1"/>
  <c r="BK8" i="18" s="1"/>
  <c r="BI61" i="18"/>
  <c r="BI9" i="18" s="1"/>
  <c r="BO65" i="18"/>
  <c r="G165" i="19" s="1"/>
  <c r="J73" i="18"/>
  <c r="K67" i="18" s="1"/>
  <c r="AH73" i="18"/>
  <c r="AT73" i="18"/>
  <c r="AU67" i="18" s="1"/>
  <c r="BF73" i="18"/>
  <c r="AM103" i="18"/>
  <c r="BM50" i="18"/>
  <c r="BQ50" i="18" s="1"/>
  <c r="BO64" i="18"/>
  <c r="G164" i="19" s="1"/>
  <c r="AI73" i="18"/>
  <c r="I103" i="18"/>
  <c r="AG103" i="18"/>
  <c r="BE103" i="18"/>
  <c r="BO7" i="18"/>
  <c r="G113" i="19" s="1"/>
  <c r="S54" i="18"/>
  <c r="S58" i="18" s="1"/>
  <c r="S8" i="18" s="1"/>
  <c r="BO30" i="18"/>
  <c r="G131" i="19" s="1"/>
  <c r="BO31" i="18"/>
  <c r="G132" i="19" s="1"/>
  <c r="BO63" i="18"/>
  <c r="G163" i="19" s="1"/>
  <c r="AJ73" i="18"/>
  <c r="BO70" i="18"/>
  <c r="G170" i="19" s="1"/>
  <c r="K103" i="18"/>
  <c r="BO95" i="18"/>
  <c r="G192" i="19" s="1"/>
  <c r="BO99" i="18"/>
  <c r="G196" i="19" s="1"/>
  <c r="J5" i="18"/>
  <c r="D67" i="18"/>
  <c r="E61" i="18" s="1"/>
  <c r="BO62" i="18"/>
  <c r="G162" i="19" s="1"/>
  <c r="BI67" i="18"/>
  <c r="AK10" i="18"/>
  <c r="AK61" i="18"/>
  <c r="AK9" i="18" s="1"/>
  <c r="AK103" i="18"/>
  <c r="E94" i="18"/>
  <c r="BO94" i="18" s="1"/>
  <c r="G191" i="19" s="1"/>
  <c r="BO80" i="18"/>
  <c r="G179" i="19" s="1"/>
  <c r="BO98" i="18"/>
  <c r="G195" i="19" s="1"/>
  <c r="E102" i="18"/>
  <c r="BO102" i="18" s="1"/>
  <c r="G199" i="19" s="1"/>
  <c r="BO88" i="18"/>
  <c r="G187" i="19" s="1"/>
  <c r="P73" i="18"/>
  <c r="AB73" i="18"/>
  <c r="AC67" i="18" s="1"/>
  <c r="AN73" i="18"/>
  <c r="AZ73" i="18"/>
  <c r="BL73" i="18"/>
  <c r="AA103" i="18"/>
  <c r="AY103" i="18"/>
  <c r="S103" i="18"/>
  <c r="BK103" i="18"/>
  <c r="BA54" i="18"/>
  <c r="BA58" i="18" s="1"/>
  <c r="BA8" i="18" s="1"/>
  <c r="D73" i="18"/>
  <c r="E67" i="18" s="1"/>
  <c r="E91" i="18"/>
  <c r="BO77" i="18"/>
  <c r="G176" i="19" s="1"/>
  <c r="AC103" i="18"/>
  <c r="BA103" i="18"/>
  <c r="BM103" i="18"/>
  <c r="G103" i="18"/>
  <c r="AE103" i="18"/>
  <c r="BC103" i="18"/>
  <c r="AG54" i="18"/>
  <c r="AG58" i="18" s="1"/>
  <c r="AG8" i="18" s="1"/>
  <c r="BE54" i="18"/>
  <c r="BE58" i="18" s="1"/>
  <c r="BE8" i="18" s="1"/>
  <c r="E96" i="18"/>
  <c r="BO96" i="18" s="1"/>
  <c r="G193" i="19" s="1"/>
  <c r="H73" i="18"/>
  <c r="T73" i="18"/>
  <c r="AF73" i="18"/>
  <c r="AG67" i="18" s="1"/>
  <c r="AR73" i="18"/>
  <c r="BD73" i="18"/>
  <c r="E71" i="18"/>
  <c r="BO71" i="18" s="1"/>
  <c r="G171" i="19" s="1"/>
  <c r="AL5" i="18"/>
  <c r="BM75" i="18"/>
  <c r="BQ75" i="18" s="1"/>
  <c r="BO83" i="18"/>
  <c r="G182" i="19" s="1"/>
  <c r="AQ103" i="18"/>
  <c r="AO73" i="18"/>
  <c r="BA73" i="18"/>
  <c r="BM73" i="18"/>
  <c r="AO103" i="18"/>
  <c r="AN5" i="18"/>
  <c r="K50" i="18"/>
  <c r="K54" i="18" s="1"/>
  <c r="K58" i="18" s="1"/>
  <c r="K8" i="18" s="1"/>
  <c r="AI50" i="18"/>
  <c r="AI54" i="18" s="1"/>
  <c r="AI58" i="18" s="1"/>
  <c r="AI8" i="18" s="1"/>
  <c r="BG50" i="18"/>
  <c r="BG54" i="18" s="1"/>
  <c r="BG58" i="18" s="1"/>
  <c r="BG8" i="18" s="1"/>
  <c r="G73" i="18"/>
  <c r="S73" i="18"/>
  <c r="AE73" i="18"/>
  <c r="AQ73" i="18"/>
  <c r="BC73" i="18"/>
  <c r="BP73" i="18"/>
  <c r="BO79" i="18"/>
  <c r="G178" i="19" s="1"/>
  <c r="BO97" i="18"/>
  <c r="G194" i="19" s="1"/>
  <c r="BO31" i="17"/>
  <c r="F132" i="19" s="1"/>
  <c r="L5" i="17"/>
  <c r="BB5" i="17"/>
  <c r="BD5" i="17"/>
  <c r="BH5" i="17"/>
  <c r="AF5" i="17"/>
  <c r="H5" i="17"/>
  <c r="M73" i="17"/>
  <c r="Y73" i="17"/>
  <c r="AK73" i="17"/>
  <c r="AW73" i="17"/>
  <c r="BI73" i="17"/>
  <c r="E10" i="17"/>
  <c r="BO42" i="17"/>
  <c r="F143" i="19" s="1"/>
  <c r="E50" i="17"/>
  <c r="E69" i="17"/>
  <c r="BO69" i="17" s="1"/>
  <c r="F169" i="19" s="1"/>
  <c r="D85" i="17"/>
  <c r="O67" i="17"/>
  <c r="AY10" i="17"/>
  <c r="AU10" i="17"/>
  <c r="AG103" i="17"/>
  <c r="Y103" i="17"/>
  <c r="BO95" i="17"/>
  <c r="F192" i="19" s="1"/>
  <c r="I10" i="17"/>
  <c r="AG10" i="17"/>
  <c r="AG61" i="17"/>
  <c r="AG9" i="17" s="1"/>
  <c r="BO86" i="17"/>
  <c r="F185" i="19" s="1"/>
  <c r="E100" i="17"/>
  <c r="BO100" i="17" s="1"/>
  <c r="F197" i="19" s="1"/>
  <c r="BG103" i="17"/>
  <c r="U103" i="17"/>
  <c r="AK103" i="17"/>
  <c r="BO94" i="17"/>
  <c r="F191" i="19" s="1"/>
  <c r="BO82" i="17"/>
  <c r="F181" i="19" s="1"/>
  <c r="P5" i="17"/>
  <c r="AN5" i="17"/>
  <c r="BL5" i="17"/>
  <c r="D67" i="17"/>
  <c r="E61" i="17" s="1"/>
  <c r="BO98" i="17"/>
  <c r="F195" i="19" s="1"/>
  <c r="U61" i="17"/>
  <c r="U9" i="17" s="1"/>
  <c r="BE10" i="17"/>
  <c r="BI103" i="17"/>
  <c r="R5" i="17"/>
  <c r="AP5" i="17"/>
  <c r="K61" i="17"/>
  <c r="K9" i="17" s="1"/>
  <c r="K67" i="17"/>
  <c r="K10" i="17"/>
  <c r="BK10" i="17"/>
  <c r="BK67" i="17"/>
  <c r="Q103" i="17"/>
  <c r="BO84" i="17"/>
  <c r="F183" i="19" s="1"/>
  <c r="E102" i="17"/>
  <c r="BO102" i="17" s="1"/>
  <c r="F199" i="19" s="1"/>
  <c r="BO88" i="17"/>
  <c r="F187" i="19" s="1"/>
  <c r="AO103" i="17"/>
  <c r="W103" i="17"/>
  <c r="BO30" i="17"/>
  <c r="F131" i="19" s="1"/>
  <c r="AS61" i="17"/>
  <c r="AS9" i="17" s="1"/>
  <c r="S50" i="17"/>
  <c r="S54" i="17" s="1"/>
  <c r="S58" i="17" s="1"/>
  <c r="S8" i="17" s="1"/>
  <c r="AS103" i="17"/>
  <c r="AS54" i="17"/>
  <c r="AS58" i="17" s="1"/>
  <c r="AS8" i="17" s="1"/>
  <c r="AA7" i="17"/>
  <c r="BO7" i="17" s="1"/>
  <c r="F113" i="19" s="1"/>
  <c r="BO59" i="17"/>
  <c r="F160" i="19" s="1"/>
  <c r="W67" i="17"/>
  <c r="BO96" i="17"/>
  <c r="F193" i="19" s="1"/>
  <c r="BO101" i="17"/>
  <c r="F198" i="19" s="1"/>
  <c r="AU103" i="17"/>
  <c r="AN67" i="17"/>
  <c r="AI67" i="17"/>
  <c r="AI10" i="17"/>
  <c r="AO10" i="17"/>
  <c r="BA61" i="17"/>
  <c r="BA9" i="17" s="1"/>
  <c r="BA10" i="17"/>
  <c r="AA10" i="17"/>
  <c r="AA67" i="17"/>
  <c r="AW103" i="17"/>
  <c r="AI103" i="17"/>
  <c r="K103" i="17"/>
  <c r="BM75" i="17"/>
  <c r="BO57" i="17"/>
  <c r="F158" i="19" s="1"/>
  <c r="V67" i="17"/>
  <c r="W61" i="17" s="1"/>
  <c r="W9" i="17" s="1"/>
  <c r="AT67" i="17"/>
  <c r="AU61" i="17" s="1"/>
  <c r="AU9" i="17" s="1"/>
  <c r="BM103" i="17"/>
  <c r="K54" i="17"/>
  <c r="K58" i="17" s="1"/>
  <c r="K8" i="17" s="1"/>
  <c r="AI54" i="17"/>
  <c r="AI58" i="17" s="1"/>
  <c r="AI8" i="17" s="1"/>
  <c r="BG54" i="17"/>
  <c r="BG58" i="17" s="1"/>
  <c r="BG8" i="17" s="1"/>
  <c r="X67" i="17"/>
  <c r="AV67" i="17"/>
  <c r="BO64" i="17"/>
  <c r="F164" i="19" s="1"/>
  <c r="AA103" i="17"/>
  <c r="E93" i="17"/>
  <c r="BO93" i="17" s="1"/>
  <c r="F190" i="19" s="1"/>
  <c r="Z67" i="17"/>
  <c r="AA61" i="17" s="1"/>
  <c r="AA9" i="17" s="1"/>
  <c r="AX67" i="17"/>
  <c r="AY61" i="17" s="1"/>
  <c r="AY9" i="17" s="1"/>
  <c r="P73" i="17"/>
  <c r="Q67" i="17" s="1"/>
  <c r="AB73" i="17"/>
  <c r="AC67" i="17" s="1"/>
  <c r="AN73" i="17"/>
  <c r="AO67" i="17" s="1"/>
  <c r="AZ73" i="17"/>
  <c r="BA67" i="17" s="1"/>
  <c r="BL73" i="17"/>
  <c r="BM67" i="17" s="1"/>
  <c r="BO83" i="17"/>
  <c r="F182" i="19" s="1"/>
  <c r="BO87" i="17"/>
  <c r="F186" i="19" s="1"/>
  <c r="AM103" i="17"/>
  <c r="BM61" i="17"/>
  <c r="BM9" i="17" s="1"/>
  <c r="AQ103" i="17"/>
  <c r="J5" i="17"/>
  <c r="BO22" i="17"/>
  <c r="F123" i="19" s="1"/>
  <c r="B66" i="17"/>
  <c r="G73" i="17"/>
  <c r="S73" i="17"/>
  <c r="AE73" i="17"/>
  <c r="AQ73" i="17"/>
  <c r="BC73" i="17"/>
  <c r="D78" i="17"/>
  <c r="BO81" i="17"/>
  <c r="F180" i="19" s="1"/>
  <c r="T73" i="17"/>
  <c r="BD73" i="17"/>
  <c r="BE67" i="17" s="1"/>
  <c r="N5" i="17"/>
  <c r="M50" i="17"/>
  <c r="M54" i="17" s="1"/>
  <c r="M58" i="17" s="1"/>
  <c r="M8" i="17" s="1"/>
  <c r="AK50" i="17"/>
  <c r="AK54" i="17" s="1"/>
  <c r="AK58" i="17" s="1"/>
  <c r="AK8" i="17" s="1"/>
  <c r="BI50" i="17"/>
  <c r="BI54" i="17" s="1"/>
  <c r="BI58" i="17" s="1"/>
  <c r="BI8" i="17" s="1"/>
  <c r="BG67" i="17"/>
  <c r="D77" i="17"/>
  <c r="AC103" i="17"/>
  <c r="BA103" i="17"/>
  <c r="J67" i="17"/>
  <c r="BF67" i="17"/>
  <c r="BG61" i="17" s="1"/>
  <c r="BG9" i="17" s="1"/>
  <c r="AF73" i="17"/>
  <c r="O103" i="17"/>
  <c r="BO97" i="17"/>
  <c r="F194" i="19" s="1"/>
  <c r="N67" i="17"/>
  <c r="O61" i="17" s="1"/>
  <c r="O9" i="17" s="1"/>
  <c r="AL67" i="17"/>
  <c r="AM61" i="17" s="1"/>
  <c r="AM9" i="17" s="1"/>
  <c r="BJ67" i="17"/>
  <c r="BK61" i="17" s="1"/>
  <c r="BK9" i="17" s="1"/>
  <c r="G103" i="17"/>
  <c r="AE103" i="17"/>
  <c r="BC103" i="17"/>
  <c r="BO80" i="17"/>
  <c r="F179" i="19" s="1"/>
  <c r="S103" i="17"/>
  <c r="AH67" i="17"/>
  <c r="H73" i="17"/>
  <c r="AR73" i="17"/>
  <c r="AC10" i="17"/>
  <c r="BG10" i="17"/>
  <c r="BO65" i="17"/>
  <c r="F165" i="19" s="1"/>
  <c r="BP80" i="17"/>
  <c r="T5" i="17"/>
  <c r="E54" i="17"/>
  <c r="AC54" i="17"/>
  <c r="AC58" i="17" s="1"/>
  <c r="AC8" i="17" s="1"/>
  <c r="BA54" i="17"/>
  <c r="BA58" i="17" s="1"/>
  <c r="BA8" i="17" s="1"/>
  <c r="BK103" i="17"/>
  <c r="BO66" i="16"/>
  <c r="E166" i="19" s="1"/>
  <c r="BO65" i="16"/>
  <c r="E165" i="19" s="1"/>
  <c r="BO63" i="16"/>
  <c r="E163" i="19" s="1"/>
  <c r="B63" i="16"/>
  <c r="BP67" i="16"/>
  <c r="P5" i="16"/>
  <c r="AB5" i="16"/>
  <c r="BL5" i="16"/>
  <c r="D5" i="16"/>
  <c r="AN5" i="16"/>
  <c r="AQ103" i="16"/>
  <c r="R5" i="16"/>
  <c r="AP5" i="16"/>
  <c r="Y54" i="16"/>
  <c r="Y58" i="16" s="1"/>
  <c r="Y8" i="16" s="1"/>
  <c r="AW54" i="16"/>
  <c r="AW58" i="16" s="1"/>
  <c r="AW8" i="16" s="1"/>
  <c r="AA50" i="16"/>
  <c r="AA54" i="16" s="1"/>
  <c r="AA58" i="16" s="1"/>
  <c r="AA8" i="16" s="1"/>
  <c r="AY50" i="16"/>
  <c r="AY54" i="16" s="1"/>
  <c r="AY58" i="16" s="1"/>
  <c r="AY8" i="16" s="1"/>
  <c r="BO75" i="16"/>
  <c r="E175" i="19" s="1"/>
  <c r="U103" i="16"/>
  <c r="AS103" i="16"/>
  <c r="T5" i="16"/>
  <c r="AR5" i="16"/>
  <c r="BO42" i="16"/>
  <c r="E143" i="19" s="1"/>
  <c r="BO49" i="16"/>
  <c r="E150" i="19" s="1"/>
  <c r="H73" i="16"/>
  <c r="I67" i="16" s="1"/>
  <c r="T73" i="16"/>
  <c r="U67" i="16" s="1"/>
  <c r="AF73" i="16"/>
  <c r="AG67" i="16" s="1"/>
  <c r="AR73" i="16"/>
  <c r="AS67" i="16" s="1"/>
  <c r="BD73" i="16"/>
  <c r="BE67" i="16" s="1"/>
  <c r="AY73" i="16"/>
  <c r="BK73" i="16"/>
  <c r="E72" i="16"/>
  <c r="BO72" i="16" s="1"/>
  <c r="E172" i="19" s="1"/>
  <c r="D78" i="16"/>
  <c r="E96" i="16"/>
  <c r="BO96" i="16" s="1"/>
  <c r="E193" i="19" s="1"/>
  <c r="BO82" i="16"/>
  <c r="E181" i="19" s="1"/>
  <c r="W103" i="16"/>
  <c r="V5" i="16"/>
  <c r="AT5" i="16"/>
  <c r="BO22" i="16"/>
  <c r="E123" i="19" s="1"/>
  <c r="BO59" i="16"/>
  <c r="E160" i="19" s="1"/>
  <c r="U61" i="16"/>
  <c r="U9" i="16" s="1"/>
  <c r="Y103" i="16"/>
  <c r="AW103" i="16"/>
  <c r="BP88" i="16"/>
  <c r="AA103" i="16"/>
  <c r="AG61" i="16"/>
  <c r="AG9" i="16" s="1"/>
  <c r="J73" i="16"/>
  <c r="K67" i="16" s="1"/>
  <c r="V73" i="16"/>
  <c r="W67" i="16" s="1"/>
  <c r="AH73" i="16"/>
  <c r="AI67" i="16" s="1"/>
  <c r="AT73" i="16"/>
  <c r="AU67" i="16" s="1"/>
  <c r="BF73" i="16"/>
  <c r="BG67" i="16" s="1"/>
  <c r="AE103" i="16"/>
  <c r="S100" i="16"/>
  <c r="S103" i="16" s="1"/>
  <c r="Z5" i="16"/>
  <c r="AX5" i="16"/>
  <c r="I54" i="16"/>
  <c r="I58" i="16" s="1"/>
  <c r="I8" i="16" s="1"/>
  <c r="AG54" i="16"/>
  <c r="AG58" i="16" s="1"/>
  <c r="AG8" i="16" s="1"/>
  <c r="BE54" i="16"/>
  <c r="BE58" i="16" s="1"/>
  <c r="BE8" i="16" s="1"/>
  <c r="AI61" i="16"/>
  <c r="AI9" i="16" s="1"/>
  <c r="E103" i="16"/>
  <c r="BO91" i="16"/>
  <c r="E188" i="19" s="1"/>
  <c r="AC103" i="16"/>
  <c r="BA103" i="16"/>
  <c r="BO95" i="16"/>
  <c r="E192" i="19" s="1"/>
  <c r="BO99" i="16"/>
  <c r="E196" i="19" s="1"/>
  <c r="AI103" i="16"/>
  <c r="AU103" i="16"/>
  <c r="AK54" i="16"/>
  <c r="AK58" i="16" s="1"/>
  <c r="AK8" i="16" s="1"/>
  <c r="BO31" i="16"/>
  <c r="E132" i="19" s="1"/>
  <c r="M73" i="16"/>
  <c r="Y73" i="16"/>
  <c r="AK73" i="16"/>
  <c r="AW73" i="16"/>
  <c r="BI73" i="16"/>
  <c r="AA10" i="16"/>
  <c r="AA61" i="16"/>
  <c r="AA9" i="16" s="1"/>
  <c r="I103" i="16"/>
  <c r="AG103" i="16"/>
  <c r="BE103" i="16"/>
  <c r="E98" i="16"/>
  <c r="BO98" i="16" s="1"/>
  <c r="E195" i="19" s="1"/>
  <c r="BO84" i="16"/>
  <c r="E183" i="19" s="1"/>
  <c r="AY103" i="16"/>
  <c r="BO57" i="16"/>
  <c r="E158" i="19" s="1"/>
  <c r="N67" i="16"/>
  <c r="AL67" i="16"/>
  <c r="BJ67" i="16"/>
  <c r="AE61" i="16"/>
  <c r="AE9" i="16" s="1"/>
  <c r="AE67" i="16"/>
  <c r="AQ67" i="16"/>
  <c r="AQ10" i="16"/>
  <c r="BP73" i="16"/>
  <c r="E94" i="16"/>
  <c r="BO94" i="16" s="1"/>
  <c r="E191" i="19" s="1"/>
  <c r="BO80" i="16"/>
  <c r="E179" i="19" s="1"/>
  <c r="BC103" i="16"/>
  <c r="Q54" i="16"/>
  <c r="Q58" i="16" s="1"/>
  <c r="Q8" i="16" s="1"/>
  <c r="AO54" i="16"/>
  <c r="AO58" i="16" s="1"/>
  <c r="AO8" i="16" s="1"/>
  <c r="BO30" i="16"/>
  <c r="E131" i="19" s="1"/>
  <c r="AQ58" i="16"/>
  <c r="AQ8" i="16" s="1"/>
  <c r="M103" i="16"/>
  <c r="AK103" i="16"/>
  <c r="BI103" i="16"/>
  <c r="BG103" i="16"/>
  <c r="R67" i="16"/>
  <c r="AP67" i="16"/>
  <c r="AQ61" i="16" s="1"/>
  <c r="AQ9" i="16" s="1"/>
  <c r="BO62" i="16"/>
  <c r="E162" i="19" s="1"/>
  <c r="W61" i="16"/>
  <c r="W9" i="16" s="1"/>
  <c r="AU61" i="16"/>
  <c r="AU9" i="16" s="1"/>
  <c r="O103" i="16"/>
  <c r="AM103" i="16"/>
  <c r="BK103" i="16"/>
  <c r="BO83" i="16"/>
  <c r="E182" i="19" s="1"/>
  <c r="E97" i="16"/>
  <c r="BO97" i="16" s="1"/>
  <c r="E194" i="19" s="1"/>
  <c r="BO87" i="16"/>
  <c r="E186" i="19" s="1"/>
  <c r="E101" i="16"/>
  <c r="BO101" i="16" s="1"/>
  <c r="E198" i="19" s="1"/>
  <c r="E61" i="16"/>
  <c r="E67" i="16"/>
  <c r="Q73" i="16"/>
  <c r="AC73" i="16"/>
  <c r="AO73" i="16"/>
  <c r="BA73" i="16"/>
  <c r="BO71" i="16"/>
  <c r="E171" i="19" s="1"/>
  <c r="Q103" i="16"/>
  <c r="AO103" i="16"/>
  <c r="BO79" i="16"/>
  <c r="E178" i="19" s="1"/>
  <c r="E93" i="16"/>
  <c r="BO93" i="16" s="1"/>
  <c r="E190" i="19" s="1"/>
  <c r="BO88" i="16"/>
  <c r="E187" i="19" s="1"/>
  <c r="BO85" i="16"/>
  <c r="E184" i="19" s="1"/>
  <c r="K102" i="16"/>
  <c r="K103" i="16" s="1"/>
  <c r="E70" i="16"/>
  <c r="BO70" i="16" s="1"/>
  <c r="E170" i="19" s="1"/>
  <c r="BO81" i="16"/>
  <c r="E180" i="19" s="1"/>
  <c r="BO77" i="16"/>
  <c r="E176" i="19" s="1"/>
  <c r="D84" i="15"/>
  <c r="E98" i="15" s="1"/>
  <c r="B65" i="15"/>
  <c r="BO30" i="15"/>
  <c r="D131" i="19" s="1"/>
  <c r="BJ5" i="15"/>
  <c r="BL5" i="15"/>
  <c r="N5" i="15"/>
  <c r="P5" i="15"/>
  <c r="AU67" i="15"/>
  <c r="AC67" i="15"/>
  <c r="AC10" i="15"/>
  <c r="AO61" i="15"/>
  <c r="AO9" i="15" s="1"/>
  <c r="AO10" i="15"/>
  <c r="K95" i="15"/>
  <c r="BO81" i="15"/>
  <c r="D180" i="19" s="1"/>
  <c r="BO82" i="15"/>
  <c r="D181" i="19" s="1"/>
  <c r="U103" i="15"/>
  <c r="AO54" i="15"/>
  <c r="AO58" i="15" s="1"/>
  <c r="AO8" i="15" s="1"/>
  <c r="H67" i="15"/>
  <c r="I61" i="15" s="1"/>
  <c r="I9" i="15" s="1"/>
  <c r="BD67" i="15"/>
  <c r="K10" i="15"/>
  <c r="K67" i="15"/>
  <c r="Q61" i="15"/>
  <c r="Q9" i="15" s="1"/>
  <c r="AB67" i="15"/>
  <c r="AC61" i="15" s="1"/>
  <c r="AC9" i="15" s="1"/>
  <c r="BF67" i="15"/>
  <c r="BG61" i="15" s="1"/>
  <c r="BG9" i="15" s="1"/>
  <c r="BK103" i="15"/>
  <c r="AK103" i="15"/>
  <c r="BM75" i="15"/>
  <c r="F67" i="15"/>
  <c r="AD67" i="15"/>
  <c r="BM103" i="15"/>
  <c r="E93" i="15"/>
  <c r="BO93" i="15" s="1"/>
  <c r="D190" i="19" s="1"/>
  <c r="BO79" i="15"/>
  <c r="D178" i="19" s="1"/>
  <c r="BO97" i="15"/>
  <c r="D194" i="19" s="1"/>
  <c r="E102" i="15"/>
  <c r="BO102" i="15" s="1"/>
  <c r="D199" i="19" s="1"/>
  <c r="BO88" i="15"/>
  <c r="D187" i="19" s="1"/>
  <c r="W103" i="15"/>
  <c r="Z5" i="15"/>
  <c r="S58" i="15"/>
  <c r="S8" i="15" s="1"/>
  <c r="J67" i="15"/>
  <c r="K61" i="15" s="1"/>
  <c r="K9" i="15" s="1"/>
  <c r="AA54" i="15"/>
  <c r="AA58" i="15" s="1"/>
  <c r="AA8" i="15" s="1"/>
  <c r="AY54" i="15"/>
  <c r="AY58" i="15" s="1"/>
  <c r="AY8" i="15" s="1"/>
  <c r="BO59" i="15"/>
  <c r="D160" i="19" s="1"/>
  <c r="BO65" i="15"/>
  <c r="D165" i="19" s="1"/>
  <c r="W67" i="15"/>
  <c r="W10" i="15"/>
  <c r="AI10" i="15"/>
  <c r="AI67" i="15"/>
  <c r="AI61" i="15"/>
  <c r="AI9" i="15" s="1"/>
  <c r="BG10" i="15"/>
  <c r="BG67" i="15"/>
  <c r="I10" i="15"/>
  <c r="AS103" i="15"/>
  <c r="H5" i="15"/>
  <c r="BD5" i="15"/>
  <c r="X73" i="15"/>
  <c r="BH73" i="15"/>
  <c r="AW103" i="15"/>
  <c r="BO87" i="15"/>
  <c r="D186" i="19" s="1"/>
  <c r="E101" i="15"/>
  <c r="BO101" i="15" s="1"/>
  <c r="D198" i="19" s="1"/>
  <c r="BO49" i="15"/>
  <c r="D150" i="19" s="1"/>
  <c r="BO22" i="15"/>
  <c r="D123" i="19" s="1"/>
  <c r="BI10" i="15"/>
  <c r="AA103" i="15"/>
  <c r="AY103" i="15"/>
  <c r="BE103" i="15"/>
  <c r="M103" i="15"/>
  <c r="AU103" i="15"/>
  <c r="E100" i="15"/>
  <c r="BO100" i="15" s="1"/>
  <c r="D197" i="19" s="1"/>
  <c r="E91" i="15"/>
  <c r="BO77" i="15"/>
  <c r="D176" i="19" s="1"/>
  <c r="O73" i="15"/>
  <c r="AA73" i="15"/>
  <c r="AM73" i="15"/>
  <c r="AY73" i="15"/>
  <c r="BK73" i="15"/>
  <c r="M67" i="15"/>
  <c r="M10" i="15"/>
  <c r="AK67" i="15"/>
  <c r="BI103" i="15"/>
  <c r="BO83" i="15"/>
  <c r="D182" i="19" s="1"/>
  <c r="AU10" i="15"/>
  <c r="BO7" i="15"/>
  <c r="D113" i="19" s="1"/>
  <c r="BO63" i="15"/>
  <c r="D163" i="19" s="1"/>
  <c r="U61" i="15"/>
  <c r="U9" i="15" s="1"/>
  <c r="BE61" i="15"/>
  <c r="BE9" i="15" s="1"/>
  <c r="BE10" i="15"/>
  <c r="I103" i="15"/>
  <c r="AG103" i="15"/>
  <c r="BO96" i="15"/>
  <c r="D193" i="19" s="1"/>
  <c r="BO85" i="15"/>
  <c r="D184" i="19" s="1"/>
  <c r="X67" i="15"/>
  <c r="Y61" i="15" s="1"/>
  <c r="Y9" i="15" s="1"/>
  <c r="AV67" i="15"/>
  <c r="E68" i="15"/>
  <c r="AO103" i="15"/>
  <c r="E99" i="15"/>
  <c r="BO99" i="15" s="1"/>
  <c r="D196" i="19" s="1"/>
  <c r="I54" i="15"/>
  <c r="I58" i="15" s="1"/>
  <c r="I8" i="15" s="1"/>
  <c r="AG54" i="15"/>
  <c r="AG58" i="15" s="1"/>
  <c r="AG8" i="15" s="1"/>
  <c r="Z67" i="15"/>
  <c r="AX67" i="15"/>
  <c r="D78" i="15"/>
  <c r="AQ103" i="15"/>
  <c r="G73" i="15"/>
  <c r="BO42" i="15"/>
  <c r="D143" i="19" s="1"/>
  <c r="H73" i="15"/>
  <c r="I67" i="15" s="1"/>
  <c r="T73" i="15"/>
  <c r="AR73" i="15"/>
  <c r="AS67" i="15" s="1"/>
  <c r="AC103" i="15"/>
  <c r="Q103" i="15"/>
  <c r="E69" i="15"/>
  <c r="BO69" i="15" s="1"/>
  <c r="D169" i="19" s="1"/>
  <c r="G103" i="15"/>
  <c r="AE103" i="15"/>
  <c r="BC103" i="15"/>
  <c r="BP80" i="15"/>
  <c r="S103" i="15"/>
  <c r="AF73" i="15"/>
  <c r="AG67" i="15" s="1"/>
  <c r="BD73" i="15"/>
  <c r="BE67" i="15" s="1"/>
  <c r="BA103" i="15"/>
  <c r="BP81" i="15"/>
  <c r="D5" i="15"/>
  <c r="AB5" i="15"/>
  <c r="AZ5" i="15"/>
  <c r="AG10" i="15"/>
  <c r="E50" i="15"/>
  <c r="E71" i="15"/>
  <c r="BO71" i="15" s="1"/>
  <c r="D171" i="19" s="1"/>
  <c r="L67" i="15"/>
  <c r="S73" i="15"/>
  <c r="AQ73" i="15"/>
  <c r="BP73" i="15"/>
  <c r="M50" i="15"/>
  <c r="M54" i="15" s="1"/>
  <c r="M58" i="15" s="1"/>
  <c r="M8" i="15" s="1"/>
  <c r="AK50" i="15"/>
  <c r="AK54" i="15" s="1"/>
  <c r="AK58" i="15" s="1"/>
  <c r="AK8" i="15" s="1"/>
  <c r="BI50" i="15"/>
  <c r="BI54" i="15" s="1"/>
  <c r="BI58" i="15" s="1"/>
  <c r="BI8" i="15" s="1"/>
  <c r="N67" i="15"/>
  <c r="AL67" i="15"/>
  <c r="BJ67" i="15"/>
  <c r="BO62" i="15"/>
  <c r="D162" i="19" s="1"/>
  <c r="BO66" i="15"/>
  <c r="D166" i="19" s="1"/>
  <c r="AE73" i="15"/>
  <c r="BC73" i="15"/>
  <c r="O50" i="15"/>
  <c r="O54" i="15" s="1"/>
  <c r="O58" i="15" s="1"/>
  <c r="O8" i="15" s="1"/>
  <c r="AM50" i="15"/>
  <c r="AM54" i="15" s="1"/>
  <c r="AM58" i="15" s="1"/>
  <c r="AM8" i="15" s="1"/>
  <c r="BK50" i="15"/>
  <c r="BK54" i="15" s="1"/>
  <c r="BK58" i="15" s="1"/>
  <c r="BK8" i="15" s="1"/>
  <c r="BO98" i="15"/>
  <c r="D195" i="19" s="1"/>
  <c r="AJ67" i="15"/>
  <c r="AK61" i="15" s="1"/>
  <c r="AK9" i="15" s="1"/>
  <c r="BH67" i="15"/>
  <c r="BI61" i="15" s="1"/>
  <c r="BI9" i="15" s="1"/>
  <c r="E70" i="15"/>
  <c r="BO70" i="15" s="1"/>
  <c r="D170" i="19" s="1"/>
  <c r="E94" i="15"/>
  <c r="BO94" i="15" s="1"/>
  <c r="D191" i="19" s="1"/>
  <c r="BO80" i="15"/>
  <c r="D179" i="19" s="1"/>
  <c r="BO84" i="15"/>
  <c r="D183" i="19" s="1"/>
  <c r="BO31" i="14"/>
  <c r="C132" i="19" s="1"/>
  <c r="BO81" i="14"/>
  <c r="C180" i="19" s="1"/>
  <c r="BO85" i="14"/>
  <c r="C184" i="19" s="1"/>
  <c r="BP67" i="14"/>
  <c r="Z5" i="14"/>
  <c r="AP5" i="14"/>
  <c r="H5" i="14"/>
  <c r="AT5" i="14"/>
  <c r="M10" i="14"/>
  <c r="AK67" i="14"/>
  <c r="AK61" i="14"/>
  <c r="AK9" i="14" s="1"/>
  <c r="AK10" i="14"/>
  <c r="Q61" i="14"/>
  <c r="Q9" i="14" s="1"/>
  <c r="Q10" i="14"/>
  <c r="AO61" i="14"/>
  <c r="AO9" i="14" s="1"/>
  <c r="AO10" i="14"/>
  <c r="BA10" i="14"/>
  <c r="BA67" i="14"/>
  <c r="BA61" i="14"/>
  <c r="BA9" i="14" s="1"/>
  <c r="BO68" i="14"/>
  <c r="C168" i="19" s="1"/>
  <c r="E73" i="14"/>
  <c r="AS103" i="14"/>
  <c r="I103" i="14"/>
  <c r="BI103" i="14"/>
  <c r="E58" i="14"/>
  <c r="G54" i="14"/>
  <c r="G58" i="14" s="1"/>
  <c r="G8" i="14" s="1"/>
  <c r="AC10" i="14"/>
  <c r="BM9" i="14"/>
  <c r="BM10" i="14"/>
  <c r="BK103" i="14"/>
  <c r="K61" i="14"/>
  <c r="K9" i="14" s="1"/>
  <c r="AU10" i="14"/>
  <c r="AU67" i="14"/>
  <c r="AU61" i="14"/>
  <c r="AU9" i="14" s="1"/>
  <c r="BG61" i="14"/>
  <c r="BG9" i="14" s="1"/>
  <c r="BG10" i="14"/>
  <c r="BG67" i="14"/>
  <c r="U61" i="14"/>
  <c r="U9" i="14" s="1"/>
  <c r="U10" i="14"/>
  <c r="AG61" i="14"/>
  <c r="AG9" i="14" s="1"/>
  <c r="AG10" i="14"/>
  <c r="BE61" i="14"/>
  <c r="BE9" i="14" s="1"/>
  <c r="BE10" i="14"/>
  <c r="BO86" i="14"/>
  <c r="C185" i="19" s="1"/>
  <c r="E100" i="14"/>
  <c r="BO100" i="14" s="1"/>
  <c r="C197" i="19" s="1"/>
  <c r="AG103" i="14"/>
  <c r="BE103" i="14"/>
  <c r="U103" i="14"/>
  <c r="BO82" i="14"/>
  <c r="C181" i="19" s="1"/>
  <c r="BP88" i="14"/>
  <c r="S103" i="14"/>
  <c r="W103" i="14"/>
  <c r="AU103" i="14"/>
  <c r="BO93" i="14"/>
  <c r="C190" i="19" s="1"/>
  <c r="BO98" i="14"/>
  <c r="C195" i="19" s="1"/>
  <c r="M95" i="14"/>
  <c r="M103" i="14" s="1"/>
  <c r="M54" i="14"/>
  <c r="M58" i="14" s="1"/>
  <c r="M8" i="14" s="1"/>
  <c r="AK54" i="14"/>
  <c r="AK58" i="14" s="1"/>
  <c r="AK8" i="14" s="1"/>
  <c r="BI54" i="14"/>
  <c r="BI58" i="14" s="1"/>
  <c r="BI8" i="14" s="1"/>
  <c r="BO64" i="14"/>
  <c r="C164" i="19" s="1"/>
  <c r="D78" i="14"/>
  <c r="I61" i="14"/>
  <c r="I9" i="14" s="1"/>
  <c r="AA103" i="14"/>
  <c r="AY103" i="14"/>
  <c r="E71" i="14"/>
  <c r="BO71" i="14" s="1"/>
  <c r="C171" i="19" s="1"/>
  <c r="D83" i="14"/>
  <c r="W67" i="14"/>
  <c r="D77" i="14"/>
  <c r="AC103" i="14"/>
  <c r="BA103" i="14"/>
  <c r="AM103" i="14"/>
  <c r="BO101" i="14"/>
  <c r="C198" i="19" s="1"/>
  <c r="BO22" i="14"/>
  <c r="C123" i="19" s="1"/>
  <c r="W61" i="14"/>
  <c r="W9" i="14" s="1"/>
  <c r="BO63" i="14"/>
  <c r="C163" i="19" s="1"/>
  <c r="G103" i="14"/>
  <c r="AE103" i="14"/>
  <c r="BC103" i="14"/>
  <c r="E102" i="14"/>
  <c r="BO102" i="14" s="1"/>
  <c r="C199" i="19" s="1"/>
  <c r="BO88" i="14"/>
  <c r="C187" i="19" s="1"/>
  <c r="AQ103" i="14"/>
  <c r="V5" i="14"/>
  <c r="AV5" i="14"/>
  <c r="BQ10" i="14"/>
  <c r="U54" i="14"/>
  <c r="U58" i="14" s="1"/>
  <c r="U8" i="14" s="1"/>
  <c r="AS54" i="14"/>
  <c r="AS58" i="14" s="1"/>
  <c r="AS8" i="14" s="1"/>
  <c r="BQ9" i="14"/>
  <c r="X67" i="14"/>
  <c r="AV67" i="14"/>
  <c r="O73" i="14"/>
  <c r="AA73" i="14"/>
  <c r="AM73" i="14"/>
  <c r="AY73" i="14"/>
  <c r="BK73" i="14"/>
  <c r="BO75" i="14"/>
  <c r="C175" i="19" s="1"/>
  <c r="E11" i="14"/>
  <c r="BO11" i="14" s="1"/>
  <c r="C117" i="19" s="1"/>
  <c r="BP80" i="14"/>
  <c r="I10" i="14"/>
  <c r="B62" i="14"/>
  <c r="Z67" i="14"/>
  <c r="AX67" i="14"/>
  <c r="B66" i="14"/>
  <c r="P5" i="14"/>
  <c r="AN5" i="14"/>
  <c r="BL5" i="14"/>
  <c r="O50" i="14"/>
  <c r="AM50" i="14"/>
  <c r="AM54" i="14" s="1"/>
  <c r="AM58" i="14" s="1"/>
  <c r="AM8" i="14" s="1"/>
  <c r="BK50" i="14"/>
  <c r="BK54" i="14" s="1"/>
  <c r="BO49" i="14"/>
  <c r="C150" i="19" s="1"/>
  <c r="BO62" i="14"/>
  <c r="C162" i="19" s="1"/>
  <c r="BO66" i="14"/>
  <c r="C166" i="19" s="1"/>
  <c r="BO79" i="14"/>
  <c r="C178" i="19" s="1"/>
  <c r="BO84" i="14"/>
  <c r="C183" i="19" s="1"/>
  <c r="BO87" i="14"/>
  <c r="C186" i="19" s="1"/>
  <c r="AS10" i="14"/>
  <c r="AA54" i="14"/>
  <c r="AA58" i="14" s="1"/>
  <c r="AA8" i="14" s="1"/>
  <c r="F67" i="14"/>
  <c r="AD67" i="14"/>
  <c r="BB67" i="14"/>
  <c r="F73" i="14"/>
  <c r="R73" i="14"/>
  <c r="AD73" i="14"/>
  <c r="AP73" i="14"/>
  <c r="BB73" i="14"/>
  <c r="BD5" i="14"/>
  <c r="E7" i="14"/>
  <c r="BO7" i="14" s="1"/>
  <c r="C113" i="19" s="1"/>
  <c r="BO42" i="14"/>
  <c r="C143" i="19" s="1"/>
  <c r="BE58" i="14"/>
  <c r="BE8" i="14" s="1"/>
  <c r="G73" i="14"/>
  <c r="S73" i="14"/>
  <c r="AE73" i="14"/>
  <c r="AQ73" i="14"/>
  <c r="BC73" i="14"/>
  <c r="BP73" i="14"/>
  <c r="Q103" i="14"/>
  <c r="AO103" i="14"/>
  <c r="BO99" i="14"/>
  <c r="C196" i="19" s="1"/>
  <c r="AF5" i="14"/>
  <c r="BO57" i="14"/>
  <c r="C158" i="19" s="1"/>
  <c r="AS61" i="14"/>
  <c r="AS9" i="14" s="1"/>
  <c r="BO65" i="14"/>
  <c r="C165" i="19" s="1"/>
  <c r="H73" i="14"/>
  <c r="I67" i="14" s="1"/>
  <c r="T73" i="14"/>
  <c r="U67" i="14" s="1"/>
  <c r="AF73" i="14"/>
  <c r="AG67" i="14" s="1"/>
  <c r="AR73" i="14"/>
  <c r="AS67" i="14" s="1"/>
  <c r="BD73" i="14"/>
  <c r="BE67" i="14" s="1"/>
  <c r="E94" i="14"/>
  <c r="BO94" i="14" s="1"/>
  <c r="C191" i="19" s="1"/>
  <c r="BO80" i="14"/>
  <c r="C179" i="19" s="1"/>
  <c r="BQ7" i="13"/>
  <c r="BO86" i="13"/>
  <c r="B185" i="19" s="1"/>
  <c r="E100" i="13"/>
  <c r="BO100" i="13" s="1"/>
  <c r="B197" i="19" s="1"/>
  <c r="E97" i="13"/>
  <c r="BO97" i="13" s="1"/>
  <c r="B194" i="19" s="1"/>
  <c r="B64" i="13"/>
  <c r="E71" i="13"/>
  <c r="BO71" i="13" s="1"/>
  <c r="B171" i="19" s="1"/>
  <c r="BP67" i="13"/>
  <c r="BJ5" i="13"/>
  <c r="P5" i="13"/>
  <c r="BL5" i="13"/>
  <c r="V5" i="13"/>
  <c r="AD5" i="13"/>
  <c r="AL5" i="13"/>
  <c r="BO87" i="13"/>
  <c r="B186" i="19" s="1"/>
  <c r="E101" i="13"/>
  <c r="BO101" i="13" s="1"/>
  <c r="B198" i="19" s="1"/>
  <c r="AO103" i="13"/>
  <c r="BO99" i="13"/>
  <c r="B196" i="19" s="1"/>
  <c r="W103" i="13"/>
  <c r="U61" i="13"/>
  <c r="U9" i="13" s="1"/>
  <c r="U10" i="13"/>
  <c r="BE61" i="13"/>
  <c r="BE9" i="13" s="1"/>
  <c r="BE10" i="13"/>
  <c r="I103" i="13"/>
  <c r="AG103" i="13"/>
  <c r="BE103" i="13"/>
  <c r="Y103" i="13"/>
  <c r="BA61" i="13"/>
  <c r="BA9" i="13" s="1"/>
  <c r="BA10" i="13"/>
  <c r="Y67" i="13"/>
  <c r="Y10" i="13"/>
  <c r="AK67" i="13"/>
  <c r="AK10" i="13"/>
  <c r="AK61" i="13"/>
  <c r="AK9" i="13" s="1"/>
  <c r="AW10" i="13"/>
  <c r="BI67" i="13"/>
  <c r="BI10" i="13"/>
  <c r="BI61" i="13"/>
  <c r="BI9" i="13" s="1"/>
  <c r="BO95" i="13"/>
  <c r="B192" i="19" s="1"/>
  <c r="O54" i="13"/>
  <c r="O58" i="13" s="1"/>
  <c r="O8" i="13" s="1"/>
  <c r="Q54" i="13"/>
  <c r="Q58" i="13" s="1"/>
  <c r="Q8" i="13" s="1"/>
  <c r="AI10" i="13"/>
  <c r="AI67" i="13"/>
  <c r="AU67" i="13"/>
  <c r="AU10" i="13"/>
  <c r="BG61" i="13"/>
  <c r="BG9" i="13" s="1"/>
  <c r="BG67" i="13"/>
  <c r="E102" i="13"/>
  <c r="BO102" i="13" s="1"/>
  <c r="B199" i="19" s="1"/>
  <c r="BO88" i="13"/>
  <c r="B187" i="19" s="1"/>
  <c r="AS103" i="13"/>
  <c r="I61" i="13"/>
  <c r="I9" i="13" s="1"/>
  <c r="I10" i="13"/>
  <c r="AG61" i="13"/>
  <c r="AG9" i="13" s="1"/>
  <c r="AG10" i="13"/>
  <c r="AC61" i="13"/>
  <c r="AC9" i="13" s="1"/>
  <c r="AC10" i="13"/>
  <c r="K103" i="13"/>
  <c r="AI103" i="13"/>
  <c r="BG103" i="13"/>
  <c r="U54" i="13"/>
  <c r="U58" i="13" s="1"/>
  <c r="U8" i="13" s="1"/>
  <c r="AS54" i="13"/>
  <c r="AS58" i="13" s="1"/>
  <c r="AS8" i="13" s="1"/>
  <c r="BM75" i="13"/>
  <c r="BO75" i="13" s="1"/>
  <c r="B175" i="19" s="1"/>
  <c r="F73" i="13"/>
  <c r="AD73" i="13"/>
  <c r="V67" i="13"/>
  <c r="W61" i="13" s="1"/>
  <c r="W9" i="13" s="1"/>
  <c r="AT67" i="13"/>
  <c r="AU61" i="13" s="1"/>
  <c r="AU9" i="13" s="1"/>
  <c r="G73" i="13"/>
  <c r="S73" i="13"/>
  <c r="AE73" i="13"/>
  <c r="AQ73" i="13"/>
  <c r="BC73" i="13"/>
  <c r="BP73" i="13"/>
  <c r="Q61" i="13"/>
  <c r="Q9" i="13" s="1"/>
  <c r="BO79" i="13"/>
  <c r="B178" i="19" s="1"/>
  <c r="BO81" i="13"/>
  <c r="B180" i="19" s="1"/>
  <c r="BO98" i="13"/>
  <c r="B195" i="19" s="1"/>
  <c r="O103" i="13"/>
  <c r="E93" i="13"/>
  <c r="BO93" i="13" s="1"/>
  <c r="B190" i="19" s="1"/>
  <c r="I54" i="13"/>
  <c r="I58" i="13" s="1"/>
  <c r="I8" i="13" s="1"/>
  <c r="AG54" i="13"/>
  <c r="AG58" i="13" s="1"/>
  <c r="AG8" i="13" s="1"/>
  <c r="BE54" i="13"/>
  <c r="BE58" i="13" s="1"/>
  <c r="BE8" i="13" s="1"/>
  <c r="X67" i="13"/>
  <c r="Y61" i="13" s="1"/>
  <c r="Y9" i="13" s="1"/>
  <c r="AV67" i="13"/>
  <c r="AW61" i="13" s="1"/>
  <c r="AW9" i="13" s="1"/>
  <c r="H73" i="13"/>
  <c r="I67" i="13" s="1"/>
  <c r="T73" i="13"/>
  <c r="U67" i="13" s="1"/>
  <c r="AF73" i="13"/>
  <c r="AR73" i="13"/>
  <c r="AS67" i="13" s="1"/>
  <c r="BD73" i="13"/>
  <c r="BE67" i="13" s="1"/>
  <c r="D78" i="13"/>
  <c r="Q103" i="13"/>
  <c r="AC54" i="13"/>
  <c r="AC58" i="13" s="1"/>
  <c r="AC8" i="13" s="1"/>
  <c r="BA54" i="13"/>
  <c r="BA58" i="13" s="1"/>
  <c r="BA8" i="13" s="1"/>
  <c r="R73" i="13"/>
  <c r="AP73" i="13"/>
  <c r="BB73" i="13"/>
  <c r="Z67" i="13"/>
  <c r="AX67" i="13"/>
  <c r="S103" i="13"/>
  <c r="BK103" i="13"/>
  <c r="AV5" i="13"/>
  <c r="BA103" i="13"/>
  <c r="BP80" i="13"/>
  <c r="Z5" i="13"/>
  <c r="AS10" i="13"/>
  <c r="BO59" i="13"/>
  <c r="B160" i="19" s="1"/>
  <c r="G103" i="13"/>
  <c r="AE103" i="13"/>
  <c r="BC103" i="13"/>
  <c r="BO85" i="13"/>
  <c r="B184" i="19" s="1"/>
  <c r="AC103" i="13"/>
  <c r="D5" i="13"/>
  <c r="AB5" i="13"/>
  <c r="AZ5" i="13"/>
  <c r="BO22" i="13"/>
  <c r="B123" i="19" s="1"/>
  <c r="BO57" i="13"/>
  <c r="B158" i="19" s="1"/>
  <c r="X5" i="13"/>
  <c r="W67" i="13"/>
  <c r="D77" i="13"/>
  <c r="Q10" i="13"/>
  <c r="M50" i="13"/>
  <c r="M54" i="13" s="1"/>
  <c r="M58" i="13" s="1"/>
  <c r="M8" i="13" s="1"/>
  <c r="AK50" i="13"/>
  <c r="AK54" i="13" s="1"/>
  <c r="AK58" i="13" s="1"/>
  <c r="AK8" i="13" s="1"/>
  <c r="BI50" i="13"/>
  <c r="BI54" i="13" s="1"/>
  <c r="BI58" i="13" s="1"/>
  <c r="BI8" i="13" s="1"/>
  <c r="BO66" i="13"/>
  <c r="B166" i="19" s="1"/>
  <c r="E70" i="13"/>
  <c r="BO70" i="13" s="1"/>
  <c r="B170" i="19" s="1"/>
  <c r="BO84" i="13"/>
  <c r="B183" i="19" s="1"/>
  <c r="AM103" i="13"/>
  <c r="H5" i="13"/>
  <c r="AF5" i="13"/>
  <c r="BD5" i="13"/>
  <c r="O50" i="13"/>
  <c r="AM50" i="13"/>
  <c r="AM54" i="13" s="1"/>
  <c r="AM58" i="13" s="1"/>
  <c r="AM8" i="13" s="1"/>
  <c r="BK50" i="13"/>
  <c r="BK54" i="13" s="1"/>
  <c r="BK58" i="13" s="1"/>
  <c r="BK8" i="13" s="1"/>
  <c r="BM50" i="13"/>
  <c r="N67" i="13"/>
  <c r="AL67" i="13"/>
  <c r="BJ67" i="13"/>
  <c r="O73" i="13"/>
  <c r="AA73" i="13"/>
  <c r="AM73" i="13"/>
  <c r="AY73" i="13"/>
  <c r="BK73" i="13"/>
  <c r="J5" i="13"/>
  <c r="BO65" i="13"/>
  <c r="B165" i="19" s="1"/>
  <c r="P73" i="13"/>
  <c r="Q67" i="13" s="1"/>
  <c r="AB73" i="13"/>
  <c r="AC67" i="13" s="1"/>
  <c r="AN73" i="13"/>
  <c r="AZ73" i="13"/>
  <c r="BA67" i="13" s="1"/>
  <c r="BL73" i="13"/>
  <c r="BM67" i="13" s="1"/>
  <c r="E94" i="13"/>
  <c r="BO94" i="13" s="1"/>
  <c r="B191" i="19" s="1"/>
  <c r="BO80" i="13"/>
  <c r="B179" i="19" s="1"/>
  <c r="AQ103" i="13"/>
  <c r="BO42" i="13"/>
  <c r="B143" i="19" s="1"/>
  <c r="E50" i="13"/>
  <c r="BM103" i="13"/>
  <c r="AA54" i="13"/>
  <c r="AA58" i="13" s="1"/>
  <c r="AA8" i="13" s="1"/>
  <c r="AY54" i="13"/>
  <c r="AY58" i="13" s="1"/>
  <c r="AY8" i="13" s="1"/>
  <c r="D73" i="13"/>
  <c r="BO82" i="13"/>
  <c r="B181" i="19" s="1"/>
  <c r="BO7" i="12"/>
  <c r="H6" i="19" s="1"/>
  <c r="D79" i="12"/>
  <c r="E93" i="12" s="1"/>
  <c r="BO93" i="12" s="1"/>
  <c r="H83" i="19" s="1"/>
  <c r="BO31" i="12"/>
  <c r="H25" i="19" s="1"/>
  <c r="BP67" i="12"/>
  <c r="AN5" i="12"/>
  <c r="P5" i="12"/>
  <c r="AX5" i="12"/>
  <c r="BD5" i="12"/>
  <c r="BF5" i="12"/>
  <c r="AF5" i="12"/>
  <c r="BL5" i="12"/>
  <c r="AL5" i="12"/>
  <c r="BO97" i="12"/>
  <c r="H87" i="19" s="1"/>
  <c r="Q10" i="12"/>
  <c r="AO67" i="12"/>
  <c r="AO10" i="12"/>
  <c r="BK10" i="12"/>
  <c r="BK9" i="12"/>
  <c r="AG103" i="12"/>
  <c r="AA67" i="12"/>
  <c r="AA10" i="12"/>
  <c r="U61" i="12"/>
  <c r="U9" i="12" s="1"/>
  <c r="U67" i="12"/>
  <c r="U10" i="12"/>
  <c r="BE10" i="12"/>
  <c r="BE61" i="12"/>
  <c r="BE9" i="12" s="1"/>
  <c r="AC103" i="12"/>
  <c r="BI10" i="12"/>
  <c r="BI9" i="12"/>
  <c r="AU10" i="12"/>
  <c r="AU61" i="12"/>
  <c r="AU9" i="12" s="1"/>
  <c r="AJ5" i="12"/>
  <c r="BO83" i="12"/>
  <c r="H75" i="19" s="1"/>
  <c r="AQ103" i="12"/>
  <c r="Q50" i="12"/>
  <c r="Q54" i="12" s="1"/>
  <c r="Q58" i="12" s="1"/>
  <c r="Q8" i="12" s="1"/>
  <c r="AO50" i="12"/>
  <c r="AO54" i="12" s="1"/>
  <c r="AO58" i="12" s="1"/>
  <c r="AO8" i="12" s="1"/>
  <c r="Z67" i="12"/>
  <c r="AA61" i="12" s="1"/>
  <c r="AA9" i="12" s="1"/>
  <c r="AX67" i="12"/>
  <c r="O73" i="12"/>
  <c r="AM73" i="12"/>
  <c r="AY73" i="12"/>
  <c r="AA103" i="12"/>
  <c r="BE103" i="12"/>
  <c r="D88" i="12"/>
  <c r="AS103" i="12"/>
  <c r="BO11" i="12"/>
  <c r="H10" i="19" s="1"/>
  <c r="S50" i="12"/>
  <c r="S54" i="12" s="1"/>
  <c r="S58" i="12" s="1"/>
  <c r="S8" i="12" s="1"/>
  <c r="BO62" i="12"/>
  <c r="H55" i="19" s="1"/>
  <c r="E91" i="12"/>
  <c r="BO77" i="12"/>
  <c r="H69" i="19" s="1"/>
  <c r="F67" i="12"/>
  <c r="AD67" i="12"/>
  <c r="D66" i="12"/>
  <c r="BO66" i="12" s="1"/>
  <c r="H59" i="19" s="1"/>
  <c r="AG10" i="12"/>
  <c r="AG61" i="12"/>
  <c r="AG9" i="12" s="1"/>
  <c r="BP80" i="12"/>
  <c r="BO87" i="12"/>
  <c r="H79" i="19" s="1"/>
  <c r="E101" i="12"/>
  <c r="BO101" i="12" s="1"/>
  <c r="H91" i="19" s="1"/>
  <c r="AY103" i="12"/>
  <c r="AR5" i="12"/>
  <c r="BO84" i="12"/>
  <c r="H76" i="19" s="1"/>
  <c r="E100" i="12"/>
  <c r="BO100" i="12" s="1"/>
  <c r="H90" i="19" s="1"/>
  <c r="BO86" i="12"/>
  <c r="H78" i="19" s="1"/>
  <c r="AU103" i="12"/>
  <c r="BO49" i="12"/>
  <c r="H43" i="19" s="1"/>
  <c r="L67" i="12"/>
  <c r="M61" i="12" s="1"/>
  <c r="M9" i="12" s="1"/>
  <c r="AV67" i="12"/>
  <c r="AW61" i="12" s="1"/>
  <c r="AW9" i="12" s="1"/>
  <c r="BO65" i="12"/>
  <c r="H58" i="19" s="1"/>
  <c r="AC67" i="12"/>
  <c r="AC10" i="12"/>
  <c r="BA67" i="12"/>
  <c r="BA10" i="12"/>
  <c r="M103" i="12"/>
  <c r="AK103" i="12"/>
  <c r="Q103" i="12"/>
  <c r="T5" i="12"/>
  <c r="BO57" i="12"/>
  <c r="H51" i="19" s="1"/>
  <c r="AI10" i="12"/>
  <c r="AI61" i="12"/>
  <c r="AI9" i="12" s="1"/>
  <c r="E95" i="12"/>
  <c r="BO95" i="12" s="1"/>
  <c r="H85" i="19" s="1"/>
  <c r="BO81" i="12"/>
  <c r="H73" i="19" s="1"/>
  <c r="BO59" i="12"/>
  <c r="H53" i="19" s="1"/>
  <c r="AM103" i="12"/>
  <c r="AE50" i="12"/>
  <c r="AE54" i="12" s="1"/>
  <c r="AE58" i="12" s="1"/>
  <c r="AE8" i="12" s="1"/>
  <c r="E50" i="12"/>
  <c r="E54" i="12" s="1"/>
  <c r="P67" i="12"/>
  <c r="Q61" i="12" s="1"/>
  <c r="Q9" i="12" s="1"/>
  <c r="M67" i="12"/>
  <c r="M10" i="12"/>
  <c r="BO82" i="12"/>
  <c r="H74" i="19" s="1"/>
  <c r="BO96" i="12"/>
  <c r="H86" i="19" s="1"/>
  <c r="K73" i="12"/>
  <c r="W73" i="12"/>
  <c r="BG73" i="12"/>
  <c r="S103" i="12"/>
  <c r="BO80" i="12"/>
  <c r="H72" i="19" s="1"/>
  <c r="G94" i="12"/>
  <c r="G103" i="12" s="1"/>
  <c r="BK8" i="12"/>
  <c r="BA61" i="12"/>
  <c r="BA9" i="12" s="1"/>
  <c r="X73" i="12"/>
  <c r="Y67" i="12" s="1"/>
  <c r="AJ73" i="12"/>
  <c r="AK67" i="12" s="1"/>
  <c r="AV73" i="12"/>
  <c r="AW67" i="12" s="1"/>
  <c r="I61" i="12"/>
  <c r="I9" i="12" s="1"/>
  <c r="I67" i="12"/>
  <c r="E72" i="12"/>
  <c r="BO72" i="12" s="1"/>
  <c r="H65" i="19" s="1"/>
  <c r="BO79" i="12"/>
  <c r="H71" i="19" s="1"/>
  <c r="BO98" i="12"/>
  <c r="H88" i="19" s="1"/>
  <c r="D67" i="12"/>
  <c r="E61" i="12" s="1"/>
  <c r="AI67" i="12"/>
  <c r="Y10" i="12"/>
  <c r="AK10" i="12"/>
  <c r="AK61" i="12"/>
  <c r="AK9" i="12" s="1"/>
  <c r="D78" i="12"/>
  <c r="AI103" i="12"/>
  <c r="BO22" i="12"/>
  <c r="H16" i="19" s="1"/>
  <c r="BO75" i="12"/>
  <c r="H68" i="19" s="1"/>
  <c r="O50" i="12"/>
  <c r="O54" i="12" s="1"/>
  <c r="O58" i="12" s="1"/>
  <c r="O8" i="12" s="1"/>
  <c r="AM50" i="12"/>
  <c r="AM54" i="12" s="1"/>
  <c r="AM58" i="12" s="1"/>
  <c r="AM8" i="12" s="1"/>
  <c r="N67" i="12"/>
  <c r="AL67" i="12"/>
  <c r="AE103" i="12"/>
  <c r="BC103" i="12"/>
  <c r="E71" i="12"/>
  <c r="BO71" i="12" s="1"/>
  <c r="H64" i="19" s="1"/>
  <c r="K54" i="12"/>
  <c r="K58" i="12" s="1"/>
  <c r="K8" i="12" s="1"/>
  <c r="AI54" i="12"/>
  <c r="AI58" i="12" s="1"/>
  <c r="AI8" i="12" s="1"/>
  <c r="BG54" i="12"/>
  <c r="BO63" i="12"/>
  <c r="H56" i="19" s="1"/>
  <c r="G73" i="12"/>
  <c r="S73" i="12"/>
  <c r="AE73" i="12"/>
  <c r="AQ73" i="12"/>
  <c r="BC73" i="12"/>
  <c r="BP73" i="12"/>
  <c r="E72" i="11"/>
  <c r="BO72" i="11" s="1"/>
  <c r="G65" i="19" s="1"/>
  <c r="BO66" i="11"/>
  <c r="G59" i="19" s="1"/>
  <c r="B66" i="11"/>
  <c r="E69" i="11"/>
  <c r="BO69" i="11" s="1"/>
  <c r="G62" i="19" s="1"/>
  <c r="BO64" i="11"/>
  <c r="G57" i="19" s="1"/>
  <c r="B65" i="11"/>
  <c r="D79" i="11"/>
  <c r="BO79" i="11" s="1"/>
  <c r="G71" i="19" s="1"/>
  <c r="P5" i="11"/>
  <c r="BL5" i="11"/>
  <c r="AF5" i="11"/>
  <c r="D5" i="11"/>
  <c r="AN5" i="11"/>
  <c r="AT5" i="11"/>
  <c r="Y10" i="11"/>
  <c r="AI10" i="11"/>
  <c r="AI61" i="11"/>
  <c r="AI9" i="11" s="1"/>
  <c r="BO87" i="11"/>
  <c r="G79" i="19" s="1"/>
  <c r="E101" i="11"/>
  <c r="BO101" i="11" s="1"/>
  <c r="G91" i="19" s="1"/>
  <c r="I10" i="11"/>
  <c r="U10" i="11"/>
  <c r="BE61" i="11"/>
  <c r="BE9" i="11" s="1"/>
  <c r="BE10" i="11"/>
  <c r="AO61" i="11"/>
  <c r="AO9" i="11" s="1"/>
  <c r="AO67" i="11"/>
  <c r="AO10" i="11"/>
  <c r="BO22" i="11"/>
  <c r="G16" i="19" s="1"/>
  <c r="R67" i="11"/>
  <c r="S61" i="11" s="1"/>
  <c r="S9" i="11" s="1"/>
  <c r="BA67" i="11"/>
  <c r="AG61" i="11"/>
  <c r="AG9" i="11" s="1"/>
  <c r="AG10" i="11"/>
  <c r="AS61" i="11"/>
  <c r="AS9" i="11" s="1"/>
  <c r="Q73" i="11"/>
  <c r="AC73" i="11"/>
  <c r="BM73" i="11"/>
  <c r="E94" i="11"/>
  <c r="BO94" i="11" s="1"/>
  <c r="G84" i="19" s="1"/>
  <c r="BO80" i="11"/>
  <c r="G72" i="19" s="1"/>
  <c r="AH73" i="11"/>
  <c r="AI67" i="11" s="1"/>
  <c r="AT73" i="11"/>
  <c r="AU67" i="11" s="1"/>
  <c r="BP78" i="11"/>
  <c r="BO85" i="11"/>
  <c r="G77" i="19" s="1"/>
  <c r="AA103" i="11"/>
  <c r="M103" i="11"/>
  <c r="L5" i="11"/>
  <c r="K10" i="11"/>
  <c r="W67" i="11"/>
  <c r="W61" i="11"/>
  <c r="W9" i="11" s="1"/>
  <c r="W10" i="11"/>
  <c r="AU61" i="11"/>
  <c r="AU9" i="11" s="1"/>
  <c r="AU10" i="11"/>
  <c r="BG61" i="11"/>
  <c r="BG9" i="11" s="1"/>
  <c r="Q103" i="11"/>
  <c r="BM103" i="11"/>
  <c r="AE103" i="11"/>
  <c r="BO99" i="11"/>
  <c r="G89" i="19" s="1"/>
  <c r="BO57" i="11"/>
  <c r="G51" i="19" s="1"/>
  <c r="G73" i="11"/>
  <c r="AQ73" i="11"/>
  <c r="BC73" i="11"/>
  <c r="W103" i="11"/>
  <c r="AU103" i="11"/>
  <c r="BO81" i="11"/>
  <c r="G73" i="19" s="1"/>
  <c r="BE103" i="11"/>
  <c r="BO42" i="11"/>
  <c r="G36" i="19" s="1"/>
  <c r="E50" i="11"/>
  <c r="BO70" i="11"/>
  <c r="G63" i="19" s="1"/>
  <c r="BK54" i="11"/>
  <c r="BK58" i="11" s="1"/>
  <c r="BK8" i="11" s="1"/>
  <c r="U103" i="11"/>
  <c r="AK103" i="11"/>
  <c r="T5" i="11"/>
  <c r="BO30" i="11"/>
  <c r="G24" i="19" s="1"/>
  <c r="D67" i="11"/>
  <c r="O61" i="11"/>
  <c r="O9" i="11" s="1"/>
  <c r="AA10" i="11"/>
  <c r="AA67" i="11"/>
  <c r="AM61" i="11"/>
  <c r="AM9" i="11" s="1"/>
  <c r="BK61" i="11"/>
  <c r="BK9" i="11" s="1"/>
  <c r="BK67" i="11"/>
  <c r="BK10" i="11"/>
  <c r="AW103" i="11"/>
  <c r="E92" i="11"/>
  <c r="BO92" i="11" s="1"/>
  <c r="G82" i="19" s="1"/>
  <c r="BO78" i="11"/>
  <c r="G70" i="19" s="1"/>
  <c r="BO49" i="11"/>
  <c r="G43" i="19" s="1"/>
  <c r="AK54" i="11"/>
  <c r="AK58" i="11" s="1"/>
  <c r="AK8" i="11" s="1"/>
  <c r="BI54" i="11"/>
  <c r="BI58" i="11" s="1"/>
  <c r="BI8" i="11" s="1"/>
  <c r="S67" i="11"/>
  <c r="BO98" i="11"/>
  <c r="G88" i="19" s="1"/>
  <c r="AI103" i="11"/>
  <c r="BO31" i="11"/>
  <c r="G25" i="19" s="1"/>
  <c r="L67" i="11"/>
  <c r="M61" i="11" s="1"/>
  <c r="M9" i="11" s="1"/>
  <c r="AJ67" i="11"/>
  <c r="AK61" i="11" s="1"/>
  <c r="AK9" i="11" s="1"/>
  <c r="BH67" i="11"/>
  <c r="BI61" i="11" s="1"/>
  <c r="BI9" i="11" s="1"/>
  <c r="AW10" i="11"/>
  <c r="AW67" i="11"/>
  <c r="BO97" i="11"/>
  <c r="G87" i="19" s="1"/>
  <c r="E7" i="11"/>
  <c r="S10" i="11"/>
  <c r="AQ54" i="11"/>
  <c r="AQ58" i="11" s="1"/>
  <c r="AQ8" i="11" s="1"/>
  <c r="BF5" i="11"/>
  <c r="U50" i="11"/>
  <c r="U54" i="11" s="1"/>
  <c r="U58" i="11" s="1"/>
  <c r="U8" i="11" s="1"/>
  <c r="AS50" i="11"/>
  <c r="AS54" i="11" s="1"/>
  <c r="AS58" i="11" s="1"/>
  <c r="AS8" i="11" s="1"/>
  <c r="AP67" i="11"/>
  <c r="E71" i="11"/>
  <c r="BO71" i="11" s="1"/>
  <c r="G64" i="19" s="1"/>
  <c r="AY103" i="11"/>
  <c r="BO96" i="11"/>
  <c r="G86" i="19" s="1"/>
  <c r="BM54" i="11"/>
  <c r="T67" i="11"/>
  <c r="U61" i="11" s="1"/>
  <c r="U9" i="11" s="1"/>
  <c r="M67" i="11"/>
  <c r="AK67" i="11"/>
  <c r="AK10" i="11"/>
  <c r="BI67" i="11"/>
  <c r="D77" i="11"/>
  <c r="E68" i="11"/>
  <c r="BQ9" i="11"/>
  <c r="BQ10" i="11"/>
  <c r="BP85" i="11"/>
  <c r="G103" i="11"/>
  <c r="AM10" i="11"/>
  <c r="Y54" i="11"/>
  <c r="Y58" i="11" s="1"/>
  <c r="Y8" i="11" s="1"/>
  <c r="K67" i="11"/>
  <c r="AE73" i="11"/>
  <c r="BC103" i="11"/>
  <c r="BO86" i="11"/>
  <c r="G78" i="19" s="1"/>
  <c r="E100" i="11"/>
  <c r="BO100" i="11" s="1"/>
  <c r="G90" i="19" s="1"/>
  <c r="BI103" i="11"/>
  <c r="AH5" i="11"/>
  <c r="AA54" i="11"/>
  <c r="AA58" i="11" s="1"/>
  <c r="AA8" i="11" s="1"/>
  <c r="AY54" i="11"/>
  <c r="AY58" i="11" s="1"/>
  <c r="AY8" i="11" s="1"/>
  <c r="BM7" i="11"/>
  <c r="BQ7" i="11"/>
  <c r="X67" i="11"/>
  <c r="Y61" i="11" s="1"/>
  <c r="Y9" i="11" s="1"/>
  <c r="AV67" i="11"/>
  <c r="AW61" i="11" s="1"/>
  <c r="AW9" i="11" s="1"/>
  <c r="O67" i="11"/>
  <c r="I103" i="11"/>
  <c r="AG103" i="11"/>
  <c r="BO95" i="11"/>
  <c r="G85" i="19" s="1"/>
  <c r="BO84" i="11"/>
  <c r="G76" i="19" s="1"/>
  <c r="BK103" i="11"/>
  <c r="BO82" i="11"/>
  <c r="G74" i="19" s="1"/>
  <c r="K50" i="11"/>
  <c r="K54" i="11" s="1"/>
  <c r="K58" i="11" s="1"/>
  <c r="K8" i="11" s="1"/>
  <c r="AI50" i="11"/>
  <c r="AI54" i="11" s="1"/>
  <c r="AI58" i="11" s="1"/>
  <c r="AI8" i="11" s="1"/>
  <c r="BG50" i="11"/>
  <c r="BG54" i="11" s="1"/>
  <c r="BG58" i="11" s="1"/>
  <c r="BG8" i="11" s="1"/>
  <c r="BM75" i="11"/>
  <c r="H73" i="11"/>
  <c r="I67" i="11" s="1"/>
  <c r="T73" i="11"/>
  <c r="U67" i="11" s="1"/>
  <c r="AF73" i="11"/>
  <c r="AG67" i="11" s="1"/>
  <c r="AR73" i="11"/>
  <c r="AS67" i="11" s="1"/>
  <c r="BD73" i="11"/>
  <c r="BE67" i="11" s="1"/>
  <c r="AC103" i="11"/>
  <c r="BA103" i="11"/>
  <c r="BO88" i="11"/>
  <c r="G80" i="19" s="1"/>
  <c r="AQ103" i="11"/>
  <c r="E93" i="11"/>
  <c r="BO93" i="11" s="1"/>
  <c r="G83" i="19" s="1"/>
  <c r="S103" i="11"/>
  <c r="I54" i="11"/>
  <c r="I58" i="11" s="1"/>
  <c r="I8" i="11" s="1"/>
  <c r="AG54" i="11"/>
  <c r="AG58" i="11" s="1"/>
  <c r="AG8" i="11" s="1"/>
  <c r="BO102" i="11"/>
  <c r="G92" i="19" s="1"/>
  <c r="D79" i="10"/>
  <c r="E93" i="10" s="1"/>
  <c r="E68" i="10"/>
  <c r="E73" i="10" s="1"/>
  <c r="E71" i="10"/>
  <c r="BO71" i="10" s="1"/>
  <c r="F64" i="19" s="1"/>
  <c r="B66" i="10"/>
  <c r="D78" i="10"/>
  <c r="E92" i="10" s="1"/>
  <c r="BO92" i="10" s="1"/>
  <c r="F82" i="19" s="1"/>
  <c r="AT73" i="10"/>
  <c r="H73" i="10"/>
  <c r="T73" i="10"/>
  <c r="AR73" i="10"/>
  <c r="D73" i="10"/>
  <c r="P73" i="10"/>
  <c r="AN73" i="10"/>
  <c r="AZ73" i="10"/>
  <c r="J73" i="10"/>
  <c r="V73" i="10"/>
  <c r="R73" i="10"/>
  <c r="AP73" i="10"/>
  <c r="F73" i="10"/>
  <c r="BO69" i="10"/>
  <c r="F62" i="19" s="1"/>
  <c r="W73" i="10"/>
  <c r="W10" i="10" s="1"/>
  <c r="AI73" i="10"/>
  <c r="AI67" i="10" s="1"/>
  <c r="BG73" i="10"/>
  <c r="BG10" i="10" s="1"/>
  <c r="G73" i="10"/>
  <c r="AQ73" i="10"/>
  <c r="AQ10" i="10" s="1"/>
  <c r="Y73" i="10"/>
  <c r="Y10" i="10" s="1"/>
  <c r="BI73" i="10"/>
  <c r="AM103" i="10"/>
  <c r="AA103" i="10"/>
  <c r="U103" i="10"/>
  <c r="AS103" i="10"/>
  <c r="AE103" i="10"/>
  <c r="BC103" i="10"/>
  <c r="I103" i="10"/>
  <c r="AG103" i="10"/>
  <c r="BE103" i="10"/>
  <c r="AY103" i="10"/>
  <c r="K103" i="10"/>
  <c r="S73" i="10"/>
  <c r="S10" i="10" s="1"/>
  <c r="BC73" i="10"/>
  <c r="BC10" i="10" s="1"/>
  <c r="K73" i="10"/>
  <c r="AU73" i="10"/>
  <c r="AE73" i="10"/>
  <c r="AE67" i="10" s="1"/>
  <c r="AU103" i="10"/>
  <c r="BG103" i="10"/>
  <c r="AW103" i="10"/>
  <c r="I73" i="10"/>
  <c r="U73" i="10"/>
  <c r="AG73" i="10"/>
  <c r="AS73" i="10"/>
  <c r="BE73" i="10"/>
  <c r="BE67" i="10" s="1"/>
  <c r="M73" i="10"/>
  <c r="AK73" i="10"/>
  <c r="AK10" i="10" s="1"/>
  <c r="AW73" i="10"/>
  <c r="BO66" i="10"/>
  <c r="F59" i="19" s="1"/>
  <c r="BF67" i="10"/>
  <c r="BO65" i="10"/>
  <c r="F58" i="19" s="1"/>
  <c r="BP67" i="10"/>
  <c r="AL67" i="10"/>
  <c r="AT67" i="10"/>
  <c r="BO63" i="10"/>
  <c r="F56" i="19" s="1"/>
  <c r="AZ67" i="10"/>
  <c r="AN67" i="10"/>
  <c r="X67" i="10"/>
  <c r="AV67" i="10"/>
  <c r="AJ67" i="10"/>
  <c r="BH67" i="10"/>
  <c r="AX67" i="10"/>
  <c r="N67" i="10"/>
  <c r="AB67" i="10"/>
  <c r="P67" i="10"/>
  <c r="Z67" i="10"/>
  <c r="J67" i="10"/>
  <c r="AH67" i="10"/>
  <c r="BL67" i="10"/>
  <c r="Y58" i="10"/>
  <c r="Y8" i="10" s="1"/>
  <c r="AY50" i="10"/>
  <c r="AY54" i="10" s="1"/>
  <c r="AY58" i="10" s="1"/>
  <c r="AY8" i="10" s="1"/>
  <c r="BA50" i="10"/>
  <c r="BA54" i="10" s="1"/>
  <c r="BA58" i="10" s="1"/>
  <c r="BA8" i="10" s="1"/>
  <c r="AC50" i="10"/>
  <c r="AC54" i="10" s="1"/>
  <c r="AC58" i="10" s="1"/>
  <c r="AC8" i="10" s="1"/>
  <c r="BC50" i="10"/>
  <c r="BC54" i="10" s="1"/>
  <c r="BC58" i="10" s="1"/>
  <c r="BC8" i="10" s="1"/>
  <c r="AG50" i="10"/>
  <c r="AG54" i="10" s="1"/>
  <c r="AG58" i="10" s="1"/>
  <c r="AG8" i="10" s="1"/>
  <c r="AQ50" i="10"/>
  <c r="AQ54" i="10" s="1"/>
  <c r="AQ58" i="10" s="1"/>
  <c r="AQ8" i="10" s="1"/>
  <c r="AS50" i="10"/>
  <c r="AS54" i="10" s="1"/>
  <c r="AS58" i="10" s="1"/>
  <c r="AS8" i="10" s="1"/>
  <c r="U58" i="10"/>
  <c r="U8" i="10" s="1"/>
  <c r="AU50" i="10"/>
  <c r="AU54" i="10" s="1"/>
  <c r="AU58" i="10" s="1"/>
  <c r="AU8" i="10" s="1"/>
  <c r="BO49" i="10"/>
  <c r="F43" i="19" s="1"/>
  <c r="S54" i="10"/>
  <c r="S58" i="10" s="1"/>
  <c r="S8" i="10" s="1"/>
  <c r="E50" i="10"/>
  <c r="E54" i="10" s="1"/>
  <c r="E58" i="10" s="1"/>
  <c r="E8" i="10" s="1"/>
  <c r="AM50" i="10"/>
  <c r="AM54" i="10" s="1"/>
  <c r="AM58" i="10" s="1"/>
  <c r="AM8" i="10" s="1"/>
  <c r="BK50" i="10"/>
  <c r="BK54" i="10" s="1"/>
  <c r="BK58" i="10" s="1"/>
  <c r="BK8" i="10" s="1"/>
  <c r="BM50" i="10"/>
  <c r="BI54" i="10"/>
  <c r="BI58" i="10" s="1"/>
  <c r="BI8" i="10" s="1"/>
  <c r="AO54" i="10"/>
  <c r="AO58" i="10" s="1"/>
  <c r="AO8" i="10" s="1"/>
  <c r="AW54" i="10"/>
  <c r="AW58" i="10" s="1"/>
  <c r="AW8" i="10" s="1"/>
  <c r="Q54" i="10"/>
  <c r="Q58" i="10" s="1"/>
  <c r="Q8" i="10" s="1"/>
  <c r="G54" i="10"/>
  <c r="G58" i="10" s="1"/>
  <c r="G8" i="10" s="1"/>
  <c r="O50" i="10"/>
  <c r="O54" i="10" s="1"/>
  <c r="O58" i="10" s="1"/>
  <c r="O8" i="10" s="1"/>
  <c r="AT5" i="10"/>
  <c r="Y103" i="10"/>
  <c r="AA50" i="10"/>
  <c r="AA54" i="10" s="1"/>
  <c r="AA58" i="10" s="1"/>
  <c r="AA8" i="10" s="1"/>
  <c r="BO42" i="10"/>
  <c r="F36" i="19" s="1"/>
  <c r="AI103" i="10"/>
  <c r="AK103" i="10"/>
  <c r="AI10" i="10"/>
  <c r="BG67" i="10"/>
  <c r="M103" i="10"/>
  <c r="BO93" i="10"/>
  <c r="F83" i="19" s="1"/>
  <c r="BO96" i="10"/>
  <c r="F86" i="19" s="1"/>
  <c r="BO31" i="10"/>
  <c r="F25" i="19" s="1"/>
  <c r="E11" i="10"/>
  <c r="Q103" i="10"/>
  <c r="BO101" i="10"/>
  <c r="F91" i="19" s="1"/>
  <c r="W103" i="10"/>
  <c r="O103" i="10"/>
  <c r="BI103" i="10"/>
  <c r="BO100" i="10"/>
  <c r="F90" i="19" s="1"/>
  <c r="BO7" i="10"/>
  <c r="F6" i="19" s="1"/>
  <c r="AK54" i="10"/>
  <c r="AK58" i="10" s="1"/>
  <c r="AK8" i="10" s="1"/>
  <c r="BK103" i="10"/>
  <c r="F67" i="10"/>
  <c r="H5" i="10"/>
  <c r="AF5" i="10"/>
  <c r="BD5" i="10"/>
  <c r="I50" i="10"/>
  <c r="I54" i="10" s="1"/>
  <c r="AI50" i="10"/>
  <c r="AI54" i="10" s="1"/>
  <c r="AI58" i="10" s="1"/>
  <c r="AI8" i="10" s="1"/>
  <c r="BG50" i="10"/>
  <c r="BG54" i="10" s="1"/>
  <c r="BG58" i="10" s="1"/>
  <c r="BG8" i="10" s="1"/>
  <c r="S103" i="10"/>
  <c r="K50" i="10"/>
  <c r="K54" i="10" s="1"/>
  <c r="K58" i="10" s="1"/>
  <c r="K8" i="10" s="1"/>
  <c r="R67" i="10"/>
  <c r="AP67" i="10"/>
  <c r="BO62" i="10"/>
  <c r="F55" i="19" s="1"/>
  <c r="BO64" i="10"/>
  <c r="F57" i="19" s="1"/>
  <c r="Q73" i="10"/>
  <c r="AC73" i="10"/>
  <c r="AO73" i="10"/>
  <c r="BA73" i="10"/>
  <c r="BM73" i="10"/>
  <c r="E99" i="10"/>
  <c r="BO99" i="10" s="1"/>
  <c r="F89" i="19" s="1"/>
  <c r="BO85" i="10"/>
  <c r="F77" i="19" s="1"/>
  <c r="BO87" i="10"/>
  <c r="F79" i="19" s="1"/>
  <c r="T67" i="10"/>
  <c r="AR67" i="10"/>
  <c r="BO30" i="10"/>
  <c r="F24" i="19" s="1"/>
  <c r="BO59" i="10"/>
  <c r="F53" i="19" s="1"/>
  <c r="E95" i="10"/>
  <c r="BO95" i="10" s="1"/>
  <c r="F85" i="19" s="1"/>
  <c r="BO81" i="10"/>
  <c r="F73" i="19" s="1"/>
  <c r="BO83" i="10"/>
  <c r="F75" i="19" s="1"/>
  <c r="E102" i="10"/>
  <c r="BO102" i="10" s="1"/>
  <c r="F92" i="19" s="1"/>
  <c r="BO88" i="10"/>
  <c r="F80" i="19" s="1"/>
  <c r="BM103" i="10"/>
  <c r="D67" i="10"/>
  <c r="E91" i="10"/>
  <c r="BO77" i="10"/>
  <c r="F69" i="19" s="1"/>
  <c r="AC103" i="10"/>
  <c r="BA103" i="10"/>
  <c r="E98" i="10"/>
  <c r="BO98" i="10" s="1"/>
  <c r="F88" i="19" s="1"/>
  <c r="BO84" i="10"/>
  <c r="F76" i="19" s="1"/>
  <c r="T5" i="10"/>
  <c r="BO82" i="10"/>
  <c r="F74" i="19" s="1"/>
  <c r="BO97" i="10"/>
  <c r="F87" i="19" s="1"/>
  <c r="BO86" i="10"/>
  <c r="F78" i="19" s="1"/>
  <c r="AD67" i="10"/>
  <c r="AO103" i="10"/>
  <c r="AV5" i="10"/>
  <c r="BO21" i="10"/>
  <c r="F15" i="19" s="1"/>
  <c r="BO34" i="10"/>
  <c r="F28" i="19" s="1"/>
  <c r="H67" i="10"/>
  <c r="AF67" i="10"/>
  <c r="BD67" i="10"/>
  <c r="L73" i="10"/>
  <c r="X73" i="10"/>
  <c r="AJ73" i="10"/>
  <c r="AV73" i="10"/>
  <c r="BH73" i="10"/>
  <c r="AQ103" i="10"/>
  <c r="BB67" i="10"/>
  <c r="Z5" i="10"/>
  <c r="AX5" i="10"/>
  <c r="AE54" i="10"/>
  <c r="AE58" i="10" s="1"/>
  <c r="AE8" i="10" s="1"/>
  <c r="G103" i="10"/>
  <c r="AZ5" i="10"/>
  <c r="N73" i="10"/>
  <c r="Z73" i="10"/>
  <c r="AL73" i="10"/>
  <c r="AX73" i="10"/>
  <c r="BJ73" i="10"/>
  <c r="W57" i="10"/>
  <c r="BO56" i="10"/>
  <c r="F50" i="19" s="1"/>
  <c r="E94" i="10"/>
  <c r="BO94" i="10" s="1"/>
  <c r="F84" i="19" s="1"/>
  <c r="BO80" i="10"/>
  <c r="F72" i="19" s="1"/>
  <c r="F5" i="10"/>
  <c r="AD5" i="10"/>
  <c r="BB5" i="10"/>
  <c r="BO22" i="10"/>
  <c r="F16" i="19" s="1"/>
  <c r="BE50" i="10"/>
  <c r="BE54" i="10" s="1"/>
  <c r="BE58" i="10" s="1"/>
  <c r="BE8" i="10" s="1"/>
  <c r="O73" i="10"/>
  <c r="AA73" i="10"/>
  <c r="AM73" i="10"/>
  <c r="AY73" i="10"/>
  <c r="BK73" i="10"/>
  <c r="BQ67" i="9"/>
  <c r="BP78" i="9"/>
  <c r="BQ92" i="9" s="1"/>
  <c r="BP88" i="9"/>
  <c r="BQ102" i="9" s="1"/>
  <c r="D81" i="9"/>
  <c r="E95" i="9" s="1"/>
  <c r="BO95" i="9" s="1"/>
  <c r="E85" i="19" s="1"/>
  <c r="B64" i="9"/>
  <c r="BO64" i="9"/>
  <c r="E57" i="19" s="1"/>
  <c r="AP67" i="9"/>
  <c r="BP67" i="9"/>
  <c r="BQ61" i="9" s="1"/>
  <c r="BQ9" i="9" s="1"/>
  <c r="F67" i="9"/>
  <c r="N67" i="9"/>
  <c r="N73" i="9"/>
  <c r="Z73" i="9"/>
  <c r="AX73" i="9"/>
  <c r="R73" i="9"/>
  <c r="AP73" i="9"/>
  <c r="T73" i="9"/>
  <c r="AR73" i="9"/>
  <c r="D73" i="9"/>
  <c r="P73" i="9"/>
  <c r="AN73" i="9"/>
  <c r="AZ73" i="9"/>
  <c r="X73" i="9"/>
  <c r="AV73" i="9"/>
  <c r="F73" i="9"/>
  <c r="BO88" i="9"/>
  <c r="E80" i="19" s="1"/>
  <c r="L73" i="9"/>
  <c r="H73" i="9"/>
  <c r="BO84" i="9"/>
  <c r="E76" i="19" s="1"/>
  <c r="BO100" i="9"/>
  <c r="E90" i="19" s="1"/>
  <c r="M73" i="9"/>
  <c r="BI73" i="9"/>
  <c r="BI67" i="9" s="1"/>
  <c r="BO71" i="9"/>
  <c r="E64" i="19" s="1"/>
  <c r="BO94" i="9"/>
  <c r="E84" i="19" s="1"/>
  <c r="AK73" i="9"/>
  <c r="AK67" i="9" s="1"/>
  <c r="AW73" i="9"/>
  <c r="AW10" i="9" s="1"/>
  <c r="G73" i="9"/>
  <c r="G10" i="9" s="1"/>
  <c r="AE73" i="9"/>
  <c r="AQ73" i="9"/>
  <c r="AQ10" i="9" s="1"/>
  <c r="BC73" i="9"/>
  <c r="BC10" i="9" s="1"/>
  <c r="Y73" i="9"/>
  <c r="Y10" i="9" s="1"/>
  <c r="W103" i="9"/>
  <c r="AU103" i="9"/>
  <c r="K73" i="9"/>
  <c r="K10" i="9" s="1"/>
  <c r="W73" i="9"/>
  <c r="W10" i="9" s="1"/>
  <c r="AI73" i="9"/>
  <c r="AI10" i="9" s="1"/>
  <c r="AU73" i="9"/>
  <c r="AU10" i="9" s="1"/>
  <c r="BG73" i="9"/>
  <c r="BG10" i="9" s="1"/>
  <c r="BQ10" i="9"/>
  <c r="AG103" i="9"/>
  <c r="BE103" i="9"/>
  <c r="S73" i="9"/>
  <c r="S61" i="9" s="1"/>
  <c r="S9" i="9" s="1"/>
  <c r="Q73" i="9"/>
  <c r="AC73" i="9"/>
  <c r="AC10" i="9" s="1"/>
  <c r="AO73" i="9"/>
  <c r="BA73" i="9"/>
  <c r="BA10" i="9" s="1"/>
  <c r="BO70" i="9"/>
  <c r="E63" i="19" s="1"/>
  <c r="BB67" i="9"/>
  <c r="BO66" i="9"/>
  <c r="E59" i="19" s="1"/>
  <c r="V67" i="9"/>
  <c r="AH67" i="9"/>
  <c r="AJ67" i="9"/>
  <c r="BO63" i="9"/>
  <c r="E56" i="19" s="1"/>
  <c r="X67" i="9"/>
  <c r="AV67" i="9"/>
  <c r="AD67" i="9"/>
  <c r="Z67" i="9"/>
  <c r="H67" i="9"/>
  <c r="AF67" i="9"/>
  <c r="BD67" i="9"/>
  <c r="D67" i="9"/>
  <c r="AB67" i="9"/>
  <c r="AZ67" i="9"/>
  <c r="J67" i="9"/>
  <c r="BF67" i="9"/>
  <c r="L67" i="9"/>
  <c r="BH67" i="9"/>
  <c r="BI61" i="9" s="1"/>
  <c r="BI9" i="9" s="1"/>
  <c r="AX67" i="9"/>
  <c r="W50" i="9"/>
  <c r="W54" i="9" s="1"/>
  <c r="W58" i="9" s="1"/>
  <c r="W8" i="9" s="1"/>
  <c r="BA50" i="9"/>
  <c r="BA54" i="9" s="1"/>
  <c r="BA58" i="9" s="1"/>
  <c r="BA8" i="9" s="1"/>
  <c r="BC50" i="9"/>
  <c r="BC54" i="9" s="1"/>
  <c r="BC58" i="9" s="1"/>
  <c r="BC8" i="9" s="1"/>
  <c r="AA50" i="9"/>
  <c r="AA54" i="9" s="1"/>
  <c r="AA58" i="9" s="1"/>
  <c r="AA8" i="9" s="1"/>
  <c r="AE50" i="9"/>
  <c r="AE54" i="9" s="1"/>
  <c r="AE58" i="9" s="1"/>
  <c r="AE8" i="9" s="1"/>
  <c r="AG50" i="9"/>
  <c r="AG54" i="9" s="1"/>
  <c r="AG58" i="9" s="1"/>
  <c r="AG8" i="9" s="1"/>
  <c r="AU50" i="9"/>
  <c r="AU54" i="9" s="1"/>
  <c r="AU58" i="9" s="1"/>
  <c r="AU8" i="9" s="1"/>
  <c r="AW50" i="9"/>
  <c r="AW54" i="9" s="1"/>
  <c r="AW58" i="9" s="1"/>
  <c r="AW8" i="9" s="1"/>
  <c r="BO49" i="9"/>
  <c r="E43" i="19" s="1"/>
  <c r="BE50" i="9"/>
  <c r="BE54" i="9" s="1"/>
  <c r="BE58" i="9" s="1"/>
  <c r="BE8" i="9" s="1"/>
  <c r="E50" i="9"/>
  <c r="E54" i="9" s="1"/>
  <c r="E58" i="9" s="1"/>
  <c r="G50" i="9"/>
  <c r="G54" i="9" s="1"/>
  <c r="G58" i="9" s="1"/>
  <c r="G8" i="9" s="1"/>
  <c r="K50" i="9"/>
  <c r="K54" i="9" s="1"/>
  <c r="K58" i="9" s="1"/>
  <c r="K8" i="9" s="1"/>
  <c r="M50" i="9"/>
  <c r="AS50" i="9"/>
  <c r="AS54" i="9" s="1"/>
  <c r="AS58" i="9" s="1"/>
  <c r="AS8" i="9" s="1"/>
  <c r="U50" i="9"/>
  <c r="U54" i="9" s="1"/>
  <c r="U58" i="9" s="1"/>
  <c r="U8" i="9" s="1"/>
  <c r="BM8" i="9"/>
  <c r="BG54" i="9"/>
  <c r="BG58" i="9" s="1"/>
  <c r="BG8" i="9" s="1"/>
  <c r="AI54" i="9"/>
  <c r="AI58" i="9" s="1"/>
  <c r="AI8" i="9" s="1"/>
  <c r="AK54" i="9"/>
  <c r="AK58" i="9" s="1"/>
  <c r="AK8" i="9" s="1"/>
  <c r="AM54" i="9"/>
  <c r="AM58" i="9" s="1"/>
  <c r="AM8" i="9" s="1"/>
  <c r="Y50" i="9"/>
  <c r="Y54" i="9" s="1"/>
  <c r="Y58" i="9" s="1"/>
  <c r="Y8" i="9" s="1"/>
  <c r="M54" i="9"/>
  <c r="M58" i="9" s="1"/>
  <c r="M8" i="9" s="1"/>
  <c r="BO59" i="9"/>
  <c r="E53" i="19" s="1"/>
  <c r="E7" i="9"/>
  <c r="AJ5" i="9"/>
  <c r="AL5" i="9"/>
  <c r="S54" i="9"/>
  <c r="S58" i="9" s="1"/>
  <c r="S8" i="9" s="1"/>
  <c r="AC54" i="9"/>
  <c r="AC58" i="9" s="1"/>
  <c r="AC8" i="9" s="1"/>
  <c r="BI10" i="9"/>
  <c r="BO92" i="9"/>
  <c r="E82" i="19" s="1"/>
  <c r="AQ54" i="9"/>
  <c r="AQ58" i="9" s="1"/>
  <c r="AQ8" i="9" s="1"/>
  <c r="U103" i="9"/>
  <c r="AS103" i="9"/>
  <c r="BO96" i="9"/>
  <c r="E86" i="19" s="1"/>
  <c r="BO7" i="9"/>
  <c r="E6" i="19" s="1"/>
  <c r="BO31" i="9"/>
  <c r="E25" i="19" s="1"/>
  <c r="BK54" i="9"/>
  <c r="Q54" i="9"/>
  <c r="Q58" i="9" s="1"/>
  <c r="Q8" i="9" s="1"/>
  <c r="E73" i="9"/>
  <c r="BO68" i="9"/>
  <c r="E61" i="19" s="1"/>
  <c r="G103" i="9"/>
  <c r="AE103" i="9"/>
  <c r="BC103" i="9"/>
  <c r="M103" i="9"/>
  <c r="P5" i="9"/>
  <c r="AN5" i="9"/>
  <c r="BL5" i="9"/>
  <c r="BO38" i="9"/>
  <c r="E32" i="19" s="1"/>
  <c r="O103" i="9"/>
  <c r="I98" i="9"/>
  <c r="BO98" i="9" s="1"/>
  <c r="E88" i="19" s="1"/>
  <c r="R5" i="9"/>
  <c r="AP5" i="9"/>
  <c r="BO57" i="9"/>
  <c r="E51" i="19" s="1"/>
  <c r="BO101" i="9"/>
  <c r="E91" i="19" s="1"/>
  <c r="AC103" i="9"/>
  <c r="BO79" i="9"/>
  <c r="E71" i="19" s="1"/>
  <c r="K103" i="9"/>
  <c r="BK103" i="9"/>
  <c r="T5" i="9"/>
  <c r="AR5" i="9"/>
  <c r="BO22" i="9"/>
  <c r="E16" i="19" s="1"/>
  <c r="BO80" i="9"/>
  <c r="E72" i="19" s="1"/>
  <c r="Y103" i="9"/>
  <c r="BO91" i="9"/>
  <c r="E81" i="19" s="1"/>
  <c r="BA103" i="9"/>
  <c r="V5" i="9"/>
  <c r="AT5" i="9"/>
  <c r="BO32" i="9"/>
  <c r="E26" i="19" s="1"/>
  <c r="AY50" i="9"/>
  <c r="AY54" i="9" s="1"/>
  <c r="AY58" i="9" s="1"/>
  <c r="AY8" i="9" s="1"/>
  <c r="I73" i="9"/>
  <c r="U73" i="9"/>
  <c r="AG73" i="9"/>
  <c r="AS73" i="9"/>
  <c r="BE73" i="9"/>
  <c r="BO69" i="9"/>
  <c r="E62" i="19" s="1"/>
  <c r="BO93" i="9"/>
  <c r="E83" i="19" s="1"/>
  <c r="AI103" i="9"/>
  <c r="X5" i="9"/>
  <c r="AV5" i="9"/>
  <c r="I42" i="9"/>
  <c r="BO36" i="9"/>
  <c r="E30" i="19" s="1"/>
  <c r="P67" i="9"/>
  <c r="AN67" i="9"/>
  <c r="BO65" i="9"/>
  <c r="E58" i="19" s="1"/>
  <c r="J73" i="9"/>
  <c r="V73" i="9"/>
  <c r="AH73" i="9"/>
  <c r="AT73" i="9"/>
  <c r="BF73" i="9"/>
  <c r="Q103" i="9"/>
  <c r="AO103" i="9"/>
  <c r="BO87" i="9"/>
  <c r="E79" i="19" s="1"/>
  <c r="AK103" i="9"/>
  <c r="BO62" i="9"/>
  <c r="E55" i="19" s="1"/>
  <c r="S103" i="9"/>
  <c r="AQ103" i="9"/>
  <c r="BO77" i="9"/>
  <c r="E69" i="19" s="1"/>
  <c r="E99" i="9"/>
  <c r="BO99" i="9" s="1"/>
  <c r="E89" i="19" s="1"/>
  <c r="BO85" i="9"/>
  <c r="E77" i="19" s="1"/>
  <c r="AM103" i="9"/>
  <c r="BO30" i="9"/>
  <c r="E24" i="19" s="1"/>
  <c r="I102" i="9"/>
  <c r="BO102" i="9" s="1"/>
  <c r="E92" i="19" s="1"/>
  <c r="BO78" i="9"/>
  <c r="E70" i="19" s="1"/>
  <c r="BO83" i="9"/>
  <c r="E75" i="19" s="1"/>
  <c r="AW103" i="9"/>
  <c r="BO97" i="9"/>
  <c r="E87" i="19" s="1"/>
  <c r="BG103" i="9"/>
  <c r="O73" i="9"/>
  <c r="AA73" i="9"/>
  <c r="AM73" i="9"/>
  <c r="AY73" i="9"/>
  <c r="BK73" i="9"/>
  <c r="AA103" i="9"/>
  <c r="AY103" i="9"/>
  <c r="BI103" i="9"/>
  <c r="BO82" i="9"/>
  <c r="E74" i="19" s="1"/>
  <c r="BO86" i="9"/>
  <c r="E78" i="19" s="1"/>
  <c r="BQ72" i="8"/>
  <c r="BQ71" i="8"/>
  <c r="D78" i="8"/>
  <c r="E92" i="8" s="1"/>
  <c r="BO92" i="8" s="1"/>
  <c r="D82" i="19" s="1"/>
  <c r="E70" i="8"/>
  <c r="D77" i="8"/>
  <c r="BO77" i="8" s="1"/>
  <c r="D69" i="19" s="1"/>
  <c r="B66" i="8"/>
  <c r="AP67" i="8"/>
  <c r="T73" i="8"/>
  <c r="F73" i="8"/>
  <c r="P73" i="8"/>
  <c r="H73" i="8"/>
  <c r="AZ73" i="8"/>
  <c r="AR73" i="8"/>
  <c r="D73" i="8"/>
  <c r="AN73" i="8"/>
  <c r="J73" i="8"/>
  <c r="V73" i="8"/>
  <c r="AP73" i="8"/>
  <c r="L73" i="8"/>
  <c r="X73" i="8"/>
  <c r="AV73" i="8"/>
  <c r="BO86" i="8"/>
  <c r="D78" i="19" s="1"/>
  <c r="AU103" i="8"/>
  <c r="U73" i="8"/>
  <c r="AW103" i="8"/>
  <c r="AA103" i="8"/>
  <c r="BE103" i="8"/>
  <c r="AM103" i="8"/>
  <c r="I73" i="8"/>
  <c r="AG73" i="8"/>
  <c r="AG10" i="8" s="1"/>
  <c r="AS73" i="8"/>
  <c r="AS10" i="8" s="1"/>
  <c r="BE73" i="8"/>
  <c r="BE67" i="8" s="1"/>
  <c r="AC73" i="8"/>
  <c r="AC10" i="8" s="1"/>
  <c r="BA73" i="8"/>
  <c r="BA10" i="8" s="1"/>
  <c r="BO72" i="8"/>
  <c r="D65" i="19" s="1"/>
  <c r="AO73" i="8"/>
  <c r="AO10" i="8" s="1"/>
  <c r="BG103" i="8"/>
  <c r="AK103" i="8"/>
  <c r="K73" i="8"/>
  <c r="AI73" i="8"/>
  <c r="AI67" i="8" s="1"/>
  <c r="BG73" i="8"/>
  <c r="BG10" i="8" s="1"/>
  <c r="G73" i="8"/>
  <c r="G61" i="8" s="1"/>
  <c r="G9" i="8" s="1"/>
  <c r="AQ73" i="8"/>
  <c r="W73" i="8"/>
  <c r="BK103" i="8"/>
  <c r="M103" i="8"/>
  <c r="K103" i="8"/>
  <c r="BC73" i="8"/>
  <c r="M73" i="8"/>
  <c r="Y73" i="8"/>
  <c r="Y10" i="8" s="1"/>
  <c r="AK73" i="8"/>
  <c r="AK61" i="8" s="1"/>
  <c r="AK9" i="8" s="1"/>
  <c r="AW73" i="8"/>
  <c r="BI73" i="8"/>
  <c r="BI10" i="8" s="1"/>
  <c r="AG103" i="8"/>
  <c r="P67" i="8"/>
  <c r="AV67" i="8"/>
  <c r="BL67" i="8"/>
  <c r="BO65" i="8"/>
  <c r="D58" i="19" s="1"/>
  <c r="D67" i="8"/>
  <c r="AB67" i="8"/>
  <c r="AH67" i="8"/>
  <c r="BF67" i="8"/>
  <c r="AZ67" i="8"/>
  <c r="N67" i="8"/>
  <c r="BJ67" i="8"/>
  <c r="BP67" i="8"/>
  <c r="BO64" i="8"/>
  <c r="D57" i="19" s="1"/>
  <c r="AS50" i="8"/>
  <c r="AS54" i="8" s="1"/>
  <c r="AS58" i="8" s="1"/>
  <c r="AS8" i="8" s="1"/>
  <c r="AQ50" i="8"/>
  <c r="AQ54" i="8" s="1"/>
  <c r="AQ58" i="8" s="1"/>
  <c r="AQ8" i="8" s="1"/>
  <c r="W50" i="8"/>
  <c r="W54" i="8" s="1"/>
  <c r="W58" i="8" s="1"/>
  <c r="W8" i="8" s="1"/>
  <c r="AU50" i="8"/>
  <c r="AU54" i="8" s="1"/>
  <c r="AU58" i="8" s="1"/>
  <c r="AU8" i="8" s="1"/>
  <c r="AE54" i="8"/>
  <c r="BI50" i="8"/>
  <c r="BI54" i="8" s="1"/>
  <c r="BI58" i="8" s="1"/>
  <c r="BI8" i="8" s="1"/>
  <c r="AM50" i="8"/>
  <c r="AM54" i="8" s="1"/>
  <c r="AM58" i="8" s="1"/>
  <c r="AM8" i="8" s="1"/>
  <c r="BK50" i="8"/>
  <c r="BK54" i="8" s="1"/>
  <c r="BK58" i="8" s="1"/>
  <c r="BK8" i="8" s="1"/>
  <c r="BC54" i="8"/>
  <c r="BC58" i="8" s="1"/>
  <c r="BC8" i="8" s="1"/>
  <c r="Q50" i="8"/>
  <c r="Q54" i="8" s="1"/>
  <c r="Q58" i="8" s="1"/>
  <c r="Q8" i="8" s="1"/>
  <c r="AO50" i="8"/>
  <c r="AO54" i="8" s="1"/>
  <c r="AO58" i="8" s="1"/>
  <c r="AO8" i="8" s="1"/>
  <c r="BM50" i="8"/>
  <c r="AC54" i="8"/>
  <c r="AC58" i="8" s="1"/>
  <c r="AC8" i="8" s="1"/>
  <c r="M54" i="8"/>
  <c r="M58" i="8" s="1"/>
  <c r="M8" i="8" s="1"/>
  <c r="G54" i="8"/>
  <c r="G58" i="8" s="1"/>
  <c r="G8" i="8" s="1"/>
  <c r="BO31" i="8"/>
  <c r="D25" i="19" s="1"/>
  <c r="Y54" i="8"/>
  <c r="Y58" i="8" s="1"/>
  <c r="Y8" i="8" s="1"/>
  <c r="AN5" i="8"/>
  <c r="AP5" i="8"/>
  <c r="AT5" i="8"/>
  <c r="BL5" i="8"/>
  <c r="Y103" i="8"/>
  <c r="AY54" i="8"/>
  <c r="AY58" i="8" s="1"/>
  <c r="AY8" i="8" s="1"/>
  <c r="BO100" i="8"/>
  <c r="D90" i="19" s="1"/>
  <c r="AB5" i="8"/>
  <c r="BM103" i="8"/>
  <c r="AI103" i="8"/>
  <c r="U103" i="8"/>
  <c r="AD5" i="8"/>
  <c r="H5" i="8"/>
  <c r="AF5" i="8"/>
  <c r="BD5" i="8"/>
  <c r="AW54" i="8"/>
  <c r="AW58" i="8" s="1"/>
  <c r="AW8" i="8" s="1"/>
  <c r="E22" i="8"/>
  <c r="BO34" i="8"/>
  <c r="D28" i="19" s="1"/>
  <c r="BO36" i="8"/>
  <c r="D30" i="19" s="1"/>
  <c r="I42" i="8"/>
  <c r="BO63" i="8"/>
  <c r="D56" i="19" s="1"/>
  <c r="BO66" i="8"/>
  <c r="D59" i="19" s="1"/>
  <c r="I7" i="8"/>
  <c r="BO59" i="8"/>
  <c r="D53" i="19" s="1"/>
  <c r="X67" i="8"/>
  <c r="L5" i="8"/>
  <c r="O54" i="8"/>
  <c r="O58" i="8" s="1"/>
  <c r="O8" i="8" s="1"/>
  <c r="Z67" i="8"/>
  <c r="W103" i="8"/>
  <c r="E102" i="8"/>
  <c r="BO102" i="8" s="1"/>
  <c r="D92" i="19" s="1"/>
  <c r="BO88" i="8"/>
  <c r="D80" i="19" s="1"/>
  <c r="AO103" i="8"/>
  <c r="BO49" i="8"/>
  <c r="D43" i="19" s="1"/>
  <c r="D5" i="8"/>
  <c r="N5" i="8"/>
  <c r="AK50" i="8"/>
  <c r="AK54" i="8" s="1"/>
  <c r="AK58" i="8" s="1"/>
  <c r="AK8" i="8" s="1"/>
  <c r="BO62" i="8"/>
  <c r="D55" i="19" s="1"/>
  <c r="E73" i="8"/>
  <c r="Q73" i="8"/>
  <c r="BM73" i="8"/>
  <c r="E95" i="8"/>
  <c r="BO95" i="8" s="1"/>
  <c r="D85" i="19" s="1"/>
  <c r="BO81" i="8"/>
  <c r="D73" i="19" s="1"/>
  <c r="BO83" i="8"/>
  <c r="D75" i="19" s="1"/>
  <c r="AQ103" i="8"/>
  <c r="F5" i="8"/>
  <c r="AD73" i="8"/>
  <c r="AS103" i="8"/>
  <c r="BB67" i="8"/>
  <c r="R73" i="8"/>
  <c r="BO68" i="8"/>
  <c r="D61" i="19" s="1"/>
  <c r="AY103" i="8"/>
  <c r="P5" i="8"/>
  <c r="U54" i="8"/>
  <c r="U58" i="8" s="1"/>
  <c r="U8" i="8" s="1"/>
  <c r="H67" i="8"/>
  <c r="AF67" i="8"/>
  <c r="BD67" i="8"/>
  <c r="AL67" i="8"/>
  <c r="S73" i="8"/>
  <c r="AE73" i="8"/>
  <c r="AC103" i="8"/>
  <c r="BA103" i="8"/>
  <c r="BO79" i="8"/>
  <c r="D71" i="19" s="1"/>
  <c r="E98" i="8"/>
  <c r="BO98" i="8" s="1"/>
  <c r="D88" i="19" s="1"/>
  <c r="BO84" i="8"/>
  <c r="D76" i="19" s="1"/>
  <c r="BO30" i="8"/>
  <c r="D24" i="19" s="1"/>
  <c r="S42" i="8"/>
  <c r="S50" i="8" s="1"/>
  <c r="S54" i="8" s="1"/>
  <c r="J67" i="8"/>
  <c r="AN67" i="8"/>
  <c r="AF73" i="8"/>
  <c r="G103" i="8"/>
  <c r="AE103" i="8"/>
  <c r="BC103" i="8"/>
  <c r="BO82" i="8"/>
  <c r="D74" i="19" s="1"/>
  <c r="BO87" i="8"/>
  <c r="D79" i="19" s="1"/>
  <c r="L67" i="8"/>
  <c r="I103" i="8"/>
  <c r="O103" i="8"/>
  <c r="BO101" i="8"/>
  <c r="D91" i="19" s="1"/>
  <c r="AE58" i="8"/>
  <c r="AE8" i="8" s="1"/>
  <c r="AT73" i="8"/>
  <c r="BO97" i="8"/>
  <c r="D87" i="19" s="1"/>
  <c r="AU73" i="8"/>
  <c r="BI103" i="8"/>
  <c r="BO93" i="8"/>
  <c r="D83" i="19" s="1"/>
  <c r="BO96" i="8"/>
  <c r="D86" i="19" s="1"/>
  <c r="E94" i="8"/>
  <c r="BO94" i="8" s="1"/>
  <c r="D84" i="19" s="1"/>
  <c r="BO80" i="8"/>
  <c r="D72" i="19" s="1"/>
  <c r="Z73" i="8"/>
  <c r="AX73" i="8"/>
  <c r="BO7" i="8"/>
  <c r="D6" i="19" s="1"/>
  <c r="AG50" i="8"/>
  <c r="AG54" i="8" s="1"/>
  <c r="AG58" i="8" s="1"/>
  <c r="AG8" i="8" s="1"/>
  <c r="BE50" i="8"/>
  <c r="BE54" i="8" s="1"/>
  <c r="BE58" i="8" s="1"/>
  <c r="BE8" i="8" s="1"/>
  <c r="O73" i="8"/>
  <c r="AA73" i="8"/>
  <c r="AM73" i="8"/>
  <c r="AY73" i="8"/>
  <c r="BK73" i="8"/>
  <c r="BO70" i="8"/>
  <c r="D63" i="19" s="1"/>
  <c r="S103" i="8"/>
  <c r="N73" i="8"/>
  <c r="AL73" i="8"/>
  <c r="BJ73" i="8"/>
  <c r="Q103" i="8"/>
  <c r="AI50" i="8"/>
  <c r="AI54" i="8" s="1"/>
  <c r="AI58" i="8" s="1"/>
  <c r="AI8" i="8" s="1"/>
  <c r="BG50" i="8"/>
  <c r="BG54" i="8" s="1"/>
  <c r="BG58" i="8" s="1"/>
  <c r="BG8" i="8" s="1"/>
  <c r="BO56" i="8"/>
  <c r="D50" i="19" s="1"/>
  <c r="S57" i="8"/>
  <c r="S75" i="8" s="1"/>
  <c r="S11" i="8" s="1"/>
  <c r="BO11" i="8" s="1"/>
  <c r="D10" i="19" s="1"/>
  <c r="K50" i="8"/>
  <c r="K54" i="8" s="1"/>
  <c r="K58" i="8" s="1"/>
  <c r="K8" i="8" s="1"/>
  <c r="E99" i="8"/>
  <c r="BO99" i="8" s="1"/>
  <c r="D89" i="19" s="1"/>
  <c r="BO85" i="8"/>
  <c r="D77" i="19" s="1"/>
  <c r="BQ67" i="7"/>
  <c r="BP85" i="7"/>
  <c r="BQ99" i="7" s="1"/>
  <c r="E70" i="7"/>
  <c r="BO70" i="7" s="1"/>
  <c r="C63" i="19" s="1"/>
  <c r="D78" i="7"/>
  <c r="E92" i="7" s="1"/>
  <c r="B63" i="7"/>
  <c r="E68" i="7"/>
  <c r="BO68" i="7" s="1"/>
  <c r="C61" i="19" s="1"/>
  <c r="B66" i="7"/>
  <c r="AD67" i="7"/>
  <c r="AP67" i="7"/>
  <c r="AP73" i="7"/>
  <c r="V73" i="7"/>
  <c r="AT73" i="7"/>
  <c r="H73" i="7"/>
  <c r="T73" i="7"/>
  <c r="J73" i="7"/>
  <c r="BO69" i="7"/>
  <c r="C62" i="19" s="1"/>
  <c r="G73" i="7"/>
  <c r="G10" i="7" s="1"/>
  <c r="S73" i="7"/>
  <c r="S61" i="7" s="1"/>
  <c r="S9" i="7" s="1"/>
  <c r="AE73" i="7"/>
  <c r="AE10" i="7" s="1"/>
  <c r="AQ73" i="7"/>
  <c r="AQ10" i="7" s="1"/>
  <c r="BQ10" i="7"/>
  <c r="BC73" i="7"/>
  <c r="BC10" i="7" s="1"/>
  <c r="BE103" i="7"/>
  <c r="AS103" i="7"/>
  <c r="Q73" i="7"/>
  <c r="AC73" i="7"/>
  <c r="AC10" i="7" s="1"/>
  <c r="AO73" i="7"/>
  <c r="BA73" i="7"/>
  <c r="BA10" i="7" s="1"/>
  <c r="BM10" i="7"/>
  <c r="BO71" i="7"/>
  <c r="C64" i="19" s="1"/>
  <c r="Q103" i="7"/>
  <c r="AG103" i="7"/>
  <c r="U103" i="7"/>
  <c r="AO103" i="7"/>
  <c r="M73" i="7"/>
  <c r="M10" i="7" s="1"/>
  <c r="Y73" i="7"/>
  <c r="Y10" i="7" s="1"/>
  <c r="AK73" i="7"/>
  <c r="AK10" i="7" s="1"/>
  <c r="AW73" i="7"/>
  <c r="AW10" i="7" s="1"/>
  <c r="BI73" i="7"/>
  <c r="Y103" i="7"/>
  <c r="O73" i="7"/>
  <c r="O10" i="7" s="1"/>
  <c r="AA73" i="7"/>
  <c r="AM73" i="7"/>
  <c r="AM10" i="7" s="1"/>
  <c r="AY73" i="7"/>
  <c r="AY10" i="7" s="1"/>
  <c r="BK73" i="7"/>
  <c r="BK67" i="7" s="1"/>
  <c r="G103" i="7"/>
  <c r="AE103" i="7"/>
  <c r="BC103" i="7"/>
  <c r="Z67" i="7"/>
  <c r="P67" i="7"/>
  <c r="AN67" i="7"/>
  <c r="BO66" i="7"/>
  <c r="C59" i="19" s="1"/>
  <c r="X67" i="7"/>
  <c r="AV67" i="7"/>
  <c r="BO62" i="7"/>
  <c r="C55" i="19" s="1"/>
  <c r="AL67" i="7"/>
  <c r="BP67" i="7"/>
  <c r="L67" i="7"/>
  <c r="AJ67" i="7"/>
  <c r="BH67" i="7"/>
  <c r="T67" i="7"/>
  <c r="AR67" i="7"/>
  <c r="AX67" i="7"/>
  <c r="N67" i="7"/>
  <c r="BJ67" i="7"/>
  <c r="V67" i="7"/>
  <c r="AT67" i="7"/>
  <c r="AB67" i="7"/>
  <c r="AZ67" i="7"/>
  <c r="AC50" i="7"/>
  <c r="AC54" i="7" s="1"/>
  <c r="AC58" i="7" s="1"/>
  <c r="AC8" i="7" s="1"/>
  <c r="AE50" i="7"/>
  <c r="AE54" i="7" s="1"/>
  <c r="AE58" i="7" s="1"/>
  <c r="AE8" i="7" s="1"/>
  <c r="BE50" i="7"/>
  <c r="BE54" i="7" s="1"/>
  <c r="BE58" i="7" s="1"/>
  <c r="BE8" i="7" s="1"/>
  <c r="AG50" i="7"/>
  <c r="AS50" i="7"/>
  <c r="AS54" i="7" s="1"/>
  <c r="AS58" i="7" s="1"/>
  <c r="AS8" i="7" s="1"/>
  <c r="AW50" i="7"/>
  <c r="Y50" i="7"/>
  <c r="Y54" i="7" s="1"/>
  <c r="Y58" i="7" s="1"/>
  <c r="Y8" i="7" s="1"/>
  <c r="BA50" i="7"/>
  <c r="BA54" i="7" s="1"/>
  <c r="BA58" i="7" s="1"/>
  <c r="BA8" i="7" s="1"/>
  <c r="E50" i="7"/>
  <c r="E54" i="7" s="1"/>
  <c r="E58" i="7" s="1"/>
  <c r="E8" i="7" s="1"/>
  <c r="O50" i="7"/>
  <c r="O58" i="7" s="1"/>
  <c r="O8" i="7" s="1"/>
  <c r="K50" i="7"/>
  <c r="K54" i="7" s="1"/>
  <c r="K58" i="7" s="1"/>
  <c r="K8" i="7" s="1"/>
  <c r="BK54" i="7"/>
  <c r="BG54" i="7"/>
  <c r="BG58" i="7" s="1"/>
  <c r="BG8" i="7" s="1"/>
  <c r="U50" i="7"/>
  <c r="U54" i="7" s="1"/>
  <c r="U58" i="7" s="1"/>
  <c r="U8" i="7" s="1"/>
  <c r="BC54" i="7"/>
  <c r="BC58" i="7" s="1"/>
  <c r="BC8" i="7" s="1"/>
  <c r="AO50" i="7"/>
  <c r="AO54" i="7" s="1"/>
  <c r="AO58" i="7" s="1"/>
  <c r="AO8" i="7" s="1"/>
  <c r="BM8" i="7"/>
  <c r="Q50" i="7"/>
  <c r="Q54" i="7" s="1"/>
  <c r="Q58" i="7" s="1"/>
  <c r="Q8" i="7" s="1"/>
  <c r="N5" i="7"/>
  <c r="T5" i="7"/>
  <c r="V5" i="7"/>
  <c r="AJ5" i="7"/>
  <c r="BO94" i="7"/>
  <c r="C84" i="19" s="1"/>
  <c r="O103" i="7"/>
  <c r="BK103" i="7"/>
  <c r="X5" i="7"/>
  <c r="M54" i="7"/>
  <c r="M58" i="7" s="1"/>
  <c r="M8" i="7" s="1"/>
  <c r="AK54" i="7"/>
  <c r="AK58" i="7" s="1"/>
  <c r="AK8" i="7" s="1"/>
  <c r="AW54" i="7"/>
  <c r="AW58" i="7" s="1"/>
  <c r="AW8" i="7" s="1"/>
  <c r="H67" i="7"/>
  <c r="AF67" i="7"/>
  <c r="BD67" i="7"/>
  <c r="BO101" i="7"/>
  <c r="C91" i="19" s="1"/>
  <c r="Z5" i="7"/>
  <c r="AX5" i="7"/>
  <c r="AY54" i="7"/>
  <c r="AY58" i="7" s="1"/>
  <c r="AY8" i="7" s="1"/>
  <c r="I54" i="7"/>
  <c r="I58" i="7" s="1"/>
  <c r="I8" i="7" s="1"/>
  <c r="J67" i="7"/>
  <c r="AH67" i="7"/>
  <c r="BF67" i="7"/>
  <c r="BO93" i="7"/>
  <c r="C83" i="19" s="1"/>
  <c r="I100" i="7"/>
  <c r="BO100" i="7" s="1"/>
  <c r="C90" i="19" s="1"/>
  <c r="BO86" i="7"/>
  <c r="C78" i="19" s="1"/>
  <c r="W103" i="7"/>
  <c r="S103" i="7"/>
  <c r="D5" i="7"/>
  <c r="AB5" i="7"/>
  <c r="AZ5" i="7"/>
  <c r="BO30" i="7"/>
  <c r="C24" i="19" s="1"/>
  <c r="BO34" i="7"/>
  <c r="C28" i="19" s="1"/>
  <c r="E75" i="7"/>
  <c r="BO87" i="7"/>
  <c r="C79" i="19" s="1"/>
  <c r="AI103" i="7"/>
  <c r="AD5" i="7"/>
  <c r="BB5" i="7"/>
  <c r="I73" i="7"/>
  <c r="U73" i="7"/>
  <c r="AG73" i="7"/>
  <c r="AS73" i="7"/>
  <c r="BE73" i="7"/>
  <c r="E99" i="7"/>
  <c r="BO99" i="7" s="1"/>
  <c r="C89" i="19" s="1"/>
  <c r="BO85" i="7"/>
  <c r="C77" i="19" s="1"/>
  <c r="AK103" i="7"/>
  <c r="F5" i="7"/>
  <c r="H5" i="7"/>
  <c r="AF5" i="7"/>
  <c r="BD5" i="7"/>
  <c r="BO49" i="7"/>
  <c r="C43" i="19" s="1"/>
  <c r="BO65" i="7"/>
  <c r="C58" i="19" s="1"/>
  <c r="BO72" i="7"/>
  <c r="C65" i="19" s="1"/>
  <c r="I96" i="7"/>
  <c r="BO96" i="7" s="1"/>
  <c r="C86" i="19" s="1"/>
  <c r="BO82" i="7"/>
  <c r="C74" i="19" s="1"/>
  <c r="BO102" i="7"/>
  <c r="C92" i="19" s="1"/>
  <c r="AM103" i="7"/>
  <c r="BO7" i="7"/>
  <c r="C6" i="19" s="1"/>
  <c r="I6" i="19" s="1"/>
  <c r="I113" i="19" s="1"/>
  <c r="W54" i="7"/>
  <c r="W58" i="7" s="1"/>
  <c r="W8" i="7" s="1"/>
  <c r="AA54" i="7"/>
  <c r="AA58" i="7" s="1"/>
  <c r="AA8" i="7" s="1"/>
  <c r="BO59" i="7"/>
  <c r="C53" i="19" s="1"/>
  <c r="BO64" i="7"/>
  <c r="C57" i="19" s="1"/>
  <c r="K73" i="7"/>
  <c r="W73" i="7"/>
  <c r="AI73" i="7"/>
  <c r="AU73" i="7"/>
  <c r="BG73" i="7"/>
  <c r="AQ103" i="7"/>
  <c r="BO42" i="7"/>
  <c r="C36" i="19" s="1"/>
  <c r="G50" i="7"/>
  <c r="L73" i="7"/>
  <c r="X73" i="7"/>
  <c r="AJ73" i="7"/>
  <c r="AK67" i="7" s="1"/>
  <c r="AV73" i="7"/>
  <c r="BH73" i="7"/>
  <c r="E95" i="7"/>
  <c r="BO95" i="7" s="1"/>
  <c r="C85" i="19" s="1"/>
  <c r="BO81" i="7"/>
  <c r="C73" i="19" s="1"/>
  <c r="BO36" i="7"/>
  <c r="C30" i="19" s="1"/>
  <c r="BO63" i="7"/>
  <c r="C56" i="19" s="1"/>
  <c r="D67" i="7"/>
  <c r="AW103" i="7"/>
  <c r="I92" i="7"/>
  <c r="BO98" i="7"/>
  <c r="C88" i="19" s="1"/>
  <c r="AU103" i="7"/>
  <c r="AN5" i="7"/>
  <c r="AG54" i="7"/>
  <c r="AG58" i="7" s="1"/>
  <c r="AG8" i="7" s="1"/>
  <c r="AA103" i="7"/>
  <c r="AY103" i="7"/>
  <c r="BO79" i="7"/>
  <c r="C71" i="19" s="1"/>
  <c r="K103" i="7"/>
  <c r="BG103" i="7"/>
  <c r="BO21" i="7"/>
  <c r="C15" i="19" s="1"/>
  <c r="AU54" i="7"/>
  <c r="AU58" i="7" s="1"/>
  <c r="AU8" i="7" s="1"/>
  <c r="AI54" i="7"/>
  <c r="AI58" i="7" s="1"/>
  <c r="AI8" i="7" s="1"/>
  <c r="BO31" i="7"/>
  <c r="C25" i="19" s="1"/>
  <c r="BO77" i="7"/>
  <c r="C69" i="19" s="1"/>
  <c r="AC103" i="7"/>
  <c r="BA103" i="7"/>
  <c r="M103" i="7"/>
  <c r="BI103" i="7"/>
  <c r="BO22" i="7"/>
  <c r="C16" i="19" s="1"/>
  <c r="F67" i="7"/>
  <c r="S57" i="7"/>
  <c r="S75" i="7" s="1"/>
  <c r="S11" i="7" s="1"/>
  <c r="BO80" i="7"/>
  <c r="C72" i="19" s="1"/>
  <c r="BO84" i="7"/>
  <c r="C76" i="19" s="1"/>
  <c r="BO88" i="7"/>
  <c r="C80" i="19" s="1"/>
  <c r="H165" i="19" l="1"/>
  <c r="BA67" i="8"/>
  <c r="BI67" i="10"/>
  <c r="BG61" i="10"/>
  <c r="BG9" i="10" s="1"/>
  <c r="H113" i="19"/>
  <c r="H160" i="19"/>
  <c r="H169" i="19"/>
  <c r="H150" i="19"/>
  <c r="M67" i="14"/>
  <c r="AS61" i="15"/>
  <c r="AS9" i="15" s="1"/>
  <c r="BC61" i="8"/>
  <c r="BC9" i="8" s="1"/>
  <c r="K67" i="8"/>
  <c r="AU67" i="10"/>
  <c r="H143" i="19"/>
  <c r="Y67" i="10"/>
  <c r="K67" i="10"/>
  <c r="H158" i="19"/>
  <c r="H193" i="19"/>
  <c r="Y67" i="18"/>
  <c r="AC61" i="17"/>
  <c r="AC9" i="17" s="1"/>
  <c r="AE10" i="10"/>
  <c r="H179" i="19"/>
  <c r="H123" i="19"/>
  <c r="H171" i="19"/>
  <c r="H131" i="19"/>
  <c r="AU67" i="12"/>
  <c r="H191" i="19"/>
  <c r="H183" i="19"/>
  <c r="H190" i="19"/>
  <c r="H163" i="19"/>
  <c r="AA61" i="18"/>
  <c r="AA9" i="18" s="1"/>
  <c r="H170" i="19"/>
  <c r="E67" i="17"/>
  <c r="H166" i="19"/>
  <c r="H195" i="19"/>
  <c r="H198" i="19"/>
  <c r="BE61" i="17"/>
  <c r="BE9" i="17" s="1"/>
  <c r="AO61" i="7"/>
  <c r="AO9" i="7" s="1"/>
  <c r="H181" i="19"/>
  <c r="H180" i="19"/>
  <c r="H186" i="19"/>
  <c r="H185" i="19"/>
  <c r="AY61" i="11"/>
  <c r="AY9" i="11" s="1"/>
  <c r="E67" i="12"/>
  <c r="AO67" i="14"/>
  <c r="H184" i="19"/>
  <c r="H178" i="19"/>
  <c r="I61" i="11"/>
  <c r="I9" i="11" s="1"/>
  <c r="H172" i="19"/>
  <c r="H164" i="19"/>
  <c r="H187" i="19"/>
  <c r="H132" i="19"/>
  <c r="H162" i="19"/>
  <c r="AO67" i="15"/>
  <c r="AA67" i="16"/>
  <c r="BI67" i="15"/>
  <c r="AO67" i="7"/>
  <c r="AO10" i="13"/>
  <c r="E92" i="18"/>
  <c r="BO92" i="18" s="1"/>
  <c r="G189" i="19" s="1"/>
  <c r="AY67" i="17"/>
  <c r="AO61" i="17"/>
  <c r="AO9" i="17" s="1"/>
  <c r="AW61" i="18"/>
  <c r="AW9" i="18" s="1"/>
  <c r="AO67" i="13"/>
  <c r="S61" i="16"/>
  <c r="S9" i="16" s="1"/>
  <c r="Y61" i="18"/>
  <c r="Y9" i="18" s="1"/>
  <c r="C50" i="8"/>
  <c r="BQ50" i="7"/>
  <c r="BO78" i="7"/>
  <c r="C70" i="19" s="1"/>
  <c r="G61" i="10"/>
  <c r="G9" i="10" s="1"/>
  <c r="K10" i="10"/>
  <c r="BG61" i="18"/>
  <c r="BG9" i="18" s="1"/>
  <c r="BI10" i="14"/>
  <c r="AW67" i="14"/>
  <c r="AO67" i="9"/>
  <c r="BO92" i="7"/>
  <c r="C82" i="19" s="1"/>
  <c r="BO78" i="8"/>
  <c r="D70" i="19" s="1"/>
  <c r="K67" i="9"/>
  <c r="AQ61" i="10"/>
  <c r="AQ9" i="10" s="1"/>
  <c r="AI61" i="10"/>
  <c r="AI9" i="10" s="1"/>
  <c r="AS67" i="10"/>
  <c r="BO85" i="12"/>
  <c r="H77" i="19" s="1"/>
  <c r="BI61" i="14"/>
  <c r="BI9" i="14" s="1"/>
  <c r="M67" i="13"/>
  <c r="AI61" i="13"/>
  <c r="AI9" i="13" s="1"/>
  <c r="AC67" i="14"/>
  <c r="M61" i="14"/>
  <c r="M9" i="14" s="1"/>
  <c r="AY61" i="18"/>
  <c r="AY9" i="18" s="1"/>
  <c r="AY67" i="18"/>
  <c r="Y67" i="14"/>
  <c r="AY10" i="11"/>
  <c r="AW61" i="14"/>
  <c r="AW9" i="14" s="1"/>
  <c r="AQ67" i="7"/>
  <c r="BO57" i="8"/>
  <c r="D51" i="19" s="1"/>
  <c r="U61" i="8"/>
  <c r="U9" i="8" s="1"/>
  <c r="AY67" i="11"/>
  <c r="BO73" i="12"/>
  <c r="H66" i="19" s="1"/>
  <c r="AK67" i="18"/>
  <c r="C50" i="12"/>
  <c r="W67" i="10"/>
  <c r="BG67" i="18"/>
  <c r="BQ67" i="8"/>
  <c r="AW67" i="18"/>
  <c r="AM67" i="18"/>
  <c r="AS61" i="13"/>
  <c r="AS9" i="13" s="1"/>
  <c r="W67" i="18"/>
  <c r="BO50" i="18"/>
  <c r="G151" i="19" s="1"/>
  <c r="BK61" i="18"/>
  <c r="BK9" i="18" s="1"/>
  <c r="BK10" i="18"/>
  <c r="AU10" i="18"/>
  <c r="AU61" i="18"/>
  <c r="AU9" i="18" s="1"/>
  <c r="Q67" i="18"/>
  <c r="Q61" i="18"/>
  <c r="Q9" i="18" s="1"/>
  <c r="O67" i="18"/>
  <c r="BO73" i="18"/>
  <c r="G173" i="19" s="1"/>
  <c r="BQ54" i="17"/>
  <c r="C54" i="18"/>
  <c r="BM58" i="17"/>
  <c r="BM8" i="17" s="1"/>
  <c r="BQ50" i="17"/>
  <c r="C50" i="18"/>
  <c r="I67" i="17"/>
  <c r="AG67" i="17"/>
  <c r="AS67" i="17"/>
  <c r="AI61" i="17"/>
  <c r="AI9" i="17" s="1"/>
  <c r="U67" i="17"/>
  <c r="BQ75" i="17"/>
  <c r="BQ11" i="17" s="1"/>
  <c r="C75" i="18"/>
  <c r="Q61" i="17"/>
  <c r="Q9" i="17" s="1"/>
  <c r="BK58" i="16"/>
  <c r="BQ54" i="16"/>
  <c r="C54" i="17"/>
  <c r="AM67" i="16"/>
  <c r="AM61" i="16"/>
  <c r="AM9" i="16" s="1"/>
  <c r="BO102" i="16"/>
  <c r="E199" i="19" s="1"/>
  <c r="S67" i="16"/>
  <c r="O67" i="16"/>
  <c r="S10" i="16"/>
  <c r="O61" i="16"/>
  <c r="O9" i="16" s="1"/>
  <c r="G67" i="16"/>
  <c r="G61" i="16"/>
  <c r="G9" i="16" s="1"/>
  <c r="BC67" i="16"/>
  <c r="BO100" i="16"/>
  <c r="E197" i="19" s="1"/>
  <c r="BC61" i="16"/>
  <c r="BC9" i="16" s="1"/>
  <c r="AW67" i="15"/>
  <c r="Y67" i="15"/>
  <c r="AW61" i="15"/>
  <c r="AW9" i="15" s="1"/>
  <c r="BO75" i="15"/>
  <c r="D175" i="19" s="1"/>
  <c r="BQ75" i="15"/>
  <c r="BQ11" i="15" s="1"/>
  <c r="C75" i="16"/>
  <c r="BA10" i="15"/>
  <c r="BA67" i="15"/>
  <c r="BM10" i="15"/>
  <c r="BM67" i="15"/>
  <c r="Q67" i="15"/>
  <c r="U67" i="15"/>
  <c r="BQ54" i="15"/>
  <c r="BM58" i="15"/>
  <c r="C54" i="16"/>
  <c r="BA61" i="15"/>
  <c r="BA9" i="15" s="1"/>
  <c r="M61" i="15"/>
  <c r="M9" i="15" s="1"/>
  <c r="AI10" i="14"/>
  <c r="AI61" i="14"/>
  <c r="AI9" i="14" s="1"/>
  <c r="BK58" i="14"/>
  <c r="BQ54" i="14"/>
  <c r="C54" i="15"/>
  <c r="K67" i="14"/>
  <c r="BO50" i="14"/>
  <c r="C151" i="19" s="1"/>
  <c r="BQ50" i="14"/>
  <c r="C50" i="15"/>
  <c r="Y10" i="14"/>
  <c r="AC61" i="14"/>
  <c r="AC9" i="14" s="1"/>
  <c r="Y61" i="14"/>
  <c r="Y9" i="14" s="1"/>
  <c r="M61" i="13"/>
  <c r="M9" i="13" s="1"/>
  <c r="BO50" i="13"/>
  <c r="B151" i="19" s="1"/>
  <c r="M10" i="13"/>
  <c r="BQ50" i="13"/>
  <c r="C50" i="14"/>
  <c r="AG67" i="13"/>
  <c r="BQ75" i="13"/>
  <c r="BQ11" i="13" s="1"/>
  <c r="C75" i="14"/>
  <c r="K67" i="13"/>
  <c r="K61" i="13"/>
  <c r="K9" i="13" s="1"/>
  <c r="AS10" i="12"/>
  <c r="AS61" i="12"/>
  <c r="AS9" i="12" s="1"/>
  <c r="AS67" i="12"/>
  <c r="E67" i="13"/>
  <c r="BG58" i="12"/>
  <c r="BQ54" i="12"/>
  <c r="C54" i="13"/>
  <c r="BO68" i="13"/>
  <c r="B168" i="19" s="1"/>
  <c r="D67" i="13"/>
  <c r="E61" i="13" s="1"/>
  <c r="BO68" i="12"/>
  <c r="H61" i="19" s="1"/>
  <c r="BG67" i="11"/>
  <c r="BO75" i="11"/>
  <c r="G68" i="19" s="1"/>
  <c r="BQ75" i="11"/>
  <c r="BQ11" i="11" s="1"/>
  <c r="C75" i="12"/>
  <c r="BQ54" i="11"/>
  <c r="C54" i="12"/>
  <c r="W61" i="10"/>
  <c r="W9" i="10" s="1"/>
  <c r="M61" i="10"/>
  <c r="M9" i="10" s="1"/>
  <c r="BI61" i="10"/>
  <c r="BI9" i="10" s="1"/>
  <c r="K61" i="10"/>
  <c r="K9" i="10" s="1"/>
  <c r="AG67" i="10"/>
  <c r="U67" i="10"/>
  <c r="AU61" i="10"/>
  <c r="AU9" i="10" s="1"/>
  <c r="I67" i="10"/>
  <c r="AU10" i="10"/>
  <c r="BM54" i="10"/>
  <c r="BQ50" i="10"/>
  <c r="C50" i="11"/>
  <c r="BK11" i="9"/>
  <c r="BO11" i="9" s="1"/>
  <c r="E10" i="19" s="1"/>
  <c r="C75" i="10"/>
  <c r="BQ75" i="9"/>
  <c r="BQ11" i="9" s="1"/>
  <c r="M61" i="9"/>
  <c r="M9" i="9" s="1"/>
  <c r="BK58" i="9"/>
  <c r="C54" i="10"/>
  <c r="BQ54" i="9"/>
  <c r="BO75" i="9"/>
  <c r="E68" i="19" s="1"/>
  <c r="AE61" i="9"/>
  <c r="AE9" i="9" s="1"/>
  <c r="BO79" i="10"/>
  <c r="F71" i="19" s="1"/>
  <c r="BO68" i="10"/>
  <c r="F61" i="19" s="1"/>
  <c r="BO78" i="10"/>
  <c r="F70" i="19" s="1"/>
  <c r="BC67" i="8"/>
  <c r="BO81" i="9"/>
  <c r="E73" i="19" s="1"/>
  <c r="E91" i="8"/>
  <c r="BA61" i="8"/>
  <c r="BA9" i="8" s="1"/>
  <c r="BQ61" i="8"/>
  <c r="BM54" i="8"/>
  <c r="BQ50" i="8"/>
  <c r="C50" i="9"/>
  <c r="BK58" i="7"/>
  <c r="C54" i="8"/>
  <c r="BQ54" i="7"/>
  <c r="BO83" i="7"/>
  <c r="C75" i="19" s="1"/>
  <c r="BI67" i="7"/>
  <c r="BA61" i="7"/>
  <c r="BA9" i="7" s="1"/>
  <c r="AE61" i="7"/>
  <c r="AE9" i="7" s="1"/>
  <c r="AE67" i="7"/>
  <c r="S67" i="7"/>
  <c r="S10" i="7"/>
  <c r="M61" i="7"/>
  <c r="M9" i="7" s="1"/>
  <c r="M67" i="7"/>
  <c r="AA61" i="7"/>
  <c r="AA9" i="7" s="1"/>
  <c r="S58" i="7"/>
  <c r="S8" i="7" s="1"/>
  <c r="BA61" i="18"/>
  <c r="BA9" i="18" s="1"/>
  <c r="BA67" i="18"/>
  <c r="BA10" i="18"/>
  <c r="BC10" i="18"/>
  <c r="BC61" i="18"/>
  <c r="BC9" i="18" s="1"/>
  <c r="BC67" i="18"/>
  <c r="BM67" i="18"/>
  <c r="BM10" i="18"/>
  <c r="BM61" i="18"/>
  <c r="BM9" i="18" s="1"/>
  <c r="AQ61" i="18"/>
  <c r="AQ9" i="18" s="1"/>
  <c r="AQ67" i="18"/>
  <c r="AQ10" i="18"/>
  <c r="AE10" i="18"/>
  <c r="AE67" i="18"/>
  <c r="AE61" i="18"/>
  <c r="AE9" i="18" s="1"/>
  <c r="AO10" i="18"/>
  <c r="AO61" i="18"/>
  <c r="AO9" i="18" s="1"/>
  <c r="AO67" i="18"/>
  <c r="BE67" i="18"/>
  <c r="BE10" i="18"/>
  <c r="BE61" i="18"/>
  <c r="BE9" i="18" s="1"/>
  <c r="S10" i="18"/>
  <c r="S67" i="18"/>
  <c r="S61" i="18"/>
  <c r="S9" i="18" s="1"/>
  <c r="E103" i="18"/>
  <c r="BO103" i="18" s="1"/>
  <c r="G200" i="19" s="1"/>
  <c r="BO91" i="18"/>
  <c r="G188" i="19" s="1"/>
  <c r="AS67" i="18"/>
  <c r="AS61" i="18"/>
  <c r="AS9" i="18" s="1"/>
  <c r="AS10" i="18"/>
  <c r="U10" i="18"/>
  <c r="U61" i="18"/>
  <c r="U9" i="18" s="1"/>
  <c r="U67" i="18"/>
  <c r="AI10" i="18"/>
  <c r="AI61" i="18"/>
  <c r="AI9" i="18" s="1"/>
  <c r="AI67" i="18"/>
  <c r="G10" i="18"/>
  <c r="G67" i="18"/>
  <c r="G61" i="18"/>
  <c r="G9" i="18" s="1"/>
  <c r="BM54" i="18"/>
  <c r="BQ54" i="18" s="1"/>
  <c r="I67" i="18"/>
  <c r="I10" i="18"/>
  <c r="I61" i="18"/>
  <c r="I9" i="18" s="1"/>
  <c r="BM11" i="18"/>
  <c r="BO11" i="18" s="1"/>
  <c r="G117" i="19" s="1"/>
  <c r="BQ11" i="18"/>
  <c r="E54" i="18"/>
  <c r="E9" i="18"/>
  <c r="BO75" i="18"/>
  <c r="G175" i="19" s="1"/>
  <c r="E9" i="17"/>
  <c r="BM11" i="17"/>
  <c r="BO11" i="17" s="1"/>
  <c r="F117" i="19" s="1"/>
  <c r="BO50" i="17"/>
  <c r="F151" i="19" s="1"/>
  <c r="BO54" i="17"/>
  <c r="F155" i="19" s="1"/>
  <c r="E58" i="17"/>
  <c r="G10" i="17"/>
  <c r="G67" i="17"/>
  <c r="G61" i="17"/>
  <c r="G9" i="17" s="1"/>
  <c r="BQ10" i="17"/>
  <c r="BQ9" i="17"/>
  <c r="E92" i="17"/>
  <c r="BO92" i="17" s="1"/>
  <c r="F189" i="19" s="1"/>
  <c r="BO78" i="17"/>
  <c r="F177" i="19" s="1"/>
  <c r="BI67" i="17"/>
  <c r="BI61" i="17"/>
  <c r="BI9" i="17" s="1"/>
  <c r="BI10" i="17"/>
  <c r="BO73" i="17"/>
  <c r="F173" i="19" s="1"/>
  <c r="BO75" i="17"/>
  <c r="F175" i="19" s="1"/>
  <c r="E91" i="17"/>
  <c r="BO77" i="17"/>
  <c r="F176" i="19" s="1"/>
  <c r="BC10" i="17"/>
  <c r="BC61" i="17"/>
  <c r="BC9" i="17" s="1"/>
  <c r="BC67" i="17"/>
  <c r="AW67" i="17"/>
  <c r="AW61" i="17"/>
  <c r="AW9" i="17" s="1"/>
  <c r="AW10" i="17"/>
  <c r="AQ61" i="17"/>
  <c r="AQ9" i="17" s="1"/>
  <c r="AQ67" i="17"/>
  <c r="AQ10" i="17"/>
  <c r="AK67" i="17"/>
  <c r="AK61" i="17"/>
  <c r="AK9" i="17" s="1"/>
  <c r="AK10" i="17"/>
  <c r="AE10" i="17"/>
  <c r="AE67" i="17"/>
  <c r="AE61" i="17"/>
  <c r="AE9" i="17" s="1"/>
  <c r="Y67" i="17"/>
  <c r="Y61" i="17"/>
  <c r="Y9" i="17" s="1"/>
  <c r="Y10" i="17"/>
  <c r="S61" i="17"/>
  <c r="S9" i="17" s="1"/>
  <c r="S10" i="17"/>
  <c r="S67" i="17"/>
  <c r="BO85" i="17"/>
  <c r="F184" i="19" s="1"/>
  <c r="E99" i="17"/>
  <c r="BO99" i="17" s="1"/>
  <c r="F196" i="19" s="1"/>
  <c r="M67" i="17"/>
  <c r="M61" i="17"/>
  <c r="M9" i="17" s="1"/>
  <c r="M10" i="17"/>
  <c r="BM10" i="16"/>
  <c r="BM9" i="16"/>
  <c r="AO67" i="16"/>
  <c r="AO10" i="16"/>
  <c r="AO61" i="16"/>
  <c r="AO9" i="16" s="1"/>
  <c r="BK10" i="16"/>
  <c r="BK61" i="16"/>
  <c r="BK9" i="16" s="1"/>
  <c r="BK67" i="16"/>
  <c r="AC61" i="16"/>
  <c r="AC9" i="16" s="1"/>
  <c r="AC67" i="16"/>
  <c r="AC10" i="16"/>
  <c r="BI61" i="16"/>
  <c r="BI9" i="16" s="1"/>
  <c r="BI67" i="16"/>
  <c r="BI10" i="16"/>
  <c r="AY10" i="16"/>
  <c r="AY61" i="16"/>
  <c r="AY9" i="16" s="1"/>
  <c r="AY67" i="16"/>
  <c r="Q67" i="16"/>
  <c r="Q10" i="16"/>
  <c r="Q61" i="16"/>
  <c r="Q9" i="16" s="1"/>
  <c r="AW10" i="16"/>
  <c r="AW61" i="16"/>
  <c r="AW9" i="16" s="1"/>
  <c r="AW67" i="16"/>
  <c r="AK10" i="16"/>
  <c r="AK67" i="16"/>
  <c r="AK61" i="16"/>
  <c r="AK9" i="16" s="1"/>
  <c r="E9" i="16"/>
  <c r="Y10" i="16"/>
  <c r="Y61" i="16"/>
  <c r="Y9" i="16" s="1"/>
  <c r="Y67" i="16"/>
  <c r="BO103" i="16"/>
  <c r="E200" i="19" s="1"/>
  <c r="BO73" i="16"/>
  <c r="E173" i="19" s="1"/>
  <c r="M67" i="16"/>
  <c r="M10" i="16"/>
  <c r="M61" i="16"/>
  <c r="M9" i="16" s="1"/>
  <c r="E58" i="16"/>
  <c r="BO50" i="16"/>
  <c r="E151" i="19" s="1"/>
  <c r="BO78" i="16"/>
  <c r="E177" i="19" s="1"/>
  <c r="E92" i="16"/>
  <c r="BO92" i="16" s="1"/>
  <c r="E189" i="19" s="1"/>
  <c r="BA61" i="16"/>
  <c r="BA9" i="16" s="1"/>
  <c r="BA67" i="16"/>
  <c r="BA10" i="16"/>
  <c r="AY67" i="15"/>
  <c r="AY61" i="15"/>
  <c r="AY9" i="15" s="1"/>
  <c r="AY10" i="15"/>
  <c r="AM61" i="15"/>
  <c r="AM9" i="15" s="1"/>
  <c r="AM10" i="15"/>
  <c r="AM67" i="15"/>
  <c r="AA61" i="15"/>
  <c r="AA9" i="15" s="1"/>
  <c r="AA67" i="15"/>
  <c r="AA10" i="15"/>
  <c r="E54" i="15"/>
  <c r="BO50" i="15"/>
  <c r="D151" i="19" s="1"/>
  <c r="O61" i="15"/>
  <c r="O9" i="15" s="1"/>
  <c r="O67" i="15"/>
  <c r="O10" i="15"/>
  <c r="E92" i="15"/>
  <c r="BO92" i="15" s="1"/>
  <c r="D189" i="19" s="1"/>
  <c r="BO78" i="15"/>
  <c r="D177" i="19" s="1"/>
  <c r="BM11" i="15"/>
  <c r="BO11" i="15" s="1"/>
  <c r="D117" i="19" s="1"/>
  <c r="E103" i="15"/>
  <c r="BO91" i="15"/>
  <c r="D188" i="19" s="1"/>
  <c r="BO95" i="15"/>
  <c r="D192" i="19" s="1"/>
  <c r="K103" i="15"/>
  <c r="E73" i="15"/>
  <c r="BO68" i="15"/>
  <c r="D168" i="19" s="1"/>
  <c r="G67" i="15"/>
  <c r="G10" i="15"/>
  <c r="G61" i="15"/>
  <c r="G9" i="15" s="1"/>
  <c r="BC61" i="15"/>
  <c r="BC9" i="15" s="1"/>
  <c r="BC10" i="15"/>
  <c r="BC67" i="15"/>
  <c r="AQ61" i="15"/>
  <c r="AQ9" i="15" s="1"/>
  <c r="AQ10" i="15"/>
  <c r="AQ67" i="15"/>
  <c r="AE67" i="15"/>
  <c r="AE10" i="15"/>
  <c r="AE61" i="15"/>
  <c r="AE9" i="15" s="1"/>
  <c r="S61" i="15"/>
  <c r="S9" i="15" s="1"/>
  <c r="S67" i="15"/>
  <c r="S10" i="15"/>
  <c r="BK61" i="15"/>
  <c r="BK9" i="15" s="1"/>
  <c r="BK10" i="15"/>
  <c r="BK67" i="15"/>
  <c r="BO83" i="14"/>
  <c r="C182" i="19" s="1"/>
  <c r="H182" i="19" s="1"/>
  <c r="E97" i="14"/>
  <c r="BO97" i="14" s="1"/>
  <c r="C194" i="19" s="1"/>
  <c r="H194" i="19" s="1"/>
  <c r="O54" i="14"/>
  <c r="O58" i="14" s="1"/>
  <c r="O8" i="14" s="1"/>
  <c r="BO73" i="14"/>
  <c r="C173" i="19" s="1"/>
  <c r="E10" i="14"/>
  <c r="E67" i="14"/>
  <c r="E61" i="14"/>
  <c r="BK10" i="14"/>
  <c r="BK61" i="14"/>
  <c r="BK9" i="14" s="1"/>
  <c r="BK67" i="14"/>
  <c r="BM8" i="14"/>
  <c r="BO95" i="14"/>
  <c r="C192" i="19" s="1"/>
  <c r="H192" i="19" s="1"/>
  <c r="AY61" i="14"/>
  <c r="AY9" i="14" s="1"/>
  <c r="AY10" i="14"/>
  <c r="AY67" i="14"/>
  <c r="E8" i="14"/>
  <c r="AM10" i="14"/>
  <c r="AM61" i="14"/>
  <c r="AM9" i="14" s="1"/>
  <c r="AM67" i="14"/>
  <c r="E92" i="14"/>
  <c r="BO92" i="14" s="1"/>
  <c r="C189" i="19" s="1"/>
  <c r="BO78" i="14"/>
  <c r="C177" i="19" s="1"/>
  <c r="BC67" i="14"/>
  <c r="BC61" i="14"/>
  <c r="BC9" i="14" s="1"/>
  <c r="BC10" i="14"/>
  <c r="AA61" i="14"/>
  <c r="AA9" i="14" s="1"/>
  <c r="AA67" i="14"/>
  <c r="AA10" i="14"/>
  <c r="AQ61" i="14"/>
  <c r="AQ9" i="14" s="1"/>
  <c r="AQ10" i="14"/>
  <c r="AQ67" i="14"/>
  <c r="O10" i="14"/>
  <c r="O61" i="14"/>
  <c r="O9" i="14" s="1"/>
  <c r="O67" i="14"/>
  <c r="E91" i="14"/>
  <c r="BO77" i="14"/>
  <c r="C176" i="19" s="1"/>
  <c r="AE67" i="14"/>
  <c r="AE61" i="14"/>
  <c r="AE9" i="14" s="1"/>
  <c r="AE10" i="14"/>
  <c r="S61" i="14"/>
  <c r="S9" i="14" s="1"/>
  <c r="S10" i="14"/>
  <c r="S67" i="14"/>
  <c r="G67" i="14"/>
  <c r="G10" i="14"/>
  <c r="G61" i="14"/>
  <c r="G9" i="14" s="1"/>
  <c r="E9" i="13"/>
  <c r="AM10" i="13"/>
  <c r="AM61" i="13"/>
  <c r="AM9" i="13" s="1"/>
  <c r="AM67" i="13"/>
  <c r="AA67" i="13"/>
  <c r="AA61" i="13"/>
  <c r="AA9" i="13" s="1"/>
  <c r="AA10" i="13"/>
  <c r="O10" i="13"/>
  <c r="O61" i="13"/>
  <c r="O9" i="13" s="1"/>
  <c r="O67" i="13"/>
  <c r="BM11" i="13"/>
  <c r="BO11" i="13" s="1"/>
  <c r="B117" i="19" s="1"/>
  <c r="AY67" i="13"/>
  <c r="AY61" i="13"/>
  <c r="AY9" i="13" s="1"/>
  <c r="AY10" i="13"/>
  <c r="BM54" i="13"/>
  <c r="BQ10" i="13"/>
  <c r="BQ9" i="13"/>
  <c r="BC10" i="13"/>
  <c r="BC61" i="13"/>
  <c r="BC9" i="13" s="1"/>
  <c r="BC67" i="13"/>
  <c r="E54" i="13"/>
  <c r="AQ61" i="13"/>
  <c r="AQ9" i="13" s="1"/>
  <c r="AQ10" i="13"/>
  <c r="AQ67" i="13"/>
  <c r="BO73" i="13"/>
  <c r="B173" i="19" s="1"/>
  <c r="AE10" i="13"/>
  <c r="AE67" i="13"/>
  <c r="AE61" i="13"/>
  <c r="AE9" i="13" s="1"/>
  <c r="E91" i="13"/>
  <c r="BO77" i="13"/>
  <c r="B176" i="19" s="1"/>
  <c r="S61" i="13"/>
  <c r="S9" i="13" s="1"/>
  <c r="S10" i="13"/>
  <c r="S67" i="13"/>
  <c r="BK10" i="13"/>
  <c r="BK61" i="13"/>
  <c r="BK9" i="13" s="1"/>
  <c r="BK67" i="13"/>
  <c r="E92" i="13"/>
  <c r="BO92" i="13" s="1"/>
  <c r="B189" i="19" s="1"/>
  <c r="BO78" i="13"/>
  <c r="B177" i="19" s="1"/>
  <c r="G10" i="13"/>
  <c r="G61" i="13"/>
  <c r="G9" i="13" s="1"/>
  <c r="G67" i="13"/>
  <c r="E9" i="12"/>
  <c r="BO91" i="12"/>
  <c r="H81" i="19" s="1"/>
  <c r="E103" i="12"/>
  <c r="BO103" i="12" s="1"/>
  <c r="H93" i="19" s="1"/>
  <c r="BO94" i="12"/>
  <c r="H84" i="19" s="1"/>
  <c r="BQ9" i="12"/>
  <c r="BQ10" i="12"/>
  <c r="BM9" i="12"/>
  <c r="BM10" i="12"/>
  <c r="E58" i="12"/>
  <c r="BO54" i="12"/>
  <c r="H48" i="19" s="1"/>
  <c r="E92" i="12"/>
  <c r="BO92" i="12" s="1"/>
  <c r="H82" i="19" s="1"/>
  <c r="BO78" i="12"/>
  <c r="H70" i="19" s="1"/>
  <c r="E102" i="12"/>
  <c r="BO102" i="12" s="1"/>
  <c r="H92" i="19" s="1"/>
  <c r="BO88" i="12"/>
  <c r="H80" i="19" s="1"/>
  <c r="BC67" i="12"/>
  <c r="BC61" i="12"/>
  <c r="BC9" i="12" s="1"/>
  <c r="BC10" i="12"/>
  <c r="AQ61" i="12"/>
  <c r="AQ9" i="12" s="1"/>
  <c r="AQ67" i="12"/>
  <c r="AQ10" i="12"/>
  <c r="AE10" i="12"/>
  <c r="AE67" i="12"/>
  <c r="AE61" i="12"/>
  <c r="AE9" i="12" s="1"/>
  <c r="BG10" i="12"/>
  <c r="BG67" i="12"/>
  <c r="BG61" i="12"/>
  <c r="BG9" i="12" s="1"/>
  <c r="AY61" i="12"/>
  <c r="AY9" i="12" s="1"/>
  <c r="AY10" i="12"/>
  <c r="AY67" i="12"/>
  <c r="S61" i="12"/>
  <c r="S9" i="12" s="1"/>
  <c r="S10" i="12"/>
  <c r="S67" i="12"/>
  <c r="W67" i="12"/>
  <c r="W61" i="12"/>
  <c r="W9" i="12" s="1"/>
  <c r="W10" i="12"/>
  <c r="BO50" i="12"/>
  <c r="H44" i="19" s="1"/>
  <c r="AM10" i="12"/>
  <c r="AM61" i="12"/>
  <c r="AM9" i="12" s="1"/>
  <c r="AM67" i="12"/>
  <c r="G10" i="12"/>
  <c r="G61" i="12"/>
  <c r="G9" i="12" s="1"/>
  <c r="G67" i="12"/>
  <c r="K61" i="12"/>
  <c r="K9" i="12" s="1"/>
  <c r="K67" i="12"/>
  <c r="K10" i="12"/>
  <c r="O10" i="12"/>
  <c r="O67" i="12"/>
  <c r="O61" i="12"/>
  <c r="O9" i="12" s="1"/>
  <c r="G67" i="11"/>
  <c r="G10" i="11"/>
  <c r="G61" i="11"/>
  <c r="G9" i="11" s="1"/>
  <c r="E73" i="11"/>
  <c r="BO68" i="11"/>
  <c r="G61" i="19" s="1"/>
  <c r="E54" i="11"/>
  <c r="BO50" i="11"/>
  <c r="G44" i="19" s="1"/>
  <c r="AE67" i="11"/>
  <c r="AE61" i="11"/>
  <c r="AE9" i="11" s="1"/>
  <c r="AE10" i="11"/>
  <c r="BM67" i="11"/>
  <c r="BM61" i="11"/>
  <c r="BM9" i="11" s="1"/>
  <c r="BM10" i="11"/>
  <c r="AC61" i="11"/>
  <c r="AC9" i="11" s="1"/>
  <c r="AC10" i="11"/>
  <c r="AC67" i="11"/>
  <c r="BO7" i="11"/>
  <c r="G6" i="19" s="1"/>
  <c r="E91" i="11"/>
  <c r="BO77" i="11"/>
  <c r="G69" i="19" s="1"/>
  <c r="BM11" i="11"/>
  <c r="BO11" i="11" s="1"/>
  <c r="G10" i="19" s="1"/>
  <c r="Q61" i="11"/>
  <c r="Q9" i="11" s="1"/>
  <c r="Q67" i="11"/>
  <c r="Q10" i="11"/>
  <c r="BC67" i="11"/>
  <c r="BC61" i="11"/>
  <c r="BC9" i="11" s="1"/>
  <c r="BC10" i="11"/>
  <c r="BM58" i="11"/>
  <c r="AQ10" i="11"/>
  <c r="AQ67" i="11"/>
  <c r="AQ61" i="11"/>
  <c r="AQ9" i="11" s="1"/>
  <c r="G67" i="10"/>
  <c r="AW67" i="10"/>
  <c r="BE10" i="10"/>
  <c r="AS10" i="10"/>
  <c r="BQ10" i="10"/>
  <c r="S67" i="10"/>
  <c r="BE61" i="10"/>
  <c r="BE9" i="10" s="1"/>
  <c r="AG61" i="10"/>
  <c r="AG9" i="10" s="1"/>
  <c r="Y61" i="10"/>
  <c r="Y9" i="10" s="1"/>
  <c r="BQ9" i="10"/>
  <c r="AQ67" i="10"/>
  <c r="BC61" i="10"/>
  <c r="BC9" i="10" s="1"/>
  <c r="BI10" i="10"/>
  <c r="G10" i="10"/>
  <c r="M67" i="10"/>
  <c r="M10" i="10"/>
  <c r="AK61" i="10"/>
  <c r="AK9" i="10" s="1"/>
  <c r="AG10" i="10"/>
  <c r="AW10" i="10"/>
  <c r="U10" i="10"/>
  <c r="AK67" i="10"/>
  <c r="AE61" i="10"/>
  <c r="AE9" i="10" s="1"/>
  <c r="U61" i="10"/>
  <c r="U9" i="10" s="1"/>
  <c r="BC67" i="10"/>
  <c r="I61" i="10"/>
  <c r="I9" i="10" s="1"/>
  <c r="AS61" i="10"/>
  <c r="AS9" i="10" s="1"/>
  <c r="I10" i="10"/>
  <c r="S61" i="10"/>
  <c r="S9" i="10" s="1"/>
  <c r="AW61" i="10"/>
  <c r="AW9" i="10" s="1"/>
  <c r="W58" i="10"/>
  <c r="W8" i="10" s="1"/>
  <c r="BO50" i="10"/>
  <c r="F44" i="19" s="1"/>
  <c r="I58" i="10"/>
  <c r="AA67" i="10"/>
  <c r="AA10" i="10"/>
  <c r="AA61" i="10"/>
  <c r="AA9" i="10" s="1"/>
  <c r="AO67" i="10"/>
  <c r="AO10" i="10"/>
  <c r="AO61" i="10"/>
  <c r="AO9" i="10" s="1"/>
  <c r="O10" i="10"/>
  <c r="O61" i="10"/>
  <c r="O9" i="10" s="1"/>
  <c r="O67" i="10"/>
  <c r="AC67" i="10"/>
  <c r="AC10" i="10"/>
  <c r="AC61" i="10"/>
  <c r="AC9" i="10" s="1"/>
  <c r="Q10" i="10"/>
  <c r="Q61" i="10"/>
  <c r="Q9" i="10" s="1"/>
  <c r="Q67" i="10"/>
  <c r="E67" i="10"/>
  <c r="E10" i="10"/>
  <c r="E61" i="10"/>
  <c r="BO73" i="10"/>
  <c r="F66" i="19" s="1"/>
  <c r="E103" i="10"/>
  <c r="BO103" i="10" s="1"/>
  <c r="F93" i="19" s="1"/>
  <c r="BO91" i="10"/>
  <c r="F81" i="19" s="1"/>
  <c r="BK10" i="10"/>
  <c r="BK67" i="10"/>
  <c r="BK61" i="10"/>
  <c r="BK9" i="10" s="1"/>
  <c r="AY10" i="10"/>
  <c r="AY61" i="10"/>
  <c r="AY9" i="10" s="1"/>
  <c r="AY67" i="10"/>
  <c r="BO57" i="10"/>
  <c r="F51" i="19" s="1"/>
  <c r="W75" i="10"/>
  <c r="BM67" i="10"/>
  <c r="BM10" i="10"/>
  <c r="BM61" i="10"/>
  <c r="BM9" i="10" s="1"/>
  <c r="AM10" i="10"/>
  <c r="AM67" i="10"/>
  <c r="AM61" i="10"/>
  <c r="AM9" i="10" s="1"/>
  <c r="BA61" i="10"/>
  <c r="BA9" i="10" s="1"/>
  <c r="BA67" i="10"/>
  <c r="BA10" i="10"/>
  <c r="S67" i="9"/>
  <c r="Q67" i="9"/>
  <c r="M67" i="9"/>
  <c r="AW61" i="9"/>
  <c r="AW9" i="9" s="1"/>
  <c r="Q61" i="9"/>
  <c r="Q9" i="9" s="1"/>
  <c r="AK10" i="9"/>
  <c r="S10" i="9"/>
  <c r="M10" i="9"/>
  <c r="AU61" i="9"/>
  <c r="AU9" i="9" s="1"/>
  <c r="G67" i="9"/>
  <c r="AQ61" i="9"/>
  <c r="AQ9" i="9" s="1"/>
  <c r="AQ67" i="9"/>
  <c r="AO10" i="9"/>
  <c r="AE67" i="9"/>
  <c r="AU67" i="9"/>
  <c r="BG67" i="9"/>
  <c r="AE10" i="9"/>
  <c r="BC67" i="9"/>
  <c r="BC61" i="9"/>
  <c r="BC9" i="9" s="1"/>
  <c r="Y67" i="9"/>
  <c r="Y61" i="9"/>
  <c r="Y9" i="9" s="1"/>
  <c r="AI67" i="9"/>
  <c r="AK61" i="9"/>
  <c r="AK9" i="9" s="1"/>
  <c r="G61" i="9"/>
  <c r="G9" i="9" s="1"/>
  <c r="BM9" i="9"/>
  <c r="W67" i="9"/>
  <c r="AW67" i="9"/>
  <c r="BA67" i="9"/>
  <c r="BG61" i="9"/>
  <c r="BG9" i="9" s="1"/>
  <c r="BM10" i="9"/>
  <c r="K61" i="9"/>
  <c r="K9" i="9" s="1"/>
  <c r="AC67" i="9"/>
  <c r="BA61" i="9"/>
  <c r="BA9" i="9" s="1"/>
  <c r="AI61" i="9"/>
  <c r="AI9" i="9" s="1"/>
  <c r="AO61" i="9"/>
  <c r="AO9" i="9" s="1"/>
  <c r="Q10" i="9"/>
  <c r="AC61" i="9"/>
  <c r="AC9" i="9" s="1"/>
  <c r="W61" i="9"/>
  <c r="W9" i="9" s="1"/>
  <c r="E67" i="9"/>
  <c r="E61" i="9"/>
  <c r="BO73" i="9"/>
  <c r="E66" i="19" s="1"/>
  <c r="E10" i="9"/>
  <c r="BE61" i="9"/>
  <c r="BE9" i="9" s="1"/>
  <c r="BE10" i="9"/>
  <c r="BE67" i="9"/>
  <c r="E103" i="9"/>
  <c r="I103" i="9"/>
  <c r="AG67" i="9"/>
  <c r="AG61" i="9"/>
  <c r="AG9" i="9" s="1"/>
  <c r="AG10" i="9"/>
  <c r="AA61" i="9"/>
  <c r="AA9" i="9" s="1"/>
  <c r="AA10" i="9"/>
  <c r="AA67" i="9"/>
  <c r="E8" i="9"/>
  <c r="AS10" i="9"/>
  <c r="AS67" i="9"/>
  <c r="AS61" i="9"/>
  <c r="AS9" i="9" s="1"/>
  <c r="U10" i="9"/>
  <c r="U67" i="9"/>
  <c r="U61" i="9"/>
  <c r="U9" i="9" s="1"/>
  <c r="BK67" i="9"/>
  <c r="BK61" i="9"/>
  <c r="BK9" i="9" s="1"/>
  <c r="BK10" i="9"/>
  <c r="I50" i="9"/>
  <c r="BO42" i="9"/>
  <c r="E36" i="19" s="1"/>
  <c r="I61" i="9"/>
  <c r="I9" i="9" s="1"/>
  <c r="I67" i="9"/>
  <c r="I10" i="9"/>
  <c r="AY61" i="9"/>
  <c r="AY9" i="9" s="1"/>
  <c r="AY67" i="9"/>
  <c r="AY10" i="9"/>
  <c r="AM61" i="9"/>
  <c r="AM9" i="9" s="1"/>
  <c r="AM10" i="9"/>
  <c r="AM67" i="9"/>
  <c r="O61" i="9"/>
  <c r="O9" i="9" s="1"/>
  <c r="O67" i="9"/>
  <c r="O10" i="9"/>
  <c r="I67" i="8"/>
  <c r="AW67" i="8"/>
  <c r="M67" i="8"/>
  <c r="AO67" i="8"/>
  <c r="W67" i="8"/>
  <c r="AQ67" i="8"/>
  <c r="AW10" i="8"/>
  <c r="BC10" i="8"/>
  <c r="AI61" i="8"/>
  <c r="AI9" i="8" s="1"/>
  <c r="Y67" i="8"/>
  <c r="U10" i="8"/>
  <c r="M10" i="8"/>
  <c r="AK10" i="8"/>
  <c r="I61" i="8"/>
  <c r="I9" i="8" s="1"/>
  <c r="Y61" i="8"/>
  <c r="Y9" i="8" s="1"/>
  <c r="U67" i="8"/>
  <c r="M61" i="8"/>
  <c r="M9" i="8" s="1"/>
  <c r="BG67" i="8"/>
  <c r="BQ9" i="8"/>
  <c r="AQ61" i="8"/>
  <c r="AQ9" i="8" s="1"/>
  <c r="AQ10" i="8"/>
  <c r="AC67" i="8"/>
  <c r="AK67" i="8"/>
  <c r="I10" i="8"/>
  <c r="BI61" i="8"/>
  <c r="BI9" i="8" s="1"/>
  <c r="AS61" i="8"/>
  <c r="AS9" i="8" s="1"/>
  <c r="K61" i="8"/>
  <c r="K9" i="8" s="1"/>
  <c r="K10" i="8"/>
  <c r="AI10" i="8"/>
  <c r="AW61" i="8"/>
  <c r="AW9" i="8" s="1"/>
  <c r="W61" i="8"/>
  <c r="W9" i="8" s="1"/>
  <c r="AC61" i="8"/>
  <c r="AC9" i="8" s="1"/>
  <c r="BE61" i="8"/>
  <c r="BE9" i="8" s="1"/>
  <c r="W10" i="8"/>
  <c r="BE10" i="8"/>
  <c r="BG61" i="8"/>
  <c r="BG9" i="8" s="1"/>
  <c r="AO61" i="8"/>
  <c r="AO9" i="8" s="1"/>
  <c r="AS67" i="8"/>
  <c r="AG61" i="8"/>
  <c r="AG9" i="8" s="1"/>
  <c r="BQ10" i="8"/>
  <c r="G10" i="8"/>
  <c r="BI67" i="8"/>
  <c r="AG67" i="8"/>
  <c r="G67" i="8"/>
  <c r="BO75" i="8"/>
  <c r="D68" i="19" s="1"/>
  <c r="S58" i="8"/>
  <c r="S8" i="8" s="1"/>
  <c r="I50" i="8"/>
  <c r="BO42" i="8"/>
  <c r="D36" i="19" s="1"/>
  <c r="BO22" i="8"/>
  <c r="D16" i="19" s="1"/>
  <c r="E54" i="8"/>
  <c r="E103" i="8"/>
  <c r="BO103" i="8" s="1"/>
  <c r="D93" i="19" s="1"/>
  <c r="BO91" i="8"/>
  <c r="D81" i="19" s="1"/>
  <c r="AE61" i="8"/>
  <c r="AE9" i="8" s="1"/>
  <c r="AE67" i="8"/>
  <c r="AE10" i="8"/>
  <c r="BM61" i="8"/>
  <c r="BM9" i="8" s="1"/>
  <c r="BM10" i="8"/>
  <c r="BM67" i="8"/>
  <c r="BK10" i="8"/>
  <c r="BK61" i="8"/>
  <c r="BK9" i="8" s="1"/>
  <c r="BK67" i="8"/>
  <c r="O10" i="8"/>
  <c r="O67" i="8"/>
  <c r="O61" i="8"/>
  <c r="O9" i="8" s="1"/>
  <c r="S10" i="8"/>
  <c r="S61" i="8"/>
  <c r="S9" i="8" s="1"/>
  <c r="S67" i="8"/>
  <c r="Q67" i="8"/>
  <c r="Q10" i="8"/>
  <c r="Q61" i="8"/>
  <c r="Q9" i="8" s="1"/>
  <c r="AY10" i="8"/>
  <c r="AY67" i="8"/>
  <c r="AY61" i="8"/>
  <c r="AY9" i="8" s="1"/>
  <c r="BO73" i="8"/>
  <c r="D66" i="19" s="1"/>
  <c r="E61" i="8"/>
  <c r="E10" i="8"/>
  <c r="E67" i="8"/>
  <c r="AM10" i="8"/>
  <c r="AM67" i="8"/>
  <c r="AM61" i="8"/>
  <c r="AM9" i="8" s="1"/>
  <c r="AA67" i="8"/>
  <c r="AA10" i="8"/>
  <c r="AA61" i="8"/>
  <c r="AA9" i="8" s="1"/>
  <c r="AU61" i="8"/>
  <c r="AU9" i="8" s="1"/>
  <c r="AU10" i="8"/>
  <c r="AU67" i="8"/>
  <c r="BQ61" i="7"/>
  <c r="BQ9" i="7" s="1"/>
  <c r="E73" i="7"/>
  <c r="E67" i="7" s="1"/>
  <c r="Q61" i="7"/>
  <c r="Q9" i="7" s="1"/>
  <c r="AQ61" i="7"/>
  <c r="AQ9" i="7" s="1"/>
  <c r="BA67" i="7"/>
  <c r="AM67" i="7"/>
  <c r="AM61" i="7"/>
  <c r="AM9" i="7" s="1"/>
  <c r="G67" i="7"/>
  <c r="AY67" i="7"/>
  <c r="G61" i="7"/>
  <c r="G9" i="7" s="1"/>
  <c r="AC67" i="7"/>
  <c r="AY61" i="7"/>
  <c r="AY9" i="7" s="1"/>
  <c r="AC61" i="7"/>
  <c r="AC9" i="7" s="1"/>
  <c r="BK10" i="7"/>
  <c r="AA67" i="7"/>
  <c r="Q67" i="7"/>
  <c r="AA10" i="7"/>
  <c r="Q10" i="7"/>
  <c r="I103" i="7"/>
  <c r="BC67" i="7"/>
  <c r="BC61" i="7"/>
  <c r="BC9" i="7" s="1"/>
  <c r="AO10" i="7"/>
  <c r="O67" i="7"/>
  <c r="BM9" i="7"/>
  <c r="O9" i="7"/>
  <c r="AK61" i="7"/>
  <c r="AK9" i="7" s="1"/>
  <c r="BI10" i="7"/>
  <c r="AW61" i="7"/>
  <c r="AW9" i="7" s="1"/>
  <c r="BI61" i="7"/>
  <c r="BI9" i="7" s="1"/>
  <c r="Y67" i="7"/>
  <c r="BK61" i="7"/>
  <c r="BK9" i="7" s="1"/>
  <c r="Y61" i="7"/>
  <c r="Y9" i="7" s="1"/>
  <c r="AW67" i="7"/>
  <c r="BO57" i="7"/>
  <c r="C51" i="19" s="1"/>
  <c r="BO50" i="7"/>
  <c r="C44" i="19" s="1"/>
  <c r="G54" i="7"/>
  <c r="G58" i="7" s="1"/>
  <c r="G8" i="7" s="1"/>
  <c r="K67" i="7"/>
  <c r="K61" i="7"/>
  <c r="K9" i="7" s="1"/>
  <c r="K10" i="7"/>
  <c r="I67" i="7"/>
  <c r="I61" i="7"/>
  <c r="I9" i="7" s="1"/>
  <c r="I10" i="7"/>
  <c r="BG67" i="7"/>
  <c r="BG61" i="7"/>
  <c r="BG9" i="7" s="1"/>
  <c r="BG10" i="7"/>
  <c r="AU67" i="7"/>
  <c r="AU61" i="7"/>
  <c r="AU9" i="7" s="1"/>
  <c r="AU10" i="7"/>
  <c r="AI67" i="7"/>
  <c r="AI61" i="7"/>
  <c r="AI9" i="7" s="1"/>
  <c r="AI10" i="7"/>
  <c r="E103" i="7"/>
  <c r="BO91" i="7"/>
  <c r="C81" i="19" s="1"/>
  <c r="W67" i="7"/>
  <c r="W61" i="7"/>
  <c r="W9" i="7" s="1"/>
  <c r="W10" i="7"/>
  <c r="U67" i="7"/>
  <c r="U61" i="7"/>
  <c r="U9" i="7" s="1"/>
  <c r="U10" i="7"/>
  <c r="BO75" i="7"/>
  <c r="C68" i="19" s="1"/>
  <c r="E11" i="7"/>
  <c r="BO11" i="7" s="1"/>
  <c r="C10" i="19" s="1"/>
  <c r="BE67" i="7"/>
  <c r="BE61" i="7"/>
  <c r="BE9" i="7" s="1"/>
  <c r="BE10" i="7"/>
  <c r="AS67" i="7"/>
  <c r="AS61" i="7"/>
  <c r="AS9" i="7" s="1"/>
  <c r="AS10" i="7"/>
  <c r="AG67" i="7"/>
  <c r="AG61" i="7"/>
  <c r="AG9" i="7" s="1"/>
  <c r="AG10" i="7"/>
  <c r="H176" i="19" l="1"/>
  <c r="H168" i="19"/>
  <c r="H197" i="19"/>
  <c r="H199" i="19"/>
  <c r="H177" i="19"/>
  <c r="H189" i="19"/>
  <c r="H175" i="19"/>
  <c r="H117" i="19"/>
  <c r="H151" i="19"/>
  <c r="H196" i="19"/>
  <c r="BO10" i="18"/>
  <c r="G116" i="19" s="1"/>
  <c r="BO9" i="18"/>
  <c r="G115" i="19" s="1"/>
  <c r="BO67" i="18"/>
  <c r="G167" i="19" s="1"/>
  <c r="BO67" i="17"/>
  <c r="F167" i="19" s="1"/>
  <c r="BO10" i="17"/>
  <c r="F116" i="19" s="1"/>
  <c r="C58" i="18"/>
  <c r="BQ58" i="17"/>
  <c r="BQ8" i="17" s="1"/>
  <c r="BO67" i="16"/>
  <c r="E167" i="19" s="1"/>
  <c r="BK8" i="16"/>
  <c r="C58" i="17"/>
  <c r="BQ58" i="16"/>
  <c r="C58" i="16"/>
  <c r="BQ58" i="15"/>
  <c r="BQ8" i="15" s="1"/>
  <c r="BM8" i="15"/>
  <c r="BK8" i="14"/>
  <c r="BO8" i="14" s="1"/>
  <c r="C114" i="19" s="1"/>
  <c r="BQ58" i="14"/>
  <c r="BQ8" i="14" s="1"/>
  <c r="C58" i="15"/>
  <c r="BQ54" i="13"/>
  <c r="C54" i="14"/>
  <c r="BO10" i="13"/>
  <c r="B116" i="19" s="1"/>
  <c r="BO67" i="13"/>
  <c r="B167" i="19" s="1"/>
  <c r="BO10" i="12"/>
  <c r="H9" i="19" s="1"/>
  <c r="BO67" i="12"/>
  <c r="H60" i="19" s="1"/>
  <c r="BG8" i="12"/>
  <c r="BQ58" i="12"/>
  <c r="C58" i="13"/>
  <c r="C58" i="12"/>
  <c r="BQ58" i="11"/>
  <c r="BM58" i="10"/>
  <c r="BO58" i="10" s="1"/>
  <c r="F52" i="19" s="1"/>
  <c r="C54" i="11"/>
  <c r="BQ54" i="10"/>
  <c r="BO54" i="10"/>
  <c r="F48" i="19" s="1"/>
  <c r="BK8" i="9"/>
  <c r="C58" i="10"/>
  <c r="BQ58" i="9"/>
  <c r="BQ8" i="9" s="1"/>
  <c r="BM58" i="8"/>
  <c r="BQ54" i="8"/>
  <c r="C54" i="9"/>
  <c r="BK8" i="7"/>
  <c r="BO8" i="7" s="1"/>
  <c r="C7" i="19" s="1"/>
  <c r="C58" i="8"/>
  <c r="BQ58" i="7"/>
  <c r="BQ8" i="7" s="1"/>
  <c r="BO73" i="7"/>
  <c r="C66" i="19" s="1"/>
  <c r="BO103" i="7"/>
  <c r="C93" i="19" s="1"/>
  <c r="E10" i="7"/>
  <c r="BO10" i="7" s="1"/>
  <c r="C9" i="19" s="1"/>
  <c r="E61" i="7"/>
  <c r="E9" i="7" s="1"/>
  <c r="BO9" i="7" s="1"/>
  <c r="C8" i="19" s="1"/>
  <c r="E58" i="18"/>
  <c r="BO54" i="18"/>
  <c r="G155" i="19" s="1"/>
  <c r="BM58" i="18"/>
  <c r="BQ58" i="18" s="1"/>
  <c r="BO61" i="18"/>
  <c r="G161" i="19" s="1"/>
  <c r="E8" i="17"/>
  <c r="BO8" i="17" s="1"/>
  <c r="F114" i="19" s="1"/>
  <c r="BO58" i="17"/>
  <c r="F159" i="19" s="1"/>
  <c r="E103" i="17"/>
  <c r="BO103" i="17" s="1"/>
  <c r="F200" i="19" s="1"/>
  <c r="BO91" i="17"/>
  <c r="F188" i="19" s="1"/>
  <c r="BO9" i="17"/>
  <c r="F115" i="19" s="1"/>
  <c r="BO61" i="17"/>
  <c r="F161" i="19" s="1"/>
  <c r="BO58" i="16"/>
  <c r="E159" i="19" s="1"/>
  <c r="E8" i="16"/>
  <c r="BO9" i="16"/>
  <c r="E115" i="19" s="1"/>
  <c r="BO61" i="16"/>
  <c r="E161" i="19" s="1"/>
  <c r="BO54" i="16"/>
  <c r="E155" i="19" s="1"/>
  <c r="BO10" i="16"/>
  <c r="E116" i="19" s="1"/>
  <c r="E58" i="15"/>
  <c r="BO54" i="15"/>
  <c r="D155" i="19" s="1"/>
  <c r="BO103" i="15"/>
  <c r="D200" i="19" s="1"/>
  <c r="BO73" i="15"/>
  <c r="D173" i="19" s="1"/>
  <c r="E10" i="15"/>
  <c r="BO10" i="15" s="1"/>
  <c r="D116" i="19" s="1"/>
  <c r="E67" i="15"/>
  <c r="BO67" i="15" s="1"/>
  <c r="D167" i="19" s="1"/>
  <c r="E61" i="15"/>
  <c r="BO58" i="14"/>
  <c r="C159" i="19" s="1"/>
  <c r="BO61" i="14"/>
  <c r="C161" i="19" s="1"/>
  <c r="E9" i="14"/>
  <c r="BO9" i="14" s="1"/>
  <c r="C115" i="19" s="1"/>
  <c r="BO67" i="14"/>
  <c r="C167" i="19" s="1"/>
  <c r="BO10" i="14"/>
  <c r="C116" i="19" s="1"/>
  <c r="E103" i="14"/>
  <c r="BO103" i="14" s="1"/>
  <c r="C200" i="19" s="1"/>
  <c r="BO91" i="14"/>
  <c r="C188" i="19" s="1"/>
  <c r="BO54" i="14"/>
  <c r="C155" i="19" s="1"/>
  <c r="E103" i="13"/>
  <c r="BO103" i="13" s="1"/>
  <c r="B200" i="19" s="1"/>
  <c r="BO91" i="13"/>
  <c r="B188" i="19" s="1"/>
  <c r="BO61" i="13"/>
  <c r="B161" i="19" s="1"/>
  <c r="BM58" i="13"/>
  <c r="E58" i="13"/>
  <c r="BO54" i="13"/>
  <c r="B155" i="19" s="1"/>
  <c r="BO9" i="13"/>
  <c r="B115" i="19" s="1"/>
  <c r="BO58" i="12"/>
  <c r="H52" i="19" s="1"/>
  <c r="E8" i="12"/>
  <c r="BQ8" i="12"/>
  <c r="BM8" i="12"/>
  <c r="BO9" i="12"/>
  <c r="H8" i="19" s="1"/>
  <c r="BO61" i="12"/>
  <c r="H54" i="19" s="1"/>
  <c r="E103" i="11"/>
  <c r="BO103" i="11" s="1"/>
  <c r="G93" i="19" s="1"/>
  <c r="BO91" i="11"/>
  <c r="G81" i="19" s="1"/>
  <c r="E58" i="11"/>
  <c r="BO54" i="11"/>
  <c r="G48" i="19" s="1"/>
  <c r="BQ8" i="11"/>
  <c r="BM8" i="11"/>
  <c r="BO73" i="11"/>
  <c r="G66" i="19" s="1"/>
  <c r="E67" i="11"/>
  <c r="BO67" i="11" s="1"/>
  <c r="G60" i="19" s="1"/>
  <c r="E10" i="11"/>
  <c r="BO10" i="11" s="1"/>
  <c r="G9" i="19" s="1"/>
  <c r="E61" i="11"/>
  <c r="BO61" i="10"/>
  <c r="F54" i="19" s="1"/>
  <c r="E9" i="10"/>
  <c r="BO9" i="10" s="1"/>
  <c r="F8" i="19" s="1"/>
  <c r="BO10" i="10"/>
  <c r="F9" i="19" s="1"/>
  <c r="BO67" i="10"/>
  <c r="F60" i="19" s="1"/>
  <c r="W11" i="10"/>
  <c r="BO11" i="10" s="1"/>
  <c r="F10" i="19" s="1"/>
  <c r="BO75" i="10"/>
  <c r="F68" i="19" s="1"/>
  <c r="I8" i="10"/>
  <c r="BO103" i="9"/>
  <c r="E93" i="19" s="1"/>
  <c r="BO50" i="9"/>
  <c r="E44" i="19" s="1"/>
  <c r="I54" i="9"/>
  <c r="BO10" i="9"/>
  <c r="E9" i="19" s="1"/>
  <c r="BO61" i="9"/>
  <c r="E54" i="19" s="1"/>
  <c r="E9" i="9"/>
  <c r="BO9" i="9" s="1"/>
  <c r="E8" i="19" s="1"/>
  <c r="BO67" i="9"/>
  <c r="E60" i="19" s="1"/>
  <c r="E58" i="8"/>
  <c r="BO50" i="8"/>
  <c r="D44" i="19" s="1"/>
  <c r="I54" i="8"/>
  <c r="I58" i="8" s="1"/>
  <c r="I8" i="8" s="1"/>
  <c r="BO67" i="8"/>
  <c r="D60" i="19" s="1"/>
  <c r="BO10" i="8"/>
  <c r="D9" i="19" s="1"/>
  <c r="E9" i="8"/>
  <c r="BO9" i="8" s="1"/>
  <c r="D8" i="19" s="1"/>
  <c r="BO61" i="8"/>
  <c r="D54" i="19" s="1"/>
  <c r="BO67" i="7"/>
  <c r="C60" i="19" s="1"/>
  <c r="BO58" i="7"/>
  <c r="C52" i="19" s="1"/>
  <c r="BO54" i="7"/>
  <c r="C48" i="19" s="1"/>
  <c r="G30" i="1"/>
  <c r="G31" i="1" s="1"/>
  <c r="E30" i="1"/>
  <c r="BJ62" i="1"/>
  <c r="BI69" i="1"/>
  <c r="BI68" i="1"/>
  <c r="H155" i="19" l="1"/>
  <c r="H200" i="19"/>
  <c r="H188" i="19"/>
  <c r="H167" i="19"/>
  <c r="H116" i="19"/>
  <c r="H173" i="19"/>
  <c r="C58" i="14"/>
  <c r="BQ58" i="13"/>
  <c r="BQ8" i="13" s="1"/>
  <c r="BM8" i="10"/>
  <c r="BO8" i="10" s="1"/>
  <c r="F7" i="19" s="1"/>
  <c r="C58" i="11"/>
  <c r="BQ58" i="10"/>
  <c r="BQ8" i="10" s="1"/>
  <c r="BM8" i="8"/>
  <c r="C58" i="9"/>
  <c r="BQ58" i="8"/>
  <c r="BQ8" i="8" s="1"/>
  <c r="E31" i="1"/>
  <c r="BO61" i="7"/>
  <c r="C54" i="19" s="1"/>
  <c r="BM8" i="18"/>
  <c r="BQ8" i="18"/>
  <c r="BO58" i="18"/>
  <c r="G159" i="19" s="1"/>
  <c r="E8" i="18"/>
  <c r="BQ8" i="16"/>
  <c r="BM8" i="16"/>
  <c r="BO8" i="16" s="1"/>
  <c r="E114" i="19" s="1"/>
  <c r="BO61" i="15"/>
  <c r="D161" i="19" s="1"/>
  <c r="E9" i="15"/>
  <c r="BO9" i="15" s="1"/>
  <c r="D115" i="19" s="1"/>
  <c r="E8" i="15"/>
  <c r="BO8" i="15" s="1"/>
  <c r="D114" i="19" s="1"/>
  <c r="BO58" i="15"/>
  <c r="D159" i="19" s="1"/>
  <c r="BO58" i="13"/>
  <c r="B159" i="19" s="1"/>
  <c r="E8" i="13"/>
  <c r="BM8" i="13"/>
  <c r="BO8" i="12"/>
  <c r="H7" i="19" s="1"/>
  <c r="E9" i="11"/>
  <c r="BO9" i="11" s="1"/>
  <c r="G8" i="19" s="1"/>
  <c r="BO61" i="11"/>
  <c r="G54" i="19" s="1"/>
  <c r="BO58" i="11"/>
  <c r="G52" i="19" s="1"/>
  <c r="E8" i="11"/>
  <c r="BO8" i="11" s="1"/>
  <c r="G7" i="19" s="1"/>
  <c r="I58" i="9"/>
  <c r="BO54" i="9"/>
  <c r="E48" i="19" s="1"/>
  <c r="BO54" i="8"/>
  <c r="D48" i="19" s="1"/>
  <c r="E8" i="8"/>
  <c r="BO58" i="8"/>
  <c r="D52" i="19" s="1"/>
  <c r="BQ56" i="1"/>
  <c r="BQ21" i="1"/>
  <c r="BQ38" i="1"/>
  <c r="BQ43" i="1"/>
  <c r="BQ34" i="1"/>
  <c r="BQ32" i="1"/>
  <c r="H115" i="19" l="1"/>
  <c r="H161" i="19"/>
  <c r="H159" i="19"/>
  <c r="BO8" i="18"/>
  <c r="G114" i="19" s="1"/>
  <c r="BO8" i="8"/>
  <c r="D7" i="19" s="1"/>
  <c r="BO8" i="13"/>
  <c r="B114" i="19" s="1"/>
  <c r="I8" i="9"/>
  <c r="BO8" i="9" s="1"/>
  <c r="E7" i="19" s="1"/>
  <c r="BO58" i="9"/>
  <c r="E52" i="19" s="1"/>
  <c r="BM34" i="1"/>
  <c r="C34" i="7" s="1"/>
  <c r="BM33" i="1"/>
  <c r="BM32" i="1"/>
  <c r="C32" i="7" s="1"/>
  <c r="BM21" i="1"/>
  <c r="C21" i="7" s="1"/>
  <c r="H114" i="19" l="1"/>
  <c r="BO33" i="1"/>
  <c r="B27" i="19" s="1"/>
  <c r="I27" i="19" s="1"/>
  <c r="I134" i="19" s="1"/>
  <c r="C33" i="7"/>
  <c r="BK21" i="1"/>
  <c r="BI34" i="1" l="1"/>
  <c r="BI32" i="1"/>
  <c r="BI21" i="1"/>
  <c r="BG34" i="1"/>
  <c r="BG32" i="1"/>
  <c r="BG21" i="1"/>
  <c r="BE34" i="1" l="1"/>
  <c r="BE21" i="1"/>
  <c r="BC34" i="1" l="1"/>
  <c r="BC32" i="1"/>
  <c r="BC21" i="1"/>
  <c r="BA34" i="1" l="1"/>
  <c r="BA21" i="1"/>
  <c r="AX34" i="1"/>
  <c r="AX21" i="1"/>
  <c r="AY34" i="1" l="1"/>
  <c r="AY32" i="1"/>
  <c r="AY21" i="1"/>
  <c r="AN34" i="1" l="1"/>
  <c r="AN21" i="1"/>
  <c r="AP34" i="1"/>
  <c r="AP21" i="1"/>
  <c r="AV21" i="1"/>
  <c r="AV34" i="1"/>
  <c r="AT34" i="1"/>
  <c r="AT21" i="1"/>
  <c r="AR34" i="1"/>
  <c r="AS32" i="1"/>
  <c r="AR21" i="1"/>
  <c r="AW34" i="1" l="1"/>
  <c r="AW21" i="1"/>
  <c r="AU34" i="1" l="1"/>
  <c r="AU21" i="1"/>
  <c r="AS56" i="1" l="1"/>
  <c r="AS34" i="1"/>
  <c r="AS21" i="1"/>
  <c r="AQ34" i="1" l="1"/>
  <c r="AQ21" i="1"/>
  <c r="AO34" i="1"/>
  <c r="AO32" i="1"/>
  <c r="AO21" i="1"/>
  <c r="AM21" i="1" l="1"/>
  <c r="AM34" i="1"/>
  <c r="AM32" i="1"/>
  <c r="AK34" i="1" l="1"/>
  <c r="AK32" i="1"/>
  <c r="AK21" i="1"/>
  <c r="AG21" i="1" l="1"/>
  <c r="AI21" i="1" l="1"/>
  <c r="AG36" i="1"/>
  <c r="AG34" i="1"/>
  <c r="AE36" i="1" l="1"/>
  <c r="AE34" i="1"/>
  <c r="AE32" i="1"/>
  <c r="AE21" i="1"/>
  <c r="AC34" i="1" l="1"/>
  <c r="AC32" i="1"/>
  <c r="AC21" i="1"/>
  <c r="BQ72" i="1" l="1"/>
  <c r="BP72" i="1"/>
  <c r="BQ71" i="1"/>
  <c r="BP71" i="1"/>
  <c r="BQ70" i="1"/>
  <c r="BP70" i="1"/>
  <c r="BQ69" i="1"/>
  <c r="BP69" i="1"/>
  <c r="BQ68" i="1"/>
  <c r="BP68" i="1"/>
  <c r="BM72" i="1"/>
  <c r="BL72" i="1"/>
  <c r="BM71" i="1"/>
  <c r="BL71" i="1"/>
  <c r="BM70" i="1"/>
  <c r="BL70" i="1"/>
  <c r="BM69" i="1"/>
  <c r="BL69" i="1"/>
  <c r="BM68" i="1"/>
  <c r="BL68" i="1"/>
  <c r="BK72" i="1"/>
  <c r="BJ72" i="1"/>
  <c r="BK71" i="1"/>
  <c r="BJ71" i="1"/>
  <c r="BK70" i="1"/>
  <c r="BJ70" i="1"/>
  <c r="BK69" i="1"/>
  <c r="BJ69" i="1"/>
  <c r="BK68" i="1"/>
  <c r="BJ68" i="1"/>
  <c r="BI72" i="1"/>
  <c r="BH72" i="1"/>
  <c r="BI71" i="1"/>
  <c r="BH71" i="1"/>
  <c r="BI70" i="1"/>
  <c r="BI73" i="1" s="1"/>
  <c r="BH70" i="1"/>
  <c r="BH69" i="1"/>
  <c r="BH68" i="1"/>
  <c r="BG72" i="1"/>
  <c r="BF72" i="1"/>
  <c r="BG71" i="1"/>
  <c r="BF71" i="1"/>
  <c r="BG70" i="1"/>
  <c r="BF70" i="1"/>
  <c r="BG69" i="1"/>
  <c r="BF69" i="1"/>
  <c r="BG68" i="1"/>
  <c r="BF68" i="1"/>
  <c r="BE72" i="1"/>
  <c r="BD72" i="1"/>
  <c r="BE71" i="1"/>
  <c r="BD71" i="1"/>
  <c r="BE70" i="1"/>
  <c r="BD70" i="1"/>
  <c r="BE69" i="1"/>
  <c r="BD69" i="1"/>
  <c r="BE68" i="1"/>
  <c r="BD68" i="1"/>
  <c r="BC72" i="1"/>
  <c r="BB72" i="1"/>
  <c r="BC71" i="1"/>
  <c r="BB71" i="1"/>
  <c r="BC70" i="1"/>
  <c r="BB70" i="1"/>
  <c r="BC69" i="1"/>
  <c r="BB69" i="1"/>
  <c r="BC68" i="1"/>
  <c r="BB68" i="1"/>
  <c r="BA72" i="1"/>
  <c r="AZ72" i="1"/>
  <c r="BA71" i="1"/>
  <c r="AZ71" i="1"/>
  <c r="BA70" i="1"/>
  <c r="AZ70" i="1"/>
  <c r="BA69" i="1"/>
  <c r="AZ69" i="1"/>
  <c r="BA68" i="1"/>
  <c r="AZ68" i="1"/>
  <c r="AY72" i="1"/>
  <c r="AX72" i="1"/>
  <c r="AY71" i="1"/>
  <c r="AX71" i="1"/>
  <c r="AY70" i="1"/>
  <c r="AX70" i="1"/>
  <c r="AY69" i="1"/>
  <c r="AX69" i="1"/>
  <c r="AY68" i="1"/>
  <c r="AX68" i="1"/>
  <c r="AW72" i="1"/>
  <c r="AV72" i="1"/>
  <c r="AW71" i="1"/>
  <c r="AV71" i="1"/>
  <c r="AW70" i="1"/>
  <c r="AV70" i="1"/>
  <c r="AW69" i="1"/>
  <c r="AV69" i="1"/>
  <c r="AW68" i="1"/>
  <c r="AV68" i="1"/>
  <c r="AU72" i="1"/>
  <c r="AT72" i="1"/>
  <c r="AU71" i="1"/>
  <c r="AT71" i="1"/>
  <c r="AU70" i="1"/>
  <c r="AT70" i="1"/>
  <c r="AU69" i="1"/>
  <c r="AT69" i="1"/>
  <c r="AU68" i="1"/>
  <c r="AT68" i="1"/>
  <c r="AS72" i="1"/>
  <c r="AR72" i="1"/>
  <c r="AS71" i="1"/>
  <c r="AR71" i="1"/>
  <c r="AS70" i="1"/>
  <c r="AR70" i="1"/>
  <c r="AS69" i="1"/>
  <c r="AR69" i="1"/>
  <c r="AS68" i="1"/>
  <c r="AR68" i="1"/>
  <c r="AQ72" i="1"/>
  <c r="AP72" i="1"/>
  <c r="AQ71" i="1"/>
  <c r="AP71" i="1"/>
  <c r="AQ70" i="1"/>
  <c r="AP70" i="1"/>
  <c r="AQ69" i="1"/>
  <c r="AP69" i="1"/>
  <c r="AQ68" i="1"/>
  <c r="AP68" i="1"/>
  <c r="AO72" i="1"/>
  <c r="AN72" i="1"/>
  <c r="AO71" i="1"/>
  <c r="AN71" i="1"/>
  <c r="AO70" i="1"/>
  <c r="AN70" i="1"/>
  <c r="AO69" i="1"/>
  <c r="AN69" i="1"/>
  <c r="AO68" i="1"/>
  <c r="AN68" i="1"/>
  <c r="AM72" i="1"/>
  <c r="AL72" i="1"/>
  <c r="AM71" i="1"/>
  <c r="AL71" i="1"/>
  <c r="AM70" i="1"/>
  <c r="AL70" i="1"/>
  <c r="AM69" i="1"/>
  <c r="AL69" i="1"/>
  <c r="AM68" i="1"/>
  <c r="AL68" i="1"/>
  <c r="AK72" i="1"/>
  <c r="AJ72" i="1"/>
  <c r="AK71" i="1"/>
  <c r="AJ71" i="1"/>
  <c r="AK70" i="1"/>
  <c r="AJ70" i="1"/>
  <c r="AK69" i="1"/>
  <c r="AJ69" i="1"/>
  <c r="AK68" i="1"/>
  <c r="AJ68" i="1"/>
  <c r="AI72" i="1"/>
  <c r="AH72" i="1"/>
  <c r="AI71" i="1"/>
  <c r="AH71" i="1"/>
  <c r="AI70" i="1"/>
  <c r="AH70" i="1"/>
  <c r="AI69" i="1"/>
  <c r="AH69" i="1"/>
  <c r="AI68" i="1"/>
  <c r="AH68" i="1"/>
  <c r="AG72" i="1"/>
  <c r="AF72" i="1"/>
  <c r="AG71" i="1"/>
  <c r="AF71" i="1"/>
  <c r="AG70" i="1"/>
  <c r="AF70" i="1"/>
  <c r="AG69" i="1"/>
  <c r="AF69" i="1"/>
  <c r="AG68" i="1"/>
  <c r="AF68" i="1"/>
  <c r="AE72" i="1"/>
  <c r="AD72" i="1"/>
  <c r="AE71" i="1"/>
  <c r="AD71" i="1"/>
  <c r="AE70" i="1"/>
  <c r="AD70" i="1"/>
  <c r="AE69" i="1"/>
  <c r="AD69" i="1"/>
  <c r="AE68" i="1"/>
  <c r="AD68" i="1"/>
  <c r="AC72" i="1"/>
  <c r="AB72" i="1"/>
  <c r="AC71" i="1"/>
  <c r="AB71" i="1"/>
  <c r="AC70" i="1"/>
  <c r="AB70" i="1"/>
  <c r="AC69" i="1"/>
  <c r="AB69" i="1"/>
  <c r="AC68" i="1"/>
  <c r="AB68" i="1"/>
  <c r="AA72" i="1"/>
  <c r="Z72" i="1"/>
  <c r="AA71" i="1"/>
  <c r="Z71" i="1"/>
  <c r="AA70" i="1"/>
  <c r="Z70" i="1"/>
  <c r="AA69" i="1"/>
  <c r="Z69" i="1"/>
  <c r="AA68" i="1"/>
  <c r="Z68" i="1"/>
  <c r="Y72" i="1"/>
  <c r="X72" i="1"/>
  <c r="Y71" i="1"/>
  <c r="X71" i="1"/>
  <c r="Y70" i="1"/>
  <c r="X70" i="1"/>
  <c r="Y69" i="1"/>
  <c r="X69" i="1"/>
  <c r="Y68" i="1"/>
  <c r="X68" i="1"/>
  <c r="W72" i="1"/>
  <c r="V72" i="1"/>
  <c r="W71" i="1"/>
  <c r="V71" i="1"/>
  <c r="W70" i="1"/>
  <c r="V70" i="1"/>
  <c r="W69" i="1"/>
  <c r="V69" i="1"/>
  <c r="W68" i="1"/>
  <c r="V68" i="1"/>
  <c r="U72" i="1"/>
  <c r="T72" i="1"/>
  <c r="U71" i="1"/>
  <c r="T71" i="1"/>
  <c r="U70" i="1"/>
  <c r="T70" i="1"/>
  <c r="U69" i="1"/>
  <c r="T69" i="1"/>
  <c r="U68" i="1"/>
  <c r="T68" i="1"/>
  <c r="S72" i="1"/>
  <c r="R72" i="1"/>
  <c r="S71" i="1"/>
  <c r="R71" i="1"/>
  <c r="S70" i="1"/>
  <c r="R70" i="1"/>
  <c r="S69" i="1"/>
  <c r="R69" i="1"/>
  <c r="S68" i="1"/>
  <c r="R68" i="1"/>
  <c r="Q72" i="1"/>
  <c r="P72" i="1"/>
  <c r="Q71" i="1"/>
  <c r="P71" i="1"/>
  <c r="Q70" i="1"/>
  <c r="P70" i="1"/>
  <c r="Q69" i="1"/>
  <c r="P69" i="1"/>
  <c r="Q68" i="1"/>
  <c r="P68" i="1"/>
  <c r="O72" i="1"/>
  <c r="N72" i="1"/>
  <c r="O71" i="1"/>
  <c r="N71" i="1"/>
  <c r="O70" i="1"/>
  <c r="N70" i="1"/>
  <c r="O69" i="1"/>
  <c r="N69" i="1"/>
  <c r="O68" i="1"/>
  <c r="N68" i="1"/>
  <c r="M72" i="1"/>
  <c r="L72" i="1"/>
  <c r="M71" i="1"/>
  <c r="L71" i="1"/>
  <c r="M70" i="1"/>
  <c r="L70" i="1"/>
  <c r="M69" i="1"/>
  <c r="L69" i="1"/>
  <c r="M68" i="1"/>
  <c r="L68" i="1"/>
  <c r="K72" i="1"/>
  <c r="J72" i="1"/>
  <c r="K71" i="1"/>
  <c r="J71" i="1"/>
  <c r="K70" i="1"/>
  <c r="J70" i="1"/>
  <c r="K69" i="1"/>
  <c r="J69" i="1"/>
  <c r="K68" i="1"/>
  <c r="J68" i="1"/>
  <c r="I72" i="1"/>
  <c r="H72" i="1"/>
  <c r="I71" i="1"/>
  <c r="H71" i="1"/>
  <c r="I70" i="1"/>
  <c r="H70" i="1"/>
  <c r="I69" i="1"/>
  <c r="H69" i="1"/>
  <c r="I68" i="1"/>
  <c r="H68" i="1"/>
  <c r="G72" i="1"/>
  <c r="F72" i="1"/>
  <c r="G71" i="1"/>
  <c r="F71" i="1"/>
  <c r="G70" i="1"/>
  <c r="F70" i="1"/>
  <c r="G69" i="1"/>
  <c r="F69" i="1"/>
  <c r="G68" i="1"/>
  <c r="F68" i="1"/>
  <c r="E72" i="1"/>
  <c r="E71" i="1"/>
  <c r="E70" i="1"/>
  <c r="BO70" i="1" s="1"/>
  <c r="B63" i="19" s="1"/>
  <c r="I63" i="19" s="1"/>
  <c r="I170" i="19" s="1"/>
  <c r="E69" i="1"/>
  <c r="BO69" i="1" s="1"/>
  <c r="B62" i="19" s="1"/>
  <c r="I62" i="19" s="1"/>
  <c r="I169" i="19" s="1"/>
  <c r="E68" i="1"/>
  <c r="D72" i="1"/>
  <c r="D71" i="1"/>
  <c r="D70" i="1"/>
  <c r="D68" i="1"/>
  <c r="D69" i="1"/>
  <c r="F103" i="1"/>
  <c r="H103" i="1"/>
  <c r="J103" i="1"/>
  <c r="L103" i="1"/>
  <c r="N103" i="1"/>
  <c r="P103" i="1"/>
  <c r="R103" i="1"/>
  <c r="T103" i="1"/>
  <c r="V103" i="1"/>
  <c r="X103" i="1"/>
  <c r="Z103" i="1"/>
  <c r="AB103" i="1"/>
  <c r="AD103" i="1"/>
  <c r="AF103" i="1"/>
  <c r="AH103" i="1"/>
  <c r="AJ103" i="1"/>
  <c r="AL103" i="1"/>
  <c r="AN103" i="1"/>
  <c r="AP103" i="1"/>
  <c r="AR103" i="1"/>
  <c r="AT103" i="1"/>
  <c r="AV103" i="1"/>
  <c r="AX103" i="1"/>
  <c r="AZ103" i="1"/>
  <c r="BB103" i="1"/>
  <c r="BD103" i="1"/>
  <c r="BF103" i="1"/>
  <c r="BH103" i="1"/>
  <c r="BJ103" i="1"/>
  <c r="BL103" i="1"/>
  <c r="BP103" i="1"/>
  <c r="D103" i="1"/>
  <c r="AA36" i="1"/>
  <c r="AA34" i="1"/>
  <c r="AA32" i="1"/>
  <c r="AA21" i="1"/>
  <c r="BO72" i="1" l="1"/>
  <c r="B65" i="19" s="1"/>
  <c r="I65" i="19" s="1"/>
  <c r="I172" i="19" s="1"/>
  <c r="BO71" i="1"/>
  <c r="B64" i="19" s="1"/>
  <c r="I64" i="19" s="1"/>
  <c r="I171" i="19" s="1"/>
  <c r="BO68" i="1"/>
  <c r="B61" i="19" s="1"/>
  <c r="I61" i="19" s="1"/>
  <c r="I168" i="19" s="1"/>
  <c r="Y34" i="1"/>
  <c r="Y32" i="1"/>
  <c r="Y21" i="1"/>
  <c r="W56" i="1"/>
  <c r="W34" i="1"/>
  <c r="W21" i="1"/>
  <c r="U38" i="1" l="1"/>
  <c r="U34" i="1"/>
  <c r="U32" i="1"/>
  <c r="U21" i="1"/>
  <c r="S38" i="1"/>
  <c r="BO38" i="1" s="1"/>
  <c r="B32" i="19" s="1"/>
  <c r="I32" i="19" s="1"/>
  <c r="I139" i="19" s="1"/>
  <c r="S56" i="1"/>
  <c r="BO56" i="1" s="1"/>
  <c r="B50" i="19" s="1"/>
  <c r="I50" i="19" s="1"/>
  <c r="I157" i="19" s="1"/>
  <c r="S34" i="1"/>
  <c r="S32" i="1"/>
  <c r="S21" i="1"/>
  <c r="Q34" i="1" l="1"/>
  <c r="Q32" i="1"/>
  <c r="Q21" i="1"/>
  <c r="O36" i="1" l="1"/>
  <c r="O34" i="1"/>
  <c r="O32" i="1"/>
  <c r="O21" i="1"/>
  <c r="M34" i="1"/>
  <c r="M32" i="1"/>
  <c r="M21" i="1"/>
  <c r="J104" i="1" l="1"/>
  <c r="J89" i="1"/>
  <c r="J88" i="1"/>
  <c r="J87" i="1"/>
  <c r="J86" i="1"/>
  <c r="J85" i="1"/>
  <c r="K99" i="1" s="1"/>
  <c r="J84" i="1"/>
  <c r="K98" i="1" s="1"/>
  <c r="J83" i="1"/>
  <c r="K97" i="1" s="1"/>
  <c r="J82" i="1"/>
  <c r="K96" i="1" s="1"/>
  <c r="J81" i="1"/>
  <c r="K95" i="1" s="1"/>
  <c r="J80" i="1"/>
  <c r="K94" i="1" s="1"/>
  <c r="J79" i="1"/>
  <c r="K93" i="1" s="1"/>
  <c r="J78" i="1"/>
  <c r="K92" i="1" s="1"/>
  <c r="J77" i="1"/>
  <c r="K91" i="1" s="1"/>
  <c r="K73" i="1"/>
  <c r="J66" i="1"/>
  <c r="J65" i="1"/>
  <c r="J64" i="1"/>
  <c r="J63" i="1"/>
  <c r="J62" i="1"/>
  <c r="J67" i="1" s="1"/>
  <c r="K59" i="1"/>
  <c r="K57" i="1"/>
  <c r="K75" i="1" s="1"/>
  <c r="K49" i="1"/>
  <c r="K42" i="1"/>
  <c r="K34" i="1"/>
  <c r="K32" i="1"/>
  <c r="BO32" i="1" s="1"/>
  <c r="B26" i="19" s="1"/>
  <c r="I26" i="19" s="1"/>
  <c r="I133" i="19" s="1"/>
  <c r="K30" i="1"/>
  <c r="K31" i="1" s="1"/>
  <c r="K21" i="1"/>
  <c r="K22" i="1" s="1"/>
  <c r="K50" i="1" l="1"/>
  <c r="K54" i="1" s="1"/>
  <c r="K58" i="1" s="1"/>
  <c r="K61" i="1"/>
  <c r="BP104" i="1"/>
  <c r="BL104" i="1"/>
  <c r="BJ104" i="1"/>
  <c r="BP89" i="1"/>
  <c r="BL89" i="1"/>
  <c r="BJ89" i="1"/>
  <c r="BP88" i="1"/>
  <c r="BQ102" i="1" s="1"/>
  <c r="BL88" i="1"/>
  <c r="BM102" i="1" s="1"/>
  <c r="BJ88" i="1"/>
  <c r="BK102" i="1" s="1"/>
  <c r="BP87" i="1"/>
  <c r="BQ101" i="1" s="1"/>
  <c r="BL87" i="1"/>
  <c r="BM101" i="1" s="1"/>
  <c r="BJ87" i="1"/>
  <c r="BK101" i="1" s="1"/>
  <c r="BP86" i="1"/>
  <c r="BQ100" i="1" s="1"/>
  <c r="BL86" i="1"/>
  <c r="BM100" i="1" s="1"/>
  <c r="BJ86" i="1"/>
  <c r="BK100" i="1" s="1"/>
  <c r="BP85" i="1"/>
  <c r="BQ99" i="1" s="1"/>
  <c r="BL85" i="1"/>
  <c r="BM99" i="1" s="1"/>
  <c r="BJ85" i="1"/>
  <c r="BK99" i="1" s="1"/>
  <c r="BP84" i="1"/>
  <c r="BQ98" i="1" s="1"/>
  <c r="BL84" i="1"/>
  <c r="BM98" i="1" s="1"/>
  <c r="BJ84" i="1"/>
  <c r="BK98" i="1" s="1"/>
  <c r="BP83" i="1"/>
  <c r="BL83" i="1"/>
  <c r="BM97" i="1" s="1"/>
  <c r="BJ83" i="1"/>
  <c r="BK97" i="1" s="1"/>
  <c r="BP82" i="1"/>
  <c r="BQ96" i="1" s="1"/>
  <c r="BL82" i="1"/>
  <c r="BM96" i="1" s="1"/>
  <c r="BJ82" i="1"/>
  <c r="BK96" i="1" s="1"/>
  <c r="BP81" i="1"/>
  <c r="BQ95" i="1" s="1"/>
  <c r="BL81" i="1"/>
  <c r="BM95" i="1" s="1"/>
  <c r="BJ81" i="1"/>
  <c r="BK95" i="1" s="1"/>
  <c r="BP80" i="1"/>
  <c r="BQ94" i="1" s="1"/>
  <c r="BL80" i="1"/>
  <c r="BM94" i="1" s="1"/>
  <c r="BJ80" i="1"/>
  <c r="BK94" i="1" s="1"/>
  <c r="BP79" i="1"/>
  <c r="BQ93" i="1" s="1"/>
  <c r="BL79" i="1"/>
  <c r="BM93" i="1" s="1"/>
  <c r="BJ79" i="1"/>
  <c r="BK93" i="1" s="1"/>
  <c r="BP78" i="1"/>
  <c r="BQ92" i="1" s="1"/>
  <c r="BL78" i="1"/>
  <c r="BM92" i="1" s="1"/>
  <c r="BJ78" i="1"/>
  <c r="BK92" i="1" s="1"/>
  <c r="BL77" i="1"/>
  <c r="BM91" i="1" s="1"/>
  <c r="BJ77" i="1"/>
  <c r="BK91" i="1" s="1"/>
  <c r="BK73" i="1"/>
  <c r="BJ73" i="1"/>
  <c r="BP66" i="1"/>
  <c r="BL66" i="1"/>
  <c r="BJ66" i="1"/>
  <c r="BP65" i="1"/>
  <c r="BL65" i="1"/>
  <c r="BJ65" i="1"/>
  <c r="BP64" i="1"/>
  <c r="BL64" i="1"/>
  <c r="BJ64" i="1"/>
  <c r="BP63" i="1"/>
  <c r="BL63" i="1"/>
  <c r="BJ63" i="1"/>
  <c r="BP62" i="1"/>
  <c r="BL62" i="1"/>
  <c r="BQ59" i="1"/>
  <c r="BM59" i="1"/>
  <c r="C59" i="7" s="1"/>
  <c r="BK59" i="1"/>
  <c r="BQ57" i="1"/>
  <c r="BQ75" i="1" s="1"/>
  <c r="BM57" i="1"/>
  <c r="BK57" i="1"/>
  <c r="BK75" i="1" s="1"/>
  <c r="BQ49" i="1"/>
  <c r="BM49" i="1"/>
  <c r="C49" i="7" s="1"/>
  <c r="BK49" i="1"/>
  <c r="BQ42" i="1"/>
  <c r="BM42" i="1"/>
  <c r="C42" i="7" s="1"/>
  <c r="BK42" i="1"/>
  <c r="BQ30" i="1"/>
  <c r="BQ31" i="1" s="1"/>
  <c r="BM30" i="1"/>
  <c r="BM31" i="1" s="1"/>
  <c r="BK30" i="1"/>
  <c r="BK31" i="1" s="1"/>
  <c r="BQ22" i="1"/>
  <c r="BM22" i="1"/>
  <c r="C22" i="7" s="1"/>
  <c r="BK22" i="1"/>
  <c r="BH104" i="1"/>
  <c r="BF104" i="1"/>
  <c r="BD104" i="1"/>
  <c r="BB104" i="1"/>
  <c r="BH89" i="1"/>
  <c r="BF89" i="1"/>
  <c r="BD89" i="1"/>
  <c r="BB89" i="1"/>
  <c r="BH88" i="1"/>
  <c r="BI102" i="1" s="1"/>
  <c r="BF88" i="1"/>
  <c r="BG102" i="1" s="1"/>
  <c r="BD88" i="1"/>
  <c r="BE102" i="1" s="1"/>
  <c r="BB88" i="1"/>
  <c r="BC102" i="1" s="1"/>
  <c r="BH87" i="1"/>
  <c r="BI101" i="1" s="1"/>
  <c r="BF87" i="1"/>
  <c r="BG101" i="1" s="1"/>
  <c r="BD87" i="1"/>
  <c r="BE101" i="1" s="1"/>
  <c r="BB87" i="1"/>
  <c r="BC101" i="1" s="1"/>
  <c r="BH86" i="1"/>
  <c r="BI100" i="1" s="1"/>
  <c r="BF86" i="1"/>
  <c r="BG100" i="1" s="1"/>
  <c r="BD86" i="1"/>
  <c r="BE100" i="1" s="1"/>
  <c r="BB86" i="1"/>
  <c r="BC100" i="1" s="1"/>
  <c r="BH85" i="1"/>
  <c r="BI99" i="1" s="1"/>
  <c r="BF85" i="1"/>
  <c r="BG99" i="1" s="1"/>
  <c r="BD85" i="1"/>
  <c r="BE99" i="1" s="1"/>
  <c r="BB85" i="1"/>
  <c r="BC99" i="1" s="1"/>
  <c r="BH84" i="1"/>
  <c r="BI98" i="1" s="1"/>
  <c r="BF84" i="1"/>
  <c r="BG98" i="1" s="1"/>
  <c r="BD84" i="1"/>
  <c r="BE98" i="1" s="1"/>
  <c r="BB84" i="1"/>
  <c r="BC98" i="1" s="1"/>
  <c r="BH83" i="1"/>
  <c r="BI97" i="1" s="1"/>
  <c r="BF83" i="1"/>
  <c r="BG97" i="1" s="1"/>
  <c r="BD83" i="1"/>
  <c r="BE97" i="1" s="1"/>
  <c r="BB83" i="1"/>
  <c r="BC97" i="1" s="1"/>
  <c r="BH82" i="1"/>
  <c r="BI96" i="1" s="1"/>
  <c r="BF82" i="1"/>
  <c r="BG96" i="1" s="1"/>
  <c r="BD82" i="1"/>
  <c r="BE96" i="1" s="1"/>
  <c r="BB82" i="1"/>
  <c r="BC96" i="1" s="1"/>
  <c r="BH81" i="1"/>
  <c r="BI95" i="1" s="1"/>
  <c r="BF81" i="1"/>
  <c r="BG95" i="1" s="1"/>
  <c r="BD81" i="1"/>
  <c r="BE95" i="1" s="1"/>
  <c r="BB81" i="1"/>
  <c r="BC95" i="1" s="1"/>
  <c r="BH80" i="1"/>
  <c r="BI94" i="1" s="1"/>
  <c r="BF80" i="1"/>
  <c r="BG94" i="1" s="1"/>
  <c r="BD80" i="1"/>
  <c r="BE94" i="1" s="1"/>
  <c r="BB80" i="1"/>
  <c r="BC94" i="1" s="1"/>
  <c r="BH79" i="1"/>
  <c r="BI93" i="1" s="1"/>
  <c r="BF79" i="1"/>
  <c r="BG93" i="1" s="1"/>
  <c r="BD79" i="1"/>
  <c r="BE93" i="1" s="1"/>
  <c r="BB79" i="1"/>
  <c r="BC93" i="1" s="1"/>
  <c r="BH78" i="1"/>
  <c r="BI92" i="1" s="1"/>
  <c r="BF78" i="1"/>
  <c r="BG92" i="1" s="1"/>
  <c r="BD78" i="1"/>
  <c r="BE92" i="1" s="1"/>
  <c r="BB78" i="1"/>
  <c r="BC92" i="1" s="1"/>
  <c r="BH77" i="1"/>
  <c r="BI91" i="1" s="1"/>
  <c r="BF77" i="1"/>
  <c r="BG91" i="1" s="1"/>
  <c r="BD77" i="1"/>
  <c r="BE91" i="1" s="1"/>
  <c r="BB77" i="1"/>
  <c r="BC91" i="1" s="1"/>
  <c r="BE73" i="1"/>
  <c r="BD73" i="1"/>
  <c r="BC73" i="1"/>
  <c r="BB73" i="1"/>
  <c r="BH66" i="1"/>
  <c r="BF66" i="1"/>
  <c r="BD66" i="1"/>
  <c r="BB66" i="1"/>
  <c r="BH65" i="1"/>
  <c r="BF65" i="1"/>
  <c r="BD65" i="1"/>
  <c r="BB65" i="1"/>
  <c r="BH64" i="1"/>
  <c r="BF64" i="1"/>
  <c r="BD64" i="1"/>
  <c r="BB64" i="1"/>
  <c r="BH63" i="1"/>
  <c r="BF63" i="1"/>
  <c r="BD63" i="1"/>
  <c r="BB63" i="1"/>
  <c r="BF62" i="1"/>
  <c r="BD62" i="1"/>
  <c r="BB62" i="1"/>
  <c r="BI59" i="1"/>
  <c r="BG59" i="1"/>
  <c r="BE59" i="1"/>
  <c r="BC59" i="1"/>
  <c r="BI57" i="1"/>
  <c r="BI75" i="1" s="1"/>
  <c r="BG57" i="1"/>
  <c r="BG75" i="1" s="1"/>
  <c r="BE57" i="1"/>
  <c r="BE75" i="1" s="1"/>
  <c r="BC57" i="1"/>
  <c r="BC75" i="1" s="1"/>
  <c r="BI49" i="1"/>
  <c r="BG49" i="1"/>
  <c r="BE49" i="1"/>
  <c r="BC49" i="1"/>
  <c r="BI42" i="1"/>
  <c r="BG42" i="1"/>
  <c r="BE42" i="1"/>
  <c r="BC42" i="1"/>
  <c r="BI30" i="1"/>
  <c r="BI31" i="1" s="1"/>
  <c r="BG30" i="1"/>
  <c r="BG31" i="1" s="1"/>
  <c r="BE30" i="1"/>
  <c r="BE31" i="1" s="1"/>
  <c r="BC30" i="1"/>
  <c r="BC31" i="1" s="1"/>
  <c r="BI22" i="1"/>
  <c r="BG22" i="1"/>
  <c r="BE22" i="1"/>
  <c r="BC22" i="1"/>
  <c r="AZ104" i="1"/>
  <c r="AX104" i="1"/>
  <c r="AV104" i="1"/>
  <c r="AT104" i="1"/>
  <c r="AZ89" i="1"/>
  <c r="AX89" i="1"/>
  <c r="AV89" i="1"/>
  <c r="AT89" i="1"/>
  <c r="AZ88" i="1"/>
  <c r="BA102" i="1" s="1"/>
  <c r="AX88" i="1"/>
  <c r="AY102" i="1" s="1"/>
  <c r="AV88" i="1"/>
  <c r="AW102" i="1" s="1"/>
  <c r="AT88" i="1"/>
  <c r="AU102" i="1" s="1"/>
  <c r="AZ87" i="1"/>
  <c r="BA101" i="1" s="1"/>
  <c r="AX87" i="1"/>
  <c r="AY101" i="1" s="1"/>
  <c r="AV87" i="1"/>
  <c r="AW101" i="1" s="1"/>
  <c r="AT87" i="1"/>
  <c r="AU101" i="1" s="1"/>
  <c r="AZ86" i="1"/>
  <c r="BA100" i="1" s="1"/>
  <c r="AX86" i="1"/>
  <c r="AY100" i="1" s="1"/>
  <c r="AV86" i="1"/>
  <c r="AW100" i="1" s="1"/>
  <c r="AT86" i="1"/>
  <c r="AU100" i="1" s="1"/>
  <c r="AZ85" i="1"/>
  <c r="BA99" i="1" s="1"/>
  <c r="AX85" i="1"/>
  <c r="AY99" i="1" s="1"/>
  <c r="AV85" i="1"/>
  <c r="AW99" i="1" s="1"/>
  <c r="AT85" i="1"/>
  <c r="AU99" i="1" s="1"/>
  <c r="AZ84" i="1"/>
  <c r="BA98" i="1" s="1"/>
  <c r="AX84" i="1"/>
  <c r="AY98" i="1" s="1"/>
  <c r="AV84" i="1"/>
  <c r="AW98" i="1" s="1"/>
  <c r="AT84" i="1"/>
  <c r="AU98" i="1" s="1"/>
  <c r="AZ83" i="1"/>
  <c r="BA97" i="1" s="1"/>
  <c r="AX83" i="1"/>
  <c r="AV83" i="1"/>
  <c r="AW97" i="1" s="1"/>
  <c r="AT83" i="1"/>
  <c r="AZ82" i="1"/>
  <c r="BA96" i="1" s="1"/>
  <c r="AX82" i="1"/>
  <c r="AY96" i="1" s="1"/>
  <c r="AV82" i="1"/>
  <c r="AW96" i="1" s="1"/>
  <c r="AT82" i="1"/>
  <c r="AU96" i="1" s="1"/>
  <c r="AZ81" i="1"/>
  <c r="BA95" i="1" s="1"/>
  <c r="AX81" i="1"/>
  <c r="AY95" i="1" s="1"/>
  <c r="AV81" i="1"/>
  <c r="AW95" i="1" s="1"/>
  <c r="AT81" i="1"/>
  <c r="AU95" i="1" s="1"/>
  <c r="AZ80" i="1"/>
  <c r="BA94" i="1" s="1"/>
  <c r="AX80" i="1"/>
  <c r="AY94" i="1" s="1"/>
  <c r="AV80" i="1"/>
  <c r="AW94" i="1" s="1"/>
  <c r="AT80" i="1"/>
  <c r="AU94" i="1" s="1"/>
  <c r="AZ79" i="1"/>
  <c r="BA93" i="1" s="1"/>
  <c r="AX79" i="1"/>
  <c r="AY93" i="1" s="1"/>
  <c r="AV79" i="1"/>
  <c r="AW93" i="1" s="1"/>
  <c r="AT79" i="1"/>
  <c r="AU93" i="1" s="1"/>
  <c r="AZ78" i="1"/>
  <c r="BA92" i="1" s="1"/>
  <c r="AX78" i="1"/>
  <c r="AY92" i="1" s="1"/>
  <c r="AV78" i="1"/>
  <c r="AW92" i="1" s="1"/>
  <c r="AT78" i="1"/>
  <c r="AU92" i="1" s="1"/>
  <c r="AZ77" i="1"/>
  <c r="BA91" i="1" s="1"/>
  <c r="AX77" i="1"/>
  <c r="AY91" i="1" s="1"/>
  <c r="AV77" i="1"/>
  <c r="AW91" i="1" s="1"/>
  <c r="AT77" i="1"/>
  <c r="AU91" i="1" s="1"/>
  <c r="AY73" i="1"/>
  <c r="AV73" i="1"/>
  <c r="AZ66" i="1"/>
  <c r="AX66" i="1"/>
  <c r="AV66" i="1"/>
  <c r="AT66" i="1"/>
  <c r="AZ65" i="1"/>
  <c r="AX65" i="1"/>
  <c r="AV65" i="1"/>
  <c r="AT65" i="1"/>
  <c r="AZ64" i="1"/>
  <c r="AX64" i="1"/>
  <c r="AV64" i="1"/>
  <c r="AT64" i="1"/>
  <c r="AZ63" i="1"/>
  <c r="AX63" i="1"/>
  <c r="AV63" i="1"/>
  <c r="AT63" i="1"/>
  <c r="AZ62" i="1"/>
  <c r="AX62" i="1"/>
  <c r="AV62" i="1"/>
  <c r="AT62" i="1"/>
  <c r="BA59" i="1"/>
  <c r="AY59" i="1"/>
  <c r="AW59" i="1"/>
  <c r="AU59" i="1"/>
  <c r="BA57" i="1"/>
  <c r="BA75" i="1" s="1"/>
  <c r="AY57" i="1"/>
  <c r="AY75" i="1" s="1"/>
  <c r="AW57" i="1"/>
  <c r="AW75" i="1" s="1"/>
  <c r="AU57" i="1"/>
  <c r="AU75" i="1" s="1"/>
  <c r="BA49" i="1"/>
  <c r="AY49" i="1"/>
  <c r="AW49" i="1"/>
  <c r="AU49" i="1"/>
  <c r="BA42" i="1"/>
  <c r="BA50" i="1" s="1"/>
  <c r="AY42" i="1"/>
  <c r="AW42" i="1"/>
  <c r="AU42" i="1"/>
  <c r="BA30" i="1"/>
  <c r="BA31" i="1" s="1"/>
  <c r="AY30" i="1"/>
  <c r="AY31" i="1" s="1"/>
  <c r="AW30" i="1"/>
  <c r="AW31" i="1" s="1"/>
  <c r="AU30" i="1"/>
  <c r="AU31" i="1" s="1"/>
  <c r="BA22" i="1"/>
  <c r="AY22" i="1"/>
  <c r="AW22" i="1"/>
  <c r="AU22" i="1"/>
  <c r="AR104" i="1"/>
  <c r="AP104" i="1"/>
  <c r="AN104" i="1"/>
  <c r="AL104" i="1"/>
  <c r="AR89" i="1"/>
  <c r="AP89" i="1"/>
  <c r="AN89" i="1"/>
  <c r="AL89" i="1"/>
  <c r="AR88" i="1"/>
  <c r="AS102" i="1" s="1"/>
  <c r="AP88" i="1"/>
  <c r="AQ102" i="1" s="1"/>
  <c r="AN88" i="1"/>
  <c r="AO102" i="1" s="1"/>
  <c r="AL88" i="1"/>
  <c r="AM102" i="1" s="1"/>
  <c r="AR87" i="1"/>
  <c r="AS101" i="1" s="1"/>
  <c r="AP87" i="1"/>
  <c r="AQ101" i="1" s="1"/>
  <c r="AN87" i="1"/>
  <c r="AO101" i="1" s="1"/>
  <c r="AL87" i="1"/>
  <c r="AM101" i="1" s="1"/>
  <c r="AR86" i="1"/>
  <c r="AS100" i="1" s="1"/>
  <c r="AP86" i="1"/>
  <c r="AQ100" i="1" s="1"/>
  <c r="AN86" i="1"/>
  <c r="AO100" i="1" s="1"/>
  <c r="AL86" i="1"/>
  <c r="AM100" i="1" s="1"/>
  <c r="AR85" i="1"/>
  <c r="AS99" i="1" s="1"/>
  <c r="AP85" i="1"/>
  <c r="AQ99" i="1" s="1"/>
  <c r="AN85" i="1"/>
  <c r="AO99" i="1" s="1"/>
  <c r="AL85" i="1"/>
  <c r="AM99" i="1" s="1"/>
  <c r="AR84" i="1"/>
  <c r="AS98" i="1" s="1"/>
  <c r="AP84" i="1"/>
  <c r="AQ98" i="1" s="1"/>
  <c r="AN84" i="1"/>
  <c r="AO98" i="1" s="1"/>
  <c r="AL84" i="1"/>
  <c r="AM98" i="1" s="1"/>
  <c r="AR83" i="1"/>
  <c r="AS97" i="1" s="1"/>
  <c r="AP83" i="1"/>
  <c r="AQ97" i="1" s="1"/>
  <c r="AN83" i="1"/>
  <c r="AO97" i="1" s="1"/>
  <c r="AL83" i="1"/>
  <c r="AM97" i="1" s="1"/>
  <c r="AR82" i="1"/>
  <c r="AS96" i="1" s="1"/>
  <c r="AP82" i="1"/>
  <c r="AQ96" i="1" s="1"/>
  <c r="AN82" i="1"/>
  <c r="AO96" i="1" s="1"/>
  <c r="AL82" i="1"/>
  <c r="AM96" i="1" s="1"/>
  <c r="AR81" i="1"/>
  <c r="AS95" i="1" s="1"/>
  <c r="AP81" i="1"/>
  <c r="AQ95" i="1" s="1"/>
  <c r="AN81" i="1"/>
  <c r="AO95" i="1" s="1"/>
  <c r="AL81" i="1"/>
  <c r="AM95" i="1" s="1"/>
  <c r="AR80" i="1"/>
  <c r="AS94" i="1" s="1"/>
  <c r="AP80" i="1"/>
  <c r="AQ94" i="1" s="1"/>
  <c r="AN80" i="1"/>
  <c r="AO94" i="1" s="1"/>
  <c r="AL80" i="1"/>
  <c r="AM94" i="1" s="1"/>
  <c r="AR79" i="1"/>
  <c r="AS93" i="1" s="1"/>
  <c r="AP79" i="1"/>
  <c r="AQ93" i="1" s="1"/>
  <c r="AN79" i="1"/>
  <c r="AL79" i="1"/>
  <c r="AM93" i="1" s="1"/>
  <c r="AR78" i="1"/>
  <c r="AS92" i="1" s="1"/>
  <c r="AP78" i="1"/>
  <c r="AQ92" i="1" s="1"/>
  <c r="AN78" i="1"/>
  <c r="AO92" i="1" s="1"/>
  <c r="AL78" i="1"/>
  <c r="AM92" i="1" s="1"/>
  <c r="AR77" i="1"/>
  <c r="AS91" i="1" s="1"/>
  <c r="AP77" i="1"/>
  <c r="AQ91" i="1" s="1"/>
  <c r="AN77" i="1"/>
  <c r="AO91" i="1" s="1"/>
  <c r="AL77" i="1"/>
  <c r="AM91" i="1" s="1"/>
  <c r="AP73" i="1"/>
  <c r="AO73" i="1"/>
  <c r="AN73" i="1"/>
  <c r="AM73" i="1"/>
  <c r="AR66" i="1"/>
  <c r="AP66" i="1"/>
  <c r="AN66" i="1"/>
  <c r="AL66" i="1"/>
  <c r="AR65" i="1"/>
  <c r="AP65" i="1"/>
  <c r="AN65" i="1"/>
  <c r="AL65" i="1"/>
  <c r="AR64" i="1"/>
  <c r="AP64" i="1"/>
  <c r="AN64" i="1"/>
  <c r="AL64" i="1"/>
  <c r="AR63" i="1"/>
  <c r="AP63" i="1"/>
  <c r="AN63" i="1"/>
  <c r="AL63" i="1"/>
  <c r="AR62" i="1"/>
  <c r="AP62" i="1"/>
  <c r="AN62" i="1"/>
  <c r="AL62" i="1"/>
  <c r="AS59" i="1"/>
  <c r="AQ59" i="1"/>
  <c r="AO59" i="1"/>
  <c r="AM59" i="1"/>
  <c r="AS57" i="1"/>
  <c r="AS75" i="1" s="1"/>
  <c r="AQ57" i="1"/>
  <c r="AQ75" i="1" s="1"/>
  <c r="AO57" i="1"/>
  <c r="AO75" i="1" s="1"/>
  <c r="AM57" i="1"/>
  <c r="AM75" i="1" s="1"/>
  <c r="AS49" i="1"/>
  <c r="AQ49" i="1"/>
  <c r="AO49" i="1"/>
  <c r="AM49" i="1"/>
  <c r="AS42" i="1"/>
  <c r="AQ42" i="1"/>
  <c r="AO42" i="1"/>
  <c r="AM42" i="1"/>
  <c r="AS30" i="1"/>
  <c r="AS31" i="1" s="1"/>
  <c r="AQ30" i="1"/>
  <c r="AQ31" i="1" s="1"/>
  <c r="AO30" i="1"/>
  <c r="AO31" i="1" s="1"/>
  <c r="AM30" i="1"/>
  <c r="AM31" i="1" s="1"/>
  <c r="AS22" i="1"/>
  <c r="AQ22" i="1"/>
  <c r="AO22" i="1"/>
  <c r="AM22" i="1"/>
  <c r="AJ104" i="1"/>
  <c r="AH104" i="1"/>
  <c r="AF104" i="1"/>
  <c r="AD104" i="1"/>
  <c r="AJ89" i="1"/>
  <c r="AH89" i="1"/>
  <c r="AF89" i="1"/>
  <c r="AD89" i="1"/>
  <c r="AJ88" i="1"/>
  <c r="AK102" i="1" s="1"/>
  <c r="AH88" i="1"/>
  <c r="AI102" i="1" s="1"/>
  <c r="AF88" i="1"/>
  <c r="AG102" i="1" s="1"/>
  <c r="AD88" i="1"/>
  <c r="AE102" i="1" s="1"/>
  <c r="AJ87" i="1"/>
  <c r="AK101" i="1" s="1"/>
  <c r="AH87" i="1"/>
  <c r="AI101" i="1" s="1"/>
  <c r="AF87" i="1"/>
  <c r="AG101" i="1" s="1"/>
  <c r="AD87" i="1"/>
  <c r="AE101" i="1" s="1"/>
  <c r="AJ86" i="1"/>
  <c r="AK100" i="1" s="1"/>
  <c r="AH86" i="1"/>
  <c r="AI100" i="1" s="1"/>
  <c r="AF86" i="1"/>
  <c r="AG100" i="1" s="1"/>
  <c r="AD86" i="1"/>
  <c r="AE100" i="1" s="1"/>
  <c r="AJ85" i="1"/>
  <c r="AK99" i="1" s="1"/>
  <c r="AH85" i="1"/>
  <c r="AI99" i="1" s="1"/>
  <c r="AF85" i="1"/>
  <c r="AG99" i="1" s="1"/>
  <c r="AD85" i="1"/>
  <c r="AE99" i="1" s="1"/>
  <c r="AJ84" i="1"/>
  <c r="AK98" i="1" s="1"/>
  <c r="AH84" i="1"/>
  <c r="AI98" i="1" s="1"/>
  <c r="AF84" i="1"/>
  <c r="AG98" i="1" s="1"/>
  <c r="AD84" i="1"/>
  <c r="AE98" i="1" s="1"/>
  <c r="AJ83" i="1"/>
  <c r="AH83" i="1"/>
  <c r="AI97" i="1" s="1"/>
  <c r="AF83" i="1"/>
  <c r="AG97" i="1" s="1"/>
  <c r="AD83" i="1"/>
  <c r="AE97" i="1" s="1"/>
  <c r="AJ82" i="1"/>
  <c r="AK96" i="1" s="1"/>
  <c r="AH82" i="1"/>
  <c r="AI96" i="1" s="1"/>
  <c r="AF82" i="1"/>
  <c r="AG96" i="1" s="1"/>
  <c r="AD82" i="1"/>
  <c r="AE96" i="1" s="1"/>
  <c r="AJ81" i="1"/>
  <c r="AK95" i="1" s="1"/>
  <c r="AH81" i="1"/>
  <c r="AI95" i="1" s="1"/>
  <c r="AF81" i="1"/>
  <c r="AG95" i="1" s="1"/>
  <c r="AD81" i="1"/>
  <c r="AE95" i="1" s="1"/>
  <c r="AJ80" i="1"/>
  <c r="AK94" i="1" s="1"/>
  <c r="AH80" i="1"/>
  <c r="AI94" i="1" s="1"/>
  <c r="AF80" i="1"/>
  <c r="AG94" i="1" s="1"/>
  <c r="AD80" i="1"/>
  <c r="AE94" i="1" s="1"/>
  <c r="AJ79" i="1"/>
  <c r="AK93" i="1" s="1"/>
  <c r="AH79" i="1"/>
  <c r="AI93" i="1" s="1"/>
  <c r="AF79" i="1"/>
  <c r="AG93" i="1" s="1"/>
  <c r="AD79" i="1"/>
  <c r="AE93" i="1" s="1"/>
  <c r="AJ78" i="1"/>
  <c r="AK92" i="1" s="1"/>
  <c r="AH78" i="1"/>
  <c r="AI92" i="1" s="1"/>
  <c r="AF78" i="1"/>
  <c r="AG92" i="1" s="1"/>
  <c r="AD78" i="1"/>
  <c r="AE92" i="1" s="1"/>
  <c r="AJ77" i="1"/>
  <c r="AK91" i="1" s="1"/>
  <c r="AH77" i="1"/>
  <c r="AI91" i="1" s="1"/>
  <c r="AF77" i="1"/>
  <c r="AG91" i="1" s="1"/>
  <c r="AD77" i="1"/>
  <c r="AE91" i="1" s="1"/>
  <c r="AG73" i="1"/>
  <c r="AK73" i="1"/>
  <c r="AD73" i="1"/>
  <c r="AJ66" i="1"/>
  <c r="AH66" i="1"/>
  <c r="AF66" i="1"/>
  <c r="AD66" i="1"/>
  <c r="AJ65" i="1"/>
  <c r="AH65" i="1"/>
  <c r="AF65" i="1"/>
  <c r="AD65" i="1"/>
  <c r="AJ64" i="1"/>
  <c r="AH64" i="1"/>
  <c r="AF64" i="1"/>
  <c r="AD64" i="1"/>
  <c r="AJ63" i="1"/>
  <c r="AH63" i="1"/>
  <c r="AF63" i="1"/>
  <c r="AD63" i="1"/>
  <c r="AJ62" i="1"/>
  <c r="AH62" i="1"/>
  <c r="AF62" i="1"/>
  <c r="AD62" i="1"/>
  <c r="AK59" i="1"/>
  <c r="AI59" i="1"/>
  <c r="AG59" i="1"/>
  <c r="AE59" i="1"/>
  <c r="AK57" i="1"/>
  <c r="AK75" i="1" s="1"/>
  <c r="AI57" i="1"/>
  <c r="AI75" i="1" s="1"/>
  <c r="AG57" i="1"/>
  <c r="AG75" i="1" s="1"/>
  <c r="AE57" i="1"/>
  <c r="AE75" i="1" s="1"/>
  <c r="AK49" i="1"/>
  <c r="AI49" i="1"/>
  <c r="AG49" i="1"/>
  <c r="AE49" i="1"/>
  <c r="AK42" i="1"/>
  <c r="AI42" i="1"/>
  <c r="AG42" i="1"/>
  <c r="AE42" i="1"/>
  <c r="AK30" i="1"/>
  <c r="AK31" i="1" s="1"/>
  <c r="AI30" i="1"/>
  <c r="AI31" i="1" s="1"/>
  <c r="AG30" i="1"/>
  <c r="AG31" i="1" s="1"/>
  <c r="AE30" i="1"/>
  <c r="AE31" i="1" s="1"/>
  <c r="AK22" i="1"/>
  <c r="AI22" i="1"/>
  <c r="AG22" i="1"/>
  <c r="AE22" i="1"/>
  <c r="AB104" i="1"/>
  <c r="Z104" i="1"/>
  <c r="X104" i="1"/>
  <c r="V104" i="1"/>
  <c r="AB89" i="1"/>
  <c r="Z89" i="1"/>
  <c r="X89" i="1"/>
  <c r="V89" i="1"/>
  <c r="AB88" i="1"/>
  <c r="AC102" i="1" s="1"/>
  <c r="Z88" i="1"/>
  <c r="AA102" i="1" s="1"/>
  <c r="X88" i="1"/>
  <c r="Y102" i="1" s="1"/>
  <c r="V88" i="1"/>
  <c r="W102" i="1" s="1"/>
  <c r="AB87" i="1"/>
  <c r="AC101" i="1" s="1"/>
  <c r="Z87" i="1"/>
  <c r="AA101" i="1" s="1"/>
  <c r="X87" i="1"/>
  <c r="Y101" i="1" s="1"/>
  <c r="V87" i="1"/>
  <c r="W101" i="1" s="1"/>
  <c r="AB86" i="1"/>
  <c r="AC100" i="1" s="1"/>
  <c r="Z86" i="1"/>
  <c r="AA100" i="1" s="1"/>
  <c r="X86" i="1"/>
  <c r="V86" i="1"/>
  <c r="AB85" i="1"/>
  <c r="AC99" i="1" s="1"/>
  <c r="Z85" i="1"/>
  <c r="AA99" i="1" s="1"/>
  <c r="X85" i="1"/>
  <c r="Y99" i="1" s="1"/>
  <c r="V85" i="1"/>
  <c r="W99" i="1" s="1"/>
  <c r="AB84" i="1"/>
  <c r="AC98" i="1" s="1"/>
  <c r="Z84" i="1"/>
  <c r="AA98" i="1" s="1"/>
  <c r="X84" i="1"/>
  <c r="Y98" i="1" s="1"/>
  <c r="V84" i="1"/>
  <c r="W98" i="1" s="1"/>
  <c r="AB83" i="1"/>
  <c r="Z83" i="1"/>
  <c r="AA97" i="1" s="1"/>
  <c r="X83" i="1"/>
  <c r="Y97" i="1" s="1"/>
  <c r="V83" i="1"/>
  <c r="W97" i="1" s="1"/>
  <c r="AB82" i="1"/>
  <c r="AC96" i="1" s="1"/>
  <c r="Z82" i="1"/>
  <c r="AA96" i="1" s="1"/>
  <c r="X82" i="1"/>
  <c r="Y96" i="1" s="1"/>
  <c r="V82" i="1"/>
  <c r="W96" i="1" s="1"/>
  <c r="AB81" i="1"/>
  <c r="AC95" i="1" s="1"/>
  <c r="Z81" i="1"/>
  <c r="AA95" i="1" s="1"/>
  <c r="X81" i="1"/>
  <c r="Y95" i="1" s="1"/>
  <c r="V81" i="1"/>
  <c r="W95" i="1" s="1"/>
  <c r="AB80" i="1"/>
  <c r="AC94" i="1" s="1"/>
  <c r="Z80" i="1"/>
  <c r="AA94" i="1" s="1"/>
  <c r="X80" i="1"/>
  <c r="Y94" i="1" s="1"/>
  <c r="V80" i="1"/>
  <c r="W94" i="1" s="1"/>
  <c r="AB79" i="1"/>
  <c r="AC93" i="1" s="1"/>
  <c r="Z79" i="1"/>
  <c r="AA93" i="1" s="1"/>
  <c r="X79" i="1"/>
  <c r="Y93" i="1" s="1"/>
  <c r="V79" i="1"/>
  <c r="W93" i="1" s="1"/>
  <c r="AB78" i="1"/>
  <c r="AC92" i="1" s="1"/>
  <c r="Z78" i="1"/>
  <c r="AA92" i="1" s="1"/>
  <c r="X78" i="1"/>
  <c r="Y92" i="1" s="1"/>
  <c r="V78" i="1"/>
  <c r="W92" i="1" s="1"/>
  <c r="AB77" i="1"/>
  <c r="AC91" i="1" s="1"/>
  <c r="Z77" i="1"/>
  <c r="AA91" i="1" s="1"/>
  <c r="X77" i="1"/>
  <c r="Y91" i="1" s="1"/>
  <c r="V77" i="1"/>
  <c r="W91" i="1" s="1"/>
  <c r="AB66" i="1"/>
  <c r="Z66" i="1"/>
  <c r="X66" i="1"/>
  <c r="V66" i="1"/>
  <c r="AB65" i="1"/>
  <c r="Z65" i="1"/>
  <c r="X65" i="1"/>
  <c r="V65" i="1"/>
  <c r="AB64" i="1"/>
  <c r="Z64" i="1"/>
  <c r="X64" i="1"/>
  <c r="V64" i="1"/>
  <c r="AB63" i="1"/>
  <c r="Z63" i="1"/>
  <c r="X63" i="1"/>
  <c r="V63" i="1"/>
  <c r="AB62" i="1"/>
  <c r="Z62" i="1"/>
  <c r="X62" i="1"/>
  <c r="V62" i="1"/>
  <c r="AC59" i="1"/>
  <c r="AA59" i="1"/>
  <c r="Y59" i="1"/>
  <c r="W59" i="1"/>
  <c r="AC57" i="1"/>
  <c r="AC75" i="1" s="1"/>
  <c r="AA57" i="1"/>
  <c r="AA75" i="1" s="1"/>
  <c r="Y57" i="1"/>
  <c r="Y75" i="1" s="1"/>
  <c r="W57" i="1"/>
  <c r="W75" i="1" s="1"/>
  <c r="AC49" i="1"/>
  <c r="AA49" i="1"/>
  <c r="Y49" i="1"/>
  <c r="W49" i="1"/>
  <c r="AC42" i="1"/>
  <c r="AA42" i="1"/>
  <c r="Y42" i="1"/>
  <c r="W42" i="1"/>
  <c r="AC30" i="1"/>
  <c r="AC31" i="1" s="1"/>
  <c r="AA30" i="1"/>
  <c r="AA31" i="1" s="1"/>
  <c r="Y30" i="1"/>
  <c r="Y31" i="1" s="1"/>
  <c r="W30" i="1"/>
  <c r="W31" i="1" s="1"/>
  <c r="AC22" i="1"/>
  <c r="AA22" i="1"/>
  <c r="Y22" i="1"/>
  <c r="W22" i="1"/>
  <c r="T104" i="1"/>
  <c r="T89" i="1"/>
  <c r="T88" i="1"/>
  <c r="U102" i="1" s="1"/>
  <c r="T87" i="1"/>
  <c r="U101" i="1" s="1"/>
  <c r="T86" i="1"/>
  <c r="T85" i="1"/>
  <c r="U99" i="1" s="1"/>
  <c r="T84" i="1"/>
  <c r="U98" i="1" s="1"/>
  <c r="T83" i="1"/>
  <c r="U97" i="1" s="1"/>
  <c r="T82" i="1"/>
  <c r="U96" i="1" s="1"/>
  <c r="T81" i="1"/>
  <c r="U95" i="1" s="1"/>
  <c r="T80" i="1"/>
  <c r="U94" i="1" s="1"/>
  <c r="T79" i="1"/>
  <c r="U93" i="1" s="1"/>
  <c r="T78" i="1"/>
  <c r="U92" i="1" s="1"/>
  <c r="T77" i="1"/>
  <c r="U91" i="1" s="1"/>
  <c r="T66" i="1"/>
  <c r="T65" i="1"/>
  <c r="T64" i="1"/>
  <c r="T63" i="1"/>
  <c r="T62" i="1"/>
  <c r="U59" i="1"/>
  <c r="U57" i="1"/>
  <c r="U75" i="1" s="1"/>
  <c r="U49" i="1"/>
  <c r="U42" i="1"/>
  <c r="U30" i="1"/>
  <c r="U31" i="1" s="1"/>
  <c r="U22" i="1"/>
  <c r="R104" i="1"/>
  <c r="R89" i="1"/>
  <c r="R88" i="1"/>
  <c r="S102" i="1" s="1"/>
  <c r="R87" i="1"/>
  <c r="S101" i="1" s="1"/>
  <c r="R86" i="1"/>
  <c r="S100" i="1" s="1"/>
  <c r="R85" i="1"/>
  <c r="S99" i="1" s="1"/>
  <c r="R84" i="1"/>
  <c r="S98" i="1" s="1"/>
  <c r="R83" i="1"/>
  <c r="S97" i="1" s="1"/>
  <c r="R82" i="1"/>
  <c r="S96" i="1" s="1"/>
  <c r="R81" i="1"/>
  <c r="S95" i="1" s="1"/>
  <c r="R80" i="1"/>
  <c r="S94" i="1" s="1"/>
  <c r="R79" i="1"/>
  <c r="S93" i="1" s="1"/>
  <c r="R78" i="1"/>
  <c r="S92" i="1" s="1"/>
  <c r="R77" i="1"/>
  <c r="S91" i="1" s="1"/>
  <c r="R66" i="1"/>
  <c r="R65" i="1"/>
  <c r="R64" i="1"/>
  <c r="R63" i="1"/>
  <c r="R62" i="1"/>
  <c r="S59" i="1"/>
  <c r="S57" i="1"/>
  <c r="S75" i="1" s="1"/>
  <c r="S49" i="1"/>
  <c r="S42" i="1"/>
  <c r="S30" i="1"/>
  <c r="S31" i="1" s="1"/>
  <c r="S22" i="1"/>
  <c r="P104" i="1"/>
  <c r="P89" i="1"/>
  <c r="P88" i="1"/>
  <c r="Q102" i="1" s="1"/>
  <c r="P87" i="1"/>
  <c r="Q101" i="1" s="1"/>
  <c r="P86" i="1"/>
  <c r="Q100" i="1" s="1"/>
  <c r="P85" i="1"/>
  <c r="Q99" i="1" s="1"/>
  <c r="P84" i="1"/>
  <c r="Q98" i="1" s="1"/>
  <c r="P83" i="1"/>
  <c r="Q97" i="1" s="1"/>
  <c r="P82" i="1"/>
  <c r="Q96" i="1" s="1"/>
  <c r="P81" i="1"/>
  <c r="Q95" i="1" s="1"/>
  <c r="P80" i="1"/>
  <c r="Q94" i="1" s="1"/>
  <c r="P79" i="1"/>
  <c r="Q93" i="1" s="1"/>
  <c r="P78" i="1"/>
  <c r="Q92" i="1" s="1"/>
  <c r="P77" i="1"/>
  <c r="Q91" i="1" s="1"/>
  <c r="P66" i="1"/>
  <c r="P65" i="1"/>
  <c r="P64" i="1"/>
  <c r="P63" i="1"/>
  <c r="P62" i="1"/>
  <c r="Q59" i="1"/>
  <c r="Q57" i="1"/>
  <c r="Q75" i="1" s="1"/>
  <c r="Q49" i="1"/>
  <c r="Q42" i="1"/>
  <c r="Q30" i="1"/>
  <c r="Q31" i="1" s="1"/>
  <c r="Q22" i="1"/>
  <c r="N104" i="1"/>
  <c r="N89" i="1"/>
  <c r="N88" i="1"/>
  <c r="O102" i="1" s="1"/>
  <c r="N87" i="1"/>
  <c r="O101" i="1" s="1"/>
  <c r="N86" i="1"/>
  <c r="O100" i="1" s="1"/>
  <c r="N85" i="1"/>
  <c r="O99" i="1" s="1"/>
  <c r="N84" i="1"/>
  <c r="O98" i="1" s="1"/>
  <c r="N83" i="1"/>
  <c r="O97" i="1" s="1"/>
  <c r="N82" i="1"/>
  <c r="O96" i="1" s="1"/>
  <c r="N81" i="1"/>
  <c r="O95" i="1" s="1"/>
  <c r="N80" i="1"/>
  <c r="O94" i="1" s="1"/>
  <c r="N79" i="1"/>
  <c r="O93" i="1" s="1"/>
  <c r="N78" i="1"/>
  <c r="O92" i="1" s="1"/>
  <c r="N77" i="1"/>
  <c r="O91" i="1" s="1"/>
  <c r="N66" i="1"/>
  <c r="N65" i="1"/>
  <c r="N64" i="1"/>
  <c r="N63" i="1"/>
  <c r="N62" i="1"/>
  <c r="O59" i="1"/>
  <c r="O57" i="1"/>
  <c r="O75" i="1" s="1"/>
  <c r="O49" i="1"/>
  <c r="O42" i="1"/>
  <c r="O30" i="1"/>
  <c r="O31" i="1" s="1"/>
  <c r="O22" i="1"/>
  <c r="L104" i="1"/>
  <c r="L89" i="1"/>
  <c r="L88" i="1"/>
  <c r="M102" i="1" s="1"/>
  <c r="L87" i="1"/>
  <c r="M101" i="1" s="1"/>
  <c r="L86" i="1"/>
  <c r="M100" i="1" s="1"/>
  <c r="L85" i="1"/>
  <c r="M99" i="1" s="1"/>
  <c r="L84" i="1"/>
  <c r="M98" i="1" s="1"/>
  <c r="L83" i="1"/>
  <c r="M97" i="1" s="1"/>
  <c r="L82" i="1"/>
  <c r="M96" i="1" s="1"/>
  <c r="L81" i="1"/>
  <c r="M95" i="1" s="1"/>
  <c r="L80" i="1"/>
  <c r="M94" i="1" s="1"/>
  <c r="L79" i="1"/>
  <c r="M93" i="1" s="1"/>
  <c r="L78" i="1"/>
  <c r="M92" i="1" s="1"/>
  <c r="L77" i="1"/>
  <c r="M91" i="1" s="1"/>
  <c r="L66" i="1"/>
  <c r="L65" i="1"/>
  <c r="L64" i="1"/>
  <c r="L63" i="1"/>
  <c r="L62" i="1"/>
  <c r="M59" i="1"/>
  <c r="M57" i="1"/>
  <c r="M75" i="1" s="1"/>
  <c r="M49" i="1"/>
  <c r="M42" i="1"/>
  <c r="M30" i="1"/>
  <c r="M31" i="1" s="1"/>
  <c r="M22" i="1"/>
  <c r="H104" i="1"/>
  <c r="F104" i="1"/>
  <c r="D104" i="1"/>
  <c r="H89" i="1"/>
  <c r="F89" i="1"/>
  <c r="D89" i="1"/>
  <c r="H88" i="1"/>
  <c r="I102" i="1" s="1"/>
  <c r="F88" i="1"/>
  <c r="D88" i="1"/>
  <c r="H87" i="1"/>
  <c r="I101" i="1" s="1"/>
  <c r="F87" i="1"/>
  <c r="D87" i="1"/>
  <c r="H86" i="1"/>
  <c r="I100" i="1" s="1"/>
  <c r="F86" i="1"/>
  <c r="D86" i="1"/>
  <c r="H85" i="1"/>
  <c r="I99" i="1" s="1"/>
  <c r="F85" i="1"/>
  <c r="G99" i="1" s="1"/>
  <c r="D85" i="1"/>
  <c r="H84" i="1"/>
  <c r="I98" i="1" s="1"/>
  <c r="F84" i="1"/>
  <c r="G98" i="1" s="1"/>
  <c r="D84" i="1"/>
  <c r="H83" i="1"/>
  <c r="I97" i="1" s="1"/>
  <c r="F83" i="1"/>
  <c r="D83" i="1"/>
  <c r="H82" i="1"/>
  <c r="I96" i="1" s="1"/>
  <c r="F82" i="1"/>
  <c r="G96" i="1" s="1"/>
  <c r="D82" i="1"/>
  <c r="H81" i="1"/>
  <c r="I95" i="1" s="1"/>
  <c r="F81" i="1"/>
  <c r="G95" i="1" s="1"/>
  <c r="D81" i="1"/>
  <c r="H80" i="1"/>
  <c r="I94" i="1" s="1"/>
  <c r="F80" i="1"/>
  <c r="G94" i="1" s="1"/>
  <c r="D80" i="1"/>
  <c r="H79" i="1"/>
  <c r="I93" i="1" s="1"/>
  <c r="F79" i="1"/>
  <c r="G93" i="1" s="1"/>
  <c r="D79" i="1"/>
  <c r="H78" i="1"/>
  <c r="I92" i="1" s="1"/>
  <c r="F78" i="1"/>
  <c r="G92" i="1" s="1"/>
  <c r="D78" i="1"/>
  <c r="H77" i="1"/>
  <c r="I91" i="1" s="1"/>
  <c r="F77" i="1"/>
  <c r="G91" i="1" s="1"/>
  <c r="D77" i="1"/>
  <c r="I73" i="1"/>
  <c r="E73" i="1"/>
  <c r="H66" i="1"/>
  <c r="F66" i="1"/>
  <c r="D66" i="1"/>
  <c r="H65" i="1"/>
  <c r="F65" i="1"/>
  <c r="D65" i="1"/>
  <c r="H64" i="1"/>
  <c r="F64" i="1"/>
  <c r="D64" i="1"/>
  <c r="H63" i="1"/>
  <c r="F63" i="1"/>
  <c r="D63" i="1"/>
  <c r="H62" i="1"/>
  <c r="F62" i="1"/>
  <c r="D62" i="1"/>
  <c r="I59" i="1"/>
  <c r="G59" i="1"/>
  <c r="E59" i="1"/>
  <c r="I57" i="1"/>
  <c r="I75" i="1" s="1"/>
  <c r="G57" i="1"/>
  <c r="G75" i="1" s="1"/>
  <c r="E57" i="1"/>
  <c r="I49" i="1"/>
  <c r="G49" i="1"/>
  <c r="E49" i="1"/>
  <c r="G42" i="1"/>
  <c r="E42" i="1"/>
  <c r="I36" i="1"/>
  <c r="I34" i="1"/>
  <c r="E34" i="1"/>
  <c r="BO34" i="1" s="1"/>
  <c r="B28" i="19" s="1"/>
  <c r="I28" i="19" s="1"/>
  <c r="I135" i="19" s="1"/>
  <c r="I30" i="1"/>
  <c r="I21" i="1"/>
  <c r="I22" i="1" s="1"/>
  <c r="G21" i="1"/>
  <c r="G22" i="1" s="1"/>
  <c r="E21" i="1"/>
  <c r="C59" i="1"/>
  <c r="C56" i="1"/>
  <c r="C57" i="1" s="1"/>
  <c r="C49" i="1"/>
  <c r="C42" i="1"/>
  <c r="C34" i="1"/>
  <c r="C33" i="1"/>
  <c r="C32" i="1"/>
  <c r="C21" i="1"/>
  <c r="C22" i="1" s="1"/>
  <c r="E92" i="1" l="1"/>
  <c r="BO92" i="1" s="1"/>
  <c r="B82" i="19" s="1"/>
  <c r="I82" i="19" s="1"/>
  <c r="I189" i="19" s="1"/>
  <c r="BO78" i="1"/>
  <c r="B70" i="19" s="1"/>
  <c r="I70" i="19" s="1"/>
  <c r="I177" i="19" s="1"/>
  <c r="E96" i="1"/>
  <c r="BO96" i="1" s="1"/>
  <c r="B86" i="19" s="1"/>
  <c r="I86" i="19" s="1"/>
  <c r="I193" i="19" s="1"/>
  <c r="BO82" i="1"/>
  <c r="B74" i="19" s="1"/>
  <c r="I74" i="19" s="1"/>
  <c r="I181" i="19" s="1"/>
  <c r="E100" i="1"/>
  <c r="BO86" i="1"/>
  <c r="B78" i="19" s="1"/>
  <c r="I78" i="19" s="1"/>
  <c r="I185" i="19" s="1"/>
  <c r="BO77" i="1"/>
  <c r="B69" i="19" s="1"/>
  <c r="I69" i="19" s="1"/>
  <c r="I176" i="19" s="1"/>
  <c r="E91" i="1"/>
  <c r="BO91" i="1" s="1"/>
  <c r="B81" i="19" s="1"/>
  <c r="I81" i="19" s="1"/>
  <c r="I188" i="19" s="1"/>
  <c r="I31" i="1"/>
  <c r="BO31" i="1" s="1"/>
  <c r="B25" i="19" s="1"/>
  <c r="I25" i="19" s="1"/>
  <c r="I132" i="19" s="1"/>
  <c r="BO30" i="1"/>
  <c r="B24" i="19" s="1"/>
  <c r="I24" i="19" s="1"/>
  <c r="I131" i="19" s="1"/>
  <c r="E95" i="1"/>
  <c r="BO95" i="1" s="1"/>
  <c r="B85" i="19" s="1"/>
  <c r="I85" i="19" s="1"/>
  <c r="I192" i="19" s="1"/>
  <c r="BO81" i="1"/>
  <c r="B73" i="19" s="1"/>
  <c r="I73" i="19" s="1"/>
  <c r="I180" i="19" s="1"/>
  <c r="E75" i="1"/>
  <c r="BO57" i="1"/>
  <c r="B51" i="19" s="1"/>
  <c r="I51" i="19" s="1"/>
  <c r="I158" i="19" s="1"/>
  <c r="BO65" i="1"/>
  <c r="B58" i="19" s="1"/>
  <c r="I58" i="19" s="1"/>
  <c r="I165" i="19" s="1"/>
  <c r="E93" i="1"/>
  <c r="BO93" i="1" s="1"/>
  <c r="B83" i="19" s="1"/>
  <c r="I83" i="19" s="1"/>
  <c r="I190" i="19" s="1"/>
  <c r="BO79" i="1"/>
  <c r="B71" i="19" s="1"/>
  <c r="I71" i="19" s="1"/>
  <c r="I178" i="19" s="1"/>
  <c r="E97" i="1"/>
  <c r="BO83" i="1"/>
  <c r="B75" i="19" s="1"/>
  <c r="I75" i="19" s="1"/>
  <c r="I182" i="19" s="1"/>
  <c r="E101" i="1"/>
  <c r="BO87" i="1"/>
  <c r="B79" i="19" s="1"/>
  <c r="I79" i="19" s="1"/>
  <c r="I186" i="19" s="1"/>
  <c r="I42" i="1"/>
  <c r="I50" i="1" s="1"/>
  <c r="I54" i="1" s="1"/>
  <c r="I58" i="1" s="1"/>
  <c r="BO36" i="1"/>
  <c r="B30" i="19" s="1"/>
  <c r="I30" i="19" s="1"/>
  <c r="I137" i="19" s="1"/>
  <c r="BO62" i="1"/>
  <c r="B55" i="19" s="1"/>
  <c r="I55" i="19" s="1"/>
  <c r="I162" i="19" s="1"/>
  <c r="BO66" i="1"/>
  <c r="B59" i="19" s="1"/>
  <c r="I59" i="19" s="1"/>
  <c r="I166" i="19" s="1"/>
  <c r="W50" i="1"/>
  <c r="AO50" i="1"/>
  <c r="BO64" i="1"/>
  <c r="B57" i="19" s="1"/>
  <c r="I57" i="19" s="1"/>
  <c r="I164" i="19" s="1"/>
  <c r="BM75" i="1"/>
  <c r="C75" i="7" s="1"/>
  <c r="C57" i="7"/>
  <c r="E94" i="1"/>
  <c r="BO94" i="1" s="1"/>
  <c r="B84" i="19" s="1"/>
  <c r="I84" i="19" s="1"/>
  <c r="I191" i="19" s="1"/>
  <c r="BO80" i="1"/>
  <c r="B72" i="19" s="1"/>
  <c r="I72" i="19" s="1"/>
  <c r="I179" i="19" s="1"/>
  <c r="E99" i="1"/>
  <c r="BO99" i="1" s="1"/>
  <c r="B89" i="19" s="1"/>
  <c r="I89" i="19" s="1"/>
  <c r="I196" i="19" s="1"/>
  <c r="BO85" i="1"/>
  <c r="B77" i="19" s="1"/>
  <c r="I77" i="19" s="1"/>
  <c r="I184" i="19" s="1"/>
  <c r="E98" i="1"/>
  <c r="BO98" i="1" s="1"/>
  <c r="B88" i="19" s="1"/>
  <c r="I88" i="19" s="1"/>
  <c r="I195" i="19" s="1"/>
  <c r="BO84" i="1"/>
  <c r="B76" i="19" s="1"/>
  <c r="I76" i="19" s="1"/>
  <c r="I183" i="19" s="1"/>
  <c r="E102" i="1"/>
  <c r="BO88" i="1"/>
  <c r="B80" i="19" s="1"/>
  <c r="I80" i="19" s="1"/>
  <c r="I187" i="19" s="1"/>
  <c r="BO49" i="1"/>
  <c r="B43" i="19" s="1"/>
  <c r="I43" i="19" s="1"/>
  <c r="I150" i="19" s="1"/>
  <c r="BO63" i="1"/>
  <c r="B56" i="19" s="1"/>
  <c r="I56" i="19" s="1"/>
  <c r="I163" i="19" s="1"/>
  <c r="E22" i="1"/>
  <c r="BO22" i="1" s="1"/>
  <c r="B16" i="19" s="1"/>
  <c r="I16" i="19" s="1"/>
  <c r="I123" i="19" s="1"/>
  <c r="BO21" i="1"/>
  <c r="B15" i="19" s="1"/>
  <c r="I15" i="19" s="1"/>
  <c r="I122" i="19" s="1"/>
  <c r="BO59" i="1"/>
  <c r="B53" i="19" s="1"/>
  <c r="I53" i="19" s="1"/>
  <c r="I160" i="19" s="1"/>
  <c r="C50" i="1"/>
  <c r="C54" i="1" s="1"/>
  <c r="C58" i="1" s="1"/>
  <c r="AQ50" i="1"/>
  <c r="AQ54" i="1" s="1"/>
  <c r="AQ58" i="1" s="1"/>
  <c r="BH67" i="1"/>
  <c r="BI9" i="1" s="1"/>
  <c r="BM50" i="1"/>
  <c r="AY50" i="1"/>
  <c r="AY54" i="1" s="1"/>
  <c r="AY58" i="1" s="1"/>
  <c r="AR67" i="1"/>
  <c r="M103" i="1"/>
  <c r="Q50" i="1"/>
  <c r="Q54" i="1" s="1"/>
  <c r="Q58" i="1" s="1"/>
  <c r="S103" i="1"/>
  <c r="X67" i="1"/>
  <c r="AE50" i="1"/>
  <c r="AE54" i="1" s="1"/>
  <c r="AE58" i="1" s="1"/>
  <c r="BC50" i="1"/>
  <c r="BC54" i="1" s="1"/>
  <c r="BC58" i="1" s="1"/>
  <c r="I103" i="1"/>
  <c r="BP67" i="1"/>
  <c r="BM103" i="1"/>
  <c r="BL67" i="1"/>
  <c r="BK50" i="1"/>
  <c r="BK54" i="1" s="1"/>
  <c r="BK58" i="1" s="1"/>
  <c r="BK103" i="1"/>
  <c r="BI50" i="1"/>
  <c r="BI54" i="1" s="1"/>
  <c r="BI58" i="1" s="1"/>
  <c r="BI103" i="1"/>
  <c r="BG50" i="1"/>
  <c r="BG54" i="1" s="1"/>
  <c r="BG58" i="1" s="1"/>
  <c r="BG103" i="1"/>
  <c r="BF67" i="1"/>
  <c r="BE50" i="1"/>
  <c r="BE54" i="1" s="1"/>
  <c r="BE58" i="1" s="1"/>
  <c r="BE103" i="1"/>
  <c r="BD67" i="1"/>
  <c r="BE61" i="1" s="1"/>
  <c r="BC103" i="1"/>
  <c r="BB67" i="1"/>
  <c r="BC61" i="1" s="1"/>
  <c r="BC9" i="1" s="1"/>
  <c r="BA103" i="1"/>
  <c r="AZ67" i="1"/>
  <c r="AX67" i="1"/>
  <c r="AY61" i="1" s="1"/>
  <c r="AW50" i="1"/>
  <c r="AW54" i="1" s="1"/>
  <c r="AW58" i="1" s="1"/>
  <c r="AW103" i="1"/>
  <c r="AT67" i="1"/>
  <c r="AU50" i="1"/>
  <c r="AU54" i="1" s="1"/>
  <c r="AU58" i="1" s="1"/>
  <c r="AS50" i="1"/>
  <c r="AS54" i="1" s="1"/>
  <c r="AS58" i="1" s="1"/>
  <c r="AS103" i="1"/>
  <c r="AQ103" i="1"/>
  <c r="AP67" i="1"/>
  <c r="AM103" i="1"/>
  <c r="AO103" i="1"/>
  <c r="AN67" i="1"/>
  <c r="AO61" i="1" s="1"/>
  <c r="AL67" i="1"/>
  <c r="AM61" i="1" s="1"/>
  <c r="AM50" i="1"/>
  <c r="AM54" i="1" s="1"/>
  <c r="AM58" i="1" s="1"/>
  <c r="AK50" i="1"/>
  <c r="AK54" i="1" s="1"/>
  <c r="AK58" i="1" s="1"/>
  <c r="AJ67" i="1"/>
  <c r="AK61" i="1" s="1"/>
  <c r="AI50" i="1"/>
  <c r="AI54" i="1" s="1"/>
  <c r="AI58" i="1" s="1"/>
  <c r="AI103" i="1"/>
  <c r="AG103" i="1"/>
  <c r="AH67" i="1"/>
  <c r="AG50" i="1"/>
  <c r="AG54" i="1" s="1"/>
  <c r="AG58" i="1" s="1"/>
  <c r="AE103" i="1"/>
  <c r="AB67" i="1"/>
  <c r="AC50" i="1"/>
  <c r="AC54" i="1" s="1"/>
  <c r="AC58" i="1" s="1"/>
  <c r="AA103" i="1"/>
  <c r="Q103" i="1"/>
  <c r="O103" i="1"/>
  <c r="D73" i="1"/>
  <c r="E67" i="1" s="1"/>
  <c r="AF73" i="1"/>
  <c r="AG67" i="1" s="1"/>
  <c r="M50" i="1"/>
  <c r="M54" i="1" s="1"/>
  <c r="M58" i="1" s="1"/>
  <c r="AF67" i="1"/>
  <c r="AG61" i="1" s="1"/>
  <c r="AL73" i="1"/>
  <c r="AM67" i="1" s="1"/>
  <c r="AX73" i="1"/>
  <c r="AY67" i="1" s="1"/>
  <c r="AU97" i="1"/>
  <c r="AU103" i="1" s="1"/>
  <c r="AZ73" i="1"/>
  <c r="AY97" i="1"/>
  <c r="AY103" i="1" s="1"/>
  <c r="BQ50" i="1"/>
  <c r="BQ54" i="1" s="1"/>
  <c r="BQ58" i="1" s="1"/>
  <c r="BJ67" i="1"/>
  <c r="BK61" i="1" s="1"/>
  <c r="BA54" i="1"/>
  <c r="BA58" i="1" s="1"/>
  <c r="AA50" i="1"/>
  <c r="AA54" i="1" s="1"/>
  <c r="AA58" i="1" s="1"/>
  <c r="AH73" i="1"/>
  <c r="D67" i="1"/>
  <c r="E61" i="1" s="1"/>
  <c r="AI73" i="1"/>
  <c r="BA73" i="1"/>
  <c r="E50" i="1"/>
  <c r="F67" i="1"/>
  <c r="G73" i="1"/>
  <c r="AT73" i="1"/>
  <c r="G50" i="1"/>
  <c r="H67" i="1"/>
  <c r="I61" i="1" s="1"/>
  <c r="AO54" i="1"/>
  <c r="AO58" i="1" s="1"/>
  <c r="AU73" i="1"/>
  <c r="BL73" i="1"/>
  <c r="BF73" i="1"/>
  <c r="BM73" i="1"/>
  <c r="AE73" i="1"/>
  <c r="AE67" i="1" s="1"/>
  <c r="AQ73" i="1"/>
  <c r="AQ67" i="1" s="1"/>
  <c r="AV67" i="1"/>
  <c r="AW73" i="1"/>
  <c r="AW67" i="1" s="1"/>
  <c r="BG73" i="1"/>
  <c r="BP73" i="1"/>
  <c r="G97" i="1"/>
  <c r="AR73" i="1"/>
  <c r="BH73" i="1"/>
  <c r="BI67" i="1" s="1"/>
  <c r="BQ73" i="1"/>
  <c r="AD67" i="1"/>
  <c r="AS73" i="1"/>
  <c r="AB73" i="1"/>
  <c r="AC97" i="1"/>
  <c r="AC103" i="1" s="1"/>
  <c r="AC73" i="1"/>
  <c r="Z67" i="1"/>
  <c r="Z73" i="1"/>
  <c r="X73" i="1"/>
  <c r="AA73" i="1"/>
  <c r="Y50" i="1"/>
  <c r="Y54" i="1" s="1"/>
  <c r="Y58" i="1" s="1"/>
  <c r="Y100" i="1"/>
  <c r="Y103" i="1" s="1"/>
  <c r="Y73" i="1"/>
  <c r="W54" i="1"/>
  <c r="W58" i="1" s="1"/>
  <c r="V73" i="1"/>
  <c r="W100" i="1"/>
  <c r="W103" i="1" s="1"/>
  <c r="W73" i="1"/>
  <c r="V67" i="1"/>
  <c r="U50" i="1"/>
  <c r="U54" i="1" s="1"/>
  <c r="U58" i="1" s="1"/>
  <c r="T73" i="1"/>
  <c r="U73" i="1"/>
  <c r="T67" i="1"/>
  <c r="S50" i="1"/>
  <c r="S54" i="1" s="1"/>
  <c r="S58" i="1" s="1"/>
  <c r="R73" i="1"/>
  <c r="S73" i="1"/>
  <c r="R67" i="1"/>
  <c r="P73" i="1"/>
  <c r="Q73" i="1"/>
  <c r="P67" i="1"/>
  <c r="O50" i="1"/>
  <c r="O54" i="1" s="1"/>
  <c r="O58" i="1" s="1"/>
  <c r="L73" i="1"/>
  <c r="N73" i="1"/>
  <c r="O73" i="1"/>
  <c r="L67" i="1"/>
  <c r="N67" i="1"/>
  <c r="M73" i="1"/>
  <c r="BK67" i="1"/>
  <c r="BQ97" i="1"/>
  <c r="BQ103" i="1" s="1"/>
  <c r="BC67" i="1"/>
  <c r="BE67" i="1"/>
  <c r="AO67" i="1"/>
  <c r="AJ73" i="1"/>
  <c r="AK67" i="1" s="1"/>
  <c r="AK97" i="1"/>
  <c r="AK103" i="1" s="1"/>
  <c r="U100" i="1"/>
  <c r="U103" i="1" s="1"/>
  <c r="BG61" i="1" l="1"/>
  <c r="BO73" i="1"/>
  <c r="B66" i="19" s="1"/>
  <c r="I66" i="19" s="1"/>
  <c r="I173" i="19" s="1"/>
  <c r="E54" i="1"/>
  <c r="BO50" i="1"/>
  <c r="B44" i="19" s="1"/>
  <c r="I44" i="19" s="1"/>
  <c r="I151" i="19" s="1"/>
  <c r="BO97" i="1"/>
  <c r="B87" i="19" s="1"/>
  <c r="I87" i="19" s="1"/>
  <c r="I194" i="19" s="1"/>
  <c r="AS61" i="1"/>
  <c r="BO42" i="1"/>
  <c r="B36" i="19" s="1"/>
  <c r="I36" i="19" s="1"/>
  <c r="I143" i="19" s="1"/>
  <c r="E103" i="1"/>
  <c r="BM54" i="1"/>
  <c r="C50" i="7"/>
  <c r="BO75" i="1"/>
  <c r="B68" i="19" s="1"/>
  <c r="I68" i="19" s="1"/>
  <c r="I175" i="19" s="1"/>
  <c r="BG67" i="1"/>
  <c r="Y61" i="1"/>
  <c r="G61" i="1"/>
  <c r="BQ61" i="1"/>
  <c r="BA61" i="1"/>
  <c r="AU67" i="1"/>
  <c r="AQ61" i="1"/>
  <c r="AI61" i="1"/>
  <c r="AE61" i="1"/>
  <c r="AC61" i="1"/>
  <c r="BM67" i="1"/>
  <c r="BA67" i="1"/>
  <c r="AU61" i="1"/>
  <c r="AS67" i="1"/>
  <c r="AI67" i="1"/>
  <c r="U67" i="1"/>
  <c r="BQ67" i="1"/>
  <c r="M61" i="1"/>
  <c r="S67" i="1"/>
  <c r="BM61" i="1"/>
  <c r="AW61" i="1"/>
  <c r="AC67" i="1"/>
  <c r="AA61" i="1"/>
  <c r="AA67" i="1"/>
  <c r="Y67" i="1"/>
  <c r="W67" i="1"/>
  <c r="W61" i="1"/>
  <c r="U61" i="1"/>
  <c r="S61" i="1"/>
  <c r="Q67" i="1"/>
  <c r="Q61" i="1"/>
  <c r="O61" i="1"/>
  <c r="O67" i="1"/>
  <c r="M67" i="1"/>
  <c r="BO61" i="1" l="1"/>
  <c r="B54" i="19" s="1"/>
  <c r="I54" i="19" s="1"/>
  <c r="I161" i="19" s="1"/>
  <c r="BM58" i="1"/>
  <c r="C58" i="7" s="1"/>
  <c r="C54" i="7"/>
  <c r="E58" i="1"/>
  <c r="BO54" i="1"/>
  <c r="B48" i="19" s="1"/>
  <c r="I48" i="19" s="1"/>
  <c r="I155" i="19" s="1"/>
  <c r="Q11" i="1"/>
  <c r="S11" i="1"/>
  <c r="O11" i="1"/>
  <c r="BO58" i="1" l="1"/>
  <c r="B52" i="19" s="1"/>
  <c r="I52" i="19" s="1"/>
  <c r="I159" i="19" s="1"/>
  <c r="X11" i="1"/>
  <c r="Z11" i="1"/>
  <c r="AB11" i="1"/>
  <c r="AD11" i="1"/>
  <c r="AF11" i="1"/>
  <c r="AH11" i="1"/>
  <c r="AJ11" i="1"/>
  <c r="AL11" i="1"/>
  <c r="BQ11" i="1" l="1"/>
  <c r="BM11" i="1"/>
  <c r="BK10" i="1"/>
  <c r="BI10" i="1"/>
  <c r="BG10" i="1"/>
  <c r="BE10" i="1"/>
  <c r="BC10" i="1"/>
  <c r="BK11" i="1"/>
  <c r="BI11" i="1"/>
  <c r="BG11" i="1"/>
  <c r="BE11" i="1"/>
  <c r="BC11" i="1"/>
  <c r="BA10" i="1"/>
  <c r="AU10" i="1"/>
  <c r="AS10" i="1"/>
  <c r="BA11" i="1"/>
  <c r="AY11" i="1"/>
  <c r="AW11" i="1"/>
  <c r="AU11" i="1"/>
  <c r="AS11" i="1"/>
  <c r="AQ10" i="1"/>
  <c r="AO10" i="1"/>
  <c r="AM10" i="1"/>
  <c r="AK10" i="1"/>
  <c r="AI10" i="1"/>
  <c r="AQ11" i="1"/>
  <c r="AO11" i="1"/>
  <c r="AM11" i="1"/>
  <c r="AK11" i="1"/>
  <c r="AI11" i="1"/>
  <c r="AA11" i="1"/>
  <c r="Y11" i="1"/>
  <c r="AG10" i="1"/>
  <c r="AC10" i="1"/>
  <c r="AA10" i="1"/>
  <c r="Y10" i="1"/>
  <c r="AG11" i="1"/>
  <c r="AE11" i="1"/>
  <c r="AC11" i="1"/>
  <c r="W10" i="1"/>
  <c r="S10" i="1"/>
  <c r="Q10" i="1"/>
  <c r="O10" i="1"/>
  <c r="W11" i="1"/>
  <c r="U11" i="1"/>
  <c r="M10" i="1"/>
  <c r="M11" i="1"/>
  <c r="K10" i="1"/>
  <c r="K11" i="1"/>
  <c r="I10" i="1"/>
  <c r="I11" i="1"/>
  <c r="G10" i="1"/>
  <c r="G11" i="1"/>
  <c r="U10" i="1" l="1"/>
  <c r="AW10" i="1"/>
  <c r="AE10" i="1"/>
  <c r="AY10" i="1"/>
  <c r="BM10" i="1"/>
  <c r="BQ10" i="1"/>
  <c r="A5" i="1" l="1"/>
  <c r="B63" i="1" l="1"/>
  <c r="B64" i="1"/>
  <c r="B65" i="1"/>
  <c r="B66" i="1"/>
  <c r="B62" i="1"/>
  <c r="E11" i="1" l="1"/>
  <c r="BO11" i="1" s="1"/>
  <c r="B10" i="19" s="1"/>
  <c r="I10" i="19" s="1"/>
  <c r="I117" i="19" s="1"/>
  <c r="E10" i="1" l="1"/>
  <c r="BO10" i="1" s="1"/>
  <c r="B9" i="19" s="1"/>
  <c r="I9" i="19" s="1"/>
  <c r="I116" i="19" s="1"/>
  <c r="AI7" i="1" l="1"/>
  <c r="AM7" i="1" l="1"/>
  <c r="AM9" i="1" l="1"/>
  <c r="AM8" i="1" l="1"/>
  <c r="AA7" i="1" l="1"/>
  <c r="AA8" i="1" l="1"/>
  <c r="AC8" i="1"/>
  <c r="AA9" i="1"/>
  <c r="BM9" i="1" l="1"/>
  <c r="BG9" i="1"/>
  <c r="BE9" i="1"/>
  <c r="BA9" i="1"/>
  <c r="AW9" i="1"/>
  <c r="AQ9" i="1" l="1"/>
  <c r="AS9" i="1"/>
  <c r="AO7" i="1"/>
  <c r="AK7" i="1"/>
  <c r="AO8" i="1" l="1"/>
  <c r="AO9" i="1"/>
  <c r="AI8" i="1"/>
  <c r="AI9" i="1"/>
  <c r="AK9" i="1"/>
  <c r="AK8" i="1" l="1"/>
  <c r="AG7" i="1"/>
  <c r="AE7" i="1"/>
  <c r="AC7" i="1"/>
  <c r="Y7" i="1"/>
  <c r="W7" i="1"/>
  <c r="U7" i="1"/>
  <c r="S7" i="1"/>
  <c r="AG8" i="1" l="1"/>
  <c r="U8" i="1"/>
  <c r="Y8" i="1"/>
  <c r="AG9" i="1"/>
  <c r="U9" i="1"/>
  <c r="S9" i="1"/>
  <c r="W9" i="1"/>
  <c r="AC9" i="1"/>
  <c r="Y9" i="1"/>
  <c r="AE9" i="1"/>
  <c r="W8" i="1" l="1"/>
  <c r="S8" i="1"/>
  <c r="AE8" i="1"/>
  <c r="Q7" i="1"/>
  <c r="O7" i="1"/>
  <c r="M7" i="1"/>
  <c r="K7" i="1"/>
  <c r="I7" i="1"/>
  <c r="G7" i="1"/>
  <c r="E7" i="1"/>
  <c r="BQ7" i="1"/>
  <c r="BM7" i="1"/>
  <c r="BK7" i="1"/>
  <c r="BI7" i="1"/>
  <c r="BG7" i="1"/>
  <c r="BE7" i="1"/>
  <c r="BC7" i="1"/>
  <c r="BA7" i="1"/>
  <c r="AY7" i="1"/>
  <c r="AW7" i="1"/>
  <c r="AU7" i="1"/>
  <c r="AS7" i="1"/>
  <c r="AQ7" i="1"/>
  <c r="BO7" i="1" l="1"/>
  <c r="B6" i="19" s="1"/>
  <c r="E8" i="1"/>
  <c r="AS8" i="1"/>
  <c r="BE8" i="1"/>
  <c r="BK8" i="1"/>
  <c r="M8" i="1"/>
  <c r="Q8" i="1"/>
  <c r="G9" i="1"/>
  <c r="K9" i="1"/>
  <c r="M9" i="1"/>
  <c r="I9" i="1"/>
  <c r="E9" i="1"/>
  <c r="AU9" i="1"/>
  <c r="BQ9" i="1"/>
  <c r="O8" i="1"/>
  <c r="Q9" i="1"/>
  <c r="AY9" i="1"/>
  <c r="BK9" i="1"/>
  <c r="BG8" i="1"/>
  <c r="BQ8" i="1"/>
  <c r="O9" i="1"/>
  <c r="BM8" i="1"/>
  <c r="BI8" i="1"/>
  <c r="BC8" i="1"/>
  <c r="BA8" i="1"/>
  <c r="AY8" i="1"/>
  <c r="BO9" i="1" l="1"/>
  <c r="B8" i="19" s="1"/>
  <c r="I8" i="19" s="1"/>
  <c r="I115" i="19" s="1"/>
  <c r="G8" i="1"/>
  <c r="AQ8" i="1"/>
  <c r="AU8" i="1"/>
  <c r="I8" i="1"/>
  <c r="K8" i="1"/>
  <c r="AW8" i="1"/>
  <c r="BO8" i="1" l="1"/>
  <c r="B7" i="19" s="1"/>
  <c r="I7" i="19" s="1"/>
  <c r="I114" i="19" s="1"/>
  <c r="G102" i="1"/>
  <c r="G100" i="1"/>
  <c r="G101" i="1"/>
  <c r="G103" i="1" l="1"/>
  <c r="F73" i="1"/>
  <c r="G67" i="1" s="1"/>
  <c r="H73" i="1" l="1"/>
  <c r="I67" i="1" s="1"/>
  <c r="J73" i="1" l="1"/>
  <c r="K67" i="1" s="1"/>
  <c r="BO67" i="1" s="1"/>
  <c r="B60" i="19" s="1"/>
  <c r="I60" i="19" s="1"/>
  <c r="I167" i="19" s="1"/>
  <c r="K101" i="1"/>
  <c r="BO101" i="1" s="1"/>
  <c r="B91" i="19" s="1"/>
  <c r="I91" i="19" s="1"/>
  <c r="I198" i="19" s="1"/>
  <c r="K100" i="1"/>
  <c r="BO100" i="1" s="1"/>
  <c r="B90" i="19" s="1"/>
  <c r="I90" i="19" s="1"/>
  <c r="I197" i="19" s="1"/>
  <c r="K102" i="1"/>
  <c r="BO102" i="1" s="1"/>
  <c r="B92" i="19" s="1"/>
  <c r="I92" i="19" s="1"/>
  <c r="I199" i="19" s="1"/>
  <c r="K103" i="1" l="1"/>
  <c r="BO103" i="1" s="1"/>
  <c r="B93" i="19" s="1"/>
  <c r="I93" i="19" s="1"/>
  <c r="I200" i="19" s="1"/>
</calcChain>
</file>

<file path=xl/sharedStrings.xml><?xml version="1.0" encoding="utf-8"?>
<sst xmlns="http://schemas.openxmlformats.org/spreadsheetml/2006/main" count="3345" uniqueCount="266">
  <si>
    <t>COINS</t>
  </si>
  <si>
    <t>SAFEDROPS</t>
  </si>
  <si>
    <t>VOUCHERS</t>
  </si>
  <si>
    <t>coins banked (in minus)</t>
  </si>
  <si>
    <t>AIRTIME SYSTEM</t>
  </si>
  <si>
    <t>ACCOUNT</t>
  </si>
  <si>
    <t>R/ACCOUNT</t>
  </si>
  <si>
    <t>PAYOUTS</t>
  </si>
  <si>
    <t>S/P 52588566</t>
  </si>
  <si>
    <t>S/P 52799005</t>
  </si>
  <si>
    <t>S/P 52898722</t>
  </si>
  <si>
    <t>S/P 52898588</t>
  </si>
  <si>
    <t>TOTAL CARD</t>
  </si>
  <si>
    <t>ANY DEDUCTIONS</t>
  </si>
  <si>
    <t>ANY ADDITIONS</t>
  </si>
  <si>
    <t>TOTAL</t>
  </si>
  <si>
    <t>TOTAL DEBITS SYSTEM</t>
  </si>
  <si>
    <t>REFUNDS</t>
  </si>
  <si>
    <t>TOTAL SALES</t>
  </si>
  <si>
    <t>DIFFERENCE</t>
  </si>
  <si>
    <t>AIRTIME DIFF</t>
  </si>
  <si>
    <t>AIRTME SHIFT NR</t>
  </si>
  <si>
    <t>AIRTIME BALANCE</t>
  </si>
  <si>
    <t>AIRTIME LOADED</t>
  </si>
  <si>
    <t>DIPS ULP95</t>
  </si>
  <si>
    <t>DIPS ULP93</t>
  </si>
  <si>
    <t>DIPS D50</t>
  </si>
  <si>
    <t>SALES ULP95</t>
  </si>
  <si>
    <t>SALES ULP93</t>
  </si>
  <si>
    <t>SALES D50</t>
  </si>
  <si>
    <t>FUEL SALES AMOUNT</t>
  </si>
  <si>
    <t>SHOP SALES AMOUNT</t>
  </si>
  <si>
    <t>DELIVERY ULP95</t>
  </si>
  <si>
    <t>DELIVERY ULP93</t>
  </si>
  <si>
    <t>DELIVERY D50</t>
  </si>
  <si>
    <t>CARD MANUAL</t>
  </si>
  <si>
    <t>EFT CARD</t>
  </si>
  <si>
    <t>AIRTIME SLIP</t>
  </si>
  <si>
    <t>CASHIER:</t>
  </si>
  <si>
    <t>TIME:</t>
  </si>
  <si>
    <t>SUPERVISOR</t>
  </si>
  <si>
    <t>CASH</t>
  </si>
  <si>
    <t>eft</t>
  </si>
  <si>
    <t>S/P 52799492/52868092</t>
  </si>
  <si>
    <t>S/P20186258</t>
  </si>
  <si>
    <t>BONDIBLU HOLES SHELVE</t>
  </si>
  <si>
    <t>SUNGLASSES SOLD REPORT</t>
  </si>
  <si>
    <t>TOTAL LITRES</t>
  </si>
  <si>
    <t>TOTAL SHOP</t>
  </si>
  <si>
    <t>MONEY DIFF</t>
  </si>
  <si>
    <t>LITRES DIFF</t>
  </si>
  <si>
    <t>DISCONTINUE</t>
  </si>
  <si>
    <t>TIME</t>
  </si>
  <si>
    <t>CASHIER</t>
  </si>
  <si>
    <t>S/P 20186250/20231005</t>
  </si>
  <si>
    <t>D50 TRANSFER LITRE</t>
  </si>
  <si>
    <t>D50 TRANSFER AMOUNT</t>
  </si>
  <si>
    <t>DAVID</t>
  </si>
  <si>
    <t>M1980697</t>
  </si>
  <si>
    <t>S/P 20231005</t>
  </si>
  <si>
    <t>M3461316</t>
  </si>
  <si>
    <t>S/P 5151254</t>
  </si>
  <si>
    <t>S/P 5151816</t>
  </si>
  <si>
    <t>M3461399</t>
  </si>
  <si>
    <t>S/P 5151341</t>
  </si>
  <si>
    <t>DIESEL</t>
  </si>
  <si>
    <t>ULP95</t>
  </si>
  <si>
    <t>ULP93</t>
  </si>
  <si>
    <t>differences DIPS</t>
  </si>
  <si>
    <t>CASH ACC</t>
  </si>
  <si>
    <t>STAND ALONE</t>
  </si>
  <si>
    <t>GP AMOUNT</t>
  </si>
  <si>
    <t>GP SHOP</t>
  </si>
  <si>
    <t>GP FUEL</t>
  </si>
  <si>
    <t>ANNAH</t>
  </si>
  <si>
    <t>N1 D50 T4</t>
  </si>
  <si>
    <t>N2 ULP95 T1</t>
  </si>
  <si>
    <t>N3 ULP93 T2</t>
  </si>
  <si>
    <t>N4 D50 T4</t>
  </si>
  <si>
    <t>N5 ULP95 T1</t>
  </si>
  <si>
    <t>N6 ULP93 T2</t>
  </si>
  <si>
    <t>N7 ULP93 TK3</t>
  </si>
  <si>
    <t>N8 ULP95 T1</t>
  </si>
  <si>
    <t>N9 D50 T5</t>
  </si>
  <si>
    <t>N10 ULP93 T3</t>
  </si>
  <si>
    <t>N11 ULP95 T1</t>
  </si>
  <si>
    <t>N12 D50 T5</t>
  </si>
  <si>
    <t>SALES D50 T4 PUMP1/4</t>
  </si>
  <si>
    <t>SALES D50 T5 PUMP 9/12</t>
  </si>
  <si>
    <t>SALES ULP93 T2 PUMP3/6</t>
  </si>
  <si>
    <t>SALES ULP93 T3 PUMP7/10</t>
  </si>
  <si>
    <t>SALES ULP95 T1 PUMP 2/5/8/11</t>
  </si>
  <si>
    <t>MECHANICAL</t>
  </si>
  <si>
    <t>ELECTRONIC</t>
  </si>
  <si>
    <t>WANDILE</t>
  </si>
  <si>
    <t>544&amp;5</t>
  </si>
  <si>
    <t>548&amp;9</t>
  </si>
  <si>
    <t>155&amp;6</t>
  </si>
  <si>
    <t>555&amp;6</t>
  </si>
  <si>
    <t>558&amp;9</t>
  </si>
  <si>
    <t>560&amp;1</t>
  </si>
  <si>
    <t>19:00;00</t>
  </si>
  <si>
    <t>ANNAH/WANDILE</t>
  </si>
  <si>
    <t>.</t>
  </si>
  <si>
    <t>ESSIE/Y</t>
  </si>
  <si>
    <t xml:space="preserve">DAVID </t>
  </si>
  <si>
    <t>120&amp;1</t>
  </si>
  <si>
    <t>179&amp;180&amp;1</t>
  </si>
  <si>
    <t>Select the month in B3. Yellow cells are manual entries; blue cells calculate automatically; negative calculated values are flagged red.</t>
  </si>
  <si>
    <t>MONTH</t>
  </si>
  <si>
    <t>OPENING / MANUAL</t>
  </si>
  <si>
    <t>MANUAL INPUT</t>
  </si>
  <si>
    <t>CALCULATED</t>
  </si>
  <si>
    <t>NEGATIVE CALC</t>
  </si>
  <si>
    <t>MONTH TOTALS</t>
  </si>
  <si>
    <t>AFTER DAY 31</t>
  </si>
  <si>
    <t>OPENING READINGS</t>
  </si>
  <si>
    <t>FROM PREVIOUS MONTH</t>
  </si>
  <si>
    <t>NEXT MONTH OPENING</t>
  </si>
  <si>
    <t>TEXAN FILLING STATION — MONTHLY CONTROL WORKBOOK</t>
  </si>
  <si>
    <t>Linked daily-control logs from August 2026 through August 2027</t>
  </si>
  <si>
    <t>SHEET</t>
  </si>
  <si>
    <t>PURPOSE</t>
  </si>
  <si>
    <t>August 2026 Log</t>
  </si>
  <si>
    <t>Completed source month.</t>
  </si>
  <si>
    <t>September 2026 Log</t>
  </si>
  <si>
    <t>Opening values link to August 2026.</t>
  </si>
  <si>
    <t>October 2026 Log</t>
  </si>
  <si>
    <t>Opening values link to September 2026.</t>
  </si>
  <si>
    <t>November 2026 Log</t>
  </si>
  <si>
    <t>Opening values link to October 2026.</t>
  </si>
  <si>
    <t>December 2026 Log</t>
  </si>
  <si>
    <t>Opening values link to November 2026.</t>
  </si>
  <si>
    <t>January 2027 Log</t>
  </si>
  <si>
    <t>Opening values link to December 2026.</t>
  </si>
  <si>
    <t>February 2027 Log</t>
  </si>
  <si>
    <t>Opening values link to January 2027.</t>
  </si>
  <si>
    <t>March 2027 Log</t>
  </si>
  <si>
    <t>Opening values link to February 2027.</t>
  </si>
  <si>
    <t>April 2027 Log</t>
  </si>
  <si>
    <t>Opening values link to March 2027.</t>
  </si>
  <si>
    <t>May 2027 Log</t>
  </si>
  <si>
    <t>Opening values link to April 2027.</t>
  </si>
  <si>
    <t>June 2027 Log</t>
  </si>
  <si>
    <t>Opening values link to May 2027.</t>
  </si>
  <si>
    <t>July 2027 Log</t>
  </si>
  <si>
    <t>Opening values link to June 2027.</t>
  </si>
  <si>
    <t>August 2027 Log</t>
  </si>
  <si>
    <t>Opening values link to July 2027.</t>
  </si>
  <si>
    <t>Monthly Template</t>
  </si>
  <si>
    <t>Original template retained for reference.</t>
  </si>
  <si>
    <t>RECON 9-10JUL</t>
  </si>
  <si>
    <t>Fuel reconciliation for 9–10 July.</t>
  </si>
  <si>
    <t>SLIPS 9JUL</t>
  </si>
  <si>
    <t>Supporting transaction slips for 9 July.</t>
  </si>
  <si>
    <t>584&amp;585</t>
  </si>
  <si>
    <t>179&amp;180&amp;181</t>
  </si>
  <si>
    <t>120&amp;21</t>
  </si>
  <si>
    <t>TEXAN FILLING STATION — MONTHLY TOTALS</t>
  </si>
  <si>
    <t>Every MONTH TOTALS line from August 2026 to August 2027; all figures are linked to the monthly logs.</t>
  </si>
  <si>
    <t>PERIOD 1 — AUGUST 2026 TO FEBRUARY 2027</t>
  </si>
  <si>
    <t>PERIOD 2 — MARCH 2027 TO AUGUST 2027</t>
  </si>
  <si>
    <t>ITEM</t>
  </si>
  <si>
    <t>PERIOD 1 TOTAL</t>
  </si>
  <si>
    <t>PERIOD 2 TOTAL</t>
  </si>
  <si>
    <t>GRAND TOTAL</t>
  </si>
  <si>
    <t>CONTROL SUMMARY — AIRTIME DIFF</t>
  </si>
  <si>
    <t>CONTROL SUMMARY — MONEY DIFF</t>
  </si>
  <si>
    <t>CONTROL SUMMARY — LITRES DIFF</t>
  </si>
  <si>
    <t>CONTROL SUMMARY — TOTAL LITRES</t>
  </si>
  <si>
    <t>CONTROL SUMMARY — TOTAL SHOP</t>
  </si>
  <si>
    <t>CASH &amp; AIRTIME — BONDIBLU HOLES SHELVE</t>
  </si>
  <si>
    <t>CASH &amp; AIRTIME — SUNGLASSES SOLD REPORT</t>
  </si>
  <si>
    <t>CASH &amp; AIRTIME — CASH ACC</t>
  </si>
  <si>
    <t>CASH &amp; AIRTIME — COINS</t>
  </si>
  <si>
    <t>CASH &amp; AIRTIME — SAFEDROPS</t>
  </si>
  <si>
    <t>CASH &amp; AIRTIME — CASH</t>
  </si>
  <si>
    <t>CASH &amp; AIRTIME — VOUCHERS</t>
  </si>
  <si>
    <t>CASH &amp; AIRTIME — coins banked (in minus)</t>
  </si>
  <si>
    <t>CASH &amp; AIRTIME — AIRTIME SLIP</t>
  </si>
  <si>
    <t>CASH &amp; AIRTIME — AIRTIME SYSTEM</t>
  </si>
  <si>
    <t>CASH &amp; AIRTIME — AIRTME SHIFT NR</t>
  </si>
  <si>
    <t>CASH &amp; AIRTIME — AIRTIME BALANCE</t>
  </si>
  <si>
    <t>CASH &amp; AIRTIME — AIRTIME LOADED</t>
  </si>
  <si>
    <t>CASH &amp; AIRTIME — Unlabeled total (source row 30)</t>
  </si>
  <si>
    <t>CASH &amp; AIRTIME — Unlabeled total (source row 31)</t>
  </si>
  <si>
    <t>CASH &amp; AIRTIME — ACCOUNT</t>
  </si>
  <si>
    <t>CASH &amp; AIRTIME — R/ACCOUNT</t>
  </si>
  <si>
    <t>CASH &amp; AIRTIME — PAYOUTS</t>
  </si>
  <si>
    <t>CASH &amp; AIRTIME — Unlabeled total (source row 35)</t>
  </si>
  <si>
    <t>CARDS &amp; SALES — S/P 20231005</t>
  </si>
  <si>
    <t>CARDS &amp; SALES — Unlabeled total (source row 37)</t>
  </si>
  <si>
    <t>CARDS &amp; SALES — S/P 5151816</t>
  </si>
  <si>
    <t>CARDS &amp; SALES — S/P 5151341</t>
  </si>
  <si>
    <t>CARDS &amp; SALES — S/P20186258</t>
  </si>
  <si>
    <t>CARDS &amp; SALES — S/P 20186250/20231005</t>
  </si>
  <si>
    <t>CARDS &amp; SALES — CARD MANUAL</t>
  </si>
  <si>
    <t>CARDS &amp; SALES — S/P 5151254</t>
  </si>
  <si>
    <t>CARDS &amp; SALES — S/P 52588566</t>
  </si>
  <si>
    <t>CARDS &amp; SALES — S/P 52799005</t>
  </si>
  <si>
    <t>CARDS &amp; SALES — S/P 52799492/52868092</t>
  </si>
  <si>
    <t>CARDS &amp; SALES — S/P 52898722</t>
  </si>
  <si>
    <t>CARDS &amp; SALES — S/P 52898588</t>
  </si>
  <si>
    <t>CARDS &amp; SALES — EFT CARD</t>
  </si>
  <si>
    <t>CARDS &amp; SALES — TOTAL CARD</t>
  </si>
  <si>
    <t>CARDS &amp; SALES — ANY DEDUCTIONS</t>
  </si>
  <si>
    <t>CARDS &amp; SALES — ANY ADDITIONS</t>
  </si>
  <si>
    <t>CARDS &amp; SALES — eft</t>
  </si>
  <si>
    <t>CARDS &amp; SALES — TOTAL</t>
  </si>
  <si>
    <t>CARDS &amp; SALES — TOTAL DEBITS SYSTEM</t>
  </si>
  <si>
    <t>CARDS &amp; SALES — REFUNDS</t>
  </si>
  <si>
    <t>CARDS &amp; SALES — TOTAL SALES</t>
  </si>
  <si>
    <t>CARDS &amp; SALES — DIFFERENCE</t>
  </si>
  <si>
    <t>CARDS &amp; SALES — AIRTIME DIFF</t>
  </si>
  <si>
    <t>FUEL DIPS &amp; SALES — differences DIPS</t>
  </si>
  <si>
    <t>FUEL DIPS &amp; SALES — DIPS ULP95</t>
  </si>
  <si>
    <t>FUEL DIPS &amp; SALES — DIPS ULP93</t>
  </si>
  <si>
    <t>FUEL DIPS &amp; SALES — DIPS D50</t>
  </si>
  <si>
    <t>FUEL DIPS &amp; SALES — Unlabeled total (source row 67)</t>
  </si>
  <si>
    <t>FUEL DIPS &amp; SALES — SALES D50 T4 PUMP1/4</t>
  </si>
  <si>
    <t>FUEL DIPS &amp; SALES — SALES D50 T5 PUMP 9/12</t>
  </si>
  <si>
    <t>FUEL DIPS &amp; SALES — SALES ULP93 T2 PUMP3/6</t>
  </si>
  <si>
    <t>FUEL DIPS &amp; SALES — SALES ULP93 T3 PUMP7/10</t>
  </si>
  <si>
    <t>FUEL DIPS &amp; SALES — SALES ULP95 T1 PUMP 2/5/8/11</t>
  </si>
  <si>
    <t>FUEL DIPS &amp; SALES — Unlabeled total (source row 73)</t>
  </si>
  <si>
    <t>FUEL DIPS &amp; SALES — FUEL SALES AMOUNT</t>
  </si>
  <si>
    <t>FUEL DIPS &amp; SALES — SHOP SALES AMOUNT</t>
  </si>
  <si>
    <t>MECHANICAL — N1 D50 T4</t>
  </si>
  <si>
    <t>MECHANICAL — N2 ULP95 T1</t>
  </si>
  <si>
    <t>MECHANICAL — N3 ULP93 T2</t>
  </si>
  <si>
    <t>MECHANICAL — N4 D50 T4</t>
  </si>
  <si>
    <t>MECHANICAL — N5 ULP95 T1</t>
  </si>
  <si>
    <t>MECHANICAL — N6 ULP93 T2</t>
  </si>
  <si>
    <t>MECHANICAL — N7 ULP93 TK3</t>
  </si>
  <si>
    <t>MECHANICAL — N8 ULP95 T1</t>
  </si>
  <si>
    <t>MECHANICAL — N9 D50 T5</t>
  </si>
  <si>
    <t>MECHANICAL — N10 ULP93 T3</t>
  </si>
  <si>
    <t>MECHANICAL — N11 ULP95 T1</t>
  </si>
  <si>
    <t>MECHANICAL — N12 D50 T5</t>
  </si>
  <si>
    <t>ELECTRONIC — N1 D50 T4</t>
  </si>
  <si>
    <t>ELECTRONIC — Unlabeled total (source row 92)</t>
  </si>
  <si>
    <t>ELECTRONIC — N3 ULP93 T2</t>
  </si>
  <si>
    <t>ELECTRONIC — N4 D50 T4</t>
  </si>
  <si>
    <t>ELECTRONIC — Unlabeled total (source row 95)</t>
  </si>
  <si>
    <t>ELECTRONIC — N6 ULP93 T2</t>
  </si>
  <si>
    <t>ELECTRONIC — Unlabeled total (source row 97)</t>
  </si>
  <si>
    <t>ELECTRONIC — N8 ULP95 T1</t>
  </si>
  <si>
    <t>ELECTRONIC — Unlabeled total (source row 99)</t>
  </si>
  <si>
    <t>ELECTRONIC — N10 ULP93 T3</t>
  </si>
  <si>
    <t>ELECTRONIC — N11 ULP95 T1</t>
  </si>
  <si>
    <t>ELECTRONIC — N12 D50 T5</t>
  </si>
  <si>
    <t>ELECTRONIC — Unlabeled total (source row 103)</t>
  </si>
  <si>
    <t>DELIVERIES &amp; GP — DELIVERY ULP95</t>
  </si>
  <si>
    <t>DELIVERIES &amp; GP — DELIVERY ULP93</t>
  </si>
  <si>
    <t>DELIVERIES &amp; GP — DELIVERY D50</t>
  </si>
  <si>
    <t>DELIVERIES &amp; GP — GP AMOUNT</t>
  </si>
  <si>
    <t>DELIVERIES &amp; GP — GP SHOP</t>
  </si>
  <si>
    <t>DELIVERIES &amp; GP — GP FUEL</t>
  </si>
  <si>
    <t>DELIVERIES &amp; GP — STAND ALONE</t>
  </si>
  <si>
    <t>DELIVERIES &amp; GP — SALES ULP95</t>
  </si>
  <si>
    <t>DELIVERIES &amp; GP — SALES ULP93</t>
  </si>
  <si>
    <t>DELIVERIES &amp; GP — SALES D50</t>
  </si>
  <si>
    <t>DELIVERIES &amp; GP — Unlabeled total (source row 118)</t>
  </si>
  <si>
    <t>DELIVERIES &amp; GP — D50 TRANSFER LITRE</t>
  </si>
  <si>
    <t>DELIVERIES &amp; GP — D50 TRANSFER AMOUNT</t>
  </si>
  <si>
    <t>Differences DIPS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</si>
</sst>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hh:mm:ss;@"/>
    <numFmt numFmtId="165" formatCode="_-* #,##0_-;\-* #,##0_-;_-* &quot;-&quot;??_-;_-@_-"/>
    <numFmt numFmtId="166" formatCode="mmmm\ yyyy"/>
    <numFmt numFmtId="167" formatCode="#,##0.00;[Red]\-#,##0.00;\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17365D"/>
      </right>
      <top style="medium">
        <color indexed="64"/>
      </top>
      <bottom style="medium">
        <color indexed="64"/>
      </bottom>
      <diagonal/>
    </border>
    <border>
      <left style="medium">
        <color rgb="FF17365D"/>
      </left>
      <right style="thin">
        <color rgb="FFD9E2F3"/>
      </right>
      <top style="medium">
        <color rgb="FF17365D"/>
      </top>
      <bottom style="thin">
        <color rgb="FFB4C6E7"/>
      </bottom>
      <diagonal/>
    </border>
    <border>
      <left style="thin">
        <color rgb="FFD9E2F3"/>
      </left>
      <right style="medium">
        <color rgb="FF17365D"/>
      </right>
      <top style="medium">
        <color rgb="FF17365D"/>
      </top>
      <bottom style="thin">
        <color rgb="FFB4C6E7"/>
      </bottom>
      <diagonal/>
    </border>
    <border>
      <left style="medium">
        <color rgb="FF17365D"/>
      </left>
      <right style="thin">
        <color rgb="FFD9E2F3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medium">
        <color rgb="FF17365D"/>
      </right>
      <top style="thin">
        <color rgb="FFB4C6E7"/>
      </top>
      <bottom style="thin">
        <color rgb="FFB4C6E7"/>
      </bottom>
      <diagonal/>
    </border>
    <border>
      <left style="medium">
        <color rgb="FF17365D"/>
      </left>
      <right style="thin">
        <color rgb="FFD9E2F3"/>
      </right>
      <top style="thin">
        <color rgb="FFB4C6E7"/>
      </top>
      <bottom style="medium">
        <color rgb="FF17365D"/>
      </bottom>
      <diagonal/>
    </border>
    <border>
      <left style="thin">
        <color rgb="FFD9E2F3"/>
      </left>
      <right style="medium">
        <color rgb="FF17365D"/>
      </right>
      <top style="thin">
        <color rgb="FFB4C6E7"/>
      </top>
      <bottom style="medium">
        <color rgb="FF17365D"/>
      </bottom>
      <diagonal/>
    </border>
    <border>
      <left style="thin">
        <color rgb="FFD9E2F3"/>
      </left>
      <right/>
      <top style="medium">
        <color rgb="FF17365D"/>
      </top>
      <bottom style="thin">
        <color rgb="FFB4C6E7"/>
      </bottom>
      <diagonal/>
    </border>
    <border>
      <left style="thin">
        <color rgb="FFD9E2F3"/>
      </left>
      <right/>
      <top style="thin">
        <color rgb="FFB4C6E7"/>
      </top>
      <bottom style="thin">
        <color rgb="FFB4C6E7"/>
      </bottom>
      <diagonal/>
    </border>
    <border>
      <left style="thin">
        <color rgb="FFD9E2F3"/>
      </left>
      <right/>
      <top style="thin">
        <color rgb="FFB4C6E7"/>
      </top>
      <bottom style="medium">
        <color rgb="FF17365D"/>
      </bottom>
      <diagonal/>
    </border>
    <border>
      <left/>
      <right style="thin">
        <color rgb="FFD9E2F3"/>
      </right>
      <top style="medium">
        <color rgb="FF17365D"/>
      </top>
      <bottom style="thin">
        <color rgb="FFB4C6E7"/>
      </bottom>
      <diagonal/>
    </border>
    <border>
      <left/>
      <right style="thin">
        <color rgb="FFD9E2F3"/>
      </right>
      <top style="thin">
        <color rgb="FFB4C6E7"/>
      </top>
      <bottom style="thin">
        <color rgb="FFB4C6E7"/>
      </bottom>
      <diagonal/>
    </border>
    <border>
      <left/>
      <right style="thin">
        <color rgb="FFD9E2F3"/>
      </right>
      <top style="thin">
        <color rgb="FFB4C6E7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thin">
        <color rgb="FFD9E2F3"/>
      </bottom>
      <diagonal/>
    </border>
    <border>
      <left/>
      <right/>
      <top style="medium">
        <color rgb="FF17365D"/>
      </top>
      <bottom style="thin">
        <color rgb="FFD9E2F3"/>
      </bottom>
      <diagonal/>
    </border>
    <border>
      <left/>
      <right style="medium">
        <color rgb="FF17365D"/>
      </right>
      <top style="medium">
        <color rgb="FF17365D"/>
      </top>
      <bottom style="thin">
        <color rgb="FFD9E2F3"/>
      </bottom>
      <diagonal/>
    </border>
    <border>
      <left style="medium">
        <color rgb="FF17365D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medium">
        <color rgb="FF17365D"/>
      </right>
      <top style="thin">
        <color rgb="FFD9E2F3"/>
      </top>
      <bottom style="thin">
        <color rgb="FFD9E2F3"/>
      </bottom>
      <diagonal/>
    </border>
    <border>
      <left style="medium">
        <color rgb="FF17365D"/>
      </left>
      <right style="thin">
        <color indexed="64"/>
      </right>
      <top style="thin">
        <color rgb="FFD9E2F3"/>
      </top>
      <bottom style="thin">
        <color rgb="FFD9E2F3"/>
      </bottom>
      <diagonal/>
    </border>
    <border>
      <left/>
      <right style="medium">
        <color indexed="64"/>
      </right>
      <top style="thin">
        <color rgb="FFD9E2F3"/>
      </top>
      <bottom style="thin">
        <color rgb="FFD9E2F3"/>
      </bottom>
      <diagonal/>
    </border>
    <border>
      <left style="medium">
        <color indexed="64"/>
      </left>
      <right style="medium">
        <color indexed="64"/>
      </right>
      <top style="thin">
        <color rgb="FFD9E2F3"/>
      </top>
      <bottom style="thin">
        <color rgb="FFD9E2F3"/>
      </bottom>
      <diagonal/>
    </border>
    <border>
      <left style="medium">
        <color rgb="FF17365D"/>
      </left>
      <right/>
      <top style="thin">
        <color rgb="FFD9E2F3"/>
      </top>
      <bottom style="medium">
        <color rgb="FF17365D"/>
      </bottom>
      <diagonal/>
    </border>
    <border>
      <left/>
      <right/>
      <top style="thin">
        <color rgb="FFD9E2F3"/>
      </top>
      <bottom style="medium">
        <color rgb="FF17365D"/>
      </bottom>
      <diagonal/>
    </border>
    <border>
      <left/>
      <right style="medium">
        <color rgb="FF17365D"/>
      </right>
      <top style="thin">
        <color rgb="FFD9E2F3"/>
      </top>
      <bottom style="medium">
        <color rgb="FF17365D"/>
      </bottom>
      <diagonal/>
    </border>
    <border>
      <left style="medium">
        <color rgb="FF17365D"/>
      </left>
      <right/>
      <top/>
      <bottom style="thin">
        <color rgb="FFD9E2F3"/>
      </bottom>
      <diagonal/>
    </border>
    <border>
      <left/>
      <right style="medium">
        <color indexed="64"/>
      </right>
      <top/>
      <bottom style="thin">
        <color rgb="FFD9E2F3"/>
      </bottom>
      <diagonal/>
    </border>
    <border>
      <left/>
      <right style="medium">
        <color rgb="FF17365D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B4C6E7"/>
      </bottom>
      <diagonal/>
    </border>
    <border>
      <left style="thin">
        <color rgb="FFD9E2F3"/>
      </left>
      <right/>
      <top/>
      <bottom style="thin">
        <color rgb="FFB4C6E7"/>
      </bottom>
      <diagonal/>
    </border>
    <border>
      <left style="medium">
        <color rgb="FF17365D"/>
      </left>
      <right style="thin">
        <color rgb="FFD9E2F3"/>
      </right>
      <top/>
      <bottom style="thin">
        <color rgb="FFB4C6E7"/>
      </bottom>
      <diagonal/>
    </border>
    <border>
      <left style="thin">
        <color rgb="FFD9E2F3"/>
      </left>
      <right style="medium">
        <color rgb="FF17365D"/>
      </right>
      <top/>
      <bottom style="thin">
        <color rgb="FFB4C6E7"/>
      </bottom>
      <diagonal/>
    </border>
    <border>
      <left style="medium">
        <color rgb="FF17365D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medium">
        <color rgb="FF17365D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B4C6E7"/>
      </top>
      <bottom/>
      <diagonal/>
    </border>
    <border>
      <left style="thin">
        <color rgb="FFD9E2F3"/>
      </left>
      <right/>
      <top style="thin">
        <color rgb="FFB4C6E7"/>
      </top>
      <bottom/>
      <diagonal/>
    </border>
    <border>
      <left style="medium">
        <color rgb="FF17365D"/>
      </left>
      <right style="thin">
        <color rgb="FFD9E2F3"/>
      </right>
      <top style="thin">
        <color rgb="FFB4C6E7"/>
      </top>
      <bottom/>
      <diagonal/>
    </border>
    <border>
      <left style="thin">
        <color rgb="FFD9E2F3"/>
      </left>
      <right style="medium">
        <color rgb="FF17365D"/>
      </right>
      <top style="thin">
        <color rgb="FFB4C6E7"/>
      </top>
      <bottom/>
      <diagonal/>
    </border>
    <border>
      <left/>
      <right style="thin">
        <color rgb="FFD9E2F3"/>
      </right>
      <top style="medium">
        <color indexed="64"/>
      </top>
      <bottom style="medium">
        <color indexed="64"/>
      </bottom>
      <diagonal/>
    </border>
    <border>
      <left style="thin">
        <color rgb="FFD9E2F3"/>
      </left>
      <right/>
      <top style="medium">
        <color indexed="64"/>
      </top>
      <bottom style="medium">
        <color indexed="64"/>
      </bottom>
      <diagonal/>
    </border>
    <border>
      <left style="medium">
        <color rgb="FF17365D"/>
      </left>
      <right style="thin">
        <color rgb="FFD9E2F3"/>
      </right>
      <top style="medium">
        <color indexed="64"/>
      </top>
      <bottom style="medium">
        <color indexed="64"/>
      </bottom>
      <diagonal/>
    </border>
    <border>
      <left style="thin">
        <color rgb="FFD9E2F3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2">
    <xf numFmtId="0" fontId="0" fillId="0" borderId="0" xfId="0"/>
    <xf numFmtId="0" fontId="0" fillId="3" borderId="0" xfId="0" applyFill="1"/>
    <xf numFmtId="0" fontId="0" fillId="5" borderId="0" xfId="0" applyFill="1"/>
    <xf numFmtId="0" fontId="3" fillId="0" borderId="0" xfId="0" applyFont="1"/>
    <xf numFmtId="0" fontId="0" fillId="0" borderId="4" xfId="0" applyBorder="1"/>
    <xf numFmtId="0" fontId="0" fillId="3" borderId="6" xfId="0" applyFill="1" applyBorder="1"/>
    <xf numFmtId="0" fontId="4" fillId="6" borderId="0" xfId="0" applyFont="1" applyFill="1"/>
    <xf numFmtId="0" fontId="0" fillId="0" borderId="5" xfId="0" applyBorder="1"/>
    <xf numFmtId="0" fontId="0" fillId="11" borderId="0" xfId="0" applyFill="1"/>
    <xf numFmtId="0" fontId="4" fillId="0" borderId="0" xfId="0" applyFont="1"/>
    <xf numFmtId="0" fontId="5" fillId="17" borderId="0" xfId="0" applyFont="1" applyFill="1" applyAlignment="1">
      <alignment horizontal="center"/>
    </xf>
    <xf numFmtId="0" fontId="17" fillId="0" borderId="0" xfId="0" applyFont="1"/>
    <xf numFmtId="0" fontId="0" fillId="0" borderId="0" xfId="0" applyAlignment="1">
      <alignment wrapText="1"/>
    </xf>
    <xf numFmtId="16" fontId="5" fillId="17" borderId="0" xfId="0" applyNumberFormat="1" applyFont="1" applyFill="1" applyAlignment="1">
      <alignment horizontal="center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7" xfId="0" applyBorder="1" applyAlignment="1">
      <alignment wrapText="1"/>
    </xf>
    <xf numFmtId="167" fontId="0" fillId="0" borderId="8" xfId="0" applyNumberFormat="1" applyBorder="1"/>
    <xf numFmtId="167" fontId="0" fillId="0" borderId="9" xfId="0" applyNumberFormat="1" applyBorder="1"/>
    <xf numFmtId="167" fontId="0" fillId="0" borderId="7" xfId="0" applyNumberFormat="1" applyBorder="1"/>
    <xf numFmtId="167" fontId="4" fillId="15" borderId="8" xfId="0" applyNumberFormat="1" applyFont="1" applyFill="1" applyBorder="1"/>
    <xf numFmtId="167" fontId="4" fillId="15" borderId="9" xfId="0" applyNumberFormat="1" applyFont="1" applyFill="1" applyBorder="1"/>
    <xf numFmtId="167" fontId="4" fillId="15" borderId="7" xfId="0" applyNumberFormat="1" applyFont="1" applyFill="1" applyBorder="1"/>
    <xf numFmtId="0" fontId="4" fillId="11" borderId="0" xfId="0" applyFont="1" applyFill="1"/>
    <xf numFmtId="0" fontId="20" fillId="0" borderId="0" xfId="0" applyFont="1"/>
    <xf numFmtId="0" fontId="20" fillId="11" borderId="0" xfId="0" applyFont="1" applyFill="1"/>
    <xf numFmtId="0" fontId="5" fillId="13" borderId="0" xfId="0" applyFont="1" applyFill="1" applyAlignment="1" applyProtection="1">
      <alignment horizontal="center" vertical="center"/>
      <protection locked="0"/>
    </xf>
    <xf numFmtId="166" fontId="4" fillId="14" borderId="0" xfId="0" applyNumberFormat="1" applyFont="1" applyFill="1" applyAlignment="1" applyProtection="1">
      <alignment horizontal="center" vertical="center"/>
      <protection locked="0"/>
    </xf>
    <xf numFmtId="0" fontId="4" fillId="14" borderId="0" xfId="0" applyFont="1" applyFill="1" applyAlignment="1" applyProtection="1">
      <alignment horizontal="center" vertical="center"/>
      <protection locked="0"/>
    </xf>
    <xf numFmtId="0" fontId="4" fillId="15" borderId="0" xfId="0" applyFont="1" applyFill="1" applyAlignment="1" applyProtection="1">
      <alignment horizontal="center" vertical="center"/>
      <protection locked="0"/>
    </xf>
    <xf numFmtId="0" fontId="8" fillId="16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9" fillId="13" borderId="24" xfId="0" applyFont="1" applyFill="1" applyBorder="1" applyAlignment="1" applyProtection="1">
      <alignment horizontal="center" vertical="center"/>
      <protection locked="0"/>
    </xf>
    <xf numFmtId="0" fontId="9" fillId="13" borderId="25" xfId="0" applyFont="1" applyFill="1" applyBorder="1" applyAlignment="1" applyProtection="1">
      <alignment horizontal="center" vertical="center"/>
      <protection locked="0"/>
    </xf>
    <xf numFmtId="0" fontId="9" fillId="13" borderId="26" xfId="0" applyFont="1" applyFill="1" applyBorder="1" applyAlignment="1" applyProtection="1">
      <alignment horizontal="center" vertical="center"/>
      <protection locked="0"/>
    </xf>
    <xf numFmtId="0" fontId="9" fillId="13" borderId="27" xfId="0" applyFont="1" applyFill="1" applyBorder="1" applyAlignment="1" applyProtection="1">
      <alignment horizontal="center" vertical="center"/>
      <protection locked="0"/>
    </xf>
    <xf numFmtId="0" fontId="9" fillId="13" borderId="28" xfId="0" applyFont="1" applyFill="1" applyBorder="1" applyAlignment="1" applyProtection="1">
      <alignment horizontal="center" vertical="center"/>
      <protection locked="0"/>
    </xf>
    <xf numFmtId="0" fontId="10" fillId="12" borderId="26" xfId="0" applyFont="1" applyFill="1" applyBorder="1" applyAlignment="1" applyProtection="1">
      <alignment horizontal="center" vertical="center"/>
      <protection locked="0"/>
    </xf>
    <xf numFmtId="0" fontId="11" fillId="12" borderId="27" xfId="0" applyFont="1" applyFill="1" applyBorder="1" applyAlignment="1" applyProtection="1">
      <alignment vertical="center"/>
      <protection locked="0"/>
    </xf>
    <xf numFmtId="167" fontId="11" fillId="12" borderId="28" xfId="0" applyNumberFormat="1" applyFont="1" applyFill="1" applyBorder="1" applyAlignment="1" applyProtection="1">
      <alignment vertical="center"/>
      <protection locked="0"/>
    </xf>
    <xf numFmtId="167" fontId="11" fillId="15" borderId="21" xfId="0" applyNumberFormat="1" applyFont="1" applyFill="1" applyBorder="1" applyAlignment="1" applyProtection="1">
      <alignment horizontal="center" vertical="center"/>
      <protection locked="0"/>
    </xf>
    <xf numFmtId="167" fontId="11" fillId="15" borderId="13" xfId="0" applyNumberFormat="1" applyFont="1" applyFill="1" applyBorder="1" applyAlignment="1" applyProtection="1">
      <alignment horizontal="center" vertical="center"/>
      <protection locked="0"/>
    </xf>
    <xf numFmtId="167" fontId="11" fillId="18" borderId="13" xfId="0" applyNumberFormat="1" applyFont="1" applyFill="1" applyBorder="1" applyAlignment="1" applyProtection="1">
      <alignment horizontal="center" vertical="center"/>
      <protection locked="0"/>
    </xf>
    <xf numFmtId="0" fontId="12" fillId="5" borderId="26" xfId="0" applyFont="1" applyFill="1" applyBorder="1" applyAlignment="1" applyProtection="1">
      <alignment vertical="center"/>
      <protection locked="0"/>
    </xf>
    <xf numFmtId="0" fontId="12" fillId="5" borderId="27" xfId="0" applyFont="1" applyFill="1" applyBorder="1" applyAlignment="1" applyProtection="1">
      <alignment vertical="center"/>
      <protection locked="0"/>
    </xf>
    <xf numFmtId="167" fontId="12" fillId="5" borderId="28" xfId="0" applyNumberFormat="1" applyFont="1" applyFill="1" applyBorder="1" applyAlignment="1" applyProtection="1">
      <alignment vertical="center"/>
      <protection locked="0"/>
    </xf>
    <xf numFmtId="167" fontId="12" fillId="15" borderId="21" xfId="1" applyNumberFormat="1" applyFont="1" applyFill="1" applyBorder="1" applyAlignment="1" applyProtection="1">
      <alignment vertical="center"/>
      <protection locked="0"/>
    </xf>
    <xf numFmtId="167" fontId="12" fillId="15" borderId="18" xfId="1" applyNumberFormat="1" applyFont="1" applyFill="1" applyBorder="1" applyAlignment="1" applyProtection="1">
      <alignment vertical="center"/>
      <protection locked="0"/>
    </xf>
    <xf numFmtId="167" fontId="12" fillId="15" borderId="13" xfId="1" applyNumberFormat="1" applyFont="1" applyFill="1" applyBorder="1" applyAlignment="1" applyProtection="1">
      <alignment vertical="center"/>
      <protection locked="0"/>
    </xf>
    <xf numFmtId="167" fontId="12" fillId="18" borderId="13" xfId="1" applyNumberFormat="1" applyFont="1" applyFill="1" applyBorder="1" applyAlignment="1" applyProtection="1">
      <alignment vertical="center"/>
      <protection locked="0"/>
    </xf>
    <xf numFmtId="167" fontId="13" fillId="18" borderId="18" xfId="1" applyNumberFormat="1" applyFont="1" applyFill="1" applyBorder="1" applyAlignment="1" applyProtection="1">
      <alignment vertical="center"/>
      <protection locked="0"/>
    </xf>
    <xf numFmtId="167" fontId="12" fillId="15" borderId="14" xfId="1" applyNumberFormat="1" applyFont="1" applyFill="1" applyBorder="1" applyAlignment="1" applyProtection="1">
      <alignment vertical="center"/>
      <protection locked="0"/>
    </xf>
    <xf numFmtId="0" fontId="12" fillId="0" borderId="26" xfId="0" applyFont="1" applyBorder="1" applyAlignment="1" applyProtection="1">
      <alignment vertical="center"/>
      <protection locked="0"/>
    </xf>
    <xf numFmtId="0" fontId="12" fillId="0" borderId="27" xfId="0" applyFont="1" applyBorder="1" applyAlignment="1" applyProtection="1">
      <alignment vertical="center"/>
      <protection locked="0"/>
    </xf>
    <xf numFmtId="167" fontId="12" fillId="0" borderId="28" xfId="0" applyNumberFormat="1" applyFont="1" applyBorder="1" applyAlignment="1" applyProtection="1">
      <alignment vertical="center"/>
      <protection locked="0"/>
    </xf>
    <xf numFmtId="167" fontId="12" fillId="18" borderId="13" xfId="0" applyNumberFormat="1" applyFont="1" applyFill="1" applyBorder="1" applyAlignment="1" applyProtection="1">
      <alignment horizontal="center" vertical="center"/>
      <protection locked="0"/>
    </xf>
    <xf numFmtId="167" fontId="13" fillId="18" borderId="18" xfId="0" applyNumberFormat="1" applyFont="1" applyFill="1" applyBorder="1" applyAlignment="1" applyProtection="1">
      <alignment horizontal="center" vertical="center"/>
      <protection locked="0"/>
    </xf>
    <xf numFmtId="164" fontId="12" fillId="0" borderId="26" xfId="0" applyNumberFormat="1" applyFont="1" applyBorder="1" applyAlignment="1" applyProtection="1">
      <alignment vertical="center"/>
      <protection locked="0"/>
    </xf>
    <xf numFmtId="164" fontId="12" fillId="0" borderId="27" xfId="0" applyNumberFormat="1" applyFont="1" applyBorder="1" applyAlignment="1" applyProtection="1">
      <alignment vertical="center"/>
      <protection locked="0"/>
    </xf>
    <xf numFmtId="20" fontId="12" fillId="14" borderId="28" xfId="0" applyNumberFormat="1" applyFont="1" applyFill="1" applyBorder="1" applyAlignment="1" applyProtection="1">
      <alignment vertical="center"/>
      <protection locked="0"/>
    </xf>
    <xf numFmtId="20" fontId="12" fillId="0" borderId="21" xfId="0" applyNumberFormat="1" applyFont="1" applyBorder="1" applyAlignment="1" applyProtection="1">
      <alignment vertical="center"/>
      <protection locked="0"/>
    </xf>
    <xf numFmtId="20" fontId="12" fillId="14" borderId="18" xfId="0" applyNumberFormat="1" applyFont="1" applyFill="1" applyBorder="1" applyAlignment="1" applyProtection="1">
      <alignment vertical="center"/>
      <protection locked="0"/>
    </xf>
    <xf numFmtId="20" fontId="12" fillId="0" borderId="13" xfId="0" applyNumberFormat="1" applyFont="1" applyBorder="1" applyAlignment="1" applyProtection="1">
      <alignment vertical="center"/>
      <protection locked="0"/>
    </xf>
    <xf numFmtId="20" fontId="12" fillId="18" borderId="13" xfId="0" applyNumberFormat="1" applyFont="1" applyFill="1" applyBorder="1" applyAlignment="1" applyProtection="1">
      <alignment vertical="center"/>
      <protection locked="0"/>
    </xf>
    <xf numFmtId="20" fontId="13" fillId="18" borderId="18" xfId="0" applyNumberFormat="1" applyFont="1" applyFill="1" applyBorder="1" applyAlignment="1" applyProtection="1">
      <alignment vertical="center"/>
      <protection locked="0"/>
    </xf>
    <xf numFmtId="20" fontId="12" fillId="14" borderId="14" xfId="0" applyNumberFormat="1" applyFont="1" applyFill="1" applyBorder="1" applyAlignment="1" applyProtection="1">
      <alignment vertical="center"/>
      <protection locked="0"/>
    </xf>
    <xf numFmtId="167" fontId="12" fillId="14" borderId="28" xfId="0" applyNumberFormat="1" applyFont="1" applyFill="1" applyBorder="1" applyAlignment="1" applyProtection="1">
      <alignment vertical="center"/>
      <protection locked="0"/>
    </xf>
    <xf numFmtId="167" fontId="12" fillId="0" borderId="21" xfId="0" applyNumberFormat="1" applyFont="1" applyBorder="1" applyAlignment="1" applyProtection="1">
      <alignment vertical="center"/>
      <protection locked="0"/>
    </xf>
    <xf numFmtId="167" fontId="12" fillId="14" borderId="18" xfId="0" applyNumberFormat="1" applyFont="1" applyFill="1" applyBorder="1" applyAlignment="1" applyProtection="1">
      <alignment vertical="center"/>
      <protection locked="0"/>
    </xf>
    <xf numFmtId="167" fontId="12" fillId="0" borderId="13" xfId="0" applyNumberFormat="1" applyFont="1" applyBorder="1" applyAlignment="1" applyProtection="1">
      <alignment vertical="center"/>
      <protection locked="0"/>
    </xf>
    <xf numFmtId="167" fontId="12" fillId="18" borderId="13" xfId="0" applyNumberFormat="1" applyFont="1" applyFill="1" applyBorder="1" applyAlignment="1" applyProtection="1">
      <alignment vertical="center"/>
      <protection locked="0"/>
    </xf>
    <xf numFmtId="167" fontId="13" fillId="18" borderId="18" xfId="0" applyNumberFormat="1" applyFont="1" applyFill="1" applyBorder="1" applyAlignment="1" applyProtection="1">
      <alignment vertical="center"/>
      <protection locked="0"/>
    </xf>
    <xf numFmtId="167" fontId="12" fillId="14" borderId="14" xfId="0" applyNumberFormat="1" applyFont="1" applyFill="1" applyBorder="1" applyAlignment="1" applyProtection="1">
      <alignment vertical="center"/>
      <protection locked="0"/>
    </xf>
    <xf numFmtId="0" fontId="9" fillId="17" borderId="26" xfId="0" applyFont="1" applyFill="1" applyBorder="1" applyAlignment="1" applyProtection="1">
      <alignment vertical="center"/>
      <protection locked="0"/>
    </xf>
    <xf numFmtId="0" fontId="9" fillId="17" borderId="27" xfId="0" applyFont="1" applyFill="1" applyBorder="1" applyAlignment="1" applyProtection="1">
      <alignment vertical="center"/>
      <protection locked="0"/>
    </xf>
    <xf numFmtId="167" fontId="9" fillId="17" borderId="28" xfId="0" applyNumberFormat="1" applyFont="1" applyFill="1" applyBorder="1" applyAlignment="1" applyProtection="1">
      <alignment vertical="center"/>
      <protection locked="0"/>
    </xf>
    <xf numFmtId="167" fontId="9" fillId="17" borderId="21" xfId="0" applyNumberFormat="1" applyFont="1" applyFill="1" applyBorder="1" applyAlignment="1" applyProtection="1">
      <alignment vertical="center"/>
      <protection locked="0"/>
    </xf>
    <xf numFmtId="167" fontId="9" fillId="14" borderId="18" xfId="0" applyNumberFormat="1" applyFont="1" applyFill="1" applyBorder="1" applyAlignment="1" applyProtection="1">
      <alignment vertical="center"/>
      <protection locked="0"/>
    </xf>
    <xf numFmtId="167" fontId="9" fillId="17" borderId="13" xfId="0" applyNumberFormat="1" applyFont="1" applyFill="1" applyBorder="1" applyAlignment="1" applyProtection="1">
      <alignment vertical="center"/>
      <protection locked="0"/>
    </xf>
    <xf numFmtId="167" fontId="9" fillId="18" borderId="13" xfId="0" applyNumberFormat="1" applyFont="1" applyFill="1" applyBorder="1" applyAlignment="1" applyProtection="1">
      <alignment vertical="center"/>
      <protection locked="0"/>
    </xf>
    <xf numFmtId="167" fontId="9" fillId="18" borderId="18" xfId="0" applyNumberFormat="1" applyFont="1" applyFill="1" applyBorder="1" applyAlignment="1" applyProtection="1">
      <alignment vertical="center"/>
      <protection locked="0"/>
    </xf>
    <xf numFmtId="167" fontId="9" fillId="14" borderId="14" xfId="0" applyNumberFormat="1" applyFont="1" applyFill="1" applyBorder="1" applyAlignment="1" applyProtection="1">
      <alignment vertical="center"/>
      <protection locked="0"/>
    </xf>
    <xf numFmtId="0" fontId="12" fillId="0" borderId="29" xfId="0" applyFont="1" applyBorder="1" applyAlignment="1" applyProtection="1">
      <alignment vertical="center"/>
      <protection locked="0"/>
    </xf>
    <xf numFmtId="167" fontId="12" fillId="14" borderId="28" xfId="1" applyNumberFormat="1" applyFont="1" applyFill="1" applyBorder="1" applyAlignment="1" applyProtection="1">
      <alignment vertical="center"/>
      <protection locked="0"/>
    </xf>
    <xf numFmtId="167" fontId="12" fillId="0" borderId="21" xfId="1" applyNumberFormat="1" applyFont="1" applyBorder="1" applyAlignment="1" applyProtection="1">
      <alignment vertical="center"/>
      <protection locked="0"/>
    </xf>
    <xf numFmtId="167" fontId="12" fillId="14" borderId="18" xfId="1" applyNumberFormat="1" applyFont="1" applyFill="1" applyBorder="1" applyAlignment="1" applyProtection="1">
      <alignment vertical="center"/>
      <protection locked="0"/>
    </xf>
    <xf numFmtId="167" fontId="12" fillId="0" borderId="13" xfId="1" applyNumberFormat="1" applyFont="1" applyBorder="1" applyAlignment="1" applyProtection="1">
      <alignment vertical="center"/>
      <protection locked="0"/>
    </xf>
    <xf numFmtId="167" fontId="12" fillId="14" borderId="14" xfId="1" applyNumberFormat="1" applyFont="1" applyFill="1" applyBorder="1" applyAlignment="1" applyProtection="1">
      <alignment vertical="center"/>
      <protection locked="0"/>
    </xf>
    <xf numFmtId="0" fontId="12" fillId="3" borderId="29" xfId="0" applyFont="1" applyFill="1" applyBorder="1" applyAlignment="1" applyProtection="1">
      <alignment vertical="center"/>
      <protection locked="0"/>
    </xf>
    <xf numFmtId="0" fontId="12" fillId="3" borderId="27" xfId="0" applyFont="1" applyFill="1" applyBorder="1" applyAlignment="1" applyProtection="1">
      <alignment vertical="center"/>
      <protection locked="0"/>
    </xf>
    <xf numFmtId="167" fontId="13" fillId="15" borderId="18" xfId="1" applyNumberFormat="1" applyFont="1" applyFill="1" applyBorder="1" applyAlignment="1" applyProtection="1">
      <alignment vertical="center"/>
      <protection locked="0"/>
    </xf>
    <xf numFmtId="167" fontId="13" fillId="18" borderId="13" xfId="1" applyNumberFormat="1" applyFont="1" applyFill="1" applyBorder="1" applyAlignment="1" applyProtection="1">
      <alignment vertical="center"/>
      <protection locked="0"/>
    </xf>
    <xf numFmtId="167" fontId="13" fillId="15" borderId="14" xfId="1" applyNumberFormat="1" applyFont="1" applyFill="1" applyBorder="1" applyAlignment="1" applyProtection="1">
      <alignment vertical="center"/>
      <protection locked="0"/>
    </xf>
    <xf numFmtId="0" fontId="12" fillId="2" borderId="29" xfId="0" applyFont="1" applyFill="1" applyBorder="1" applyAlignment="1" applyProtection="1">
      <alignment vertical="center"/>
      <protection locked="0"/>
    </xf>
    <xf numFmtId="0" fontId="12" fillId="2" borderId="27" xfId="0" applyFont="1" applyFill="1" applyBorder="1" applyAlignment="1" applyProtection="1">
      <alignment vertical="center"/>
      <protection locked="0"/>
    </xf>
    <xf numFmtId="167" fontId="12" fillId="2" borderId="21" xfId="1" applyNumberFormat="1" applyFont="1" applyFill="1" applyBorder="1" applyAlignment="1" applyProtection="1">
      <alignment vertical="center"/>
      <protection locked="0"/>
    </xf>
    <xf numFmtId="167" fontId="12" fillId="2" borderId="13" xfId="1" applyNumberFormat="1" applyFont="1" applyFill="1" applyBorder="1" applyAlignment="1" applyProtection="1">
      <alignment vertical="center"/>
      <protection locked="0"/>
    </xf>
    <xf numFmtId="0" fontId="12" fillId="3" borderId="26" xfId="0" applyFont="1" applyFill="1" applyBorder="1" applyAlignment="1" applyProtection="1">
      <alignment vertical="center"/>
      <protection locked="0"/>
    </xf>
    <xf numFmtId="167" fontId="12" fillId="10" borderId="13" xfId="1" applyNumberFormat="1" applyFont="1" applyFill="1" applyBorder="1" applyAlignment="1" applyProtection="1">
      <alignment vertical="center"/>
      <protection locked="0"/>
    </xf>
    <xf numFmtId="0" fontId="9" fillId="17" borderId="29" xfId="0" applyFont="1" applyFill="1" applyBorder="1" applyAlignment="1" applyProtection="1">
      <alignment vertical="center"/>
      <protection locked="0"/>
    </xf>
    <xf numFmtId="167" fontId="9" fillId="14" borderId="28" xfId="1" applyNumberFormat="1" applyFont="1" applyFill="1" applyBorder="1" applyAlignment="1" applyProtection="1">
      <alignment vertical="center"/>
      <protection locked="0"/>
    </xf>
    <xf numFmtId="167" fontId="9" fillId="17" borderId="21" xfId="1" applyNumberFormat="1" applyFont="1" applyFill="1" applyBorder="1" applyAlignment="1" applyProtection="1">
      <alignment vertical="center"/>
      <protection locked="0"/>
    </xf>
    <xf numFmtId="167" fontId="9" fillId="14" borderId="18" xfId="1" applyNumberFormat="1" applyFont="1" applyFill="1" applyBorder="1" applyAlignment="1" applyProtection="1">
      <alignment vertical="center"/>
      <protection locked="0"/>
    </xf>
    <xf numFmtId="167" fontId="9" fillId="17" borderId="13" xfId="1" applyNumberFormat="1" applyFont="1" applyFill="1" applyBorder="1" applyAlignment="1" applyProtection="1">
      <alignment vertical="center"/>
      <protection locked="0"/>
    </xf>
    <xf numFmtId="167" fontId="9" fillId="18" borderId="13" xfId="1" applyNumberFormat="1" applyFont="1" applyFill="1" applyBorder="1" applyAlignment="1" applyProtection="1">
      <alignment vertical="center"/>
      <protection locked="0"/>
    </xf>
    <xf numFmtId="167" fontId="9" fillId="18" borderId="18" xfId="1" applyNumberFormat="1" applyFont="1" applyFill="1" applyBorder="1" applyAlignment="1" applyProtection="1">
      <alignment vertical="center"/>
      <protection locked="0"/>
    </xf>
    <xf numFmtId="167" fontId="9" fillId="14" borderId="14" xfId="1" applyNumberFormat="1" applyFont="1" applyFill="1" applyBorder="1" applyAlignment="1" applyProtection="1">
      <alignment vertical="center"/>
      <protection locked="0"/>
    </xf>
    <xf numFmtId="0" fontId="12" fillId="4" borderId="29" xfId="0" applyFont="1" applyFill="1" applyBorder="1" applyAlignment="1" applyProtection="1">
      <alignment vertical="center"/>
      <protection locked="0"/>
    </xf>
    <xf numFmtId="0" fontId="12" fillId="4" borderId="27" xfId="0" applyFont="1" applyFill="1" applyBorder="1" applyAlignment="1" applyProtection="1">
      <alignment vertical="center"/>
      <protection locked="0"/>
    </xf>
    <xf numFmtId="0" fontId="19" fillId="3" borderId="29" xfId="0" applyFont="1" applyFill="1" applyBorder="1" applyAlignment="1" applyProtection="1">
      <alignment vertical="center"/>
      <protection locked="0"/>
    </xf>
    <xf numFmtId="0" fontId="9" fillId="17" borderId="42" xfId="0" applyFont="1" applyFill="1" applyBorder="1" applyAlignment="1" applyProtection="1">
      <alignment vertical="center"/>
      <protection locked="0"/>
    </xf>
    <xf numFmtId="0" fontId="9" fillId="17" borderId="43" xfId="0" applyFont="1" applyFill="1" applyBorder="1" applyAlignment="1" applyProtection="1">
      <alignment vertical="center"/>
      <protection locked="0"/>
    </xf>
    <xf numFmtId="167" fontId="9" fillId="17" borderId="44" xfId="1" applyNumberFormat="1" applyFont="1" applyFill="1" applyBorder="1" applyAlignment="1" applyProtection="1">
      <alignment vertical="center"/>
      <protection locked="0"/>
    </xf>
    <xf numFmtId="167" fontId="9" fillId="17" borderId="45" xfId="1" applyNumberFormat="1" applyFont="1" applyFill="1" applyBorder="1" applyAlignment="1" applyProtection="1">
      <alignment vertical="center"/>
      <protection locked="0"/>
    </xf>
    <xf numFmtId="167" fontId="9" fillId="17" borderId="46" xfId="1" applyNumberFormat="1" applyFont="1" applyFill="1" applyBorder="1" applyAlignment="1" applyProtection="1">
      <alignment vertical="center"/>
      <protection locked="0"/>
    </xf>
    <xf numFmtId="167" fontId="9" fillId="17" borderId="47" xfId="1" applyNumberFormat="1" applyFont="1" applyFill="1" applyBorder="1" applyAlignment="1" applyProtection="1">
      <alignment vertical="center"/>
      <protection locked="0"/>
    </xf>
    <xf numFmtId="167" fontId="9" fillId="18" borderId="47" xfId="1" applyNumberFormat="1" applyFont="1" applyFill="1" applyBorder="1" applyAlignment="1" applyProtection="1">
      <alignment vertical="center"/>
      <protection locked="0"/>
    </xf>
    <xf numFmtId="167" fontId="9" fillId="18" borderId="46" xfId="1" applyNumberFormat="1" applyFont="1" applyFill="1" applyBorder="1" applyAlignment="1" applyProtection="1">
      <alignment vertical="center"/>
      <protection locked="0"/>
    </xf>
    <xf numFmtId="167" fontId="9" fillId="14" borderId="48" xfId="1" applyNumberFormat="1" applyFont="1" applyFill="1" applyBorder="1" applyAlignment="1" applyProtection="1">
      <alignment vertical="center"/>
      <protection locked="0"/>
    </xf>
    <xf numFmtId="0" fontId="19" fillId="3" borderId="3" xfId="0" applyFont="1" applyFill="1" applyBorder="1" applyAlignment="1" applyProtection="1">
      <alignment vertical="center"/>
      <protection locked="0"/>
    </xf>
    <xf numFmtId="0" fontId="20" fillId="3" borderId="6" xfId="0" applyFont="1" applyFill="1" applyBorder="1" applyAlignment="1" applyProtection="1">
      <alignment vertical="center"/>
      <protection locked="0"/>
    </xf>
    <xf numFmtId="167" fontId="20" fillId="3" borderId="10" xfId="1" applyNumberFormat="1" applyFont="1" applyFill="1" applyBorder="1" applyAlignment="1" applyProtection="1">
      <alignment vertical="center"/>
      <protection locked="0"/>
    </xf>
    <xf numFmtId="167" fontId="20" fillId="3" borderId="49" xfId="1" applyNumberFormat="1" applyFont="1" applyFill="1" applyBorder="1" applyAlignment="1" applyProtection="1">
      <alignment vertical="center"/>
      <protection locked="0"/>
    </xf>
    <xf numFmtId="167" fontId="20" fillId="3" borderId="51" xfId="1" applyNumberFormat="1" applyFont="1" applyFill="1" applyBorder="1" applyAlignment="1" applyProtection="1">
      <alignment vertical="center"/>
      <protection locked="0"/>
    </xf>
    <xf numFmtId="167" fontId="20" fillId="15" borderId="51" xfId="1" applyNumberFormat="1" applyFont="1" applyFill="1" applyBorder="1" applyAlignment="1" applyProtection="1">
      <alignment vertical="center"/>
      <protection locked="0"/>
    </xf>
    <xf numFmtId="0" fontId="12" fillId="0" borderId="35" xfId="0" applyFont="1" applyBorder="1" applyAlignment="1" applyProtection="1">
      <alignment vertical="center"/>
      <protection locked="0"/>
    </xf>
    <xf numFmtId="167" fontId="12" fillId="14" borderId="37" xfId="1" applyNumberFormat="1" applyFont="1" applyFill="1" applyBorder="1" applyAlignment="1" applyProtection="1">
      <alignment vertical="center"/>
      <protection locked="0"/>
    </xf>
    <xf numFmtId="167" fontId="12" fillId="15" borderId="39" xfId="1" applyNumberFormat="1" applyFont="1" applyFill="1" applyBorder="1" applyAlignment="1" applyProtection="1">
      <alignment vertical="center"/>
      <protection locked="0"/>
    </xf>
    <xf numFmtId="167" fontId="12" fillId="18" borderId="40" xfId="1" applyNumberFormat="1" applyFont="1" applyFill="1" applyBorder="1" applyAlignment="1" applyProtection="1">
      <alignment vertical="center"/>
      <protection locked="0"/>
    </xf>
    <xf numFmtId="167" fontId="12" fillId="14" borderId="41" xfId="1" applyNumberFormat="1" applyFont="1" applyFill="1" applyBorder="1" applyAlignment="1" applyProtection="1">
      <alignment vertical="center"/>
      <protection locked="0"/>
    </xf>
    <xf numFmtId="167" fontId="12" fillId="3" borderId="28" xfId="1" applyNumberFormat="1" applyFont="1" applyFill="1" applyBorder="1" applyAlignment="1" applyProtection="1">
      <alignment vertical="center"/>
      <protection locked="0"/>
    </xf>
    <xf numFmtId="0" fontId="12" fillId="7" borderId="26" xfId="0" applyFont="1" applyFill="1" applyBorder="1" applyAlignment="1" applyProtection="1">
      <alignment vertical="center"/>
      <protection locked="0"/>
    </xf>
    <xf numFmtId="43" fontId="12" fillId="5" borderId="27" xfId="0" applyNumberFormat="1" applyFont="1" applyFill="1" applyBorder="1" applyAlignment="1" applyProtection="1">
      <alignment vertical="center"/>
      <protection locked="0"/>
    </xf>
    <xf numFmtId="0" fontId="12" fillId="8" borderId="26" xfId="0" applyFont="1" applyFill="1" applyBorder="1" applyAlignment="1" applyProtection="1">
      <alignment vertical="center"/>
      <protection locked="0"/>
    </xf>
    <xf numFmtId="0" fontId="12" fillId="6" borderId="26" xfId="0" applyFont="1" applyFill="1" applyBorder="1" applyAlignment="1" applyProtection="1">
      <alignment vertical="center"/>
      <protection locked="0"/>
    </xf>
    <xf numFmtId="0" fontId="12" fillId="9" borderId="26" xfId="0" applyFont="1" applyFill="1" applyBorder="1" applyAlignment="1" applyProtection="1">
      <alignment vertical="center"/>
      <protection locked="0"/>
    </xf>
    <xf numFmtId="43" fontId="12" fillId="3" borderId="26" xfId="1" applyFont="1" applyFill="1" applyBorder="1" applyAlignment="1" applyProtection="1">
      <alignment vertical="center"/>
      <protection locked="0"/>
    </xf>
    <xf numFmtId="43" fontId="12" fillId="5" borderId="31" xfId="0" applyNumberFormat="1" applyFont="1" applyFill="1" applyBorder="1" applyAlignment="1" applyProtection="1">
      <alignment vertical="center"/>
      <protection locked="0"/>
    </xf>
    <xf numFmtId="167" fontId="13" fillId="3" borderId="28" xfId="1" applyNumberFormat="1" applyFont="1" applyFill="1" applyBorder="1" applyAlignment="1" applyProtection="1">
      <alignment vertical="center"/>
      <protection locked="0"/>
    </xf>
    <xf numFmtId="167" fontId="12" fillId="0" borderId="28" xfId="1" applyNumberFormat="1" applyFont="1" applyFill="1" applyBorder="1" applyAlignment="1" applyProtection="1">
      <alignment vertical="center"/>
      <protection locked="0"/>
    </xf>
    <xf numFmtId="167" fontId="9" fillId="17" borderId="28" xfId="1" applyNumberFormat="1" applyFont="1" applyFill="1" applyBorder="1" applyAlignment="1" applyProtection="1">
      <alignment vertical="center"/>
      <protection locked="0"/>
    </xf>
    <xf numFmtId="167" fontId="9" fillId="17" borderId="18" xfId="1" applyNumberFormat="1" applyFont="1" applyFill="1" applyBorder="1" applyAlignment="1" applyProtection="1">
      <alignment vertical="center"/>
      <protection locked="0"/>
    </xf>
    <xf numFmtId="167" fontId="14" fillId="14" borderId="14" xfId="1" applyNumberFormat="1" applyFont="1" applyFill="1" applyBorder="1" applyAlignment="1" applyProtection="1">
      <alignment vertical="center"/>
      <protection locked="0"/>
    </xf>
    <xf numFmtId="167" fontId="12" fillId="0" borderId="28" xfId="1" applyNumberFormat="1" applyFont="1" applyBorder="1" applyAlignment="1" applyProtection="1">
      <alignment vertical="center"/>
      <protection locked="0"/>
    </xf>
    <xf numFmtId="167" fontId="12" fillId="0" borderId="18" xfId="1" applyNumberFormat="1" applyFont="1" applyBorder="1" applyAlignment="1" applyProtection="1">
      <alignment vertical="center"/>
      <protection locked="0"/>
    </xf>
    <xf numFmtId="167" fontId="12" fillId="14" borderId="21" xfId="1" applyNumberFormat="1" applyFont="1" applyFill="1" applyBorder="1" applyAlignment="1" applyProtection="1">
      <alignment vertical="center"/>
      <protection locked="0"/>
    </xf>
    <xf numFmtId="167" fontId="12" fillId="14" borderId="13" xfId="1" applyNumberFormat="1" applyFont="1" applyFill="1" applyBorder="1" applyAlignment="1" applyProtection="1">
      <alignment vertical="center"/>
      <protection locked="0"/>
    </xf>
    <xf numFmtId="167" fontId="9" fillId="17" borderId="18" xfId="0" applyNumberFormat="1" applyFont="1" applyFill="1" applyBorder="1" applyAlignment="1" applyProtection="1">
      <alignment vertical="center"/>
      <protection locked="0"/>
    </xf>
    <xf numFmtId="0" fontId="13" fillId="6" borderId="26" xfId="0" applyFont="1" applyFill="1" applyBorder="1" applyAlignment="1" applyProtection="1">
      <alignment vertical="center"/>
      <protection locked="0"/>
    </xf>
    <xf numFmtId="0" fontId="13" fillId="6" borderId="27" xfId="0" applyFont="1" applyFill="1" applyBorder="1" applyAlignment="1" applyProtection="1">
      <alignment vertical="center"/>
      <protection locked="0"/>
    </xf>
    <xf numFmtId="167" fontId="12" fillId="6" borderId="21" xfId="0" applyNumberFormat="1" applyFont="1" applyFill="1" applyBorder="1" applyAlignment="1" applyProtection="1">
      <alignment vertical="center"/>
      <protection locked="0"/>
    </xf>
    <xf numFmtId="167" fontId="12" fillId="6" borderId="13" xfId="0" applyNumberFormat="1" applyFont="1" applyFill="1" applyBorder="1" applyAlignment="1" applyProtection="1">
      <alignment vertical="center"/>
      <protection locked="0"/>
    </xf>
    <xf numFmtId="167" fontId="9" fillId="14" borderId="28" xfId="0" applyNumberFormat="1" applyFont="1" applyFill="1" applyBorder="1" applyAlignment="1" applyProtection="1">
      <alignment vertical="center"/>
      <protection locked="0"/>
    </xf>
    <xf numFmtId="0" fontId="12" fillId="0" borderId="32" xfId="0" applyFont="1" applyBorder="1" applyAlignment="1" applyProtection="1">
      <alignment vertical="center"/>
      <protection locked="0"/>
    </xf>
    <xf numFmtId="0" fontId="12" fillId="0" borderId="33" xfId="0" applyFont="1" applyBorder="1" applyAlignment="1" applyProtection="1">
      <alignment vertical="center"/>
      <protection locked="0"/>
    </xf>
    <xf numFmtId="167" fontId="12" fillId="14" borderId="34" xfId="0" applyNumberFormat="1" applyFont="1" applyFill="1" applyBorder="1" applyAlignment="1" applyProtection="1">
      <alignment vertical="center"/>
      <protection locked="0"/>
    </xf>
    <xf numFmtId="167" fontId="12" fillId="0" borderId="22" xfId="0" applyNumberFormat="1" applyFont="1" applyBorder="1" applyAlignment="1" applyProtection="1">
      <alignment vertical="center"/>
      <protection locked="0"/>
    </xf>
    <xf numFmtId="167" fontId="12" fillId="14" borderId="19" xfId="0" applyNumberFormat="1" applyFont="1" applyFill="1" applyBorder="1" applyAlignment="1" applyProtection="1">
      <alignment vertical="center"/>
      <protection locked="0"/>
    </xf>
    <xf numFmtId="167" fontId="12" fillId="0" borderId="15" xfId="0" applyNumberFormat="1" applyFont="1" applyBorder="1" applyAlignment="1" applyProtection="1">
      <alignment vertical="center"/>
      <protection locked="0"/>
    </xf>
    <xf numFmtId="167" fontId="12" fillId="18" borderId="15" xfId="0" applyNumberFormat="1" applyFont="1" applyFill="1" applyBorder="1" applyAlignment="1" applyProtection="1">
      <alignment vertical="center"/>
      <protection locked="0"/>
    </xf>
    <xf numFmtId="167" fontId="12" fillId="14" borderId="16" xfId="0" applyNumberFormat="1" applyFont="1" applyFill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9" fillId="13" borderId="23" xfId="0" applyFont="1" applyFill="1" applyBorder="1" applyAlignment="1">
      <alignment horizontal="center" vertical="center"/>
    </xf>
    <xf numFmtId="167" fontId="11" fillId="15" borderId="18" xfId="0" applyNumberFormat="1" applyFont="1" applyFill="1" applyBorder="1" applyAlignment="1">
      <alignment horizontal="center" vertical="center"/>
    </xf>
    <xf numFmtId="167" fontId="12" fillId="15" borderId="18" xfId="1" applyNumberFormat="1" applyFont="1" applyFill="1" applyBorder="1" applyAlignment="1" applyProtection="1">
      <alignment vertical="center"/>
    </xf>
    <xf numFmtId="167" fontId="12" fillId="15" borderId="13" xfId="1" applyNumberFormat="1" applyFont="1" applyFill="1" applyBorder="1" applyAlignment="1" applyProtection="1">
      <alignment vertical="center"/>
    </xf>
    <xf numFmtId="167" fontId="10" fillId="15" borderId="18" xfId="0" applyNumberFormat="1" applyFont="1" applyFill="1" applyBorder="1" applyAlignment="1">
      <alignment horizontal="center" vertical="center"/>
    </xf>
    <xf numFmtId="167" fontId="10" fillId="18" borderId="18" xfId="0" applyNumberFormat="1" applyFont="1" applyFill="1" applyBorder="1" applyAlignment="1">
      <alignment horizontal="center" vertical="center"/>
    </xf>
    <xf numFmtId="167" fontId="13" fillId="18" borderId="18" xfId="1" applyNumberFormat="1" applyFont="1" applyFill="1" applyBorder="1" applyAlignment="1" applyProtection="1">
      <alignment vertical="center"/>
    </xf>
    <xf numFmtId="167" fontId="11" fillId="15" borderId="14" xfId="0" applyNumberFormat="1" applyFont="1" applyFill="1" applyBorder="1" applyAlignment="1">
      <alignment horizontal="center" vertical="center"/>
    </xf>
    <xf numFmtId="167" fontId="12" fillId="15" borderId="14" xfId="1" applyNumberFormat="1" applyFont="1" applyFill="1" applyBorder="1" applyAlignment="1" applyProtection="1">
      <alignment vertical="center"/>
    </xf>
    <xf numFmtId="167" fontId="12" fillId="0" borderId="13" xfId="1" applyNumberFormat="1" applyFont="1" applyBorder="1" applyAlignment="1" applyProtection="1">
      <alignment vertical="center"/>
    </xf>
    <xf numFmtId="167" fontId="12" fillId="14" borderId="28" xfId="1" applyNumberFormat="1" applyFont="1" applyFill="1" applyBorder="1" applyAlignment="1" applyProtection="1">
      <alignment vertical="center"/>
    </xf>
    <xf numFmtId="167" fontId="13" fillId="14" borderId="28" xfId="1" applyNumberFormat="1" applyFont="1" applyFill="1" applyBorder="1" applyAlignment="1" applyProtection="1">
      <alignment vertical="center"/>
    </xf>
    <xf numFmtId="167" fontId="12" fillId="14" borderId="18" xfId="1" applyNumberFormat="1" applyFont="1" applyFill="1" applyBorder="1" applyAlignment="1" applyProtection="1">
      <alignment vertical="center"/>
    </xf>
    <xf numFmtId="167" fontId="13" fillId="15" borderId="18" xfId="1" applyNumberFormat="1" applyFont="1" applyFill="1" applyBorder="1" applyAlignment="1" applyProtection="1">
      <alignment vertical="center"/>
    </xf>
    <xf numFmtId="167" fontId="12" fillId="14" borderId="14" xfId="1" applyNumberFormat="1" applyFont="1" applyFill="1" applyBorder="1" applyAlignment="1" applyProtection="1">
      <alignment vertical="center"/>
    </xf>
    <xf numFmtId="167" fontId="13" fillId="15" borderId="14" xfId="1" applyNumberFormat="1" applyFont="1" applyFill="1" applyBorder="1" applyAlignment="1" applyProtection="1">
      <alignment vertical="center"/>
    </xf>
    <xf numFmtId="167" fontId="14" fillId="15" borderId="18" xfId="1" applyNumberFormat="1" applyFont="1" applyFill="1" applyBorder="1" applyAlignment="1" applyProtection="1">
      <alignment vertical="center"/>
    </xf>
    <xf numFmtId="167" fontId="12" fillId="10" borderId="13" xfId="1" applyNumberFormat="1" applyFont="1" applyFill="1" applyBorder="1" applyAlignment="1" applyProtection="1">
      <alignment vertical="center"/>
    </xf>
    <xf numFmtId="167" fontId="13" fillId="18" borderId="18" xfId="0" applyNumberFormat="1" applyFont="1" applyFill="1" applyBorder="1" applyAlignment="1">
      <alignment vertical="center"/>
    </xf>
    <xf numFmtId="167" fontId="9" fillId="18" borderId="18" xfId="1" applyNumberFormat="1" applyFont="1" applyFill="1" applyBorder="1" applyAlignment="1" applyProtection="1">
      <alignment vertical="center"/>
    </xf>
    <xf numFmtId="167" fontId="20" fillId="3" borderId="50" xfId="1" applyNumberFormat="1" applyFont="1" applyFill="1" applyBorder="1" applyAlignment="1" applyProtection="1">
      <alignment vertical="center"/>
    </xf>
    <xf numFmtId="167" fontId="20" fillId="15" borderId="52" xfId="1" applyNumberFormat="1" applyFont="1" applyFill="1" applyBorder="1" applyAlignment="1" applyProtection="1">
      <alignment vertical="center"/>
    </xf>
    <xf numFmtId="165" fontId="12" fillId="0" borderId="36" xfId="0" applyNumberFormat="1" applyFont="1" applyBorder="1" applyAlignment="1">
      <alignment vertical="center"/>
    </xf>
    <xf numFmtId="165" fontId="12" fillId="0" borderId="30" xfId="0" applyNumberFormat="1" applyFont="1" applyBorder="1" applyAlignment="1">
      <alignment vertical="center"/>
    </xf>
    <xf numFmtId="167" fontId="12" fillId="15" borderId="38" xfId="1" applyNumberFormat="1" applyFont="1" applyFill="1" applyBorder="1" applyAlignment="1" applyProtection="1">
      <alignment vertical="center"/>
    </xf>
    <xf numFmtId="167" fontId="12" fillId="15" borderId="21" xfId="1" applyNumberFormat="1" applyFont="1" applyFill="1" applyBorder="1" applyAlignment="1" applyProtection="1">
      <alignment vertical="center"/>
    </xf>
    <xf numFmtId="167" fontId="12" fillId="15" borderId="40" xfId="1" applyNumberFormat="1" applyFont="1" applyFill="1" applyBorder="1" applyAlignment="1" applyProtection="1">
      <alignment vertical="center"/>
    </xf>
    <xf numFmtId="167" fontId="13" fillId="18" borderId="39" xfId="1" applyNumberFormat="1" applyFont="1" applyFill="1" applyBorder="1" applyAlignment="1" applyProtection="1">
      <alignment vertical="center"/>
    </xf>
    <xf numFmtId="167" fontId="12" fillId="0" borderId="21" xfId="1" applyNumberFormat="1" applyFont="1" applyBorder="1" applyAlignment="1" applyProtection="1">
      <alignment vertical="center"/>
    </xf>
    <xf numFmtId="167" fontId="14" fillId="15" borderId="13" xfId="1" applyNumberFormat="1" applyFont="1" applyFill="1" applyBorder="1" applyAlignment="1" applyProtection="1">
      <alignment vertical="center"/>
    </xf>
    <xf numFmtId="167" fontId="11" fillId="15" borderId="18" xfId="1" applyNumberFormat="1" applyFont="1" applyFill="1" applyBorder="1" applyAlignment="1" applyProtection="1">
      <alignment vertical="center"/>
    </xf>
    <xf numFmtId="167" fontId="9" fillId="18" borderId="18" xfId="0" applyNumberFormat="1" applyFont="1" applyFill="1" applyBorder="1" applyAlignment="1">
      <alignment vertical="center"/>
    </xf>
    <xf numFmtId="167" fontId="13" fillId="18" borderId="19" xfId="0" applyNumberFormat="1" applyFont="1" applyFill="1" applyBorder="1" applyAlignment="1">
      <alignment vertical="center"/>
    </xf>
    <xf numFmtId="0" fontId="19" fillId="3" borderId="26" xfId="0" applyFont="1" applyFill="1" applyBorder="1" applyAlignment="1" applyProtection="1">
      <alignment vertical="center"/>
      <protection locked="0"/>
    </xf>
    <xf numFmtId="0" fontId="13" fillId="3" borderId="27" xfId="0" applyFont="1" applyFill="1" applyBorder="1" applyAlignment="1" applyProtection="1">
      <alignment vertical="center"/>
      <protection locked="0"/>
    </xf>
    <xf numFmtId="167" fontId="13" fillId="3" borderId="21" xfId="1" applyNumberFormat="1" applyFont="1" applyFill="1" applyBorder="1" applyAlignment="1" applyProtection="1">
      <alignment vertical="center"/>
      <protection locked="0"/>
    </xf>
    <xf numFmtId="167" fontId="13" fillId="3" borderId="18" xfId="1" applyNumberFormat="1" applyFont="1" applyFill="1" applyBorder="1" applyAlignment="1" applyProtection="1">
      <alignment vertical="center"/>
      <protection locked="0"/>
    </xf>
    <xf numFmtId="167" fontId="13" fillId="3" borderId="13" xfId="1" applyNumberFormat="1" applyFont="1" applyFill="1" applyBorder="1" applyAlignment="1" applyProtection="1">
      <alignment vertical="center"/>
      <protection locked="0"/>
    </xf>
    <xf numFmtId="167" fontId="13" fillId="15" borderId="13" xfId="1" applyNumberFormat="1" applyFont="1" applyFill="1" applyBorder="1" applyAlignment="1" applyProtection="1">
      <alignment vertical="center"/>
      <protection locked="0"/>
    </xf>
    <xf numFmtId="43" fontId="1" fillId="0" borderId="1" xfId="1" applyFont="1" applyBorder="1" applyProtection="1">
      <protection locked="0"/>
    </xf>
    <xf numFmtId="43" fontId="0" fillId="23" borderId="2" xfId="1" applyFont="1" applyFill="1" applyBorder="1" applyProtection="1">
      <protection locked="0"/>
    </xf>
    <xf numFmtId="20" fontId="12" fillId="14" borderId="28" xfId="0" applyNumberFormat="1" applyFont="1" applyFill="1" applyBorder="1" applyAlignment="1">
      <alignment vertical="center"/>
    </xf>
    <xf numFmtId="167" fontId="12" fillId="14" borderId="28" xfId="0" applyNumberFormat="1" applyFont="1" applyFill="1" applyBorder="1" applyAlignment="1">
      <alignment vertical="center"/>
    </xf>
    <xf numFmtId="20" fontId="12" fillId="14" borderId="14" xfId="0" applyNumberFormat="1" applyFont="1" applyFill="1" applyBorder="1" applyAlignment="1">
      <alignment vertical="center"/>
    </xf>
    <xf numFmtId="167" fontId="12" fillId="14" borderId="14" xfId="0" applyNumberFormat="1" applyFont="1" applyFill="1" applyBorder="1" applyAlignment="1">
      <alignment vertical="center"/>
    </xf>
    <xf numFmtId="167" fontId="13" fillId="3" borderId="18" xfId="1" applyNumberFormat="1" applyFont="1" applyFill="1" applyBorder="1" applyAlignment="1" applyProtection="1">
      <alignment vertical="center"/>
    </xf>
    <xf numFmtId="167" fontId="12" fillId="0" borderId="28" xfId="1" applyNumberFormat="1" applyFont="1" applyFill="1" applyBorder="1" applyAlignment="1" applyProtection="1">
      <alignment vertical="center"/>
    </xf>
    <xf numFmtId="167" fontId="13" fillId="3" borderId="28" xfId="1" applyNumberFormat="1" applyFont="1" applyFill="1" applyBorder="1" applyAlignment="1" applyProtection="1">
      <alignment vertical="center"/>
    </xf>
    <xf numFmtId="167" fontId="14" fillId="14" borderId="14" xfId="1" applyNumberFormat="1" applyFont="1" applyFill="1" applyBorder="1" applyAlignment="1" applyProtection="1">
      <alignment vertical="center"/>
    </xf>
    <xf numFmtId="0" fontId="12" fillId="11" borderId="26" xfId="0" applyFont="1" applyFill="1" applyBorder="1" applyAlignment="1" applyProtection="1">
      <alignment vertical="center"/>
      <protection locked="0"/>
    </xf>
    <xf numFmtId="0" fontId="12" fillId="11" borderId="27" xfId="0" applyFont="1" applyFill="1" applyBorder="1" applyAlignment="1" applyProtection="1">
      <alignment vertical="center"/>
      <protection locked="0"/>
    </xf>
    <xf numFmtId="167" fontId="12" fillId="11" borderId="28" xfId="1" applyNumberFormat="1" applyFont="1" applyFill="1" applyBorder="1" applyAlignment="1" applyProtection="1">
      <alignment vertical="center"/>
      <protection locked="0"/>
    </xf>
    <xf numFmtId="167" fontId="12" fillId="0" borderId="13" xfId="0" applyNumberFormat="1" applyFont="1" applyBorder="1" applyAlignment="1" applyProtection="1">
      <alignment horizontal="center" vertical="center"/>
      <protection locked="0"/>
    </xf>
    <xf numFmtId="167" fontId="12" fillId="0" borderId="18" xfId="0" applyNumberFormat="1" applyFont="1" applyBorder="1" applyAlignment="1" applyProtection="1">
      <alignment horizontal="center" vertical="center"/>
      <protection locked="0"/>
    </xf>
    <xf numFmtId="167" fontId="12" fillId="0" borderId="14" xfId="0" applyNumberFormat="1" applyFont="1" applyBorder="1" applyAlignment="1" applyProtection="1">
      <alignment horizontal="center" vertical="center"/>
      <protection locked="0"/>
    </xf>
    <xf numFmtId="167" fontId="12" fillId="0" borderId="21" xfId="0" applyNumberFormat="1" applyFont="1" applyBorder="1" applyAlignment="1" applyProtection="1">
      <alignment horizontal="center" vertical="center"/>
      <protection locked="0"/>
    </xf>
    <xf numFmtId="15" fontId="9" fillId="13" borderId="13" xfId="0" applyNumberFormat="1" applyFont="1" applyFill="1" applyBorder="1" applyAlignment="1">
      <alignment horizontal="center" vertical="center"/>
    </xf>
    <xf numFmtId="15" fontId="9" fillId="13" borderId="14" xfId="0" applyNumberFormat="1" applyFont="1" applyFill="1" applyBorder="1" applyAlignment="1" applyProtection="1">
      <alignment horizontal="center" vertical="center"/>
      <protection locked="0"/>
    </xf>
    <xf numFmtId="15" fontId="9" fillId="13" borderId="18" xfId="0" applyNumberFormat="1" applyFont="1" applyFill="1" applyBorder="1" applyAlignment="1" applyProtection="1">
      <alignment horizontal="center" vertical="center"/>
      <protection locked="0"/>
    </xf>
    <xf numFmtId="0" fontId="9" fillId="19" borderId="13" xfId="0" applyFont="1" applyFill="1" applyBorder="1" applyAlignment="1" applyProtection="1">
      <alignment horizontal="center" vertical="center"/>
      <protection locked="0"/>
    </xf>
    <xf numFmtId="0" fontId="9" fillId="19" borderId="18" xfId="0" applyFont="1" applyFill="1" applyBorder="1" applyAlignment="1" applyProtection="1">
      <alignment horizontal="center" vertical="center"/>
      <protection locked="0"/>
    </xf>
    <xf numFmtId="0" fontId="9" fillId="13" borderId="11" xfId="0" applyFont="1" applyFill="1" applyBorder="1" applyAlignment="1" applyProtection="1">
      <alignment horizontal="center" vertical="center"/>
      <protection locked="0"/>
    </xf>
    <xf numFmtId="0" fontId="9" fillId="13" borderId="12" xfId="0" applyFont="1" applyFill="1" applyBorder="1" applyAlignment="1" applyProtection="1">
      <alignment horizontal="center" vertical="center"/>
      <protection locked="0"/>
    </xf>
    <xf numFmtId="15" fontId="9" fillId="13" borderId="21" xfId="0" applyNumberFormat="1" applyFont="1" applyFill="1" applyBorder="1" applyAlignment="1">
      <alignment horizontal="center" vertical="center"/>
    </xf>
    <xf numFmtId="0" fontId="9" fillId="13" borderId="11" xfId="0" applyFont="1" applyFill="1" applyBorder="1" applyAlignment="1">
      <alignment horizontal="center" vertical="center"/>
    </xf>
    <xf numFmtId="0" fontId="9" fillId="13" borderId="17" xfId="0" applyFont="1" applyFill="1" applyBorder="1" applyAlignment="1" applyProtection="1">
      <alignment horizontal="center" vertical="center"/>
      <protection locked="0"/>
    </xf>
    <xf numFmtId="0" fontId="9" fillId="19" borderId="11" xfId="0" applyFont="1" applyFill="1" applyBorder="1" applyAlignment="1" applyProtection="1">
      <alignment horizontal="center" vertical="center"/>
      <protection locked="0"/>
    </xf>
    <xf numFmtId="0" fontId="9" fillId="19" borderId="17" xfId="0" applyFont="1" applyFill="1" applyBorder="1" applyAlignment="1" applyProtection="1">
      <alignment horizontal="center" vertical="center"/>
      <protection locked="0"/>
    </xf>
    <xf numFmtId="0" fontId="5" fillId="13" borderId="0" xfId="0" applyFont="1" applyFill="1" applyAlignment="1">
      <alignment horizontal="center" vertical="center"/>
    </xf>
    <xf numFmtId="0" fontId="5" fillId="13" borderId="0" xfId="0" applyFont="1" applyFill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9" fillId="13" borderId="20" xfId="0" applyFont="1" applyFill="1" applyBorder="1" applyAlignment="1">
      <alignment horizontal="center" vertical="center"/>
    </xf>
    <xf numFmtId="0" fontId="15" fillId="20" borderId="0" xfId="0" applyFont="1" applyFill="1" applyAlignment="1">
      <alignment vertical="center"/>
    </xf>
    <xf numFmtId="0" fontId="16" fillId="21" borderId="0" xfId="0" applyFont="1" applyFill="1"/>
    <xf numFmtId="0" fontId="0" fillId="22" borderId="0" xfId="0" applyFill="1"/>
    <xf numFmtId="0" fontId="16" fillId="21" borderId="0" xfId="0" applyFont="1" applyFill="1" applyAlignment="1">
      <alignment wrapText="1"/>
    </xf>
    <xf numFmtId="0" fontId="18" fillId="22" borderId="0" xfId="0" applyFont="1" applyFill="1"/>
    <xf numFmtId="0" fontId="6" fillId="13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132"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colors>
    <mruColors>
      <color rgb="FFFF66CC"/>
      <color rgb="FF00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BDA2-D2F2-49CC-8A36-73002C6963AC}">
  <dimension ref="A1:B21"/>
  <sheetViews>
    <sheetView workbookViewId="0">
      <selection activeCell="A13" sqref="A13"/>
    </sheetView>
  </sheetViews>
  <sheetFormatPr defaultRowHeight="14.5" x14ac:dyDescent="0.35"/>
  <cols>
    <col min="1" max="1" width="38.1796875" customWidth="1"/>
    <col min="2" max="2" width="66.7265625" customWidth="1"/>
  </cols>
  <sheetData>
    <row r="1" spans="1:2" ht="48" customHeight="1" x14ac:dyDescent="0.35">
      <c r="A1" s="236" t="s">
        <v>119</v>
      </c>
      <c r="B1" s="236"/>
    </row>
    <row r="2" spans="1:2" ht="28" customHeight="1" x14ac:dyDescent="0.35">
      <c r="A2" s="237" t="s">
        <v>120</v>
      </c>
      <c r="B2" s="237"/>
    </row>
    <row r="3" spans="1:2" ht="6" customHeight="1" x14ac:dyDescent="0.35">
      <c r="A3" s="238"/>
      <c r="B3" s="238"/>
    </row>
    <row r="5" spans="1:2" x14ac:dyDescent="0.35">
      <c r="A5" s="10" t="s">
        <v>121</v>
      </c>
      <c r="B5" s="10" t="s">
        <v>122</v>
      </c>
    </row>
    <row r="6" spans="1:2" x14ac:dyDescent="0.35">
      <c r="A6" s="11" t="s">
        <v>123</v>
      </c>
      <c r="B6" s="12" t="s">
        <v>124</v>
      </c>
    </row>
    <row r="7" spans="1:2" x14ac:dyDescent="0.35">
      <c r="A7" s="11" t="s">
        <v>125</v>
      </c>
      <c r="B7" s="12" t="s">
        <v>126</v>
      </c>
    </row>
    <row r="8" spans="1:2" x14ac:dyDescent="0.35">
      <c r="A8" s="11" t="s">
        <v>127</v>
      </c>
      <c r="B8" s="12" t="s">
        <v>128</v>
      </c>
    </row>
    <row r="9" spans="1:2" x14ac:dyDescent="0.35">
      <c r="A9" s="11" t="s">
        <v>129</v>
      </c>
      <c r="B9" s="12" t="s">
        <v>130</v>
      </c>
    </row>
    <row r="10" spans="1:2" x14ac:dyDescent="0.35">
      <c r="A10" s="11" t="s">
        <v>131</v>
      </c>
      <c r="B10" s="12" t="s">
        <v>132</v>
      </c>
    </row>
    <row r="11" spans="1:2" x14ac:dyDescent="0.35">
      <c r="A11" s="11" t="s">
        <v>133</v>
      </c>
      <c r="B11" s="12" t="s">
        <v>134</v>
      </c>
    </row>
    <row r="12" spans="1:2" x14ac:dyDescent="0.35">
      <c r="A12" s="11" t="s">
        <v>135</v>
      </c>
      <c r="B12" s="12" t="s">
        <v>136</v>
      </c>
    </row>
    <row r="13" spans="1:2" x14ac:dyDescent="0.35">
      <c r="A13" s="11" t="s">
        <v>137</v>
      </c>
      <c r="B13" s="12" t="s">
        <v>138</v>
      </c>
    </row>
    <row r="14" spans="1:2" x14ac:dyDescent="0.35">
      <c r="A14" s="11" t="s">
        <v>139</v>
      </c>
      <c r="B14" s="12" t="s">
        <v>140</v>
      </c>
    </row>
    <row r="15" spans="1:2" x14ac:dyDescent="0.35">
      <c r="A15" s="11" t="s">
        <v>141</v>
      </c>
      <c r="B15" s="12" t="s">
        <v>142</v>
      </c>
    </row>
    <row r="16" spans="1:2" x14ac:dyDescent="0.35">
      <c r="A16" s="11" t="s">
        <v>143</v>
      </c>
      <c r="B16" s="12" t="s">
        <v>144</v>
      </c>
    </row>
    <row r="17" spans="1:2" x14ac:dyDescent="0.35">
      <c r="A17" s="11" t="s">
        <v>145</v>
      </c>
      <c r="B17" s="12" t="s">
        <v>146</v>
      </c>
    </row>
    <row r="18" spans="1:2" x14ac:dyDescent="0.35">
      <c r="A18" s="11" t="s">
        <v>147</v>
      </c>
      <c r="B18" s="12" t="s">
        <v>148</v>
      </c>
    </row>
    <row r="19" spans="1:2" x14ac:dyDescent="0.35">
      <c r="A19" s="11" t="s">
        <v>149</v>
      </c>
      <c r="B19" s="12" t="s">
        <v>150</v>
      </c>
    </row>
    <row r="20" spans="1:2" x14ac:dyDescent="0.35">
      <c r="A20" s="11" t="s">
        <v>151</v>
      </c>
      <c r="B20" s="12" t="s">
        <v>152</v>
      </c>
    </row>
    <row r="21" spans="1:2" x14ac:dyDescent="0.35">
      <c r="A21" s="11" t="s">
        <v>153</v>
      </c>
      <c r="B21" s="12" t="s">
        <v>154</v>
      </c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0B401-F9A3-4593-ADC8-F448D1F3B71A}">
  <dimension ref="A1:I215"/>
  <sheetViews>
    <sheetView workbookViewId="0">
      <selection activeCell="P7" sqref="P7"/>
    </sheetView>
  </sheetViews>
  <sheetFormatPr defaultRowHeight="14.5" x14ac:dyDescent="0.35"/>
  <cols>
    <col min="1" max="1" width="41.81640625" customWidth="1"/>
    <col min="2" max="9" width="13" customWidth="1"/>
  </cols>
  <sheetData>
    <row r="1" spans="1:9" ht="48" customHeight="1" x14ac:dyDescent="0.35">
      <c r="A1" s="236" t="s">
        <v>158</v>
      </c>
      <c r="B1" s="236"/>
      <c r="C1" s="236"/>
      <c r="D1" s="236"/>
      <c r="E1" s="236"/>
      <c r="F1" s="236"/>
      <c r="G1" s="236"/>
      <c r="H1" s="236"/>
      <c r="I1" s="236"/>
    </row>
    <row r="2" spans="1:9" ht="30" customHeight="1" x14ac:dyDescent="0.35">
      <c r="A2" s="239" t="s">
        <v>159</v>
      </c>
      <c r="B2" s="239"/>
      <c r="C2" s="239"/>
      <c r="D2" s="239"/>
      <c r="E2" s="239"/>
      <c r="F2" s="239"/>
      <c r="G2" s="239"/>
      <c r="H2" s="239"/>
      <c r="I2" s="239"/>
    </row>
    <row r="4" spans="1:9" ht="15.5" x14ac:dyDescent="0.35">
      <c r="A4" s="240" t="s">
        <v>160</v>
      </c>
      <c r="B4" s="240"/>
      <c r="C4" s="240"/>
      <c r="D4" s="240"/>
      <c r="E4" s="240"/>
      <c r="F4" s="240"/>
      <c r="G4" s="240"/>
      <c r="H4" s="240"/>
      <c r="I4" s="240"/>
    </row>
    <row r="5" spans="1:9" x14ac:dyDescent="0.35">
      <c r="A5" s="10" t="s">
        <v>162</v>
      </c>
      <c r="B5" s="13">
        <v>46260</v>
      </c>
      <c r="C5" s="13">
        <v>46291</v>
      </c>
      <c r="D5" s="13">
        <v>46321</v>
      </c>
      <c r="E5" s="13">
        <v>46352</v>
      </c>
      <c r="F5" s="13">
        <v>46382</v>
      </c>
      <c r="G5" s="13">
        <v>46049</v>
      </c>
      <c r="H5" s="13">
        <v>46080</v>
      </c>
      <c r="I5" s="10" t="s">
        <v>163</v>
      </c>
    </row>
    <row r="6" spans="1:9" x14ac:dyDescent="0.35">
      <c r="A6" s="14" t="s">
        <v>166</v>
      </c>
      <c r="B6" s="17">
        <f>IFERROR(IF('August 2026 Log'!BO7="","",'August 2026 Log'!BO7),"")</f>
        <v>-96</v>
      </c>
      <c r="C6" s="17">
        <f>IFERROR(IF('September 2026 Log'!BO7="","",'September 2026 Log'!BO7),"")</f>
        <v>-221</v>
      </c>
      <c r="D6" s="17">
        <f>IFERROR(IF('October 2026 Log'!BO7="","",'October 2026 Log'!BO7),"")</f>
        <v>0</v>
      </c>
      <c r="E6" s="17">
        <f>IFERROR(IF('November 2026 Log'!BO7="","",'November 2026 Log'!BO7),"")</f>
        <v>0</v>
      </c>
      <c r="F6" s="17">
        <f>IFERROR(IF('December 2026 Log'!BO7="","",'December 2026 Log'!BO7),"")</f>
        <v>0</v>
      </c>
      <c r="G6" s="17">
        <f>IFERROR(IF('January 2027 Log'!BO7="","",'January 2027 Log'!BO7),"")</f>
        <v>0</v>
      </c>
      <c r="H6" s="17">
        <f>IFERROR(IF('February 2027 Log'!BO7="","",'February 2027 Log'!BO7),"")</f>
        <v>0</v>
      </c>
      <c r="I6" s="20">
        <f t="shared" ref="I6:I37" si="0">IF(COUNT(B6:H6)=0,"",SUM(B6:H6))</f>
        <v>-317</v>
      </c>
    </row>
    <row r="7" spans="1:9" x14ac:dyDescent="0.35">
      <c r="A7" s="15" t="s">
        <v>167</v>
      </c>
      <c r="B7" s="18">
        <f>IFERROR(IF('August 2026 Log'!BO8="","",'August 2026 Log'!BO8),"")</f>
        <v>231.4600000000064</v>
      </c>
      <c r="C7" s="18">
        <f>IFERROR(IF('September 2026 Log'!BO8="","",'September 2026 Log'!BO8),"")</f>
        <v>11230.960000000014</v>
      </c>
      <c r="D7" s="18">
        <f>IFERROR(IF('October 2026 Log'!BO8="","",'October 2026 Log'!BO8),"")</f>
        <v>0</v>
      </c>
      <c r="E7" s="18">
        <f>IFERROR(IF('November 2026 Log'!BO8="","",'November 2026 Log'!BO8),"")</f>
        <v>0</v>
      </c>
      <c r="F7" s="18">
        <f>IFERROR(IF('December 2026 Log'!BO8="","",'December 2026 Log'!BO8),"")</f>
        <v>0</v>
      </c>
      <c r="G7" s="18">
        <f>IFERROR(IF('January 2027 Log'!BO8="","",'January 2027 Log'!BO8),"")</f>
        <v>0</v>
      </c>
      <c r="H7" s="18">
        <f>IFERROR(IF('February 2027 Log'!BO8="","",'February 2027 Log'!BO8),"")</f>
        <v>0</v>
      </c>
      <c r="I7" s="21">
        <f t="shared" si="0"/>
        <v>11462.42000000002</v>
      </c>
    </row>
    <row r="8" spans="1:9" x14ac:dyDescent="0.35">
      <c r="A8" s="15" t="s">
        <v>168</v>
      </c>
      <c r="B8" s="18">
        <f>IFERROR(IF('August 2026 Log'!BO9="","",'August 2026 Log'!BO9),"")</f>
        <v>22538</v>
      </c>
      <c r="C8" s="18">
        <f>IFERROR(IF('September 2026 Log'!BO9="","",'September 2026 Log'!BO9),"")</f>
        <v>-4385152</v>
      </c>
      <c r="D8" s="18" t="str">
        <f>IFERROR(IF('October 2026 Log'!BO9="","",'October 2026 Log'!BO9),"")</f>
        <v/>
      </c>
      <c r="E8" s="18" t="str">
        <f>IFERROR(IF('November 2026 Log'!BO9="","",'November 2026 Log'!BO9),"")</f>
        <v/>
      </c>
      <c r="F8" s="18" t="str">
        <f>IFERROR(IF('December 2026 Log'!BO9="","",'December 2026 Log'!BO9),"")</f>
        <v/>
      </c>
      <c r="G8" s="18" t="str">
        <f>IFERROR(IF('January 2027 Log'!BO9="","",'January 2027 Log'!BO9),"")</f>
        <v/>
      </c>
      <c r="H8" s="18" t="str">
        <f>IFERROR(IF('February 2027 Log'!BO9="","",'February 2027 Log'!BO9),"")</f>
        <v/>
      </c>
      <c r="I8" s="21">
        <f t="shared" si="0"/>
        <v>-4362614</v>
      </c>
    </row>
    <row r="9" spans="1:9" x14ac:dyDescent="0.35">
      <c r="A9" s="15" t="s">
        <v>169</v>
      </c>
      <c r="B9" s="18">
        <f>IFERROR(IF('August 2026 Log'!BO10="","",'August 2026 Log'!BO10),"")</f>
        <v>50764</v>
      </c>
      <c r="C9" s="18">
        <f>IFERROR(IF('September 2026 Log'!BO10="","",'September 2026 Log'!BO10),"")</f>
        <v>-4342885</v>
      </c>
      <c r="D9" s="18" t="str">
        <f>IFERROR(IF('October 2026 Log'!BO10="","",'October 2026 Log'!BO10),"")</f>
        <v/>
      </c>
      <c r="E9" s="18" t="str">
        <f>IFERROR(IF('November 2026 Log'!BO10="","",'November 2026 Log'!BO10),"")</f>
        <v/>
      </c>
      <c r="F9" s="18" t="str">
        <f>IFERROR(IF('December 2026 Log'!BO10="","",'December 2026 Log'!BO10),"")</f>
        <v/>
      </c>
      <c r="G9" s="18" t="str">
        <f>IFERROR(IF('January 2027 Log'!BO10="","",'January 2027 Log'!BO10),"")</f>
        <v/>
      </c>
      <c r="H9" s="18" t="str">
        <f>IFERROR(IF('February 2027 Log'!BO10="","",'February 2027 Log'!BO10),"")</f>
        <v/>
      </c>
      <c r="I9" s="21">
        <f t="shared" si="0"/>
        <v>-4292121</v>
      </c>
    </row>
    <row r="10" spans="1:9" x14ac:dyDescent="0.35">
      <c r="A10" s="15" t="s">
        <v>170</v>
      </c>
      <c r="B10" s="18">
        <f>IFERROR(IF('August 2026 Log'!BO11="","",'August 2026 Log'!BO11),"")</f>
        <v>298945.58</v>
      </c>
      <c r="C10" s="18">
        <f>IFERROR(IF('September 2026 Log'!BO11="","",'September 2026 Log'!BO11),"")</f>
        <v>151964.72000000003</v>
      </c>
      <c r="D10" s="18">
        <f>IFERROR(IF('October 2026 Log'!BO11="","",'October 2026 Log'!BO11),"")</f>
        <v>0</v>
      </c>
      <c r="E10" s="18">
        <f>IFERROR(IF('November 2026 Log'!BO11="","",'November 2026 Log'!BO11),"")</f>
        <v>0</v>
      </c>
      <c r="F10" s="18">
        <f>IFERROR(IF('December 2026 Log'!BO11="","",'December 2026 Log'!BO11),"")</f>
        <v>0</v>
      </c>
      <c r="G10" s="18">
        <f>IFERROR(IF('January 2027 Log'!BO11="","",'January 2027 Log'!BO11),"")</f>
        <v>0</v>
      </c>
      <c r="H10" s="18">
        <f>IFERROR(IF('February 2027 Log'!BO11="","",'February 2027 Log'!BO11),"")</f>
        <v>0</v>
      </c>
      <c r="I10" s="21">
        <f t="shared" si="0"/>
        <v>450910.30000000005</v>
      </c>
    </row>
    <row r="11" spans="1:9" x14ac:dyDescent="0.35">
      <c r="A11" s="15" t="s">
        <v>171</v>
      </c>
      <c r="B11" s="18">
        <f>IFERROR(IF('August 2026 Log'!BO17="","",'August 2026 Log'!BO17),"")</f>
        <v>157</v>
      </c>
      <c r="C11" s="18">
        <f>IFERROR(IF('September 2026 Log'!BO17="","",'September 2026 Log'!BO17),"")</f>
        <v>1</v>
      </c>
      <c r="D11" s="18" t="str">
        <f>IFERROR(IF('October 2026 Log'!BO17="","",'October 2026 Log'!BO17),"")</f>
        <v/>
      </c>
      <c r="E11" s="18" t="str">
        <f>IFERROR(IF('November 2026 Log'!BO17="","",'November 2026 Log'!BO17),"")</f>
        <v/>
      </c>
      <c r="F11" s="18" t="str">
        <f>IFERROR(IF('December 2026 Log'!BO17="","",'December 2026 Log'!BO17),"")</f>
        <v/>
      </c>
      <c r="G11" s="18" t="str">
        <f>IFERROR(IF('January 2027 Log'!BO17="","",'January 2027 Log'!BO17),"")</f>
        <v/>
      </c>
      <c r="H11" s="18" t="str">
        <f>IFERROR(IF('February 2027 Log'!BO17="","",'February 2027 Log'!BO17),"")</f>
        <v/>
      </c>
      <c r="I11" s="21">
        <f t="shared" si="0"/>
        <v>158</v>
      </c>
    </row>
    <row r="12" spans="1:9" x14ac:dyDescent="0.35">
      <c r="A12" s="15" t="s">
        <v>172</v>
      </c>
      <c r="B12" s="18" t="str">
        <f>IFERROR(IF('August 2026 Log'!BO18="","",'August 2026 Log'!BO18),"")</f>
        <v/>
      </c>
      <c r="C12" s="18" t="str">
        <f>IFERROR(IF('September 2026 Log'!BO18="","",'September 2026 Log'!BO18),"")</f>
        <v/>
      </c>
      <c r="D12" s="18" t="str">
        <f>IFERROR(IF('October 2026 Log'!BO18="","",'October 2026 Log'!BO18),"")</f>
        <v/>
      </c>
      <c r="E12" s="18" t="str">
        <f>IFERROR(IF('November 2026 Log'!BO18="","",'November 2026 Log'!BO18),"")</f>
        <v/>
      </c>
      <c r="F12" s="18" t="str">
        <f>IFERROR(IF('December 2026 Log'!BO18="","",'December 2026 Log'!BO18),"")</f>
        <v/>
      </c>
      <c r="G12" s="18" t="str">
        <f>IFERROR(IF('January 2027 Log'!BO18="","",'January 2027 Log'!BO18),"")</f>
        <v/>
      </c>
      <c r="H12" s="18" t="str">
        <f>IFERROR(IF('February 2027 Log'!BO18="","",'February 2027 Log'!BO18),"")</f>
        <v/>
      </c>
      <c r="I12" s="21" t="str">
        <f t="shared" si="0"/>
        <v/>
      </c>
    </row>
    <row r="13" spans="1:9" x14ac:dyDescent="0.35">
      <c r="A13" s="15" t="s">
        <v>173</v>
      </c>
      <c r="B13" s="18" t="str">
        <f>IFERROR(IF('August 2026 Log'!BO19="","",'August 2026 Log'!BO19),"")</f>
        <v/>
      </c>
      <c r="C13" s="18" t="str">
        <f>IFERROR(IF('September 2026 Log'!BO19="","",'September 2026 Log'!BO19),"")</f>
        <v/>
      </c>
      <c r="D13" s="18" t="str">
        <f>IFERROR(IF('October 2026 Log'!BO19="","",'October 2026 Log'!BO19),"")</f>
        <v/>
      </c>
      <c r="E13" s="18" t="str">
        <f>IFERROR(IF('November 2026 Log'!BO19="","",'November 2026 Log'!BO19),"")</f>
        <v/>
      </c>
      <c r="F13" s="18" t="str">
        <f>IFERROR(IF('December 2026 Log'!BO19="","",'December 2026 Log'!BO19),"")</f>
        <v/>
      </c>
      <c r="G13" s="18" t="str">
        <f>IFERROR(IF('January 2027 Log'!BO19="","",'January 2027 Log'!BO19),"")</f>
        <v/>
      </c>
      <c r="H13" s="18" t="str">
        <f>IFERROR(IF('February 2027 Log'!BO19="","",'February 2027 Log'!BO19),"")</f>
        <v/>
      </c>
      <c r="I13" s="21" t="str">
        <f t="shared" si="0"/>
        <v/>
      </c>
    </row>
    <row r="14" spans="1:9" x14ac:dyDescent="0.35">
      <c r="A14" s="15" t="s">
        <v>174</v>
      </c>
      <c r="B14" s="18" t="str">
        <f>IFERROR(IF('August 2026 Log'!BO20="","",'August 2026 Log'!BO20),"")</f>
        <v/>
      </c>
      <c r="C14" s="18">
        <f>IFERROR(IF('September 2026 Log'!BO20="","",'September 2026 Log'!BO20),"")</f>
        <v>11750</v>
      </c>
      <c r="D14" s="18" t="str">
        <f>IFERROR(IF('October 2026 Log'!BO20="","",'October 2026 Log'!BO20),"")</f>
        <v/>
      </c>
      <c r="E14" s="18" t="str">
        <f>IFERROR(IF('November 2026 Log'!BO20="","",'November 2026 Log'!BO20),"")</f>
        <v/>
      </c>
      <c r="F14" s="18" t="str">
        <f>IFERROR(IF('December 2026 Log'!BO20="","",'December 2026 Log'!BO20),"")</f>
        <v/>
      </c>
      <c r="G14" s="18" t="str">
        <f>IFERROR(IF('January 2027 Log'!BO20="","",'January 2027 Log'!BO20),"")</f>
        <v/>
      </c>
      <c r="H14" s="18" t="str">
        <f>IFERROR(IF('February 2027 Log'!BO20="","",'February 2027 Log'!BO20),"")</f>
        <v/>
      </c>
      <c r="I14" s="21">
        <f t="shared" si="0"/>
        <v>11750</v>
      </c>
    </row>
    <row r="15" spans="1:9" x14ac:dyDescent="0.35">
      <c r="A15" s="15" t="s">
        <v>175</v>
      </c>
      <c r="B15" s="18">
        <f>IFERROR(IF('August 2026 Log'!BO21="","",'August 2026 Log'!BO21),"")</f>
        <v>406880</v>
      </c>
      <c r="C15" s="18">
        <f>IFERROR(IF('September 2026 Log'!BO21="","",'September 2026 Log'!BO21),"")</f>
        <v>154180</v>
      </c>
      <c r="D15" s="18" t="str">
        <f>IFERROR(IF('October 2026 Log'!BO21="","",'October 2026 Log'!BO21),"")</f>
        <v/>
      </c>
      <c r="E15" s="18" t="str">
        <f>IFERROR(IF('November 2026 Log'!BO21="","",'November 2026 Log'!BO21),"")</f>
        <v/>
      </c>
      <c r="F15" s="18" t="str">
        <f>IFERROR(IF('December 2026 Log'!BO21="","",'December 2026 Log'!BO21),"")</f>
        <v/>
      </c>
      <c r="G15" s="18" t="str">
        <f>IFERROR(IF('January 2027 Log'!BO21="","",'January 2027 Log'!BO21),"")</f>
        <v/>
      </c>
      <c r="H15" s="18" t="str">
        <f>IFERROR(IF('February 2027 Log'!BO21="","",'February 2027 Log'!BO21),"")</f>
        <v/>
      </c>
      <c r="I15" s="21">
        <f t="shared" si="0"/>
        <v>561060</v>
      </c>
    </row>
    <row r="16" spans="1:9" x14ac:dyDescent="0.35">
      <c r="A16" s="15" t="s">
        <v>176</v>
      </c>
      <c r="B16" s="18">
        <f>IFERROR(IF('August 2026 Log'!BO22="","",'August 2026 Log'!BO22),"")</f>
        <v>406880</v>
      </c>
      <c r="C16" s="18">
        <f>IFERROR(IF('September 2026 Log'!BO22="","",'September 2026 Log'!BO22),"")</f>
        <v>165930</v>
      </c>
      <c r="D16" s="18">
        <f>IFERROR(IF('October 2026 Log'!BO22="","",'October 2026 Log'!BO22),"")</f>
        <v>0</v>
      </c>
      <c r="E16" s="18">
        <f>IFERROR(IF('November 2026 Log'!BO22="","",'November 2026 Log'!BO22),"")</f>
        <v>0</v>
      </c>
      <c r="F16" s="18">
        <f>IFERROR(IF('December 2026 Log'!BO22="","",'December 2026 Log'!BO22),"")</f>
        <v>0</v>
      </c>
      <c r="G16" s="18">
        <f>IFERROR(IF('January 2027 Log'!BO22="","",'January 2027 Log'!BO22),"")</f>
        <v>0</v>
      </c>
      <c r="H16" s="18">
        <f>IFERROR(IF('February 2027 Log'!BO22="","",'February 2027 Log'!BO22),"")</f>
        <v>0</v>
      </c>
      <c r="I16" s="21">
        <f t="shared" si="0"/>
        <v>572810</v>
      </c>
    </row>
    <row r="17" spans="1:9" x14ac:dyDescent="0.35">
      <c r="A17" s="15" t="s">
        <v>177</v>
      </c>
      <c r="B17" s="18" t="str">
        <f>IFERROR(IF('August 2026 Log'!BO23="","",'August 2026 Log'!BO23),"")</f>
        <v/>
      </c>
      <c r="C17" s="18" t="str">
        <f>IFERROR(IF('September 2026 Log'!BO23="","",'September 2026 Log'!BO23),"")</f>
        <v/>
      </c>
      <c r="D17" s="18" t="str">
        <f>IFERROR(IF('October 2026 Log'!BO23="","",'October 2026 Log'!BO23),"")</f>
        <v/>
      </c>
      <c r="E17" s="18" t="str">
        <f>IFERROR(IF('November 2026 Log'!BO23="","",'November 2026 Log'!BO23),"")</f>
        <v/>
      </c>
      <c r="F17" s="18" t="str">
        <f>IFERROR(IF('December 2026 Log'!BO23="","",'December 2026 Log'!BO23),"")</f>
        <v/>
      </c>
      <c r="G17" s="18" t="str">
        <f>IFERROR(IF('January 2027 Log'!BO23="","",'January 2027 Log'!BO23),"")</f>
        <v/>
      </c>
      <c r="H17" s="18" t="str">
        <f>IFERROR(IF('February 2027 Log'!BO23="","",'February 2027 Log'!BO23),"")</f>
        <v/>
      </c>
      <c r="I17" s="21" t="str">
        <f t="shared" si="0"/>
        <v/>
      </c>
    </row>
    <row r="18" spans="1:9" x14ac:dyDescent="0.35">
      <c r="A18" s="15" t="s">
        <v>178</v>
      </c>
      <c r="B18" s="18" t="str">
        <f>IFERROR(IF('August 2026 Log'!BO24="","",'August 2026 Log'!BO24),"")</f>
        <v/>
      </c>
      <c r="C18" s="18" t="str">
        <f>IFERROR(IF('September 2026 Log'!BO24="","",'September 2026 Log'!BO24),"")</f>
        <v/>
      </c>
      <c r="D18" s="18" t="str">
        <f>IFERROR(IF('October 2026 Log'!BO24="","",'October 2026 Log'!BO24),"")</f>
        <v/>
      </c>
      <c r="E18" s="18" t="str">
        <f>IFERROR(IF('November 2026 Log'!BO24="","",'November 2026 Log'!BO24),"")</f>
        <v/>
      </c>
      <c r="F18" s="18" t="str">
        <f>IFERROR(IF('December 2026 Log'!BO24="","",'December 2026 Log'!BO24),"")</f>
        <v/>
      </c>
      <c r="G18" s="18" t="str">
        <f>IFERROR(IF('January 2027 Log'!BO24="","",'January 2027 Log'!BO24),"")</f>
        <v/>
      </c>
      <c r="H18" s="18" t="str">
        <f>IFERROR(IF('February 2027 Log'!BO24="","",'February 2027 Log'!BO24),"")</f>
        <v/>
      </c>
      <c r="I18" s="21" t="str">
        <f t="shared" si="0"/>
        <v/>
      </c>
    </row>
    <row r="19" spans="1:9" x14ac:dyDescent="0.35">
      <c r="A19" s="15" t="s">
        <v>179</v>
      </c>
      <c r="B19" s="18">
        <f>IFERROR(IF('August 2026 Log'!BO25="","",'August 2026 Log'!BO25),"")</f>
        <v>59693</v>
      </c>
      <c r="C19" s="18">
        <f>IFERROR(IF('September 2026 Log'!BO25="","",'September 2026 Log'!BO25),"")</f>
        <v>23927</v>
      </c>
      <c r="D19" s="18" t="str">
        <f>IFERROR(IF('October 2026 Log'!BO25="","",'October 2026 Log'!BO25),"")</f>
        <v/>
      </c>
      <c r="E19" s="18" t="str">
        <f>IFERROR(IF('November 2026 Log'!BO25="","",'November 2026 Log'!BO25),"")</f>
        <v/>
      </c>
      <c r="F19" s="18" t="str">
        <f>IFERROR(IF('December 2026 Log'!BO25="","",'December 2026 Log'!BO25),"")</f>
        <v/>
      </c>
      <c r="G19" s="18" t="str">
        <f>IFERROR(IF('January 2027 Log'!BO25="","",'January 2027 Log'!BO25),"")</f>
        <v/>
      </c>
      <c r="H19" s="18" t="str">
        <f>IFERROR(IF('February 2027 Log'!BO25="","",'February 2027 Log'!BO25),"")</f>
        <v/>
      </c>
      <c r="I19" s="21">
        <f t="shared" si="0"/>
        <v>83620</v>
      </c>
    </row>
    <row r="20" spans="1:9" x14ac:dyDescent="0.35">
      <c r="A20" s="15" t="s">
        <v>180</v>
      </c>
      <c r="B20" s="18">
        <f>IFERROR(IF('August 2026 Log'!BO26="","",'August 2026 Log'!BO26),"")</f>
        <v>59597</v>
      </c>
      <c r="C20" s="18">
        <f>IFERROR(IF('September 2026 Log'!BO26="","",'September 2026 Log'!BO26),"")</f>
        <v>23706</v>
      </c>
      <c r="D20" s="18" t="str">
        <f>IFERROR(IF('October 2026 Log'!BO26="","",'October 2026 Log'!BO26),"")</f>
        <v/>
      </c>
      <c r="E20" s="18" t="str">
        <f>IFERROR(IF('November 2026 Log'!BO26="","",'November 2026 Log'!BO26),"")</f>
        <v/>
      </c>
      <c r="F20" s="18" t="str">
        <f>IFERROR(IF('December 2026 Log'!BO26="","",'December 2026 Log'!BO26),"")</f>
        <v/>
      </c>
      <c r="G20" s="18" t="str">
        <f>IFERROR(IF('January 2027 Log'!BO26="","",'January 2027 Log'!BO26),"")</f>
        <v/>
      </c>
      <c r="H20" s="18" t="str">
        <f>IFERROR(IF('February 2027 Log'!BO26="","",'February 2027 Log'!BO26),"")</f>
        <v/>
      </c>
      <c r="I20" s="21">
        <f t="shared" si="0"/>
        <v>83303</v>
      </c>
    </row>
    <row r="21" spans="1:9" x14ac:dyDescent="0.35">
      <c r="A21" s="15" t="s">
        <v>181</v>
      </c>
      <c r="B21" s="18">
        <f>IFERROR(IF('August 2026 Log'!BO27="","",'August 2026 Log'!BO27),"")</f>
        <v>3100</v>
      </c>
      <c r="C21" s="18">
        <f>IFERROR(IF('September 2026 Log'!BO27="","",'September 2026 Log'!BO27),"")</f>
        <v>1469</v>
      </c>
      <c r="D21" s="18" t="str">
        <f>IFERROR(IF('October 2026 Log'!BO27="","",'October 2026 Log'!BO27),"")</f>
        <v/>
      </c>
      <c r="E21" s="18" t="str">
        <f>IFERROR(IF('November 2026 Log'!BO27="","",'November 2026 Log'!BO27),"")</f>
        <v/>
      </c>
      <c r="F21" s="18" t="str">
        <f>IFERROR(IF('December 2026 Log'!BO27="","",'December 2026 Log'!BO27),"")</f>
        <v/>
      </c>
      <c r="G21" s="18" t="str">
        <f>IFERROR(IF('January 2027 Log'!BO27="","",'January 2027 Log'!BO27),"")</f>
        <v/>
      </c>
      <c r="H21" s="18" t="str">
        <f>IFERROR(IF('February 2027 Log'!BO27="","",'February 2027 Log'!BO27),"")</f>
        <v/>
      </c>
      <c r="I21" s="21">
        <f t="shared" si="0"/>
        <v>4569</v>
      </c>
    </row>
    <row r="22" spans="1:9" x14ac:dyDescent="0.35">
      <c r="A22" s="15" t="s">
        <v>182</v>
      </c>
      <c r="B22" s="18">
        <f>IFERROR(IF('August 2026 Log'!BO28="","",'August 2026 Log'!BO28),"")</f>
        <v>158528.16</v>
      </c>
      <c r="C22" s="18">
        <f>IFERROR(IF('September 2026 Log'!BO28="","",'September 2026 Log'!BO28),"")</f>
        <v>72143.109999999986</v>
      </c>
      <c r="D22" s="18" t="str">
        <f>IFERROR(IF('October 2026 Log'!BO28="","",'October 2026 Log'!BO28),"")</f>
        <v/>
      </c>
      <c r="E22" s="18" t="str">
        <f>IFERROR(IF('November 2026 Log'!BO28="","",'November 2026 Log'!BO28),"")</f>
        <v/>
      </c>
      <c r="F22" s="18" t="str">
        <f>IFERROR(IF('December 2026 Log'!BO28="","",'December 2026 Log'!BO28),"")</f>
        <v/>
      </c>
      <c r="G22" s="18" t="str">
        <f>IFERROR(IF('January 2027 Log'!BO28="","",'January 2027 Log'!BO28),"")</f>
        <v/>
      </c>
      <c r="H22" s="18" t="str">
        <f>IFERROR(IF('February 2027 Log'!BO28="","",'February 2027 Log'!BO28),"")</f>
        <v/>
      </c>
      <c r="I22" s="21">
        <f t="shared" si="0"/>
        <v>230671.27</v>
      </c>
    </row>
    <row r="23" spans="1:9" x14ac:dyDescent="0.35">
      <c r="A23" s="15" t="s">
        <v>183</v>
      </c>
      <c r="B23" s="18">
        <f>IFERROR(IF('August 2026 Log'!BO29="","",'August 2026 Log'!BO29),"")</f>
        <v>41000</v>
      </c>
      <c r="C23" s="18">
        <f>IFERROR(IF('September 2026 Log'!BO29="","",'September 2026 Log'!BO29),"")</f>
        <v>28000</v>
      </c>
      <c r="D23" s="18" t="str">
        <f>IFERROR(IF('October 2026 Log'!BO29="","",'October 2026 Log'!BO29),"")</f>
        <v/>
      </c>
      <c r="E23" s="18" t="str">
        <f>IFERROR(IF('November 2026 Log'!BO29="","",'November 2026 Log'!BO29),"")</f>
        <v/>
      </c>
      <c r="F23" s="18" t="str">
        <f>IFERROR(IF('December 2026 Log'!BO29="","",'December 2026 Log'!BO29),"")</f>
        <v/>
      </c>
      <c r="G23" s="18" t="str">
        <f>IFERROR(IF('January 2027 Log'!BO29="","",'January 2027 Log'!BO29),"")</f>
        <v/>
      </c>
      <c r="H23" s="18" t="str">
        <f>IFERROR(IF('February 2027 Log'!BO29="","",'February 2027 Log'!BO29),"")</f>
        <v/>
      </c>
      <c r="I23" s="21">
        <f t="shared" si="0"/>
        <v>69000</v>
      </c>
    </row>
    <row r="24" spans="1:9" ht="29" x14ac:dyDescent="0.35">
      <c r="A24" s="15" t="s">
        <v>184</v>
      </c>
      <c r="B24" s="18">
        <f>IFERROR(IF('August 2026 Log'!BO30="","",'August 2026 Log'!BO30),"")</f>
        <v>16918.310000000001</v>
      </c>
      <c r="C24" s="18">
        <f>IFERROR(IF('September 2026 Log'!BO30="","",'September 2026 Log'!BO30),"")</f>
        <v>-6189.2400000000007</v>
      </c>
      <c r="D24" s="18" t="str">
        <f>IFERROR(IF('October 2026 Log'!BO30="","",'October 2026 Log'!BO30),"")</f>
        <v/>
      </c>
      <c r="E24" s="18" t="str">
        <f>IFERROR(IF('November 2026 Log'!BO30="","",'November 2026 Log'!BO30),"")</f>
        <v/>
      </c>
      <c r="F24" s="18" t="str">
        <f>IFERROR(IF('December 2026 Log'!BO30="","",'December 2026 Log'!BO30),"")</f>
        <v/>
      </c>
      <c r="G24" s="18" t="str">
        <f>IFERROR(IF('January 2027 Log'!BO30="","",'January 2027 Log'!BO30),"")</f>
        <v/>
      </c>
      <c r="H24" s="18" t="str">
        <f>IFERROR(IF('February 2027 Log'!BO30="","",'February 2027 Log'!BO30),"")</f>
        <v/>
      </c>
      <c r="I24" s="21">
        <f t="shared" si="0"/>
        <v>10729.07</v>
      </c>
    </row>
    <row r="25" spans="1:9" ht="29" x14ac:dyDescent="0.35">
      <c r="A25" s="15" t="s">
        <v>185</v>
      </c>
      <c r="B25" s="18">
        <f>IFERROR(IF('August 2026 Log'!BO31="","",'August 2026 Log'!BO31),"")</f>
        <v>679.61435068062497</v>
      </c>
      <c r="C25" s="18">
        <f>IFERROR(IF('September 2026 Log'!BO31="","",'September 2026 Log'!BO31),"")</f>
        <v>221.20379986089003</v>
      </c>
      <c r="D25" s="18" t="str">
        <f>IFERROR(IF('October 2026 Log'!BO31="","",'October 2026 Log'!BO31),"")</f>
        <v/>
      </c>
      <c r="E25" s="18" t="str">
        <f>IFERROR(IF('November 2026 Log'!BO31="","",'November 2026 Log'!BO31),"")</f>
        <v/>
      </c>
      <c r="F25" s="18" t="str">
        <f>IFERROR(IF('December 2026 Log'!BO31="","",'December 2026 Log'!BO31),"")</f>
        <v/>
      </c>
      <c r="G25" s="18" t="str">
        <f>IFERROR(IF('January 2027 Log'!BO31="","",'January 2027 Log'!BO31),"")</f>
        <v/>
      </c>
      <c r="H25" s="18" t="str">
        <f>IFERROR(IF('February 2027 Log'!BO31="","",'February 2027 Log'!BO31),"")</f>
        <v/>
      </c>
      <c r="I25" s="21">
        <f t="shared" si="0"/>
        <v>900.81815054151502</v>
      </c>
    </row>
    <row r="26" spans="1:9" x14ac:dyDescent="0.35">
      <c r="A26" s="15" t="s">
        <v>186</v>
      </c>
      <c r="B26" s="18">
        <f>IFERROR(IF('August 2026 Log'!BO32="","",'August 2026 Log'!BO32),"")</f>
        <v>10076.199999999997</v>
      </c>
      <c r="C26" s="18">
        <f>IFERROR(IF('September 2026 Log'!BO32="","",'September 2026 Log'!BO32),"")</f>
        <v>2674.6899999999996</v>
      </c>
      <c r="D26" s="18" t="str">
        <f>IFERROR(IF('October 2026 Log'!BO32="","",'October 2026 Log'!BO32),"")</f>
        <v/>
      </c>
      <c r="E26" s="18" t="str">
        <f>IFERROR(IF('November 2026 Log'!BO32="","",'November 2026 Log'!BO32),"")</f>
        <v/>
      </c>
      <c r="F26" s="18" t="str">
        <f>IFERROR(IF('December 2026 Log'!BO32="","",'December 2026 Log'!BO32),"")</f>
        <v/>
      </c>
      <c r="G26" s="18" t="str">
        <f>IFERROR(IF('January 2027 Log'!BO32="","",'January 2027 Log'!BO32),"")</f>
        <v/>
      </c>
      <c r="H26" s="18" t="str">
        <f>IFERROR(IF('February 2027 Log'!BO32="","",'February 2027 Log'!BO32),"")</f>
        <v/>
      </c>
      <c r="I26" s="21">
        <f t="shared" si="0"/>
        <v>12750.889999999996</v>
      </c>
    </row>
    <row r="27" spans="1:9" x14ac:dyDescent="0.35">
      <c r="A27" s="15" t="s">
        <v>187</v>
      </c>
      <c r="B27" s="18">
        <f>IFERROR(IF('August 2026 Log'!BO33="","",'August 2026 Log'!BO33),"")</f>
        <v>5218.6499999999996</v>
      </c>
      <c r="C27" s="18" t="str">
        <f>IFERROR(IF('September 2026 Log'!BO33="","",'September 2026 Log'!BO33),"")</f>
        <v/>
      </c>
      <c r="D27" s="18" t="str">
        <f>IFERROR(IF('October 2026 Log'!BO33="","",'October 2026 Log'!BO33),"")</f>
        <v/>
      </c>
      <c r="E27" s="18" t="str">
        <f>IFERROR(IF('November 2026 Log'!BO33="","",'November 2026 Log'!BO33),"")</f>
        <v/>
      </c>
      <c r="F27" s="18" t="str">
        <f>IFERROR(IF('December 2026 Log'!BO33="","",'December 2026 Log'!BO33),"")</f>
        <v/>
      </c>
      <c r="G27" s="18" t="str">
        <f>IFERROR(IF('January 2027 Log'!BO33="","",'January 2027 Log'!BO33),"")</f>
        <v/>
      </c>
      <c r="H27" s="18" t="str">
        <f>IFERROR(IF('February 2027 Log'!BO33="","",'February 2027 Log'!BO33),"")</f>
        <v/>
      </c>
      <c r="I27" s="21">
        <f t="shared" si="0"/>
        <v>5218.6499999999996</v>
      </c>
    </row>
    <row r="28" spans="1:9" x14ac:dyDescent="0.35">
      <c r="A28" s="15" t="s">
        <v>188</v>
      </c>
      <c r="B28" s="18">
        <f>IFERROR(IF('August 2026 Log'!BO34="","",'August 2026 Log'!BO34),"")</f>
        <v>52581.80000000001</v>
      </c>
      <c r="C28" s="18">
        <f>IFERROR(IF('September 2026 Log'!BO34="","",'September 2026 Log'!BO34),"")</f>
        <v>17781.830000000002</v>
      </c>
      <c r="D28" s="18" t="str">
        <f>IFERROR(IF('October 2026 Log'!BO34="","",'October 2026 Log'!BO34),"")</f>
        <v/>
      </c>
      <c r="E28" s="18" t="str">
        <f>IFERROR(IF('November 2026 Log'!BO34="","",'November 2026 Log'!BO34),"")</f>
        <v/>
      </c>
      <c r="F28" s="18" t="str">
        <f>IFERROR(IF('December 2026 Log'!BO34="","",'December 2026 Log'!BO34),"")</f>
        <v/>
      </c>
      <c r="G28" s="18" t="str">
        <f>IFERROR(IF('January 2027 Log'!BO34="","",'January 2027 Log'!BO34),"")</f>
        <v/>
      </c>
      <c r="H28" s="18" t="str">
        <f>IFERROR(IF('February 2027 Log'!BO34="","",'February 2027 Log'!BO34),"")</f>
        <v/>
      </c>
      <c r="I28" s="21">
        <f t="shared" si="0"/>
        <v>70363.63</v>
      </c>
    </row>
    <row r="29" spans="1:9" ht="29" x14ac:dyDescent="0.35">
      <c r="A29" s="15" t="s">
        <v>189</v>
      </c>
      <c r="B29" s="18" t="str">
        <f>IFERROR(IF('August 2026 Log'!BO35="","",'August 2026 Log'!BO35),"")</f>
        <v/>
      </c>
      <c r="C29" s="18" t="str">
        <f>IFERROR(IF('September 2026 Log'!BO35="","",'September 2026 Log'!BO35),"")</f>
        <v/>
      </c>
      <c r="D29" s="18" t="str">
        <f>IFERROR(IF('October 2026 Log'!BO35="","",'October 2026 Log'!BO35),"")</f>
        <v/>
      </c>
      <c r="E29" s="18" t="str">
        <f>IFERROR(IF('November 2026 Log'!BO35="","",'November 2026 Log'!BO35),"")</f>
        <v/>
      </c>
      <c r="F29" s="18" t="str">
        <f>IFERROR(IF('December 2026 Log'!BO35="","",'December 2026 Log'!BO35),"")</f>
        <v/>
      </c>
      <c r="G29" s="18" t="str">
        <f>IFERROR(IF('January 2027 Log'!BO35="","",'January 2027 Log'!BO35),"")</f>
        <v/>
      </c>
      <c r="H29" s="18" t="str">
        <f>IFERROR(IF('February 2027 Log'!BO35="","",'February 2027 Log'!BO35),"")</f>
        <v/>
      </c>
      <c r="I29" s="21" t="str">
        <f t="shared" si="0"/>
        <v/>
      </c>
    </row>
    <row r="30" spans="1:9" x14ac:dyDescent="0.35">
      <c r="A30" s="15" t="s">
        <v>190</v>
      </c>
      <c r="B30" s="18">
        <f>IFERROR(IF('August 2026 Log'!BO36="","",'August 2026 Log'!BO36),"")</f>
        <v>155868.59999999998</v>
      </c>
      <c r="C30" s="18">
        <f>IFERROR(IF('September 2026 Log'!BO36="","",'September 2026 Log'!BO36),"")</f>
        <v>68189.149999999994</v>
      </c>
      <c r="D30" s="18" t="str">
        <f>IFERROR(IF('October 2026 Log'!BO36="","",'October 2026 Log'!BO36),"")</f>
        <v/>
      </c>
      <c r="E30" s="18" t="str">
        <f>IFERROR(IF('November 2026 Log'!BO36="","",'November 2026 Log'!BO36),"")</f>
        <v/>
      </c>
      <c r="F30" s="18" t="str">
        <f>IFERROR(IF('December 2026 Log'!BO36="","",'December 2026 Log'!BO36),"")</f>
        <v/>
      </c>
      <c r="G30" s="18" t="str">
        <f>IFERROR(IF('January 2027 Log'!BO36="","",'January 2027 Log'!BO36),"")</f>
        <v/>
      </c>
      <c r="H30" s="18" t="str">
        <f>IFERROR(IF('February 2027 Log'!BO36="","",'February 2027 Log'!BO36),"")</f>
        <v/>
      </c>
      <c r="I30" s="21">
        <f t="shared" si="0"/>
        <v>224057.74999999997</v>
      </c>
    </row>
    <row r="31" spans="1:9" ht="29" x14ac:dyDescent="0.35">
      <c r="A31" s="15" t="s">
        <v>191</v>
      </c>
      <c r="B31" s="18" t="str">
        <f>IFERROR(IF('August 2026 Log'!BO37="","",'August 2026 Log'!BO37),"")</f>
        <v/>
      </c>
      <c r="C31" s="18" t="str">
        <f>IFERROR(IF('September 2026 Log'!BO37="","",'September 2026 Log'!BO37),"")</f>
        <v/>
      </c>
      <c r="D31" s="18" t="str">
        <f>IFERROR(IF('October 2026 Log'!BO37="","",'October 2026 Log'!BO37),"")</f>
        <v/>
      </c>
      <c r="E31" s="18" t="str">
        <f>IFERROR(IF('November 2026 Log'!BO37="","",'November 2026 Log'!BO37),"")</f>
        <v/>
      </c>
      <c r="F31" s="18" t="str">
        <f>IFERROR(IF('December 2026 Log'!BO37="","",'December 2026 Log'!BO37),"")</f>
        <v/>
      </c>
      <c r="G31" s="18" t="str">
        <f>IFERROR(IF('January 2027 Log'!BO37="","",'January 2027 Log'!BO37),"")</f>
        <v/>
      </c>
      <c r="H31" s="18" t="str">
        <f>IFERROR(IF('February 2027 Log'!BO37="","",'February 2027 Log'!BO37),"")</f>
        <v/>
      </c>
      <c r="I31" s="21" t="str">
        <f t="shared" si="0"/>
        <v/>
      </c>
    </row>
    <row r="32" spans="1:9" x14ac:dyDescent="0.35">
      <c r="A32" s="15" t="s">
        <v>192</v>
      </c>
      <c r="B32" s="18">
        <f>IFERROR(IF('August 2026 Log'!BO38="","",'August 2026 Log'!BO38),"")</f>
        <v>472411.24</v>
      </c>
      <c r="C32" s="18">
        <f>IFERROR(IF('September 2026 Log'!BO38="","",'September 2026 Log'!BO38),"")</f>
        <v>258803.7</v>
      </c>
      <c r="D32" s="18" t="str">
        <f>IFERROR(IF('October 2026 Log'!BO38="","",'October 2026 Log'!BO38),"")</f>
        <v/>
      </c>
      <c r="E32" s="18" t="str">
        <f>IFERROR(IF('November 2026 Log'!BO38="","",'November 2026 Log'!BO38),"")</f>
        <v/>
      </c>
      <c r="F32" s="18" t="str">
        <f>IFERROR(IF('December 2026 Log'!BO38="","",'December 2026 Log'!BO38),"")</f>
        <v/>
      </c>
      <c r="G32" s="18" t="str">
        <f>IFERROR(IF('January 2027 Log'!BO38="","",'January 2027 Log'!BO38),"")</f>
        <v/>
      </c>
      <c r="H32" s="18" t="str">
        <f>IFERROR(IF('February 2027 Log'!BO38="","",'February 2027 Log'!BO38),"")</f>
        <v/>
      </c>
      <c r="I32" s="21">
        <f t="shared" si="0"/>
        <v>731214.94</v>
      </c>
    </row>
    <row r="33" spans="1:9" x14ac:dyDescent="0.35">
      <c r="A33" s="15" t="s">
        <v>193</v>
      </c>
      <c r="B33" s="18">
        <f>IFERROR(IF('August 2026 Log'!BO39="","",'August 2026 Log'!BO39),"")</f>
        <v>430570.00000000006</v>
      </c>
      <c r="C33" s="18">
        <f>IFERROR(IF('September 2026 Log'!BO39="","",'September 2026 Log'!BO39),"")</f>
        <v>166776.63</v>
      </c>
      <c r="D33" s="18" t="str">
        <f>IFERROR(IF('October 2026 Log'!BO39="","",'October 2026 Log'!BO39),"")</f>
        <v/>
      </c>
      <c r="E33" s="18" t="str">
        <f>IFERROR(IF('November 2026 Log'!BO39="","",'November 2026 Log'!BO39),"")</f>
        <v/>
      </c>
      <c r="F33" s="18" t="str">
        <f>IFERROR(IF('December 2026 Log'!BO39="","",'December 2026 Log'!BO39),"")</f>
        <v/>
      </c>
      <c r="G33" s="18" t="str">
        <f>IFERROR(IF('January 2027 Log'!BO39="","",'January 2027 Log'!BO39),"")</f>
        <v/>
      </c>
      <c r="H33" s="18" t="str">
        <f>IFERROR(IF('February 2027 Log'!BO39="","",'February 2027 Log'!BO39),"")</f>
        <v/>
      </c>
      <c r="I33" s="21">
        <f t="shared" si="0"/>
        <v>597346.63000000012</v>
      </c>
    </row>
    <row r="34" spans="1:9" x14ac:dyDescent="0.35">
      <c r="A34" s="15" t="s">
        <v>194</v>
      </c>
      <c r="B34" s="18" t="str">
        <f>IFERROR(IF('August 2026 Log'!BO40="","",'August 2026 Log'!BO40),"")</f>
        <v/>
      </c>
      <c r="C34" s="18" t="str">
        <f>IFERROR(IF('September 2026 Log'!BO40="","",'September 2026 Log'!BO40),"")</f>
        <v/>
      </c>
      <c r="D34" s="18" t="str">
        <f>IFERROR(IF('October 2026 Log'!BO40="","",'October 2026 Log'!BO40),"")</f>
        <v/>
      </c>
      <c r="E34" s="18" t="str">
        <f>IFERROR(IF('November 2026 Log'!BO40="","",'November 2026 Log'!BO40),"")</f>
        <v/>
      </c>
      <c r="F34" s="18" t="str">
        <f>IFERROR(IF('December 2026 Log'!BO40="","",'December 2026 Log'!BO40),"")</f>
        <v/>
      </c>
      <c r="G34" s="18" t="str">
        <f>IFERROR(IF('January 2027 Log'!BO40="","",'January 2027 Log'!BO40),"")</f>
        <v/>
      </c>
      <c r="H34" s="18" t="str">
        <f>IFERROR(IF('February 2027 Log'!BO40="","",'February 2027 Log'!BO40),"")</f>
        <v/>
      </c>
      <c r="I34" s="21" t="str">
        <f t="shared" si="0"/>
        <v/>
      </c>
    </row>
    <row r="35" spans="1:9" x14ac:dyDescent="0.35">
      <c r="A35" s="15" t="s">
        <v>195</v>
      </c>
      <c r="B35" s="18" t="str">
        <f>IFERROR(IF('August 2026 Log'!BO41="","",'August 2026 Log'!BO41),"")</f>
        <v/>
      </c>
      <c r="C35" s="18" t="str">
        <f>IFERROR(IF('September 2026 Log'!BO41="","",'September 2026 Log'!BO41),"")</f>
        <v/>
      </c>
      <c r="D35" s="18" t="str">
        <f>IFERROR(IF('October 2026 Log'!BO41="","",'October 2026 Log'!BO41),"")</f>
        <v/>
      </c>
      <c r="E35" s="18" t="str">
        <f>IFERROR(IF('November 2026 Log'!BO41="","",'November 2026 Log'!BO41),"")</f>
        <v/>
      </c>
      <c r="F35" s="18" t="str">
        <f>IFERROR(IF('December 2026 Log'!BO41="","",'December 2026 Log'!BO41),"")</f>
        <v/>
      </c>
      <c r="G35" s="18" t="str">
        <f>IFERROR(IF('January 2027 Log'!BO41="","",'January 2027 Log'!BO41),"")</f>
        <v/>
      </c>
      <c r="H35" s="18" t="str">
        <f>IFERROR(IF('February 2027 Log'!BO41="","",'February 2027 Log'!BO41),"")</f>
        <v/>
      </c>
      <c r="I35" s="21" t="str">
        <f t="shared" si="0"/>
        <v/>
      </c>
    </row>
    <row r="36" spans="1:9" x14ac:dyDescent="0.35">
      <c r="A36" s="15" t="s">
        <v>196</v>
      </c>
      <c r="B36" s="18">
        <f>IFERROR(IF('August 2026 Log'!BO42="","",'August 2026 Log'!BO42),"")</f>
        <v>1058849.8399999999</v>
      </c>
      <c r="C36" s="18">
        <f>IFERROR(IF('September 2026 Log'!BO42="","",'September 2026 Log'!BO42),"")</f>
        <v>493769.48000000004</v>
      </c>
      <c r="D36" s="18">
        <f>IFERROR(IF('October 2026 Log'!BO42="","",'October 2026 Log'!BO42),"")</f>
        <v>0</v>
      </c>
      <c r="E36" s="18">
        <f>IFERROR(IF('November 2026 Log'!BO42="","",'November 2026 Log'!BO42),"")</f>
        <v>0</v>
      </c>
      <c r="F36" s="18">
        <f>IFERROR(IF('December 2026 Log'!BO42="","",'December 2026 Log'!BO42),"")</f>
        <v>0</v>
      </c>
      <c r="G36" s="18">
        <f>IFERROR(IF('January 2027 Log'!BO42="","",'January 2027 Log'!BO42),"")</f>
        <v>0</v>
      </c>
      <c r="H36" s="18">
        <f>IFERROR(IF('February 2027 Log'!BO42="","",'February 2027 Log'!BO42),"")</f>
        <v>0</v>
      </c>
      <c r="I36" s="21">
        <f t="shared" si="0"/>
        <v>1552619.3199999998</v>
      </c>
    </row>
    <row r="37" spans="1:9" x14ac:dyDescent="0.35">
      <c r="A37" s="15" t="s">
        <v>197</v>
      </c>
      <c r="B37" s="18">
        <f>IFERROR(IF('August 2026 Log'!BO43="","",'August 2026 Log'!BO43),"")</f>
        <v>228866.82000000009</v>
      </c>
      <c r="C37" s="18">
        <f>IFERROR(IF('September 2026 Log'!BO43="","",'September 2026 Log'!BO43),"")</f>
        <v>117109.18000000001</v>
      </c>
      <c r="D37" s="18" t="str">
        <f>IFERROR(IF('October 2026 Log'!BO43="","",'October 2026 Log'!BO43),"")</f>
        <v/>
      </c>
      <c r="E37" s="18" t="str">
        <f>IFERROR(IF('November 2026 Log'!BO43="","",'November 2026 Log'!BO43),"")</f>
        <v/>
      </c>
      <c r="F37" s="18" t="str">
        <f>IFERROR(IF('December 2026 Log'!BO43="","",'December 2026 Log'!BO43),"")</f>
        <v/>
      </c>
      <c r="G37" s="18" t="str">
        <f>IFERROR(IF('January 2027 Log'!BO43="","",'January 2027 Log'!BO43),"")</f>
        <v/>
      </c>
      <c r="H37" s="18" t="str">
        <f>IFERROR(IF('February 2027 Log'!BO43="","",'February 2027 Log'!BO43),"")</f>
        <v/>
      </c>
      <c r="I37" s="21">
        <f t="shared" si="0"/>
        <v>345976.00000000012</v>
      </c>
    </row>
    <row r="38" spans="1:9" x14ac:dyDescent="0.35">
      <c r="A38" s="15" t="s">
        <v>198</v>
      </c>
      <c r="B38" s="18" t="str">
        <f>IFERROR(IF('August 2026 Log'!BO44="","",'August 2026 Log'!BO44),"")</f>
        <v/>
      </c>
      <c r="C38" s="18" t="str">
        <f>IFERROR(IF('September 2026 Log'!BO44="","",'September 2026 Log'!BO44),"")</f>
        <v/>
      </c>
      <c r="D38" s="18" t="str">
        <f>IFERROR(IF('October 2026 Log'!BO44="","",'October 2026 Log'!BO44),"")</f>
        <v/>
      </c>
      <c r="E38" s="18" t="str">
        <f>IFERROR(IF('November 2026 Log'!BO44="","",'November 2026 Log'!BO44),"")</f>
        <v/>
      </c>
      <c r="F38" s="18" t="str">
        <f>IFERROR(IF('December 2026 Log'!BO44="","",'December 2026 Log'!BO44),"")</f>
        <v/>
      </c>
      <c r="G38" s="18" t="str">
        <f>IFERROR(IF('January 2027 Log'!BO44="","",'January 2027 Log'!BO44),"")</f>
        <v/>
      </c>
      <c r="H38" s="18" t="str">
        <f>IFERROR(IF('February 2027 Log'!BO44="","",'February 2027 Log'!BO44),"")</f>
        <v/>
      </c>
      <c r="I38" s="21" t="str">
        <f t="shared" ref="I38:I69" si="1">IF(COUNT(B38:H38)=0,"",SUM(B38:H38))</f>
        <v/>
      </c>
    </row>
    <row r="39" spans="1:9" x14ac:dyDescent="0.35">
      <c r="A39" s="15" t="s">
        <v>199</v>
      </c>
      <c r="B39" s="18" t="str">
        <f>IFERROR(IF('August 2026 Log'!BO45="","",'August 2026 Log'!BO45),"")</f>
        <v/>
      </c>
      <c r="C39" s="18" t="str">
        <f>IFERROR(IF('September 2026 Log'!BO45="","",'September 2026 Log'!BO45),"")</f>
        <v/>
      </c>
      <c r="D39" s="18" t="str">
        <f>IFERROR(IF('October 2026 Log'!BO45="","",'October 2026 Log'!BO45),"")</f>
        <v/>
      </c>
      <c r="E39" s="18" t="str">
        <f>IFERROR(IF('November 2026 Log'!BO45="","",'November 2026 Log'!BO45),"")</f>
        <v/>
      </c>
      <c r="F39" s="18" t="str">
        <f>IFERROR(IF('December 2026 Log'!BO45="","",'December 2026 Log'!BO45),"")</f>
        <v/>
      </c>
      <c r="G39" s="18" t="str">
        <f>IFERROR(IF('January 2027 Log'!BO45="","",'January 2027 Log'!BO45),"")</f>
        <v/>
      </c>
      <c r="H39" s="18" t="str">
        <f>IFERROR(IF('February 2027 Log'!BO45="","",'February 2027 Log'!BO45),"")</f>
        <v/>
      </c>
      <c r="I39" s="21" t="str">
        <f t="shared" si="1"/>
        <v/>
      </c>
    </row>
    <row r="40" spans="1:9" x14ac:dyDescent="0.35">
      <c r="A40" s="15" t="s">
        <v>200</v>
      </c>
      <c r="B40" s="18" t="str">
        <f>IFERROR(IF('August 2026 Log'!BO46="","",'August 2026 Log'!BO46),"")</f>
        <v/>
      </c>
      <c r="C40" s="18" t="str">
        <f>IFERROR(IF('September 2026 Log'!BO46="","",'September 2026 Log'!BO46),"")</f>
        <v/>
      </c>
      <c r="D40" s="18" t="str">
        <f>IFERROR(IF('October 2026 Log'!BO46="","",'October 2026 Log'!BO46),"")</f>
        <v/>
      </c>
      <c r="E40" s="18" t="str">
        <f>IFERROR(IF('November 2026 Log'!BO46="","",'November 2026 Log'!BO46),"")</f>
        <v/>
      </c>
      <c r="F40" s="18" t="str">
        <f>IFERROR(IF('December 2026 Log'!BO46="","",'December 2026 Log'!BO46),"")</f>
        <v/>
      </c>
      <c r="G40" s="18" t="str">
        <f>IFERROR(IF('January 2027 Log'!BO46="","",'January 2027 Log'!BO46),"")</f>
        <v/>
      </c>
      <c r="H40" s="18" t="str">
        <f>IFERROR(IF('February 2027 Log'!BO46="","",'February 2027 Log'!BO46),"")</f>
        <v/>
      </c>
      <c r="I40" s="21" t="str">
        <f t="shared" si="1"/>
        <v/>
      </c>
    </row>
    <row r="41" spans="1:9" x14ac:dyDescent="0.35">
      <c r="A41" s="15" t="s">
        <v>201</v>
      </c>
      <c r="B41" s="18" t="str">
        <f>IFERROR(IF('August 2026 Log'!BO47="","",'August 2026 Log'!BO47),"")</f>
        <v/>
      </c>
      <c r="C41" s="18" t="str">
        <f>IFERROR(IF('September 2026 Log'!BO47="","",'September 2026 Log'!BO47),"")</f>
        <v/>
      </c>
      <c r="D41" s="18" t="str">
        <f>IFERROR(IF('October 2026 Log'!BO47="","",'October 2026 Log'!BO47),"")</f>
        <v/>
      </c>
      <c r="E41" s="18" t="str">
        <f>IFERROR(IF('November 2026 Log'!BO47="","",'November 2026 Log'!BO47),"")</f>
        <v/>
      </c>
      <c r="F41" s="18" t="str">
        <f>IFERROR(IF('December 2026 Log'!BO47="","",'December 2026 Log'!BO47),"")</f>
        <v/>
      </c>
      <c r="G41" s="18" t="str">
        <f>IFERROR(IF('January 2027 Log'!BO47="","",'January 2027 Log'!BO47),"")</f>
        <v/>
      </c>
      <c r="H41" s="18" t="str">
        <f>IFERROR(IF('February 2027 Log'!BO47="","",'February 2027 Log'!BO47),"")</f>
        <v/>
      </c>
      <c r="I41" s="21" t="str">
        <f t="shared" si="1"/>
        <v/>
      </c>
    </row>
    <row r="42" spans="1:9" x14ac:dyDescent="0.35">
      <c r="A42" s="15" t="s">
        <v>202</v>
      </c>
      <c r="B42" s="18" t="str">
        <f>IFERROR(IF('August 2026 Log'!BO48="","",'August 2026 Log'!BO48),"")</f>
        <v/>
      </c>
      <c r="C42" s="18" t="str">
        <f>IFERROR(IF('September 2026 Log'!BO48="","",'September 2026 Log'!BO48),"")</f>
        <v/>
      </c>
      <c r="D42" s="18" t="str">
        <f>IFERROR(IF('October 2026 Log'!BO48="","",'October 2026 Log'!BO48),"")</f>
        <v/>
      </c>
      <c r="E42" s="18" t="str">
        <f>IFERROR(IF('November 2026 Log'!BO48="","",'November 2026 Log'!BO48),"")</f>
        <v/>
      </c>
      <c r="F42" s="18" t="str">
        <f>IFERROR(IF('December 2026 Log'!BO48="","",'December 2026 Log'!BO48),"")</f>
        <v/>
      </c>
      <c r="G42" s="18" t="str">
        <f>IFERROR(IF('January 2027 Log'!BO48="","",'January 2027 Log'!BO48),"")</f>
        <v/>
      </c>
      <c r="H42" s="18" t="str">
        <f>IFERROR(IF('February 2027 Log'!BO48="","",'February 2027 Log'!BO48),"")</f>
        <v/>
      </c>
      <c r="I42" s="21" t="str">
        <f t="shared" si="1"/>
        <v/>
      </c>
    </row>
    <row r="43" spans="1:9" x14ac:dyDescent="0.35">
      <c r="A43" s="15" t="s">
        <v>203</v>
      </c>
      <c r="B43" s="18">
        <f>IFERROR(IF('August 2026 Log'!BO49="","",'August 2026 Log'!BO49),"")</f>
        <v>228866.82000000009</v>
      </c>
      <c r="C43" s="18">
        <f>IFERROR(IF('September 2026 Log'!BO49="","",'September 2026 Log'!BO49),"")</f>
        <v>117109.18000000001</v>
      </c>
      <c r="D43" s="18">
        <f>IFERROR(IF('October 2026 Log'!BO49="","",'October 2026 Log'!BO49),"")</f>
        <v>0</v>
      </c>
      <c r="E43" s="18">
        <f>IFERROR(IF('November 2026 Log'!BO49="","",'November 2026 Log'!BO49),"")</f>
        <v>0</v>
      </c>
      <c r="F43" s="18">
        <f>IFERROR(IF('December 2026 Log'!BO49="","",'December 2026 Log'!BO49),"")</f>
        <v>0</v>
      </c>
      <c r="G43" s="18">
        <f>IFERROR(IF('January 2027 Log'!BO49="","",'January 2027 Log'!BO49),"")</f>
        <v>0</v>
      </c>
      <c r="H43" s="18">
        <f>IFERROR(IF('February 2027 Log'!BO49="","",'February 2027 Log'!BO49),"")</f>
        <v>0</v>
      </c>
      <c r="I43" s="21">
        <f t="shared" si="1"/>
        <v>345976.00000000012</v>
      </c>
    </row>
    <row r="44" spans="1:9" x14ac:dyDescent="0.35">
      <c r="A44" s="15" t="s">
        <v>204</v>
      </c>
      <c r="B44" s="18">
        <f>IFERROR(IF('August 2026 Log'!BO50="","",'August 2026 Log'!BO50),"")</f>
        <v>1287716.6599999997</v>
      </c>
      <c r="C44" s="18">
        <f>IFERROR(IF('September 2026 Log'!BO50="","",'September 2026 Log'!BO50),"")</f>
        <v>610878.66000000015</v>
      </c>
      <c r="D44" s="18">
        <f>IFERROR(IF('October 2026 Log'!BO50="","",'October 2026 Log'!BO50),"")</f>
        <v>0</v>
      </c>
      <c r="E44" s="18">
        <f>IFERROR(IF('November 2026 Log'!BO50="","",'November 2026 Log'!BO50),"")</f>
        <v>0</v>
      </c>
      <c r="F44" s="18">
        <f>IFERROR(IF('December 2026 Log'!BO50="","",'December 2026 Log'!BO50),"")</f>
        <v>0</v>
      </c>
      <c r="G44" s="18">
        <f>IFERROR(IF('January 2027 Log'!BO50="","",'January 2027 Log'!BO50),"")</f>
        <v>0</v>
      </c>
      <c r="H44" s="18">
        <f>IFERROR(IF('February 2027 Log'!BO50="","",'February 2027 Log'!BO50),"")</f>
        <v>0</v>
      </c>
      <c r="I44" s="21">
        <f t="shared" si="1"/>
        <v>1898595.3199999998</v>
      </c>
    </row>
    <row r="45" spans="1:9" x14ac:dyDescent="0.35">
      <c r="A45" s="15" t="s">
        <v>205</v>
      </c>
      <c r="B45" s="18" t="str">
        <f>IFERROR(IF('August 2026 Log'!BO51="","",'August 2026 Log'!BO51),"")</f>
        <v/>
      </c>
      <c r="C45" s="18" t="str">
        <f>IFERROR(IF('September 2026 Log'!BO51="","",'September 2026 Log'!BO51),"")</f>
        <v/>
      </c>
      <c r="D45" s="18" t="str">
        <f>IFERROR(IF('October 2026 Log'!BO51="","",'October 2026 Log'!BO51),"")</f>
        <v/>
      </c>
      <c r="E45" s="18" t="str">
        <f>IFERROR(IF('November 2026 Log'!BO51="","",'November 2026 Log'!BO51),"")</f>
        <v/>
      </c>
      <c r="F45" s="18" t="str">
        <f>IFERROR(IF('December 2026 Log'!BO51="","",'December 2026 Log'!BO51),"")</f>
        <v/>
      </c>
      <c r="G45" s="18" t="str">
        <f>IFERROR(IF('January 2027 Log'!BO51="","",'January 2027 Log'!BO51),"")</f>
        <v/>
      </c>
      <c r="H45" s="18" t="str">
        <f>IFERROR(IF('February 2027 Log'!BO51="","",'February 2027 Log'!BO51),"")</f>
        <v/>
      </c>
      <c r="I45" s="21" t="str">
        <f t="shared" si="1"/>
        <v/>
      </c>
    </row>
    <row r="46" spans="1:9" x14ac:dyDescent="0.35">
      <c r="A46" s="15" t="s">
        <v>206</v>
      </c>
      <c r="B46" s="18" t="str">
        <f>IFERROR(IF('August 2026 Log'!BO52="","",'August 2026 Log'!BO52),"")</f>
        <v/>
      </c>
      <c r="C46" s="18" t="str">
        <f>IFERROR(IF('September 2026 Log'!BO52="","",'September 2026 Log'!BO52),"")</f>
        <v/>
      </c>
      <c r="D46" s="18" t="str">
        <f>IFERROR(IF('October 2026 Log'!BO52="","",'October 2026 Log'!BO52),"")</f>
        <v/>
      </c>
      <c r="E46" s="18" t="str">
        <f>IFERROR(IF('November 2026 Log'!BO52="","",'November 2026 Log'!BO52),"")</f>
        <v/>
      </c>
      <c r="F46" s="18" t="str">
        <f>IFERROR(IF('December 2026 Log'!BO52="","",'December 2026 Log'!BO52),"")</f>
        <v/>
      </c>
      <c r="G46" s="18" t="str">
        <f>IFERROR(IF('January 2027 Log'!BO52="","",'January 2027 Log'!BO52),"")</f>
        <v/>
      </c>
      <c r="H46" s="18" t="str">
        <f>IFERROR(IF('February 2027 Log'!BO52="","",'February 2027 Log'!BO52),"")</f>
        <v/>
      </c>
      <c r="I46" s="21" t="str">
        <f t="shared" si="1"/>
        <v/>
      </c>
    </row>
    <row r="47" spans="1:9" x14ac:dyDescent="0.35">
      <c r="A47" s="15" t="s">
        <v>207</v>
      </c>
      <c r="B47" s="18" t="str">
        <f>IFERROR(IF('August 2026 Log'!BO53="","",'August 2026 Log'!BO53),"")</f>
        <v/>
      </c>
      <c r="C47" s="18" t="str">
        <f>IFERROR(IF('September 2026 Log'!BO53="","",'September 2026 Log'!BO53),"")</f>
        <v/>
      </c>
      <c r="D47" s="18" t="str">
        <f>IFERROR(IF('October 2026 Log'!BO53="","",'October 2026 Log'!BO53),"")</f>
        <v/>
      </c>
      <c r="E47" s="18" t="str">
        <f>IFERROR(IF('November 2026 Log'!BO53="","",'November 2026 Log'!BO53),"")</f>
        <v/>
      </c>
      <c r="F47" s="18" t="str">
        <f>IFERROR(IF('December 2026 Log'!BO53="","",'December 2026 Log'!BO53),"")</f>
        <v/>
      </c>
      <c r="G47" s="18" t="str">
        <f>IFERROR(IF('January 2027 Log'!BO53="","",'January 2027 Log'!BO53),"")</f>
        <v/>
      </c>
      <c r="H47" s="18" t="str">
        <f>IFERROR(IF('February 2027 Log'!BO53="","",'February 2027 Log'!BO53),"")</f>
        <v/>
      </c>
      <c r="I47" s="21" t="str">
        <f t="shared" si="1"/>
        <v/>
      </c>
    </row>
    <row r="48" spans="1:9" x14ac:dyDescent="0.35">
      <c r="A48" s="15" t="s">
        <v>208</v>
      </c>
      <c r="B48" s="18">
        <f>IFERROR(IF('August 2026 Log'!BO54="","",'August 2026 Log'!BO54),"")</f>
        <v>1752098.7900000005</v>
      </c>
      <c r="C48" s="18">
        <f>IFERROR(IF('September 2026 Log'!BO54="","",'September 2026 Log'!BO54),"")</f>
        <v>808026.77</v>
      </c>
      <c r="D48" s="18">
        <f>IFERROR(IF('October 2026 Log'!BO54="","",'October 2026 Log'!BO54),"")</f>
        <v>0</v>
      </c>
      <c r="E48" s="18">
        <f>IFERROR(IF('November 2026 Log'!BO54="","",'November 2026 Log'!BO54),"")</f>
        <v>0</v>
      </c>
      <c r="F48" s="18">
        <f>IFERROR(IF('December 2026 Log'!BO54="","",'December 2026 Log'!BO54),"")</f>
        <v>0</v>
      </c>
      <c r="G48" s="18">
        <f>IFERROR(IF('January 2027 Log'!BO54="","",'January 2027 Log'!BO54),"")</f>
        <v>0</v>
      </c>
      <c r="H48" s="18">
        <f>IFERROR(IF('February 2027 Log'!BO54="","",'February 2027 Log'!BO54),"")</f>
        <v>0</v>
      </c>
      <c r="I48" s="21">
        <f t="shared" si="1"/>
        <v>2560125.5600000005</v>
      </c>
    </row>
    <row r="49" spans="1:9" x14ac:dyDescent="0.35">
      <c r="A49" s="15" t="s">
        <v>209</v>
      </c>
      <c r="B49" s="18">
        <f>IFERROR(IF('August 2026 Log'!BO55="","",'August 2026 Log'!BO55),"")</f>
        <v>1752820.0299999998</v>
      </c>
      <c r="C49" s="18">
        <f>IFERROR(IF('September 2026 Log'!BO55="","",'September 2026 Log'!BO55),"")</f>
        <v>797113.76000000013</v>
      </c>
      <c r="D49" s="18" t="str">
        <f>IFERROR(IF('October 2026 Log'!BO55="","",'October 2026 Log'!BO55),"")</f>
        <v/>
      </c>
      <c r="E49" s="18" t="str">
        <f>IFERROR(IF('November 2026 Log'!BO55="","",'November 2026 Log'!BO55),"")</f>
        <v/>
      </c>
      <c r="F49" s="18" t="str">
        <f>IFERROR(IF('December 2026 Log'!BO55="","",'December 2026 Log'!BO55),"")</f>
        <v/>
      </c>
      <c r="G49" s="18" t="str">
        <f>IFERROR(IF('January 2027 Log'!BO55="","",'January 2027 Log'!BO55),"")</f>
        <v/>
      </c>
      <c r="H49" s="18" t="str">
        <f>IFERROR(IF('February 2027 Log'!BO55="","",'February 2027 Log'!BO55),"")</f>
        <v/>
      </c>
      <c r="I49" s="21">
        <f t="shared" si="1"/>
        <v>2549933.79</v>
      </c>
    </row>
    <row r="50" spans="1:9" x14ac:dyDescent="0.35">
      <c r="A50" s="15" t="s">
        <v>210</v>
      </c>
      <c r="B50" s="18">
        <f>IFERROR(IF('August 2026 Log'!BO56="","",'August 2026 Log'!BO56),"")</f>
        <v>-952.69999999999993</v>
      </c>
      <c r="C50" s="18">
        <f>IFERROR(IF('September 2026 Log'!BO56="","",'September 2026 Log'!BO56),"")</f>
        <v>-317.95</v>
      </c>
      <c r="D50" s="18" t="str">
        <f>IFERROR(IF('October 2026 Log'!BO56="","",'October 2026 Log'!BO56),"")</f>
        <v/>
      </c>
      <c r="E50" s="18" t="str">
        <f>IFERROR(IF('November 2026 Log'!BO56="","",'November 2026 Log'!BO56),"")</f>
        <v/>
      </c>
      <c r="F50" s="18" t="str">
        <f>IFERROR(IF('December 2026 Log'!BO56="","",'December 2026 Log'!BO56),"")</f>
        <v/>
      </c>
      <c r="G50" s="18" t="str">
        <f>IFERROR(IF('January 2027 Log'!BO56="","",'January 2027 Log'!BO56),"")</f>
        <v/>
      </c>
      <c r="H50" s="18" t="str">
        <f>IFERROR(IF('February 2027 Log'!BO56="","",'February 2027 Log'!BO56),"")</f>
        <v/>
      </c>
      <c r="I50" s="21">
        <f t="shared" si="1"/>
        <v>-1270.6499999999999</v>
      </c>
    </row>
    <row r="51" spans="1:9" x14ac:dyDescent="0.35">
      <c r="A51" s="15" t="s">
        <v>211</v>
      </c>
      <c r="B51" s="18">
        <f>IFERROR(IF('August 2026 Log'!BO57="","",'August 2026 Log'!BO57),"")</f>
        <v>1751867.3299999998</v>
      </c>
      <c r="C51" s="18">
        <f>IFERROR(IF('September 2026 Log'!BO57="","",'September 2026 Log'!BO57),"")</f>
        <v>796795.81000000017</v>
      </c>
      <c r="D51" s="18">
        <f>IFERROR(IF('October 2026 Log'!BO57="","",'October 2026 Log'!BO57),"")</f>
        <v>0</v>
      </c>
      <c r="E51" s="18">
        <f>IFERROR(IF('November 2026 Log'!BO57="","",'November 2026 Log'!BO57),"")</f>
        <v>0</v>
      </c>
      <c r="F51" s="18">
        <f>IFERROR(IF('December 2026 Log'!BO57="","",'December 2026 Log'!BO57),"")</f>
        <v>0</v>
      </c>
      <c r="G51" s="18">
        <f>IFERROR(IF('January 2027 Log'!BO57="","",'January 2027 Log'!BO57),"")</f>
        <v>0</v>
      </c>
      <c r="H51" s="18">
        <f>IFERROR(IF('February 2027 Log'!BO57="","",'February 2027 Log'!BO57),"")</f>
        <v>0</v>
      </c>
      <c r="I51" s="21">
        <f t="shared" si="1"/>
        <v>2548663.14</v>
      </c>
    </row>
    <row r="52" spans="1:9" x14ac:dyDescent="0.35">
      <c r="A52" s="15" t="s">
        <v>212</v>
      </c>
      <c r="B52" s="18">
        <f>IFERROR(IF('August 2026 Log'!BO58="","",'August 2026 Log'!BO58),"")</f>
        <v>231.4600000000064</v>
      </c>
      <c r="C52" s="18">
        <f>IFERROR(IF('September 2026 Log'!BO58="","",'September 2026 Log'!BO58),"")</f>
        <v>11230.960000000014</v>
      </c>
      <c r="D52" s="18">
        <f>IFERROR(IF('October 2026 Log'!BO58="","",'October 2026 Log'!BO58),"")</f>
        <v>0</v>
      </c>
      <c r="E52" s="18">
        <f>IFERROR(IF('November 2026 Log'!BO58="","",'November 2026 Log'!BO58),"")</f>
        <v>0</v>
      </c>
      <c r="F52" s="18">
        <f>IFERROR(IF('December 2026 Log'!BO58="","",'December 2026 Log'!BO58),"")</f>
        <v>0</v>
      </c>
      <c r="G52" s="18">
        <f>IFERROR(IF('January 2027 Log'!BO58="","",'January 2027 Log'!BO58),"")</f>
        <v>0</v>
      </c>
      <c r="H52" s="18">
        <f>IFERROR(IF('February 2027 Log'!BO58="","",'February 2027 Log'!BO58),"")</f>
        <v>0</v>
      </c>
      <c r="I52" s="21">
        <f t="shared" si="1"/>
        <v>11462.42000000002</v>
      </c>
    </row>
    <row r="53" spans="1:9" x14ac:dyDescent="0.35">
      <c r="A53" s="15" t="s">
        <v>213</v>
      </c>
      <c r="B53" s="18">
        <f>IFERROR(IF('August 2026 Log'!BO59="","",'August 2026 Log'!BO59),"")</f>
        <v>-96</v>
      </c>
      <c r="C53" s="18">
        <f>IFERROR(IF('September 2026 Log'!BO59="","",'September 2026 Log'!BO59),"")</f>
        <v>-221</v>
      </c>
      <c r="D53" s="18">
        <f>IFERROR(IF('October 2026 Log'!BO59="","",'October 2026 Log'!BO59),"")</f>
        <v>0</v>
      </c>
      <c r="E53" s="18">
        <f>IFERROR(IF('November 2026 Log'!BO59="","",'November 2026 Log'!BO59),"")</f>
        <v>0</v>
      </c>
      <c r="F53" s="18">
        <f>IFERROR(IF('December 2026 Log'!BO59="","",'December 2026 Log'!BO59),"")</f>
        <v>0</v>
      </c>
      <c r="G53" s="18">
        <f>IFERROR(IF('January 2027 Log'!BO59="","",'January 2027 Log'!BO59),"")</f>
        <v>0</v>
      </c>
      <c r="H53" s="18">
        <f>IFERROR(IF('February 2027 Log'!BO59="","",'February 2027 Log'!BO59),"")</f>
        <v>0</v>
      </c>
      <c r="I53" s="21">
        <f t="shared" si="1"/>
        <v>-317</v>
      </c>
    </row>
    <row r="54" spans="1:9" x14ac:dyDescent="0.35">
      <c r="A54" s="15" t="s">
        <v>214</v>
      </c>
      <c r="B54" s="18">
        <f>IFERROR(IF('August 2026 Log'!BO61="","",'August 2026 Log'!BO61),"")</f>
        <v>22538</v>
      </c>
      <c r="C54" s="18">
        <f>IFERROR(IF('September 2026 Log'!BO61="","",'September 2026 Log'!BO61),"")</f>
        <v>-4385152</v>
      </c>
      <c r="D54" s="18" t="str">
        <f>IFERROR(IF('October 2026 Log'!BO61="","",'October 2026 Log'!BO61),"")</f>
        <v/>
      </c>
      <c r="E54" s="18" t="str">
        <f>IFERROR(IF('November 2026 Log'!BO61="","",'November 2026 Log'!BO61),"")</f>
        <v/>
      </c>
      <c r="F54" s="18" t="str">
        <f>IFERROR(IF('December 2026 Log'!BO61="","",'December 2026 Log'!BO61),"")</f>
        <v/>
      </c>
      <c r="G54" s="18" t="str">
        <f>IFERROR(IF('January 2027 Log'!BO61="","",'January 2027 Log'!BO61),"")</f>
        <v/>
      </c>
      <c r="H54" s="18" t="str">
        <f>IFERROR(IF('February 2027 Log'!BO61="","",'February 2027 Log'!BO61),"")</f>
        <v/>
      </c>
      <c r="I54" s="21">
        <f t="shared" si="1"/>
        <v>-4362614</v>
      </c>
    </row>
    <row r="55" spans="1:9" x14ac:dyDescent="0.35">
      <c r="A55" s="15" t="s">
        <v>215</v>
      </c>
      <c r="B55" s="18">
        <f>IFERROR(IF('August 2026 Log'!BO62="","",'August 2026 Log'!BO62),"")</f>
        <v>2855</v>
      </c>
      <c r="C55" s="18">
        <f>IFERROR(IF('September 2026 Log'!BO62="","",'September 2026 Log'!BO62),"")</f>
        <v>16500</v>
      </c>
      <c r="D55" s="18" t="str">
        <f>IFERROR(IF('October 2026 Log'!BO62="","",'October 2026 Log'!BO62),"")</f>
        <v/>
      </c>
      <c r="E55" s="18" t="str">
        <f>IFERROR(IF('November 2026 Log'!BO62="","",'November 2026 Log'!BO62),"")</f>
        <v/>
      </c>
      <c r="F55" s="18" t="str">
        <f>IFERROR(IF('December 2026 Log'!BO62="","",'December 2026 Log'!BO62),"")</f>
        <v/>
      </c>
      <c r="G55" s="18" t="str">
        <f>IFERROR(IF('January 2027 Log'!BO62="","",'January 2027 Log'!BO62),"")</f>
        <v/>
      </c>
      <c r="H55" s="18" t="str">
        <f>IFERROR(IF('February 2027 Log'!BO62="","",'February 2027 Log'!BO62),"")</f>
        <v/>
      </c>
      <c r="I55" s="21">
        <f t="shared" si="1"/>
        <v>19355</v>
      </c>
    </row>
    <row r="56" spans="1:9" x14ac:dyDescent="0.35">
      <c r="A56" s="15" t="s">
        <v>216</v>
      </c>
      <c r="B56" s="18">
        <f>IFERROR(IF('August 2026 Log'!BO63="","",'August 2026 Log'!BO63),"")</f>
        <v>1831</v>
      </c>
      <c r="C56" s="18">
        <f>IFERROR(IF('September 2026 Log'!BO63="","",'September 2026 Log'!BO63),"")</f>
        <v>3400</v>
      </c>
      <c r="D56" s="18" t="str">
        <f>IFERROR(IF('October 2026 Log'!BO63="","",'October 2026 Log'!BO63),"")</f>
        <v/>
      </c>
      <c r="E56" s="18" t="str">
        <f>IFERROR(IF('November 2026 Log'!BO63="","",'November 2026 Log'!BO63),"")</f>
        <v/>
      </c>
      <c r="F56" s="18" t="str">
        <f>IFERROR(IF('December 2026 Log'!BO63="","",'December 2026 Log'!BO63),"")</f>
        <v/>
      </c>
      <c r="G56" s="18" t="str">
        <f>IFERROR(IF('January 2027 Log'!BO63="","",'January 2027 Log'!BO63),"")</f>
        <v/>
      </c>
      <c r="H56" s="18" t="str">
        <f>IFERROR(IF('February 2027 Log'!BO63="","",'February 2027 Log'!BO63),"")</f>
        <v/>
      </c>
      <c r="I56" s="21">
        <f t="shared" si="1"/>
        <v>5231</v>
      </c>
    </row>
    <row r="57" spans="1:9" x14ac:dyDescent="0.35">
      <c r="A57" s="15" t="s">
        <v>216</v>
      </c>
      <c r="B57" s="18">
        <f>IFERROR(IF('August 2026 Log'!BO64="","",'August 2026 Log'!BO64),"")</f>
        <v>2012</v>
      </c>
      <c r="C57" s="18">
        <f>IFERROR(IF('September 2026 Log'!BO64="","",'September 2026 Log'!BO64),"")</f>
        <v>2600</v>
      </c>
      <c r="D57" s="18" t="str">
        <f>IFERROR(IF('October 2026 Log'!BO64="","",'October 2026 Log'!BO64),"")</f>
        <v/>
      </c>
      <c r="E57" s="18" t="str">
        <f>IFERROR(IF('November 2026 Log'!BO64="","",'November 2026 Log'!BO64),"")</f>
        <v/>
      </c>
      <c r="F57" s="18" t="str">
        <f>IFERROR(IF('December 2026 Log'!BO64="","",'December 2026 Log'!BO64),"")</f>
        <v/>
      </c>
      <c r="G57" s="18" t="str">
        <f>IFERROR(IF('January 2027 Log'!BO64="","",'January 2027 Log'!BO64),"")</f>
        <v/>
      </c>
      <c r="H57" s="18" t="str">
        <f>IFERROR(IF('February 2027 Log'!BO64="","",'February 2027 Log'!BO64),"")</f>
        <v/>
      </c>
      <c r="I57" s="21">
        <f t="shared" si="1"/>
        <v>4612</v>
      </c>
    </row>
    <row r="58" spans="1:9" x14ac:dyDescent="0.35">
      <c r="A58" s="15" t="s">
        <v>217</v>
      </c>
      <c r="B58" s="18">
        <f>IFERROR(IF('August 2026 Log'!BO65="","",'August 2026 Log'!BO65),"")</f>
        <v>11302</v>
      </c>
      <c r="C58" s="18">
        <f>IFERROR(IF('September 2026 Log'!BO65="","",'September 2026 Log'!BO65),"")</f>
        <v>9597</v>
      </c>
      <c r="D58" s="18" t="str">
        <f>IFERROR(IF('October 2026 Log'!BO65="","",'October 2026 Log'!BO65),"")</f>
        <v/>
      </c>
      <c r="E58" s="18" t="str">
        <f>IFERROR(IF('November 2026 Log'!BO65="","",'November 2026 Log'!BO65),"")</f>
        <v/>
      </c>
      <c r="F58" s="18" t="str">
        <f>IFERROR(IF('December 2026 Log'!BO65="","",'December 2026 Log'!BO65),"")</f>
        <v/>
      </c>
      <c r="G58" s="18" t="str">
        <f>IFERROR(IF('January 2027 Log'!BO65="","",'January 2027 Log'!BO65),"")</f>
        <v/>
      </c>
      <c r="H58" s="18" t="str">
        <f>IFERROR(IF('February 2027 Log'!BO65="","",'February 2027 Log'!BO65),"")</f>
        <v/>
      </c>
      <c r="I58" s="21">
        <f t="shared" si="1"/>
        <v>20899</v>
      </c>
    </row>
    <row r="59" spans="1:9" x14ac:dyDescent="0.35">
      <c r="A59" s="15" t="s">
        <v>217</v>
      </c>
      <c r="B59" s="18">
        <f>IFERROR(IF('August 2026 Log'!BO66="","",'August 2026 Log'!BO66),"")</f>
        <v>10226</v>
      </c>
      <c r="C59" s="18">
        <f>IFERROR(IF('September 2026 Log'!BO66="","",'September 2026 Log'!BO66),"")</f>
        <v>10170</v>
      </c>
      <c r="D59" s="18" t="str">
        <f>IFERROR(IF('October 2026 Log'!BO66="","",'October 2026 Log'!BO66),"")</f>
        <v/>
      </c>
      <c r="E59" s="18" t="str">
        <f>IFERROR(IF('November 2026 Log'!BO66="","",'November 2026 Log'!BO66),"")</f>
        <v/>
      </c>
      <c r="F59" s="18" t="str">
        <f>IFERROR(IF('December 2026 Log'!BO66="","",'December 2026 Log'!BO66),"")</f>
        <v/>
      </c>
      <c r="G59" s="18" t="str">
        <f>IFERROR(IF('January 2027 Log'!BO66="","",'January 2027 Log'!BO66),"")</f>
        <v/>
      </c>
      <c r="H59" s="18" t="str">
        <f>IFERROR(IF('February 2027 Log'!BO66="","",'February 2027 Log'!BO66),"")</f>
        <v/>
      </c>
      <c r="I59" s="21">
        <f t="shared" si="1"/>
        <v>20396</v>
      </c>
    </row>
    <row r="60" spans="1:9" ht="29" x14ac:dyDescent="0.35">
      <c r="A60" s="15" t="s">
        <v>218</v>
      </c>
      <c r="B60" s="18">
        <f>IFERROR(IF('August 2026 Log'!BO67="","",'August 2026 Log'!BO67),"")</f>
        <v>18584.38</v>
      </c>
      <c r="C60" s="18">
        <f>IFERROR(IF('September 2026 Log'!BO67="","",'September 2026 Log'!BO67),"")</f>
        <v>-7246958.29</v>
      </c>
      <c r="D60" s="18" t="str">
        <f>IFERROR(IF('October 2026 Log'!BO67="","",'October 2026 Log'!BO67),"")</f>
        <v/>
      </c>
      <c r="E60" s="18" t="str">
        <f>IFERROR(IF('November 2026 Log'!BO67="","",'November 2026 Log'!BO67),"")</f>
        <v/>
      </c>
      <c r="F60" s="18" t="str">
        <f>IFERROR(IF('December 2026 Log'!BO67="","",'December 2026 Log'!BO67),"")</f>
        <v/>
      </c>
      <c r="G60" s="18" t="str">
        <f>IFERROR(IF('January 2027 Log'!BO67="","",'January 2027 Log'!BO67),"")</f>
        <v/>
      </c>
      <c r="H60" s="18" t="str">
        <f>IFERROR(IF('February 2027 Log'!BO67="","",'February 2027 Log'!BO67),"")</f>
        <v/>
      </c>
      <c r="I60" s="21">
        <f t="shared" si="1"/>
        <v>-7228373.9100000001</v>
      </c>
    </row>
    <row r="61" spans="1:9" x14ac:dyDescent="0.35">
      <c r="A61" s="15" t="s">
        <v>219</v>
      </c>
      <c r="B61" s="18">
        <f>IFERROR(IF('August 2026 Log'!BO68="","",'August 2026 Log'!BO68),"")</f>
        <v>12413</v>
      </c>
      <c r="C61" s="18">
        <f>IFERROR(IF('September 2026 Log'!BO68="","",'September 2026 Log'!BO68),"")</f>
        <v>-1022725</v>
      </c>
      <c r="D61" s="18" t="str">
        <f>IFERROR(IF('October 2026 Log'!BO68="","",'October 2026 Log'!BO68),"")</f>
        <v/>
      </c>
      <c r="E61" s="18" t="str">
        <f>IFERROR(IF('November 2026 Log'!BO68="","",'November 2026 Log'!BO68),"")</f>
        <v/>
      </c>
      <c r="F61" s="18" t="str">
        <f>IFERROR(IF('December 2026 Log'!BO68="","",'December 2026 Log'!BO68),"")</f>
        <v/>
      </c>
      <c r="G61" s="18" t="str">
        <f>IFERROR(IF('January 2027 Log'!BO68="","",'January 2027 Log'!BO68),"")</f>
        <v/>
      </c>
      <c r="H61" s="18" t="str">
        <f>IFERROR(IF('February 2027 Log'!BO68="","",'February 2027 Log'!BO68),"")</f>
        <v/>
      </c>
      <c r="I61" s="21">
        <f t="shared" si="1"/>
        <v>-1010312</v>
      </c>
    </row>
    <row r="62" spans="1:9" x14ac:dyDescent="0.35">
      <c r="A62" s="15" t="s">
        <v>220</v>
      </c>
      <c r="B62" s="18">
        <f>IFERROR(IF('August 2026 Log'!BO69="","",'August 2026 Log'!BO69),"")</f>
        <v>12255</v>
      </c>
      <c r="C62" s="18">
        <f>IFERROR(IF('September 2026 Log'!BO69="","",'September 2026 Log'!BO69),"")</f>
        <v>-121458</v>
      </c>
      <c r="D62" s="18" t="str">
        <f>IFERROR(IF('October 2026 Log'!BO69="","",'October 2026 Log'!BO69),"")</f>
        <v/>
      </c>
      <c r="E62" s="18" t="str">
        <f>IFERROR(IF('November 2026 Log'!BO69="","",'November 2026 Log'!BO69),"")</f>
        <v/>
      </c>
      <c r="F62" s="18" t="str">
        <f>IFERROR(IF('December 2026 Log'!BO69="","",'December 2026 Log'!BO69),"")</f>
        <v/>
      </c>
      <c r="G62" s="18" t="str">
        <f>IFERROR(IF('January 2027 Log'!BO69="","",'January 2027 Log'!BO69),"")</f>
        <v/>
      </c>
      <c r="H62" s="18" t="str">
        <f>IFERROR(IF('February 2027 Log'!BO69="","",'February 2027 Log'!BO69),"")</f>
        <v/>
      </c>
      <c r="I62" s="21">
        <f t="shared" si="1"/>
        <v>-109203</v>
      </c>
    </row>
    <row r="63" spans="1:9" x14ac:dyDescent="0.35">
      <c r="A63" s="15" t="s">
        <v>221</v>
      </c>
      <c r="B63" s="18">
        <f>IFERROR(IF('August 2026 Log'!BO70="","",'August 2026 Log'!BO70),"")</f>
        <v>4688</v>
      </c>
      <c r="C63" s="18">
        <f>IFERROR(IF('September 2026 Log'!BO70="","",'September 2026 Log'!BO70),"")</f>
        <v>-1571126</v>
      </c>
      <c r="D63" s="18" t="str">
        <f>IFERROR(IF('October 2026 Log'!BO70="","",'October 2026 Log'!BO70),"")</f>
        <v/>
      </c>
      <c r="E63" s="18" t="str">
        <f>IFERROR(IF('November 2026 Log'!BO70="","",'November 2026 Log'!BO70),"")</f>
        <v/>
      </c>
      <c r="F63" s="18" t="str">
        <f>IFERROR(IF('December 2026 Log'!BO70="","",'December 2026 Log'!BO70),"")</f>
        <v/>
      </c>
      <c r="G63" s="18" t="str">
        <f>IFERROR(IF('January 2027 Log'!BO70="","",'January 2027 Log'!BO70),"")</f>
        <v/>
      </c>
      <c r="H63" s="18" t="str">
        <f>IFERROR(IF('February 2027 Log'!BO70="","",'February 2027 Log'!BO70),"")</f>
        <v/>
      </c>
      <c r="I63" s="21">
        <f t="shared" si="1"/>
        <v>-1566438</v>
      </c>
    </row>
    <row r="64" spans="1:9" x14ac:dyDescent="0.35">
      <c r="A64" s="15" t="s">
        <v>222</v>
      </c>
      <c r="B64" s="18">
        <f>IFERROR(IF('August 2026 Log'!BO71="","",'August 2026 Log'!BO71),"")</f>
        <v>3841</v>
      </c>
      <c r="C64" s="18">
        <f>IFERROR(IF('September 2026 Log'!BO71="","",'September 2026 Log'!BO71),"")</f>
        <v>-69673</v>
      </c>
      <c r="D64" s="18" t="str">
        <f>IFERROR(IF('October 2026 Log'!BO71="","",'October 2026 Log'!BO71),"")</f>
        <v/>
      </c>
      <c r="E64" s="18" t="str">
        <f>IFERROR(IF('November 2026 Log'!BO71="","",'November 2026 Log'!BO71),"")</f>
        <v/>
      </c>
      <c r="F64" s="18" t="str">
        <f>IFERROR(IF('December 2026 Log'!BO71="","",'December 2026 Log'!BO71),"")</f>
        <v/>
      </c>
      <c r="G64" s="18" t="str">
        <f>IFERROR(IF('January 2027 Log'!BO71="","",'January 2027 Log'!BO71),"")</f>
        <v/>
      </c>
      <c r="H64" s="18" t="str">
        <f>IFERROR(IF('February 2027 Log'!BO71="","",'February 2027 Log'!BO71),"")</f>
        <v/>
      </c>
      <c r="I64" s="21">
        <f t="shared" si="1"/>
        <v>-65832</v>
      </c>
    </row>
    <row r="65" spans="1:9" ht="29" x14ac:dyDescent="0.35">
      <c r="A65" s="15" t="s">
        <v>223</v>
      </c>
      <c r="B65" s="18">
        <f>IFERROR(IF('August 2026 Log'!BO72="","",'August 2026 Log'!BO72),"")</f>
        <v>17567</v>
      </c>
      <c r="C65" s="18">
        <f>IFERROR(IF('September 2026 Log'!BO72="","",'September 2026 Log'!BO72),"")</f>
        <v>-1557903</v>
      </c>
      <c r="D65" s="18" t="str">
        <f>IFERROR(IF('October 2026 Log'!BO72="","",'October 2026 Log'!BO72),"")</f>
        <v/>
      </c>
      <c r="E65" s="18" t="str">
        <f>IFERROR(IF('November 2026 Log'!BO72="","",'November 2026 Log'!BO72),"")</f>
        <v/>
      </c>
      <c r="F65" s="18" t="str">
        <f>IFERROR(IF('December 2026 Log'!BO72="","",'December 2026 Log'!BO72),"")</f>
        <v/>
      </c>
      <c r="G65" s="18" t="str">
        <f>IFERROR(IF('January 2027 Log'!BO72="","",'January 2027 Log'!BO72),"")</f>
        <v/>
      </c>
      <c r="H65" s="18" t="str">
        <f>IFERROR(IF('February 2027 Log'!BO72="","",'February 2027 Log'!BO72),"")</f>
        <v/>
      </c>
      <c r="I65" s="21">
        <f t="shared" si="1"/>
        <v>-1540336</v>
      </c>
    </row>
    <row r="66" spans="1:9" ht="29" x14ac:dyDescent="0.35">
      <c r="A66" s="15" t="s">
        <v>224</v>
      </c>
      <c r="B66" s="18">
        <f>IFERROR(IF('August 2026 Log'!BO73="","",'August 2026 Log'!BO73),"")</f>
        <v>50764</v>
      </c>
      <c r="C66" s="18">
        <f>IFERROR(IF('September 2026 Log'!BO73="","",'September 2026 Log'!BO73),"")</f>
        <v>-4342885</v>
      </c>
      <c r="D66" s="18" t="str">
        <f>IFERROR(IF('October 2026 Log'!BO73="","",'October 2026 Log'!BO73),"")</f>
        <v/>
      </c>
      <c r="E66" s="18" t="str">
        <f>IFERROR(IF('November 2026 Log'!BO73="","",'November 2026 Log'!BO73),"")</f>
        <v/>
      </c>
      <c r="F66" s="18" t="str">
        <f>IFERROR(IF('December 2026 Log'!BO73="","",'December 2026 Log'!BO73),"")</f>
        <v/>
      </c>
      <c r="G66" s="18" t="str">
        <f>IFERROR(IF('January 2027 Log'!BO73="","",'January 2027 Log'!BO73),"")</f>
        <v/>
      </c>
      <c r="H66" s="18" t="str">
        <f>IFERROR(IF('February 2027 Log'!BO73="","",'February 2027 Log'!BO73),"")</f>
        <v/>
      </c>
      <c r="I66" s="21">
        <f t="shared" si="1"/>
        <v>-4292121</v>
      </c>
    </row>
    <row r="67" spans="1:9" x14ac:dyDescent="0.35">
      <c r="A67" s="15" t="s">
        <v>225</v>
      </c>
      <c r="B67" s="18">
        <f>IFERROR(IF('August 2026 Log'!BO74="","",'August 2026 Log'!BO74),"")</f>
        <v>1451969.0500000003</v>
      </c>
      <c r="C67" s="18">
        <f>IFERROR(IF('September 2026 Log'!BO74="","",'September 2026 Log'!BO74),"")</f>
        <v>644513.14000000013</v>
      </c>
      <c r="D67" s="18" t="str">
        <f>IFERROR(IF('October 2026 Log'!BO74="","",'October 2026 Log'!BO74),"")</f>
        <v/>
      </c>
      <c r="E67" s="18" t="str">
        <f>IFERROR(IF('November 2026 Log'!BO74="","",'November 2026 Log'!BO74),"")</f>
        <v/>
      </c>
      <c r="F67" s="18" t="str">
        <f>IFERROR(IF('December 2026 Log'!BO74="","",'December 2026 Log'!BO74),"")</f>
        <v/>
      </c>
      <c r="G67" s="18" t="str">
        <f>IFERROR(IF('January 2027 Log'!BO74="","",'January 2027 Log'!BO74),"")</f>
        <v/>
      </c>
      <c r="H67" s="18" t="str">
        <f>IFERROR(IF('February 2027 Log'!BO74="","",'February 2027 Log'!BO74),"")</f>
        <v/>
      </c>
      <c r="I67" s="21">
        <f t="shared" si="1"/>
        <v>2096482.1900000004</v>
      </c>
    </row>
    <row r="68" spans="1:9" x14ac:dyDescent="0.35">
      <c r="A68" s="15" t="s">
        <v>226</v>
      </c>
      <c r="B68" s="18">
        <f>IFERROR(IF('August 2026 Log'!BO75="","",'August 2026 Log'!BO75),"")</f>
        <v>299898.28000000003</v>
      </c>
      <c r="C68" s="18">
        <f>IFERROR(IF('September 2026 Log'!BO75="","",'September 2026 Log'!BO75),"")</f>
        <v>152282.66999999998</v>
      </c>
      <c r="D68" s="18">
        <f>IFERROR(IF('October 2026 Log'!BO75="","",'October 2026 Log'!BO75),"")</f>
        <v>0</v>
      </c>
      <c r="E68" s="18">
        <f>IFERROR(IF('November 2026 Log'!BO75="","",'November 2026 Log'!BO75),"")</f>
        <v>0</v>
      </c>
      <c r="F68" s="18">
        <f>IFERROR(IF('December 2026 Log'!BO75="","",'December 2026 Log'!BO75),"")</f>
        <v>0</v>
      </c>
      <c r="G68" s="18">
        <f>IFERROR(IF('January 2027 Log'!BO75="","",'January 2027 Log'!BO75),"")</f>
        <v>0</v>
      </c>
      <c r="H68" s="18">
        <f>IFERROR(IF('February 2027 Log'!BO75="","",'February 2027 Log'!BO75),"")</f>
        <v>0</v>
      </c>
      <c r="I68" s="21">
        <f t="shared" si="1"/>
        <v>452180.95</v>
      </c>
    </row>
    <row r="69" spans="1:9" x14ac:dyDescent="0.35">
      <c r="A69" s="15" t="s">
        <v>227</v>
      </c>
      <c r="B69" s="18">
        <f>IFERROR(IF('August 2026 Log'!BO77="","",'August 2026 Log'!BO77),"")</f>
        <v>5479</v>
      </c>
      <c r="C69" s="18">
        <f>IFERROR(IF('September 2026 Log'!BO77="","",'September 2026 Log'!BO77),"")</f>
        <v>-999570</v>
      </c>
      <c r="D69" s="18" t="str">
        <f>IFERROR(IF('October 2026 Log'!BO77="","",'October 2026 Log'!BO77),"")</f>
        <v/>
      </c>
      <c r="E69" s="18" t="str">
        <f>IFERROR(IF('November 2026 Log'!BO77="","",'November 2026 Log'!BO77),"")</f>
        <v/>
      </c>
      <c r="F69" s="18" t="str">
        <f>IFERROR(IF('December 2026 Log'!BO77="","",'December 2026 Log'!BO77),"")</f>
        <v/>
      </c>
      <c r="G69" s="18" t="str">
        <f>IFERROR(IF('January 2027 Log'!BO77="","",'January 2027 Log'!BO77),"")</f>
        <v/>
      </c>
      <c r="H69" s="18" t="str">
        <f>IFERROR(IF('February 2027 Log'!BO77="","",'February 2027 Log'!BO77),"")</f>
        <v/>
      </c>
      <c r="I69" s="21">
        <f t="shared" si="1"/>
        <v>-994091</v>
      </c>
    </row>
    <row r="70" spans="1:9" x14ac:dyDescent="0.35">
      <c r="A70" s="15" t="s">
        <v>228</v>
      </c>
      <c r="B70" s="18">
        <f>IFERROR(IF('August 2026 Log'!BO78="","",'August 2026 Log'!BO78),"")</f>
        <v>3398</v>
      </c>
      <c r="C70" s="18">
        <f>IFERROR(IF('September 2026 Log'!BO78="","",'September 2026 Log'!BO78),"")</f>
        <v>-719342</v>
      </c>
      <c r="D70" s="18" t="str">
        <f>IFERROR(IF('October 2026 Log'!BO78="","",'October 2026 Log'!BO78),"")</f>
        <v/>
      </c>
      <c r="E70" s="18" t="str">
        <f>IFERROR(IF('November 2026 Log'!BO78="","",'November 2026 Log'!BO78),"")</f>
        <v/>
      </c>
      <c r="F70" s="18" t="str">
        <f>IFERROR(IF('December 2026 Log'!BO78="","",'December 2026 Log'!BO78),"")</f>
        <v/>
      </c>
      <c r="G70" s="18" t="str">
        <f>IFERROR(IF('January 2027 Log'!BO78="","",'January 2027 Log'!BO78),"")</f>
        <v/>
      </c>
      <c r="H70" s="18" t="str">
        <f>IFERROR(IF('February 2027 Log'!BO78="","",'February 2027 Log'!BO78),"")</f>
        <v/>
      </c>
      <c r="I70" s="21">
        <f t="shared" ref="I70:I101" si="2">IF(COUNT(B70:H70)=0,"",SUM(B70:H70))</f>
        <v>-715944</v>
      </c>
    </row>
    <row r="71" spans="1:9" x14ac:dyDescent="0.35">
      <c r="A71" s="15" t="s">
        <v>229</v>
      </c>
      <c r="B71" s="18">
        <f>IFERROR(IF('August 2026 Log'!BO79="","",'August 2026 Log'!BO79),"")</f>
        <v>2433</v>
      </c>
      <c r="C71" s="18">
        <f>IFERROR(IF('September 2026 Log'!BO79="","",'September 2026 Log'!BO79),"")</f>
        <v>-831599</v>
      </c>
      <c r="D71" s="18" t="str">
        <f>IFERROR(IF('October 2026 Log'!BO79="","",'October 2026 Log'!BO79),"")</f>
        <v/>
      </c>
      <c r="E71" s="18" t="str">
        <f>IFERROR(IF('November 2026 Log'!BO79="","",'November 2026 Log'!BO79),"")</f>
        <v/>
      </c>
      <c r="F71" s="18" t="str">
        <f>IFERROR(IF('December 2026 Log'!BO79="","",'December 2026 Log'!BO79),"")</f>
        <v/>
      </c>
      <c r="G71" s="18" t="str">
        <f>IFERROR(IF('January 2027 Log'!BO79="","",'January 2027 Log'!BO79),"")</f>
        <v/>
      </c>
      <c r="H71" s="18" t="str">
        <f>IFERROR(IF('February 2027 Log'!BO79="","",'February 2027 Log'!BO79),"")</f>
        <v/>
      </c>
      <c r="I71" s="21">
        <f t="shared" si="2"/>
        <v>-829166</v>
      </c>
    </row>
    <row r="72" spans="1:9" x14ac:dyDescent="0.35">
      <c r="A72" s="15" t="s">
        <v>230</v>
      </c>
      <c r="B72" s="18">
        <f>IFERROR(IF('August 2026 Log'!BO80="","",'August 2026 Log'!BO80),"")</f>
        <v>6934</v>
      </c>
      <c r="C72" s="18">
        <f>IFERROR(IF('September 2026 Log'!BO80="","",'September 2026 Log'!BO80),"")</f>
        <v>-23155</v>
      </c>
      <c r="D72" s="18" t="str">
        <f>IFERROR(IF('October 2026 Log'!BO80="","",'October 2026 Log'!BO80),"")</f>
        <v/>
      </c>
      <c r="E72" s="18" t="str">
        <f>IFERROR(IF('November 2026 Log'!BO80="","",'November 2026 Log'!BO80),"")</f>
        <v/>
      </c>
      <c r="F72" s="18" t="str">
        <f>IFERROR(IF('December 2026 Log'!BO80="","",'December 2026 Log'!BO80),"")</f>
        <v/>
      </c>
      <c r="G72" s="18" t="str">
        <f>IFERROR(IF('January 2027 Log'!BO80="","",'January 2027 Log'!BO80),"")</f>
        <v/>
      </c>
      <c r="H72" s="18" t="str">
        <f>IFERROR(IF('February 2027 Log'!BO80="","",'February 2027 Log'!BO80),"")</f>
        <v/>
      </c>
      <c r="I72" s="21">
        <f t="shared" si="2"/>
        <v>-16221</v>
      </c>
    </row>
    <row r="73" spans="1:9" x14ac:dyDescent="0.35">
      <c r="A73" s="15" t="s">
        <v>231</v>
      </c>
      <c r="B73" s="18">
        <f>IFERROR(IF('August 2026 Log'!BO81="","",'August 2026 Log'!BO81),"")</f>
        <v>5436</v>
      </c>
      <c r="C73" s="18">
        <f>IFERROR(IF('September 2026 Log'!BO81="","",'September 2026 Log'!BO81),"")</f>
        <v>-742645</v>
      </c>
      <c r="D73" s="18" t="str">
        <f>IFERROR(IF('October 2026 Log'!BO81="","",'October 2026 Log'!BO81),"")</f>
        <v/>
      </c>
      <c r="E73" s="18" t="str">
        <f>IFERROR(IF('November 2026 Log'!BO81="","",'November 2026 Log'!BO81),"")</f>
        <v/>
      </c>
      <c r="F73" s="18" t="str">
        <f>IFERROR(IF('December 2026 Log'!BO81="","",'December 2026 Log'!BO81),"")</f>
        <v/>
      </c>
      <c r="G73" s="18" t="str">
        <f>IFERROR(IF('January 2027 Log'!BO81="","",'January 2027 Log'!BO81),"")</f>
        <v/>
      </c>
      <c r="H73" s="18" t="str">
        <f>IFERROR(IF('February 2027 Log'!BO81="","",'February 2027 Log'!BO81),"")</f>
        <v/>
      </c>
      <c r="I73" s="21">
        <f t="shared" si="2"/>
        <v>-737209</v>
      </c>
    </row>
    <row r="74" spans="1:9" x14ac:dyDescent="0.35">
      <c r="A74" s="15" t="s">
        <v>232</v>
      </c>
      <c r="B74" s="18">
        <f>IFERROR(IF('August 2026 Log'!BO82="","",'August 2026 Log'!BO82),"")</f>
        <v>2255</v>
      </c>
      <c r="C74" s="18">
        <f>IFERROR(IF('September 2026 Log'!BO82="","",'September 2026 Log'!BO82),"")</f>
        <v>-739527</v>
      </c>
      <c r="D74" s="18" t="str">
        <f>IFERROR(IF('October 2026 Log'!BO82="","",'October 2026 Log'!BO82),"")</f>
        <v/>
      </c>
      <c r="E74" s="18" t="str">
        <f>IFERROR(IF('November 2026 Log'!BO82="","",'November 2026 Log'!BO82),"")</f>
        <v/>
      </c>
      <c r="F74" s="18" t="str">
        <f>IFERROR(IF('December 2026 Log'!BO82="","",'December 2026 Log'!BO82),"")</f>
        <v/>
      </c>
      <c r="G74" s="18" t="str">
        <f>IFERROR(IF('January 2027 Log'!BO82="","",'January 2027 Log'!BO82),"")</f>
        <v/>
      </c>
      <c r="H74" s="18" t="str">
        <f>IFERROR(IF('February 2027 Log'!BO82="","",'February 2027 Log'!BO82),"")</f>
        <v/>
      </c>
      <c r="I74" s="21">
        <f t="shared" si="2"/>
        <v>-737272</v>
      </c>
    </row>
    <row r="75" spans="1:9" x14ac:dyDescent="0.35">
      <c r="A75" s="15" t="s">
        <v>233</v>
      </c>
      <c r="B75" s="18">
        <f>IFERROR(IF('August 2026 Log'!BO83="","",'August 2026 Log'!BO83),"")</f>
        <v>1905</v>
      </c>
      <c r="C75" s="18">
        <f>IFERROR(IF('September 2026 Log'!BO83="","",'September 2026 Log'!BO83),"")</f>
        <v>-2135</v>
      </c>
      <c r="D75" s="18" t="str">
        <f>IFERROR(IF('October 2026 Log'!BO83="","",'October 2026 Log'!BO83),"")</f>
        <v/>
      </c>
      <c r="E75" s="18" t="str">
        <f>IFERROR(IF('November 2026 Log'!BO83="","",'November 2026 Log'!BO83),"")</f>
        <v/>
      </c>
      <c r="F75" s="18" t="str">
        <f>IFERROR(IF('December 2026 Log'!BO83="","",'December 2026 Log'!BO83),"")</f>
        <v/>
      </c>
      <c r="G75" s="18" t="str">
        <f>IFERROR(IF('January 2027 Log'!BO83="","",'January 2027 Log'!BO83),"")</f>
        <v/>
      </c>
      <c r="H75" s="18" t="str">
        <f>IFERROR(IF('February 2027 Log'!BO83="","",'February 2027 Log'!BO83),"")</f>
        <v/>
      </c>
      <c r="I75" s="21">
        <f t="shared" si="2"/>
        <v>-230</v>
      </c>
    </row>
    <row r="76" spans="1:9" x14ac:dyDescent="0.35">
      <c r="A76" s="15" t="s">
        <v>234</v>
      </c>
      <c r="B76" s="18">
        <f>IFERROR(IF('August 2026 Log'!BO84="","",'August 2026 Log'!BO84),"")</f>
        <v>3911</v>
      </c>
      <c r="C76" s="18">
        <f>IFERROR(IF('September 2026 Log'!BO84="","",'September 2026 Log'!BO84),"")</f>
        <v>-84360</v>
      </c>
      <c r="D76" s="18" t="str">
        <f>IFERROR(IF('October 2026 Log'!BO84="","",'October 2026 Log'!BO84),"")</f>
        <v/>
      </c>
      <c r="E76" s="18" t="str">
        <f>IFERROR(IF('November 2026 Log'!BO84="","",'November 2026 Log'!BO84),"")</f>
        <v/>
      </c>
      <c r="F76" s="18" t="str">
        <f>IFERROR(IF('December 2026 Log'!BO84="","",'December 2026 Log'!BO84),"")</f>
        <v/>
      </c>
      <c r="G76" s="18" t="str">
        <f>IFERROR(IF('January 2027 Log'!BO84="","",'January 2027 Log'!BO84),"")</f>
        <v/>
      </c>
      <c r="H76" s="18" t="str">
        <f>IFERROR(IF('February 2027 Log'!BO84="","",'February 2027 Log'!BO84),"")</f>
        <v/>
      </c>
      <c r="I76" s="21">
        <f t="shared" si="2"/>
        <v>-80449</v>
      </c>
    </row>
    <row r="77" spans="1:9" x14ac:dyDescent="0.35">
      <c r="A77" s="15" t="s">
        <v>235</v>
      </c>
      <c r="B77" s="18">
        <f>IFERROR(IF('August 2026 Log'!BO85="","",'August 2026 Log'!BO85),"")</f>
        <v>6176</v>
      </c>
      <c r="C77" s="18">
        <f>IFERROR(IF('September 2026 Log'!BO85="","",'September 2026 Log'!BO85),"")</f>
        <v>-98483</v>
      </c>
      <c r="D77" s="18" t="str">
        <f>IFERROR(IF('October 2026 Log'!BO85="","",'October 2026 Log'!BO85),"")</f>
        <v/>
      </c>
      <c r="E77" s="18" t="str">
        <f>IFERROR(IF('November 2026 Log'!BO85="","",'November 2026 Log'!BO85),"")</f>
        <v/>
      </c>
      <c r="F77" s="18" t="str">
        <f>IFERROR(IF('December 2026 Log'!BO85="","",'December 2026 Log'!BO85),"")</f>
        <v/>
      </c>
      <c r="G77" s="18" t="str">
        <f>IFERROR(IF('January 2027 Log'!BO85="","",'January 2027 Log'!BO85),"")</f>
        <v/>
      </c>
      <c r="H77" s="18" t="str">
        <f>IFERROR(IF('February 2027 Log'!BO85="","",'February 2027 Log'!BO85),"")</f>
        <v/>
      </c>
      <c r="I77" s="21">
        <f t="shared" si="2"/>
        <v>-92307</v>
      </c>
    </row>
    <row r="78" spans="1:9" x14ac:dyDescent="0.35">
      <c r="A78" s="15" t="s">
        <v>236</v>
      </c>
      <c r="B78" s="18">
        <f>IFERROR(IF('August 2026 Log'!BO86="","",'August 2026 Log'!BO86),"")</f>
        <v>1936</v>
      </c>
      <c r="C78" s="18">
        <f>IFERROR(IF('September 2026 Log'!BO86="","",'September 2026 Log'!BO86),"")</f>
        <v>-67538</v>
      </c>
      <c r="D78" s="18" t="str">
        <f>IFERROR(IF('October 2026 Log'!BO86="","",'October 2026 Log'!BO86),"")</f>
        <v/>
      </c>
      <c r="E78" s="18" t="str">
        <f>IFERROR(IF('November 2026 Log'!BO86="","",'November 2026 Log'!BO86),"")</f>
        <v/>
      </c>
      <c r="F78" s="18" t="str">
        <f>IFERROR(IF('December 2026 Log'!BO86="","",'December 2026 Log'!BO86),"")</f>
        <v/>
      </c>
      <c r="G78" s="18" t="str">
        <f>IFERROR(IF('January 2027 Log'!BO86="","",'January 2027 Log'!BO86),"")</f>
        <v/>
      </c>
      <c r="H78" s="18" t="str">
        <f>IFERROR(IF('February 2027 Log'!BO86="","",'February 2027 Log'!BO86),"")</f>
        <v/>
      </c>
      <c r="I78" s="21">
        <f t="shared" si="2"/>
        <v>-65602</v>
      </c>
    </row>
    <row r="79" spans="1:9" x14ac:dyDescent="0.35">
      <c r="A79" s="15" t="s">
        <v>237</v>
      </c>
      <c r="B79" s="18">
        <f>IFERROR(IF('August 2026 Log'!BO87="","",'August 2026 Log'!BO87),"")</f>
        <v>4822</v>
      </c>
      <c r="C79" s="18">
        <f>IFERROR(IF('September 2026 Log'!BO87="","",'September 2026 Log'!BO87),"")</f>
        <v>-11556</v>
      </c>
      <c r="D79" s="18" t="str">
        <f>IFERROR(IF('October 2026 Log'!BO87="","",'October 2026 Log'!BO87),"")</f>
        <v/>
      </c>
      <c r="E79" s="18" t="str">
        <f>IFERROR(IF('November 2026 Log'!BO87="","",'November 2026 Log'!BO87),"")</f>
        <v/>
      </c>
      <c r="F79" s="18" t="str">
        <f>IFERROR(IF('December 2026 Log'!BO87="","",'December 2026 Log'!BO87),"")</f>
        <v/>
      </c>
      <c r="G79" s="18" t="str">
        <f>IFERROR(IF('January 2027 Log'!BO87="","",'January 2027 Log'!BO87),"")</f>
        <v/>
      </c>
      <c r="H79" s="18" t="str">
        <f>IFERROR(IF('February 2027 Log'!BO87="","",'February 2027 Log'!BO87),"")</f>
        <v/>
      </c>
      <c r="I79" s="21">
        <f t="shared" si="2"/>
        <v>-6734</v>
      </c>
    </row>
    <row r="80" spans="1:9" x14ac:dyDescent="0.35">
      <c r="A80" s="15" t="s">
        <v>238</v>
      </c>
      <c r="B80" s="18">
        <f>IFERROR(IF('August 2026 Log'!BO88="","",'August 2026 Log'!BO88),"")</f>
        <v>6079</v>
      </c>
      <c r="C80" s="18">
        <f>IFERROR(IF('September 2026 Log'!BO88="","",'September 2026 Log'!BO88),"")</f>
        <v>-22975</v>
      </c>
      <c r="D80" s="18" t="str">
        <f>IFERROR(IF('October 2026 Log'!BO88="","",'October 2026 Log'!BO88),"")</f>
        <v/>
      </c>
      <c r="E80" s="18" t="str">
        <f>IFERROR(IF('November 2026 Log'!BO88="","",'November 2026 Log'!BO88),"")</f>
        <v/>
      </c>
      <c r="F80" s="18" t="str">
        <f>IFERROR(IF('December 2026 Log'!BO88="","",'December 2026 Log'!BO88),"")</f>
        <v/>
      </c>
      <c r="G80" s="18" t="str">
        <f>IFERROR(IF('January 2027 Log'!BO88="","",'January 2027 Log'!BO88),"")</f>
        <v/>
      </c>
      <c r="H80" s="18" t="str">
        <f>IFERROR(IF('February 2027 Log'!BO88="","",'February 2027 Log'!BO88),"")</f>
        <v/>
      </c>
      <c r="I80" s="21">
        <f t="shared" si="2"/>
        <v>-16896</v>
      </c>
    </row>
    <row r="81" spans="1:9" x14ac:dyDescent="0.35">
      <c r="A81" s="15" t="s">
        <v>239</v>
      </c>
      <c r="B81" s="18">
        <f>IFERROR(IF('August 2026 Log'!BO91="","",'August 2026 Log'!BO91),"")</f>
        <v>-2609.2900000000004</v>
      </c>
      <c r="C81" s="18">
        <f>IFERROR(IF('September 2026 Log'!BO91="","",'September 2026 Log'!BO91),"")</f>
        <v>1002119.1100000001</v>
      </c>
      <c r="D81" s="18" t="str">
        <f>IFERROR(IF('October 2026 Log'!BO91="","",'October 2026 Log'!BO91),"")</f>
        <v/>
      </c>
      <c r="E81" s="18" t="str">
        <f>IFERROR(IF('November 2026 Log'!BO91="","",'November 2026 Log'!BO91),"")</f>
        <v/>
      </c>
      <c r="F81" s="18" t="str">
        <f>IFERROR(IF('December 2026 Log'!BO91="","",'December 2026 Log'!BO91),"")</f>
        <v/>
      </c>
      <c r="G81" s="18" t="str">
        <f>IFERROR(IF('January 2027 Log'!BO91="","",'January 2027 Log'!BO91),"")</f>
        <v/>
      </c>
      <c r="H81" s="18" t="str">
        <f>IFERROR(IF('February 2027 Log'!BO91="","",'February 2027 Log'!BO91),"")</f>
        <v/>
      </c>
      <c r="I81" s="21">
        <f t="shared" si="2"/>
        <v>999509.82000000007</v>
      </c>
    </row>
    <row r="82" spans="1:9" x14ac:dyDescent="0.35">
      <c r="A82" s="15" t="s">
        <v>240</v>
      </c>
      <c r="B82" s="18">
        <f>IFERROR(IF('August 2026 Log'!BO92="","",'August 2026 Log'!BO92),"")</f>
        <v>17.029999999999745</v>
      </c>
      <c r="C82" s="18">
        <f>IFERROR(IF('September 2026 Log'!BO92="","",'September 2026 Log'!BO92),"")</f>
        <v>1635669.9100000001</v>
      </c>
      <c r="D82" s="18" t="str">
        <f>IFERROR(IF('October 2026 Log'!BO92="","",'October 2026 Log'!BO92),"")</f>
        <v/>
      </c>
      <c r="E82" s="18" t="str">
        <f>IFERROR(IF('November 2026 Log'!BO92="","",'November 2026 Log'!BO92),"")</f>
        <v/>
      </c>
      <c r="F82" s="18" t="str">
        <f>IFERROR(IF('December 2026 Log'!BO92="","",'December 2026 Log'!BO92),"")</f>
        <v/>
      </c>
      <c r="G82" s="18" t="str">
        <f>IFERROR(IF('January 2027 Log'!BO92="","",'January 2027 Log'!BO92),"")</f>
        <v/>
      </c>
      <c r="H82" s="18" t="str">
        <f>IFERROR(IF('February 2027 Log'!BO92="","",'February 2027 Log'!BO92),"")</f>
        <v/>
      </c>
      <c r="I82" s="21">
        <f t="shared" si="2"/>
        <v>1635686.9400000002</v>
      </c>
    </row>
    <row r="83" spans="1:9" x14ac:dyDescent="0.35">
      <c r="A83" s="15" t="s">
        <v>241</v>
      </c>
      <c r="B83" s="18">
        <f>IFERROR(IF('August 2026 Log'!BO93="","",'August 2026 Log'!BO93),"")</f>
        <v>-815.58</v>
      </c>
      <c r="C83" s="18">
        <f>IFERROR(IF('September 2026 Log'!BO93="","",'September 2026 Log'!BO93),"")</f>
        <v>1664583.38</v>
      </c>
      <c r="D83" s="18" t="str">
        <f>IFERROR(IF('October 2026 Log'!BO93="","",'October 2026 Log'!BO93),"")</f>
        <v/>
      </c>
      <c r="E83" s="18" t="str">
        <f>IFERROR(IF('November 2026 Log'!BO93="","",'November 2026 Log'!BO93),"")</f>
        <v/>
      </c>
      <c r="F83" s="18" t="str">
        <f>IFERROR(IF('December 2026 Log'!BO93="","",'December 2026 Log'!BO93),"")</f>
        <v/>
      </c>
      <c r="G83" s="18" t="str">
        <f>IFERROR(IF('January 2027 Log'!BO93="","",'January 2027 Log'!BO93),"")</f>
        <v/>
      </c>
      <c r="H83" s="18" t="str">
        <f>IFERROR(IF('February 2027 Log'!BO93="","",'February 2027 Log'!BO93),"")</f>
        <v/>
      </c>
      <c r="I83" s="21">
        <f t="shared" si="2"/>
        <v>1663767.7999999998</v>
      </c>
    </row>
    <row r="84" spans="1:9" x14ac:dyDescent="0.35">
      <c r="A84" s="15" t="s">
        <v>242</v>
      </c>
      <c r="B84" s="18">
        <f>IFERROR(IF('August 2026 Log'!BO94="","",'August 2026 Log'!BO94),"")</f>
        <v>-2636.93</v>
      </c>
      <c r="C84" s="18">
        <f>IFERROR(IF('September 2026 Log'!BO94="","",'September 2026 Log'!BO94),"")</f>
        <v>53500.94</v>
      </c>
      <c r="D84" s="18" t="str">
        <f>IFERROR(IF('October 2026 Log'!BO94="","",'October 2026 Log'!BO94),"")</f>
        <v/>
      </c>
      <c r="E84" s="18" t="str">
        <f>IFERROR(IF('November 2026 Log'!BO94="","",'November 2026 Log'!BO94),"")</f>
        <v/>
      </c>
      <c r="F84" s="18" t="str">
        <f>IFERROR(IF('December 2026 Log'!BO94="","",'December 2026 Log'!BO94),"")</f>
        <v/>
      </c>
      <c r="G84" s="18" t="str">
        <f>IFERROR(IF('January 2027 Log'!BO94="","",'January 2027 Log'!BO94),"")</f>
        <v/>
      </c>
      <c r="H84" s="18" t="str">
        <f>IFERROR(IF('February 2027 Log'!BO94="","",'February 2027 Log'!BO94),"")</f>
        <v/>
      </c>
      <c r="I84" s="21">
        <f t="shared" si="2"/>
        <v>50864.01</v>
      </c>
    </row>
    <row r="85" spans="1:9" x14ac:dyDescent="0.35">
      <c r="A85" s="15" t="s">
        <v>243</v>
      </c>
      <c r="B85" s="18">
        <f>IFERROR(IF('August 2026 Log'!BO95="","",'August 2026 Log'!BO95),"")</f>
        <v>-2155.5700000000002</v>
      </c>
      <c r="C85" s="18">
        <f>IFERROR(IF('September 2026 Log'!BO95="","",'September 2026 Log'!BO95),"")</f>
        <v>818894.12</v>
      </c>
      <c r="D85" s="18" t="str">
        <f>IFERROR(IF('October 2026 Log'!BO95="","",'October 2026 Log'!BO95),"")</f>
        <v/>
      </c>
      <c r="E85" s="18" t="str">
        <f>IFERROR(IF('November 2026 Log'!BO95="","",'November 2026 Log'!BO95),"")</f>
        <v/>
      </c>
      <c r="F85" s="18" t="str">
        <f>IFERROR(IF('December 2026 Log'!BO95="","",'December 2026 Log'!BO95),"")</f>
        <v/>
      </c>
      <c r="G85" s="18" t="str">
        <f>IFERROR(IF('January 2027 Log'!BO95="","",'January 2027 Log'!BO95),"")</f>
        <v/>
      </c>
      <c r="H85" s="18" t="str">
        <f>IFERROR(IF('February 2027 Log'!BO95="","",'February 2027 Log'!BO95),"")</f>
        <v/>
      </c>
      <c r="I85" s="21">
        <f t="shared" si="2"/>
        <v>816738.55</v>
      </c>
    </row>
    <row r="86" spans="1:9" x14ac:dyDescent="0.35">
      <c r="A86" s="15" t="s">
        <v>244</v>
      </c>
      <c r="B86" s="18">
        <f>IFERROR(IF('August 2026 Log'!BO96="","",'August 2026 Log'!BO96),"")</f>
        <v>-908.79</v>
      </c>
      <c r="C86" s="18">
        <f>IFERROR(IF('September 2026 Log'!BO96="","",'September 2026 Log'!BO96),"")</f>
        <v>1480954.5899999999</v>
      </c>
      <c r="D86" s="18" t="str">
        <f>IFERROR(IF('October 2026 Log'!BO96="","",'October 2026 Log'!BO96),"")</f>
        <v/>
      </c>
      <c r="E86" s="18" t="str">
        <f>IFERROR(IF('November 2026 Log'!BO96="","",'November 2026 Log'!BO96),"")</f>
        <v/>
      </c>
      <c r="F86" s="18" t="str">
        <f>IFERROR(IF('December 2026 Log'!BO96="","",'December 2026 Log'!BO96),"")</f>
        <v/>
      </c>
      <c r="G86" s="18" t="str">
        <f>IFERROR(IF('January 2027 Log'!BO96="","",'January 2027 Log'!BO96),"")</f>
        <v/>
      </c>
      <c r="H86" s="18" t="str">
        <f>IFERROR(IF('February 2027 Log'!BO96="","",'February 2027 Log'!BO96),"")</f>
        <v/>
      </c>
      <c r="I86" s="21">
        <f t="shared" si="2"/>
        <v>1480045.7999999998</v>
      </c>
    </row>
    <row r="87" spans="1:9" x14ac:dyDescent="0.35">
      <c r="A87" s="15" t="s">
        <v>245</v>
      </c>
      <c r="B87" s="18">
        <f>IFERROR(IF('August 2026 Log'!BO97="","",'August 2026 Log'!BO97),"")</f>
        <v>-899.04000000000008</v>
      </c>
      <c r="C87" s="18">
        <f>IFERROR(IF('September 2026 Log'!BO97="","",'September 2026 Log'!BO97),"")</f>
        <v>5247.28</v>
      </c>
      <c r="D87" s="18" t="str">
        <f>IFERROR(IF('October 2026 Log'!BO97="","",'October 2026 Log'!BO97),"")</f>
        <v/>
      </c>
      <c r="E87" s="18" t="str">
        <f>IFERROR(IF('November 2026 Log'!BO97="","",'November 2026 Log'!BO97),"")</f>
        <v/>
      </c>
      <c r="F87" s="18" t="str">
        <f>IFERROR(IF('December 2026 Log'!BO97="","",'December 2026 Log'!BO97),"")</f>
        <v/>
      </c>
      <c r="G87" s="18" t="str">
        <f>IFERROR(IF('January 2027 Log'!BO97="","",'January 2027 Log'!BO97),"")</f>
        <v/>
      </c>
      <c r="H87" s="18" t="str">
        <f>IFERROR(IF('February 2027 Log'!BO97="","",'February 2027 Log'!BO97),"")</f>
        <v/>
      </c>
      <c r="I87" s="21">
        <f t="shared" si="2"/>
        <v>4348.24</v>
      </c>
    </row>
    <row r="88" spans="1:9" x14ac:dyDescent="0.35">
      <c r="A88" s="15" t="s">
        <v>246</v>
      </c>
      <c r="B88" s="18">
        <f>IFERROR(IF('August 2026 Log'!BO98="","",'August 2026 Log'!BO98),"")</f>
        <v>-1319.66</v>
      </c>
      <c r="C88" s="18">
        <f>IFERROR(IF('September 2026 Log'!BO98="","",'September 2026 Log'!BO98),"")</f>
        <v>170616.48</v>
      </c>
      <c r="D88" s="18" t="str">
        <f>IFERROR(IF('October 2026 Log'!BO98="","",'October 2026 Log'!BO98),"")</f>
        <v/>
      </c>
      <c r="E88" s="18" t="str">
        <f>IFERROR(IF('November 2026 Log'!BO98="","",'November 2026 Log'!BO98),"")</f>
        <v/>
      </c>
      <c r="F88" s="18" t="str">
        <f>IFERROR(IF('December 2026 Log'!BO98="","",'December 2026 Log'!BO98),"")</f>
        <v/>
      </c>
      <c r="G88" s="18" t="str">
        <f>IFERROR(IF('January 2027 Log'!BO98="","",'January 2027 Log'!BO98),"")</f>
        <v/>
      </c>
      <c r="H88" s="18" t="str">
        <f>IFERROR(IF('February 2027 Log'!BO98="","",'February 2027 Log'!BO98),"")</f>
        <v/>
      </c>
      <c r="I88" s="21">
        <f t="shared" si="2"/>
        <v>169296.82</v>
      </c>
    </row>
    <row r="89" spans="1:9" x14ac:dyDescent="0.35">
      <c r="A89" s="15" t="s">
        <v>247</v>
      </c>
      <c r="B89" s="18">
        <f>IFERROR(IF('August 2026 Log'!BO99="","",'August 2026 Log'!BO99),"")</f>
        <v>-2224.4499999999998</v>
      </c>
      <c r="C89" s="18">
        <f>IFERROR(IF('September 2026 Log'!BO99="","",'September 2026 Log'!BO99),"")</f>
        <v>202190.71000000002</v>
      </c>
      <c r="D89" s="18" t="str">
        <f>IFERROR(IF('October 2026 Log'!BO99="","",'October 2026 Log'!BO99),"")</f>
        <v/>
      </c>
      <c r="E89" s="18" t="str">
        <f>IFERROR(IF('November 2026 Log'!BO99="","",'November 2026 Log'!BO99),"")</f>
        <v/>
      </c>
      <c r="F89" s="18" t="str">
        <f>IFERROR(IF('December 2026 Log'!BO99="","",'December 2026 Log'!BO99),"")</f>
        <v/>
      </c>
      <c r="G89" s="18" t="str">
        <f>IFERROR(IF('January 2027 Log'!BO99="","",'January 2027 Log'!BO99),"")</f>
        <v/>
      </c>
      <c r="H89" s="18" t="str">
        <f>IFERROR(IF('February 2027 Log'!BO99="","",'February 2027 Log'!BO99),"")</f>
        <v/>
      </c>
      <c r="I89" s="21">
        <f t="shared" si="2"/>
        <v>199966.26</v>
      </c>
    </row>
    <row r="90" spans="1:9" x14ac:dyDescent="0.35">
      <c r="A90" s="15" t="s">
        <v>248</v>
      </c>
      <c r="B90" s="18">
        <f>IFERROR(IF('August 2026 Log'!BO100="","",'August 2026 Log'!BO100),"")</f>
        <v>-874.63000000000011</v>
      </c>
      <c r="C90" s="18">
        <f>IFERROR(IF('September 2026 Log'!BO100="","",'September 2026 Log'!BO100),"")</f>
        <v>136604.82</v>
      </c>
      <c r="D90" s="18" t="str">
        <f>IFERROR(IF('October 2026 Log'!BO100="","",'October 2026 Log'!BO100),"")</f>
        <v/>
      </c>
      <c r="E90" s="18" t="str">
        <f>IFERROR(IF('November 2026 Log'!BO100="","",'November 2026 Log'!BO100),"")</f>
        <v/>
      </c>
      <c r="F90" s="18" t="str">
        <f>IFERROR(IF('December 2026 Log'!BO100="","",'December 2026 Log'!BO100),"")</f>
        <v/>
      </c>
      <c r="G90" s="18" t="str">
        <f>IFERROR(IF('January 2027 Log'!BO100="","",'January 2027 Log'!BO100),"")</f>
        <v/>
      </c>
      <c r="H90" s="18" t="str">
        <f>IFERROR(IF('February 2027 Log'!BO100="","",'February 2027 Log'!BO100),"")</f>
        <v/>
      </c>
      <c r="I90" s="21">
        <f t="shared" si="2"/>
        <v>135730.19</v>
      </c>
    </row>
    <row r="91" spans="1:9" x14ac:dyDescent="0.35">
      <c r="A91" s="15" t="s">
        <v>249</v>
      </c>
      <c r="B91" s="18">
        <f>IFERROR(IF('August 2026 Log'!BO101="","",'August 2026 Log'!BO101),"")</f>
        <v>-2050.14</v>
      </c>
      <c r="C91" s="18">
        <f>IFERROR(IF('September 2026 Log'!BO101="","",'September 2026 Log'!BO101),"")</f>
        <v>25983.360000000001</v>
      </c>
      <c r="D91" s="18" t="str">
        <f>IFERROR(IF('October 2026 Log'!BO101="","",'October 2026 Log'!BO101),"")</f>
        <v/>
      </c>
      <c r="E91" s="18" t="str">
        <f>IFERROR(IF('November 2026 Log'!BO101="","",'November 2026 Log'!BO101),"")</f>
        <v/>
      </c>
      <c r="F91" s="18" t="str">
        <f>IFERROR(IF('December 2026 Log'!BO101="","",'December 2026 Log'!BO101),"")</f>
        <v/>
      </c>
      <c r="G91" s="18" t="str">
        <f>IFERROR(IF('January 2027 Log'!BO101="","",'January 2027 Log'!BO101),"")</f>
        <v/>
      </c>
      <c r="H91" s="18" t="str">
        <f>IFERROR(IF('February 2027 Log'!BO101="","",'February 2027 Log'!BO101),"")</f>
        <v/>
      </c>
      <c r="I91" s="21">
        <f t="shared" si="2"/>
        <v>23933.22</v>
      </c>
    </row>
    <row r="92" spans="1:9" x14ac:dyDescent="0.35">
      <c r="A92" s="15" t="s">
        <v>250</v>
      </c>
      <c r="B92" s="18">
        <f>IFERROR(IF('August 2026 Log'!BO102="","",'August 2026 Log'!BO102),"")</f>
        <v>-2107.63</v>
      </c>
      <c r="C92" s="18">
        <f>IFERROR(IF('September 2026 Log'!BO102="","",'September 2026 Log'!BO102),"")</f>
        <v>50593.59</v>
      </c>
      <c r="D92" s="18" t="str">
        <f>IFERROR(IF('October 2026 Log'!BO102="","",'October 2026 Log'!BO102),"")</f>
        <v/>
      </c>
      <c r="E92" s="18" t="str">
        <f>IFERROR(IF('November 2026 Log'!BO102="","",'November 2026 Log'!BO102),"")</f>
        <v/>
      </c>
      <c r="F92" s="18" t="str">
        <f>IFERROR(IF('December 2026 Log'!BO102="","",'December 2026 Log'!BO102),"")</f>
        <v/>
      </c>
      <c r="G92" s="18" t="str">
        <f>IFERROR(IF('January 2027 Log'!BO102="","",'January 2027 Log'!BO102),"")</f>
        <v/>
      </c>
      <c r="H92" s="18" t="str">
        <f>IFERROR(IF('February 2027 Log'!BO102="","",'February 2027 Log'!BO102),"")</f>
        <v/>
      </c>
      <c r="I92" s="21">
        <f t="shared" si="2"/>
        <v>48485.96</v>
      </c>
    </row>
    <row r="93" spans="1:9" x14ac:dyDescent="0.35">
      <c r="A93" s="15" t="s">
        <v>251</v>
      </c>
      <c r="B93" s="18">
        <f>IFERROR(IF('August 2026 Log'!BO103="","",'August 2026 Log'!BO103),"")</f>
        <v>-18584.68</v>
      </c>
      <c r="C93" s="18">
        <f>IFERROR(IF('September 2026 Log'!BO103="","",'September 2026 Log'!BO103),"")</f>
        <v>7246958.2899999991</v>
      </c>
      <c r="D93" s="18" t="str">
        <f>IFERROR(IF('October 2026 Log'!BO103="","",'October 2026 Log'!BO103),"")</f>
        <v/>
      </c>
      <c r="E93" s="18" t="str">
        <f>IFERROR(IF('November 2026 Log'!BO103="","",'November 2026 Log'!BO103),"")</f>
        <v/>
      </c>
      <c r="F93" s="18" t="str">
        <f>IFERROR(IF('December 2026 Log'!BO103="","",'December 2026 Log'!BO103),"")</f>
        <v/>
      </c>
      <c r="G93" s="18" t="str">
        <f>IFERROR(IF('January 2027 Log'!BO103="","",'January 2027 Log'!BO103),"")</f>
        <v/>
      </c>
      <c r="H93" s="18" t="str">
        <f>IFERROR(IF('February 2027 Log'!BO103="","",'February 2027 Log'!BO103),"")</f>
        <v/>
      </c>
      <c r="I93" s="21">
        <f t="shared" si="2"/>
        <v>7228373.6099999994</v>
      </c>
    </row>
    <row r="94" spans="1:9" x14ac:dyDescent="0.35">
      <c r="A94" s="15" t="s">
        <v>252</v>
      </c>
      <c r="B94" s="18">
        <f>IFERROR(IF('August 2026 Log'!BO106="","",'August 2026 Log'!BO106),"")</f>
        <v>14955</v>
      </c>
      <c r="C94" s="18" t="str">
        <f>IFERROR(IF('September 2026 Log'!BO106="","",'September 2026 Log'!BO106),"")</f>
        <v/>
      </c>
      <c r="D94" s="18" t="str">
        <f>IFERROR(IF('October 2026 Log'!BO106="","",'October 2026 Log'!BO106),"")</f>
        <v/>
      </c>
      <c r="E94" s="18" t="str">
        <f>IFERROR(IF('November 2026 Log'!BO106="","",'November 2026 Log'!BO106),"")</f>
        <v/>
      </c>
      <c r="F94" s="18" t="str">
        <f>IFERROR(IF('December 2026 Log'!BO106="","",'December 2026 Log'!BO106),"")</f>
        <v/>
      </c>
      <c r="G94" s="18" t="str">
        <f>IFERROR(IF('January 2027 Log'!BO106="","",'January 2027 Log'!BO106),"")</f>
        <v/>
      </c>
      <c r="H94" s="18" t="str">
        <f>IFERROR(IF('February 2027 Log'!BO106="","",'February 2027 Log'!BO106),"")</f>
        <v/>
      </c>
      <c r="I94" s="21">
        <f t="shared" si="2"/>
        <v>14955</v>
      </c>
    </row>
    <row r="95" spans="1:9" x14ac:dyDescent="0.35">
      <c r="A95" s="15" t="s">
        <v>253</v>
      </c>
      <c r="B95" s="18">
        <f>IFERROR(IF('August 2026 Log'!BO107="","",'August 2026 Log'!BO107),"")</f>
        <v>4531</v>
      </c>
      <c r="C95" s="18" t="str">
        <f>IFERROR(IF('September 2026 Log'!BO107="","",'September 2026 Log'!BO107),"")</f>
        <v/>
      </c>
      <c r="D95" s="18" t="str">
        <f>IFERROR(IF('October 2026 Log'!BO107="","",'October 2026 Log'!BO107),"")</f>
        <v/>
      </c>
      <c r="E95" s="18" t="str">
        <f>IFERROR(IF('November 2026 Log'!BO107="","",'November 2026 Log'!BO107),"")</f>
        <v/>
      </c>
      <c r="F95" s="18" t="str">
        <f>IFERROR(IF('December 2026 Log'!BO107="","",'December 2026 Log'!BO107),"")</f>
        <v/>
      </c>
      <c r="G95" s="18" t="str">
        <f>IFERROR(IF('January 2027 Log'!BO107="","",'January 2027 Log'!BO107),"")</f>
        <v/>
      </c>
      <c r="H95" s="18" t="str">
        <f>IFERROR(IF('February 2027 Log'!BO107="","",'February 2027 Log'!BO107),"")</f>
        <v/>
      </c>
      <c r="I95" s="21">
        <f t="shared" si="2"/>
        <v>4531</v>
      </c>
    </row>
    <row r="96" spans="1:9" x14ac:dyDescent="0.35">
      <c r="A96" s="15" t="s">
        <v>253</v>
      </c>
      <c r="B96" s="18">
        <f>IFERROR(IF('August 2026 Log'!BO108="","",'August 2026 Log'!BO108),"")</f>
        <v>4512</v>
      </c>
      <c r="C96" s="18" t="str">
        <f>IFERROR(IF('September 2026 Log'!BO108="","",'September 2026 Log'!BO108),"")</f>
        <v/>
      </c>
      <c r="D96" s="18" t="str">
        <f>IFERROR(IF('October 2026 Log'!BO108="","",'October 2026 Log'!BO108),"")</f>
        <v/>
      </c>
      <c r="E96" s="18" t="str">
        <f>IFERROR(IF('November 2026 Log'!BO108="","",'November 2026 Log'!BO108),"")</f>
        <v/>
      </c>
      <c r="F96" s="18" t="str">
        <f>IFERROR(IF('December 2026 Log'!BO108="","",'December 2026 Log'!BO108),"")</f>
        <v/>
      </c>
      <c r="G96" s="18" t="str">
        <f>IFERROR(IF('January 2027 Log'!BO108="","",'January 2027 Log'!BO108),"")</f>
        <v/>
      </c>
      <c r="H96" s="18" t="str">
        <f>IFERROR(IF('February 2027 Log'!BO108="","",'February 2027 Log'!BO108),"")</f>
        <v/>
      </c>
      <c r="I96" s="21">
        <f t="shared" si="2"/>
        <v>4512</v>
      </c>
    </row>
    <row r="97" spans="1:9" x14ac:dyDescent="0.35">
      <c r="A97" s="15" t="s">
        <v>254</v>
      </c>
      <c r="B97" s="18">
        <f>IFERROR(IF('August 2026 Log'!BO109="","",'August 2026 Log'!BO109),"")</f>
        <v>9502</v>
      </c>
      <c r="C97" s="18">
        <f>IFERROR(IF('September 2026 Log'!BO109="","",'September 2026 Log'!BO109),"")</f>
        <v>7997</v>
      </c>
      <c r="D97" s="18" t="str">
        <f>IFERROR(IF('October 2026 Log'!BO109="","",'October 2026 Log'!BO109),"")</f>
        <v/>
      </c>
      <c r="E97" s="18" t="str">
        <f>IFERROR(IF('November 2026 Log'!BO109="","",'November 2026 Log'!BO109),"")</f>
        <v/>
      </c>
      <c r="F97" s="18" t="str">
        <f>IFERROR(IF('December 2026 Log'!BO109="","",'December 2026 Log'!BO109),"")</f>
        <v/>
      </c>
      <c r="G97" s="18" t="str">
        <f>IFERROR(IF('January 2027 Log'!BO109="","",'January 2027 Log'!BO109),"")</f>
        <v/>
      </c>
      <c r="H97" s="18" t="str">
        <f>IFERROR(IF('February 2027 Log'!BO109="","",'February 2027 Log'!BO109),"")</f>
        <v/>
      </c>
      <c r="I97" s="21">
        <f t="shared" si="2"/>
        <v>17499</v>
      </c>
    </row>
    <row r="98" spans="1:9" x14ac:dyDescent="0.35">
      <c r="A98" s="15" t="s">
        <v>254</v>
      </c>
      <c r="B98" s="18">
        <f>IFERROR(IF('August 2026 Log'!BO110="","",'August 2026 Log'!BO110),"")</f>
        <v>8526</v>
      </c>
      <c r="C98" s="18">
        <f>IFERROR(IF('September 2026 Log'!BO110="","",'September 2026 Log'!BO110),"")</f>
        <v>8970</v>
      </c>
      <c r="D98" s="18" t="str">
        <f>IFERROR(IF('October 2026 Log'!BO110="","",'October 2026 Log'!BO110),"")</f>
        <v/>
      </c>
      <c r="E98" s="18" t="str">
        <f>IFERROR(IF('November 2026 Log'!BO110="","",'November 2026 Log'!BO110),"")</f>
        <v/>
      </c>
      <c r="F98" s="18" t="str">
        <f>IFERROR(IF('December 2026 Log'!BO110="","",'December 2026 Log'!BO110),"")</f>
        <v/>
      </c>
      <c r="G98" s="18" t="str">
        <f>IFERROR(IF('January 2027 Log'!BO110="","",'January 2027 Log'!BO110),"")</f>
        <v/>
      </c>
      <c r="H98" s="18" t="str">
        <f>IFERROR(IF('February 2027 Log'!BO110="","",'February 2027 Log'!BO110),"")</f>
        <v/>
      </c>
      <c r="I98" s="21">
        <f t="shared" si="2"/>
        <v>17496</v>
      </c>
    </row>
    <row r="99" spans="1:9" x14ac:dyDescent="0.35">
      <c r="A99" s="15" t="s">
        <v>255</v>
      </c>
      <c r="B99" s="18">
        <f>IFERROR(IF('August 2026 Log'!BO111="","",'August 2026 Log'!BO111),"")</f>
        <v>8558.58</v>
      </c>
      <c r="C99" s="18">
        <f>IFERROR(IF('September 2026 Log'!BO111="","",'September 2026 Log'!BO111),"")</f>
        <v>40054.959999999999</v>
      </c>
      <c r="D99" s="18" t="str">
        <f>IFERROR(IF('October 2026 Log'!BO111="","",'October 2026 Log'!BO111),"")</f>
        <v/>
      </c>
      <c r="E99" s="18" t="str">
        <f>IFERROR(IF('November 2026 Log'!BO111="","",'November 2026 Log'!BO111),"")</f>
        <v/>
      </c>
      <c r="F99" s="18" t="str">
        <f>IFERROR(IF('December 2026 Log'!BO111="","",'December 2026 Log'!BO111),"")</f>
        <v/>
      </c>
      <c r="G99" s="18" t="str">
        <f>IFERROR(IF('January 2027 Log'!BO111="","",'January 2027 Log'!BO111),"")</f>
        <v/>
      </c>
      <c r="H99" s="18" t="str">
        <f>IFERROR(IF('February 2027 Log'!BO111="","",'February 2027 Log'!BO111),"")</f>
        <v/>
      </c>
      <c r="I99" s="21">
        <f t="shared" si="2"/>
        <v>48613.54</v>
      </c>
    </row>
    <row r="100" spans="1:9" x14ac:dyDescent="0.35">
      <c r="A100" s="15" t="s">
        <v>256</v>
      </c>
      <c r="B100" s="18">
        <f>IFERROR(IF('August 2026 Log'!BO112="","",'August 2026 Log'!BO112),"")</f>
        <v>62.78</v>
      </c>
      <c r="C100" s="18">
        <f>IFERROR(IF('September 2026 Log'!BO112="","",'September 2026 Log'!BO112),"")</f>
        <v>10761.59</v>
      </c>
      <c r="D100" s="18" t="str">
        <f>IFERROR(IF('October 2026 Log'!BO112="","",'October 2026 Log'!BO112),"")</f>
        <v/>
      </c>
      <c r="E100" s="18" t="str">
        <f>IFERROR(IF('November 2026 Log'!BO112="","",'November 2026 Log'!BO112),"")</f>
        <v/>
      </c>
      <c r="F100" s="18" t="str">
        <f>IFERROR(IF('December 2026 Log'!BO112="","",'December 2026 Log'!BO112),"")</f>
        <v/>
      </c>
      <c r="G100" s="18" t="str">
        <f>IFERROR(IF('January 2027 Log'!BO112="","",'January 2027 Log'!BO112),"")</f>
        <v/>
      </c>
      <c r="H100" s="18" t="str">
        <f>IFERROR(IF('February 2027 Log'!BO112="","",'February 2027 Log'!BO112),"")</f>
        <v/>
      </c>
      <c r="I100" s="21">
        <f t="shared" si="2"/>
        <v>10824.37</v>
      </c>
    </row>
    <row r="101" spans="1:9" x14ac:dyDescent="0.35">
      <c r="A101" s="15" t="s">
        <v>257</v>
      </c>
      <c r="B101" s="18">
        <f>IFERROR(IF('August 2026 Log'!BO113="","",'August 2026 Log'!BO113),"")</f>
        <v>21.1</v>
      </c>
      <c r="C101" s="18">
        <f>IFERROR(IF('September 2026 Log'!BO113="","",'September 2026 Log'!BO113),"")</f>
        <v>29293.370000000003</v>
      </c>
      <c r="D101" s="18" t="str">
        <f>IFERROR(IF('October 2026 Log'!BO113="","",'October 2026 Log'!BO113),"")</f>
        <v/>
      </c>
      <c r="E101" s="18" t="str">
        <f>IFERROR(IF('November 2026 Log'!BO113="","",'November 2026 Log'!BO113),"")</f>
        <v/>
      </c>
      <c r="F101" s="18" t="str">
        <f>IFERROR(IF('December 2026 Log'!BO113="","",'December 2026 Log'!BO113),"")</f>
        <v/>
      </c>
      <c r="G101" s="18" t="str">
        <f>IFERROR(IF('January 2027 Log'!BO113="","",'January 2027 Log'!BO113),"")</f>
        <v/>
      </c>
      <c r="H101" s="18" t="str">
        <f>IFERROR(IF('February 2027 Log'!BO113="","",'February 2027 Log'!BO113),"")</f>
        <v/>
      </c>
      <c r="I101" s="21">
        <f t="shared" si="2"/>
        <v>29314.47</v>
      </c>
    </row>
    <row r="102" spans="1:9" x14ac:dyDescent="0.35">
      <c r="A102" s="15" t="s">
        <v>258</v>
      </c>
      <c r="B102" s="18" t="str">
        <f>IFERROR(IF('August 2026 Log'!BO114="","",'August 2026 Log'!BO114),"")</f>
        <v/>
      </c>
      <c r="C102" s="18" t="str">
        <f>IFERROR(IF('September 2026 Log'!BO114="","",'September 2026 Log'!BO114),"")</f>
        <v/>
      </c>
      <c r="D102" s="18" t="str">
        <f>IFERROR(IF('October 2026 Log'!BO114="","",'October 2026 Log'!BO114),"")</f>
        <v/>
      </c>
      <c r="E102" s="18" t="str">
        <f>IFERROR(IF('November 2026 Log'!BO114="","",'November 2026 Log'!BO114),"")</f>
        <v/>
      </c>
      <c r="F102" s="18" t="str">
        <f>IFERROR(IF('December 2026 Log'!BO114="","",'December 2026 Log'!BO114),"")</f>
        <v/>
      </c>
      <c r="G102" s="18" t="str">
        <f>IFERROR(IF('January 2027 Log'!BO114="","",'January 2027 Log'!BO114),"")</f>
        <v/>
      </c>
      <c r="H102" s="18" t="str">
        <f>IFERROR(IF('February 2027 Log'!BO114="","",'February 2027 Log'!BO114),"")</f>
        <v/>
      </c>
      <c r="I102" s="21" t="str">
        <f t="shared" ref="I102:I108" si="3">IF(COUNT(B102:H102)=0,"",SUM(B102:H102))</f>
        <v/>
      </c>
    </row>
    <row r="103" spans="1:9" x14ac:dyDescent="0.35">
      <c r="A103" s="15" t="s">
        <v>259</v>
      </c>
      <c r="B103" s="18" t="str">
        <f>IFERROR(IF('August 2026 Log'!BO115="","",'August 2026 Log'!BO115),"")</f>
        <v/>
      </c>
      <c r="C103" s="18" t="str">
        <f>IFERROR(IF('September 2026 Log'!BO115="","",'September 2026 Log'!BO115),"")</f>
        <v/>
      </c>
      <c r="D103" s="18" t="str">
        <f>IFERROR(IF('October 2026 Log'!BO115="","",'October 2026 Log'!BO115),"")</f>
        <v/>
      </c>
      <c r="E103" s="18" t="str">
        <f>IFERROR(IF('November 2026 Log'!BO115="","",'November 2026 Log'!BO115),"")</f>
        <v/>
      </c>
      <c r="F103" s="18" t="str">
        <f>IFERROR(IF('December 2026 Log'!BO115="","",'December 2026 Log'!BO115),"")</f>
        <v/>
      </c>
      <c r="G103" s="18" t="str">
        <f>IFERROR(IF('January 2027 Log'!BO115="","",'January 2027 Log'!BO115),"")</f>
        <v/>
      </c>
      <c r="H103" s="18" t="str">
        <f>IFERROR(IF('February 2027 Log'!BO115="","",'February 2027 Log'!BO115),"")</f>
        <v/>
      </c>
      <c r="I103" s="21" t="str">
        <f t="shared" si="3"/>
        <v/>
      </c>
    </row>
    <row r="104" spans="1:9" x14ac:dyDescent="0.35">
      <c r="A104" s="15" t="s">
        <v>260</v>
      </c>
      <c r="B104" s="18" t="str">
        <f>IFERROR(IF('August 2026 Log'!BO116="","",'August 2026 Log'!BO116),"")</f>
        <v/>
      </c>
      <c r="C104" s="18" t="str">
        <f>IFERROR(IF('September 2026 Log'!BO116="","",'September 2026 Log'!BO116),"")</f>
        <v/>
      </c>
      <c r="D104" s="18" t="str">
        <f>IFERROR(IF('October 2026 Log'!BO116="","",'October 2026 Log'!BO116),"")</f>
        <v/>
      </c>
      <c r="E104" s="18" t="str">
        <f>IFERROR(IF('November 2026 Log'!BO116="","",'November 2026 Log'!BO116),"")</f>
        <v/>
      </c>
      <c r="F104" s="18" t="str">
        <f>IFERROR(IF('December 2026 Log'!BO116="","",'December 2026 Log'!BO116),"")</f>
        <v/>
      </c>
      <c r="G104" s="18" t="str">
        <f>IFERROR(IF('January 2027 Log'!BO116="","",'January 2027 Log'!BO116),"")</f>
        <v/>
      </c>
      <c r="H104" s="18" t="str">
        <f>IFERROR(IF('February 2027 Log'!BO116="","",'February 2027 Log'!BO116),"")</f>
        <v/>
      </c>
      <c r="I104" s="21" t="str">
        <f t="shared" si="3"/>
        <v/>
      </c>
    </row>
    <row r="105" spans="1:9" x14ac:dyDescent="0.35">
      <c r="A105" s="15" t="s">
        <v>261</v>
      </c>
      <c r="B105" s="18" t="str">
        <f>IFERROR(IF('August 2026 Log'!BO117="","",'August 2026 Log'!BO117),"")</f>
        <v/>
      </c>
      <c r="C105" s="18" t="str">
        <f>IFERROR(IF('September 2026 Log'!BO117="","",'September 2026 Log'!BO117),"")</f>
        <v/>
      </c>
      <c r="D105" s="18" t="str">
        <f>IFERROR(IF('October 2026 Log'!BO117="","",'October 2026 Log'!BO117),"")</f>
        <v/>
      </c>
      <c r="E105" s="18" t="str">
        <f>IFERROR(IF('November 2026 Log'!BO117="","",'November 2026 Log'!BO117),"")</f>
        <v/>
      </c>
      <c r="F105" s="18" t="str">
        <f>IFERROR(IF('December 2026 Log'!BO117="","",'December 2026 Log'!BO117),"")</f>
        <v/>
      </c>
      <c r="G105" s="18" t="str">
        <f>IFERROR(IF('January 2027 Log'!BO117="","",'January 2027 Log'!BO117),"")</f>
        <v/>
      </c>
      <c r="H105" s="18" t="str">
        <f>IFERROR(IF('February 2027 Log'!BO117="","",'February 2027 Log'!BO117),"")</f>
        <v/>
      </c>
      <c r="I105" s="21" t="str">
        <f t="shared" si="3"/>
        <v/>
      </c>
    </row>
    <row r="106" spans="1:9" ht="29" x14ac:dyDescent="0.35">
      <c r="A106" s="15" t="s">
        <v>262</v>
      </c>
      <c r="B106" s="18" t="str">
        <f>IFERROR(IF('August 2026 Log'!BO118="","",'August 2026 Log'!BO118),"")</f>
        <v/>
      </c>
      <c r="C106" s="18" t="str">
        <f>IFERROR(IF('September 2026 Log'!BO118="","",'September 2026 Log'!BO118),"")</f>
        <v/>
      </c>
      <c r="D106" s="18" t="str">
        <f>IFERROR(IF('October 2026 Log'!BO118="","",'October 2026 Log'!BO118),"")</f>
        <v/>
      </c>
      <c r="E106" s="18" t="str">
        <f>IFERROR(IF('November 2026 Log'!BO118="","",'November 2026 Log'!BO118),"")</f>
        <v/>
      </c>
      <c r="F106" s="18" t="str">
        <f>IFERROR(IF('December 2026 Log'!BO118="","",'December 2026 Log'!BO118),"")</f>
        <v/>
      </c>
      <c r="G106" s="18" t="str">
        <f>IFERROR(IF('January 2027 Log'!BO118="","",'January 2027 Log'!BO118),"")</f>
        <v/>
      </c>
      <c r="H106" s="18" t="str">
        <f>IFERROR(IF('February 2027 Log'!BO118="","",'February 2027 Log'!BO118),"")</f>
        <v/>
      </c>
      <c r="I106" s="21" t="str">
        <f t="shared" si="3"/>
        <v/>
      </c>
    </row>
    <row r="107" spans="1:9" x14ac:dyDescent="0.35">
      <c r="A107" s="15" t="s">
        <v>263</v>
      </c>
      <c r="B107" s="18" t="str">
        <f>IFERROR(IF('August 2026 Log'!BO119="","",'August 2026 Log'!BO119),"")</f>
        <v/>
      </c>
      <c r="C107" s="18" t="str">
        <f>IFERROR(IF('September 2026 Log'!BO119="","",'September 2026 Log'!BO119),"")</f>
        <v/>
      </c>
      <c r="D107" s="18" t="str">
        <f>IFERROR(IF('October 2026 Log'!BO119="","",'October 2026 Log'!BO119),"")</f>
        <v/>
      </c>
      <c r="E107" s="18" t="str">
        <f>IFERROR(IF('November 2026 Log'!BO119="","",'November 2026 Log'!BO119),"")</f>
        <v/>
      </c>
      <c r="F107" s="18" t="str">
        <f>IFERROR(IF('December 2026 Log'!BO119="","",'December 2026 Log'!BO119),"")</f>
        <v/>
      </c>
      <c r="G107" s="18" t="str">
        <f>IFERROR(IF('January 2027 Log'!BO119="","",'January 2027 Log'!BO119),"")</f>
        <v/>
      </c>
      <c r="H107" s="18" t="str">
        <f>IFERROR(IF('February 2027 Log'!BO119="","",'February 2027 Log'!BO119),"")</f>
        <v/>
      </c>
      <c r="I107" s="21" t="str">
        <f t="shared" si="3"/>
        <v/>
      </c>
    </row>
    <row r="108" spans="1:9" x14ac:dyDescent="0.35">
      <c r="A108" s="16" t="s">
        <v>264</v>
      </c>
      <c r="B108" s="19" t="str">
        <f>IFERROR(IF('August 2026 Log'!BO120="","",'August 2026 Log'!BO120),"")</f>
        <v/>
      </c>
      <c r="C108" s="19" t="str">
        <f>IFERROR(IF('September 2026 Log'!BO120="","",'September 2026 Log'!BO120),"")</f>
        <v/>
      </c>
      <c r="D108" s="19" t="str">
        <f>IFERROR(IF('October 2026 Log'!BO120="","",'October 2026 Log'!BO120),"")</f>
        <v/>
      </c>
      <c r="E108" s="19" t="str">
        <f>IFERROR(IF('November 2026 Log'!BO120="","",'November 2026 Log'!BO120),"")</f>
        <v/>
      </c>
      <c r="F108" s="19" t="str">
        <f>IFERROR(IF('December 2026 Log'!BO120="","",'December 2026 Log'!BO120),"")</f>
        <v/>
      </c>
      <c r="G108" s="19" t="str">
        <f>IFERROR(IF('January 2027 Log'!BO120="","",'January 2027 Log'!BO120),"")</f>
        <v/>
      </c>
      <c r="H108" s="19" t="str">
        <f>IFERROR(IF('February 2027 Log'!BO120="","",'February 2027 Log'!BO120),"")</f>
        <v/>
      </c>
      <c r="I108" s="22" t="str">
        <f t="shared" si="3"/>
        <v/>
      </c>
    </row>
    <row r="111" spans="1:9" ht="15.5" x14ac:dyDescent="0.35">
      <c r="A111" s="240" t="s">
        <v>161</v>
      </c>
      <c r="B111" s="240"/>
      <c r="C111" s="240"/>
      <c r="D111" s="240"/>
      <c r="E111" s="240"/>
      <c r="F111" s="240"/>
      <c r="G111" s="240"/>
      <c r="H111" s="240"/>
      <c r="I111" s="240"/>
    </row>
    <row r="112" spans="1:9" x14ac:dyDescent="0.35">
      <c r="A112" s="10" t="s">
        <v>162</v>
      </c>
      <c r="B112" s="13">
        <v>46108</v>
      </c>
      <c r="C112" s="13">
        <v>46139</v>
      </c>
      <c r="D112" s="13">
        <v>46169</v>
      </c>
      <c r="E112" s="13">
        <v>46200</v>
      </c>
      <c r="F112" s="13">
        <v>46230</v>
      </c>
      <c r="G112" s="13">
        <v>46261</v>
      </c>
      <c r="H112" s="10" t="s">
        <v>164</v>
      </c>
      <c r="I112" s="10" t="s">
        <v>165</v>
      </c>
    </row>
    <row r="113" spans="1:9" x14ac:dyDescent="0.35">
      <c r="A113" s="14" t="s">
        <v>166</v>
      </c>
      <c r="B113" s="17">
        <f>IFERROR(IF('March 2027 Log'!BO7="","",'March 2027 Log'!BO7),"")</f>
        <v>0</v>
      </c>
      <c r="C113" s="17">
        <f>IFERROR(IF('April 2027 Log'!BO7="","",'April 2027 Log'!BO7),"")</f>
        <v>0</v>
      </c>
      <c r="D113" s="17">
        <f>IFERROR(IF('May 2027 Log'!BO7="","",'May 2027 Log'!BO7),"")</f>
        <v>0</v>
      </c>
      <c r="E113" s="17">
        <f>IFERROR(IF('June 2027 Log'!BO7="","",'June 2027 Log'!BO7),"")</f>
        <v>0</v>
      </c>
      <c r="F113" s="17">
        <f>IFERROR(IF('July 2027 Log'!BO7="","",'July 2027 Log'!BO7),"")</f>
        <v>0</v>
      </c>
      <c r="G113" s="17">
        <f>IFERROR(IF('August 2027 Log'!BO7="","",'August 2027 Log'!BO7),"")</f>
        <v>0</v>
      </c>
      <c r="H113" s="20">
        <f t="shared" ref="H113:H144" si="4">IF(COUNT(B113:G113)=0,"",SUM(B113:G113))</f>
        <v>0</v>
      </c>
      <c r="I113" s="20">
        <f>IF(COUNT(B113:G113,I6)=0,"",SUM(B113:G113,I6))</f>
        <v>-317</v>
      </c>
    </row>
    <row r="114" spans="1:9" x14ac:dyDescent="0.35">
      <c r="A114" s="15" t="s">
        <v>167</v>
      </c>
      <c r="B114" s="18">
        <f>IFERROR(IF('March 2027 Log'!BO8="","",'March 2027 Log'!BO8),"")</f>
        <v>0</v>
      </c>
      <c r="C114" s="18">
        <f>IFERROR(IF('April 2027 Log'!BO8="","",'April 2027 Log'!BO8),"")</f>
        <v>0</v>
      </c>
      <c r="D114" s="18">
        <f>IFERROR(IF('May 2027 Log'!BO8="","",'May 2027 Log'!BO8),"")</f>
        <v>0</v>
      </c>
      <c r="E114" s="18">
        <f>IFERROR(IF('June 2027 Log'!BO8="","",'June 2027 Log'!BO8),"")</f>
        <v>0</v>
      </c>
      <c r="F114" s="18">
        <f>IFERROR(IF('July 2027 Log'!BO8="","",'July 2027 Log'!BO8),"")</f>
        <v>0</v>
      </c>
      <c r="G114" s="18">
        <f>IFERROR(IF('August 2027 Log'!BO8="","",'August 2027 Log'!BO8),"")</f>
        <v>0</v>
      </c>
      <c r="H114" s="21">
        <f t="shared" si="4"/>
        <v>0</v>
      </c>
      <c r="I114" s="21">
        <f t="shared" ref="I114:I144" si="5">IF(COUNT(B114:G114,I7)=0,"",SUM(B114:G114,I7))</f>
        <v>11462.42000000002</v>
      </c>
    </row>
    <row r="115" spans="1:9" x14ac:dyDescent="0.35">
      <c r="A115" s="15" t="s">
        <v>168</v>
      </c>
      <c r="B115" s="18" t="str">
        <f>IFERROR(IF('March 2027 Log'!BO9="","",'March 2027 Log'!BO9),"")</f>
        <v/>
      </c>
      <c r="C115" s="18" t="str">
        <f>IFERROR(IF('April 2027 Log'!BO9="","",'April 2027 Log'!BO9),"")</f>
        <v/>
      </c>
      <c r="D115" s="18" t="str">
        <f>IFERROR(IF('May 2027 Log'!BO9="","",'May 2027 Log'!BO9),"")</f>
        <v/>
      </c>
      <c r="E115" s="18" t="str">
        <f>IFERROR(IF('June 2027 Log'!BO9="","",'June 2027 Log'!BO9),"")</f>
        <v/>
      </c>
      <c r="F115" s="18" t="str">
        <f>IFERROR(IF('July 2027 Log'!BO9="","",'July 2027 Log'!BO9),"")</f>
        <v/>
      </c>
      <c r="G115" s="18" t="str">
        <f>IFERROR(IF('August 2027 Log'!BO9="","",'August 2027 Log'!BO9),"")</f>
        <v/>
      </c>
      <c r="H115" s="21" t="str">
        <f t="shared" si="4"/>
        <v/>
      </c>
      <c r="I115" s="21">
        <f t="shared" si="5"/>
        <v>-4362614</v>
      </c>
    </row>
    <row r="116" spans="1:9" x14ac:dyDescent="0.35">
      <c r="A116" s="15" t="s">
        <v>169</v>
      </c>
      <c r="B116" s="18" t="str">
        <f>IFERROR(IF('March 2027 Log'!BO10="","",'March 2027 Log'!BO10),"")</f>
        <v/>
      </c>
      <c r="C116" s="18" t="str">
        <f>IFERROR(IF('April 2027 Log'!BO10="","",'April 2027 Log'!BO10),"")</f>
        <v/>
      </c>
      <c r="D116" s="18" t="str">
        <f>IFERROR(IF('May 2027 Log'!BO10="","",'May 2027 Log'!BO10),"")</f>
        <v/>
      </c>
      <c r="E116" s="18" t="str">
        <f>IFERROR(IF('June 2027 Log'!BO10="","",'June 2027 Log'!BO10),"")</f>
        <v/>
      </c>
      <c r="F116" s="18" t="str">
        <f>IFERROR(IF('July 2027 Log'!BO10="","",'July 2027 Log'!BO10),"")</f>
        <v/>
      </c>
      <c r="G116" s="18" t="str">
        <f>IFERROR(IF('August 2027 Log'!BO10="","",'August 2027 Log'!BO10),"")</f>
        <v/>
      </c>
      <c r="H116" s="21" t="str">
        <f t="shared" si="4"/>
        <v/>
      </c>
      <c r="I116" s="21">
        <f t="shared" si="5"/>
        <v>-4292121</v>
      </c>
    </row>
    <row r="117" spans="1:9" x14ac:dyDescent="0.35">
      <c r="A117" s="15" t="s">
        <v>170</v>
      </c>
      <c r="B117" s="18">
        <f>IFERROR(IF('March 2027 Log'!BO11="","",'March 2027 Log'!BO11),"")</f>
        <v>0</v>
      </c>
      <c r="C117" s="18">
        <f>IFERROR(IF('April 2027 Log'!BO11="","",'April 2027 Log'!BO11),"")</f>
        <v>0</v>
      </c>
      <c r="D117" s="18">
        <f>IFERROR(IF('May 2027 Log'!BO11="","",'May 2027 Log'!BO11),"")</f>
        <v>0</v>
      </c>
      <c r="E117" s="18">
        <f>IFERROR(IF('June 2027 Log'!BO11="","",'June 2027 Log'!BO11),"")</f>
        <v>0</v>
      </c>
      <c r="F117" s="18">
        <f>IFERROR(IF('July 2027 Log'!BO11="","",'July 2027 Log'!BO11),"")</f>
        <v>0</v>
      </c>
      <c r="G117" s="18">
        <f>IFERROR(IF('August 2027 Log'!BO11="","",'August 2027 Log'!BO11),"")</f>
        <v>0</v>
      </c>
      <c r="H117" s="21">
        <f t="shared" si="4"/>
        <v>0</v>
      </c>
      <c r="I117" s="21">
        <f t="shared" si="5"/>
        <v>450910.30000000005</v>
      </c>
    </row>
    <row r="118" spans="1:9" x14ac:dyDescent="0.35">
      <c r="A118" s="15" t="s">
        <v>171</v>
      </c>
      <c r="B118" s="18" t="str">
        <f>IFERROR(IF('March 2027 Log'!BO17="","",'March 2027 Log'!BO17),"")</f>
        <v/>
      </c>
      <c r="C118" s="18" t="str">
        <f>IFERROR(IF('April 2027 Log'!BO17="","",'April 2027 Log'!BO17),"")</f>
        <v/>
      </c>
      <c r="D118" s="18" t="str">
        <f>IFERROR(IF('May 2027 Log'!BO17="","",'May 2027 Log'!BO17),"")</f>
        <v/>
      </c>
      <c r="E118" s="18" t="str">
        <f>IFERROR(IF('June 2027 Log'!BO17="","",'June 2027 Log'!BO17),"")</f>
        <v/>
      </c>
      <c r="F118" s="18" t="str">
        <f>IFERROR(IF('July 2027 Log'!BO17="","",'July 2027 Log'!BO17),"")</f>
        <v/>
      </c>
      <c r="G118" s="18" t="str">
        <f>IFERROR(IF('August 2027 Log'!BO17="","",'August 2027 Log'!BO17),"")</f>
        <v/>
      </c>
      <c r="H118" s="21" t="str">
        <f t="shared" si="4"/>
        <v/>
      </c>
      <c r="I118" s="21">
        <f t="shared" si="5"/>
        <v>158</v>
      </c>
    </row>
    <row r="119" spans="1:9" x14ac:dyDescent="0.35">
      <c r="A119" s="15" t="s">
        <v>172</v>
      </c>
      <c r="B119" s="18" t="str">
        <f>IFERROR(IF('March 2027 Log'!BO18="","",'March 2027 Log'!BO18),"")</f>
        <v/>
      </c>
      <c r="C119" s="18" t="str">
        <f>IFERROR(IF('April 2027 Log'!BO18="","",'April 2027 Log'!BO18),"")</f>
        <v/>
      </c>
      <c r="D119" s="18" t="str">
        <f>IFERROR(IF('May 2027 Log'!BO18="","",'May 2027 Log'!BO18),"")</f>
        <v/>
      </c>
      <c r="E119" s="18" t="str">
        <f>IFERROR(IF('June 2027 Log'!BO18="","",'June 2027 Log'!BO18),"")</f>
        <v/>
      </c>
      <c r="F119" s="18" t="str">
        <f>IFERROR(IF('July 2027 Log'!BO18="","",'July 2027 Log'!BO18),"")</f>
        <v/>
      </c>
      <c r="G119" s="18" t="str">
        <f>IFERROR(IF('August 2027 Log'!BO18="","",'August 2027 Log'!BO18),"")</f>
        <v/>
      </c>
      <c r="H119" s="21" t="str">
        <f t="shared" si="4"/>
        <v/>
      </c>
      <c r="I119" s="21" t="str">
        <f t="shared" si="5"/>
        <v/>
      </c>
    </row>
    <row r="120" spans="1:9" x14ac:dyDescent="0.35">
      <c r="A120" s="15" t="s">
        <v>173</v>
      </c>
      <c r="B120" s="18" t="str">
        <f>IFERROR(IF('March 2027 Log'!BO19="","",'March 2027 Log'!BO19),"")</f>
        <v/>
      </c>
      <c r="C120" s="18" t="str">
        <f>IFERROR(IF('April 2027 Log'!BO19="","",'April 2027 Log'!BO19),"")</f>
        <v/>
      </c>
      <c r="D120" s="18" t="str">
        <f>IFERROR(IF('May 2027 Log'!BO19="","",'May 2027 Log'!BO19),"")</f>
        <v/>
      </c>
      <c r="E120" s="18" t="str">
        <f>IFERROR(IF('June 2027 Log'!BO19="","",'June 2027 Log'!BO19),"")</f>
        <v/>
      </c>
      <c r="F120" s="18" t="str">
        <f>IFERROR(IF('July 2027 Log'!BO19="","",'July 2027 Log'!BO19),"")</f>
        <v/>
      </c>
      <c r="G120" s="18" t="str">
        <f>IFERROR(IF('August 2027 Log'!BO19="","",'August 2027 Log'!BO19),"")</f>
        <v/>
      </c>
      <c r="H120" s="21" t="str">
        <f t="shared" si="4"/>
        <v/>
      </c>
      <c r="I120" s="21" t="str">
        <f t="shared" si="5"/>
        <v/>
      </c>
    </row>
    <row r="121" spans="1:9" x14ac:dyDescent="0.35">
      <c r="A121" s="15" t="s">
        <v>174</v>
      </c>
      <c r="B121" s="18" t="str">
        <f>IFERROR(IF('March 2027 Log'!BO20="","",'March 2027 Log'!BO20),"")</f>
        <v/>
      </c>
      <c r="C121" s="18" t="str">
        <f>IFERROR(IF('April 2027 Log'!BO20="","",'April 2027 Log'!BO20),"")</f>
        <v/>
      </c>
      <c r="D121" s="18" t="str">
        <f>IFERROR(IF('May 2027 Log'!BO20="","",'May 2027 Log'!BO20),"")</f>
        <v/>
      </c>
      <c r="E121" s="18" t="str">
        <f>IFERROR(IF('June 2027 Log'!BO20="","",'June 2027 Log'!BO20),"")</f>
        <v/>
      </c>
      <c r="F121" s="18" t="str">
        <f>IFERROR(IF('July 2027 Log'!BO20="","",'July 2027 Log'!BO20),"")</f>
        <v/>
      </c>
      <c r="G121" s="18" t="str">
        <f>IFERROR(IF('August 2027 Log'!BO20="","",'August 2027 Log'!BO20),"")</f>
        <v/>
      </c>
      <c r="H121" s="21" t="str">
        <f t="shared" si="4"/>
        <v/>
      </c>
      <c r="I121" s="21">
        <f t="shared" si="5"/>
        <v>11750</v>
      </c>
    </row>
    <row r="122" spans="1:9" x14ac:dyDescent="0.35">
      <c r="A122" s="15" t="s">
        <v>175</v>
      </c>
      <c r="B122" s="18" t="str">
        <f>IFERROR(IF('March 2027 Log'!BO21="","",'March 2027 Log'!BO21),"")</f>
        <v/>
      </c>
      <c r="C122" s="18" t="str">
        <f>IFERROR(IF('April 2027 Log'!BO21="","",'April 2027 Log'!BO21),"")</f>
        <v/>
      </c>
      <c r="D122" s="18" t="str">
        <f>IFERROR(IF('May 2027 Log'!BO21="","",'May 2027 Log'!BO21),"")</f>
        <v/>
      </c>
      <c r="E122" s="18" t="str">
        <f>IFERROR(IF('June 2027 Log'!BO21="","",'June 2027 Log'!BO21),"")</f>
        <v/>
      </c>
      <c r="F122" s="18" t="str">
        <f>IFERROR(IF('July 2027 Log'!BO21="","",'July 2027 Log'!BO21),"")</f>
        <v/>
      </c>
      <c r="G122" s="18" t="str">
        <f>IFERROR(IF('August 2027 Log'!BO21="","",'August 2027 Log'!BO21),"")</f>
        <v/>
      </c>
      <c r="H122" s="21" t="str">
        <f t="shared" si="4"/>
        <v/>
      </c>
      <c r="I122" s="21">
        <f t="shared" si="5"/>
        <v>561060</v>
      </c>
    </row>
    <row r="123" spans="1:9" x14ac:dyDescent="0.35">
      <c r="A123" s="15" t="s">
        <v>176</v>
      </c>
      <c r="B123" s="18">
        <f>IFERROR(IF('March 2027 Log'!BO22="","",'March 2027 Log'!BO22),"")</f>
        <v>0</v>
      </c>
      <c r="C123" s="18">
        <f>IFERROR(IF('April 2027 Log'!BO22="","",'April 2027 Log'!BO22),"")</f>
        <v>0</v>
      </c>
      <c r="D123" s="18">
        <f>IFERROR(IF('May 2027 Log'!BO22="","",'May 2027 Log'!BO22),"")</f>
        <v>0</v>
      </c>
      <c r="E123" s="18">
        <f>IFERROR(IF('June 2027 Log'!BO22="","",'June 2027 Log'!BO22),"")</f>
        <v>0</v>
      </c>
      <c r="F123" s="18">
        <f>IFERROR(IF('July 2027 Log'!BO22="","",'July 2027 Log'!BO22),"")</f>
        <v>0</v>
      </c>
      <c r="G123" s="18">
        <f>IFERROR(IF('August 2027 Log'!BO22="","",'August 2027 Log'!BO22),"")</f>
        <v>0</v>
      </c>
      <c r="H123" s="21">
        <f t="shared" si="4"/>
        <v>0</v>
      </c>
      <c r="I123" s="21">
        <f t="shared" si="5"/>
        <v>572810</v>
      </c>
    </row>
    <row r="124" spans="1:9" x14ac:dyDescent="0.35">
      <c r="A124" s="15" t="s">
        <v>177</v>
      </c>
      <c r="B124" s="18" t="str">
        <f>IFERROR(IF('March 2027 Log'!BO23="","",'March 2027 Log'!BO23),"")</f>
        <v/>
      </c>
      <c r="C124" s="18" t="str">
        <f>IFERROR(IF('April 2027 Log'!BO23="","",'April 2027 Log'!BO23),"")</f>
        <v/>
      </c>
      <c r="D124" s="18" t="str">
        <f>IFERROR(IF('May 2027 Log'!BO23="","",'May 2027 Log'!BO23),"")</f>
        <v/>
      </c>
      <c r="E124" s="18" t="str">
        <f>IFERROR(IF('June 2027 Log'!BO23="","",'June 2027 Log'!BO23),"")</f>
        <v/>
      </c>
      <c r="F124" s="18" t="str">
        <f>IFERROR(IF('July 2027 Log'!BO23="","",'July 2027 Log'!BO23),"")</f>
        <v/>
      </c>
      <c r="G124" s="18" t="str">
        <f>IFERROR(IF('August 2027 Log'!BO23="","",'August 2027 Log'!BO23),"")</f>
        <v/>
      </c>
      <c r="H124" s="21" t="str">
        <f t="shared" si="4"/>
        <v/>
      </c>
      <c r="I124" s="21" t="str">
        <f t="shared" si="5"/>
        <v/>
      </c>
    </row>
    <row r="125" spans="1:9" x14ac:dyDescent="0.35">
      <c r="A125" s="15" t="s">
        <v>178</v>
      </c>
      <c r="B125" s="18" t="str">
        <f>IFERROR(IF('March 2027 Log'!BO24="","",'March 2027 Log'!BO24),"")</f>
        <v/>
      </c>
      <c r="C125" s="18" t="str">
        <f>IFERROR(IF('April 2027 Log'!BO24="","",'April 2027 Log'!BO24),"")</f>
        <v/>
      </c>
      <c r="D125" s="18" t="str">
        <f>IFERROR(IF('May 2027 Log'!BO24="","",'May 2027 Log'!BO24),"")</f>
        <v/>
      </c>
      <c r="E125" s="18" t="str">
        <f>IFERROR(IF('June 2027 Log'!BO24="","",'June 2027 Log'!BO24),"")</f>
        <v/>
      </c>
      <c r="F125" s="18" t="str">
        <f>IFERROR(IF('July 2027 Log'!BO24="","",'July 2027 Log'!BO24),"")</f>
        <v/>
      </c>
      <c r="G125" s="18" t="str">
        <f>IFERROR(IF('August 2027 Log'!BO24="","",'August 2027 Log'!BO24),"")</f>
        <v/>
      </c>
      <c r="H125" s="21" t="str">
        <f t="shared" si="4"/>
        <v/>
      </c>
      <c r="I125" s="21" t="str">
        <f t="shared" si="5"/>
        <v/>
      </c>
    </row>
    <row r="126" spans="1:9" x14ac:dyDescent="0.35">
      <c r="A126" s="15" t="s">
        <v>179</v>
      </c>
      <c r="B126" s="18" t="str">
        <f>IFERROR(IF('March 2027 Log'!BO25="","",'March 2027 Log'!BO25),"")</f>
        <v/>
      </c>
      <c r="C126" s="18" t="str">
        <f>IFERROR(IF('April 2027 Log'!BO25="","",'April 2027 Log'!BO25),"")</f>
        <v/>
      </c>
      <c r="D126" s="18" t="str">
        <f>IFERROR(IF('May 2027 Log'!BO25="","",'May 2027 Log'!BO25),"")</f>
        <v/>
      </c>
      <c r="E126" s="18" t="str">
        <f>IFERROR(IF('June 2027 Log'!BO25="","",'June 2027 Log'!BO25),"")</f>
        <v/>
      </c>
      <c r="F126" s="18" t="str">
        <f>IFERROR(IF('July 2027 Log'!BO25="","",'July 2027 Log'!BO25),"")</f>
        <v/>
      </c>
      <c r="G126" s="18" t="str">
        <f>IFERROR(IF('August 2027 Log'!BO25="","",'August 2027 Log'!BO25),"")</f>
        <v/>
      </c>
      <c r="H126" s="21" t="str">
        <f t="shared" si="4"/>
        <v/>
      </c>
      <c r="I126" s="21">
        <f t="shared" si="5"/>
        <v>83620</v>
      </c>
    </row>
    <row r="127" spans="1:9" x14ac:dyDescent="0.35">
      <c r="A127" s="15" t="s">
        <v>180</v>
      </c>
      <c r="B127" s="18" t="str">
        <f>IFERROR(IF('March 2027 Log'!BO26="","",'March 2027 Log'!BO26),"")</f>
        <v/>
      </c>
      <c r="C127" s="18" t="str">
        <f>IFERROR(IF('April 2027 Log'!BO26="","",'April 2027 Log'!BO26),"")</f>
        <v/>
      </c>
      <c r="D127" s="18" t="str">
        <f>IFERROR(IF('May 2027 Log'!BO26="","",'May 2027 Log'!BO26),"")</f>
        <v/>
      </c>
      <c r="E127" s="18" t="str">
        <f>IFERROR(IF('June 2027 Log'!BO26="","",'June 2027 Log'!BO26),"")</f>
        <v/>
      </c>
      <c r="F127" s="18" t="str">
        <f>IFERROR(IF('July 2027 Log'!BO26="","",'July 2027 Log'!BO26),"")</f>
        <v/>
      </c>
      <c r="G127" s="18" t="str">
        <f>IFERROR(IF('August 2027 Log'!BO26="","",'August 2027 Log'!BO26),"")</f>
        <v/>
      </c>
      <c r="H127" s="21" t="str">
        <f t="shared" si="4"/>
        <v/>
      </c>
      <c r="I127" s="21">
        <f t="shared" si="5"/>
        <v>83303</v>
      </c>
    </row>
    <row r="128" spans="1:9" x14ac:dyDescent="0.35">
      <c r="A128" s="15" t="s">
        <v>181</v>
      </c>
      <c r="B128" s="18" t="str">
        <f>IFERROR(IF('March 2027 Log'!BO27="","",'March 2027 Log'!BO27),"")</f>
        <v/>
      </c>
      <c r="C128" s="18" t="str">
        <f>IFERROR(IF('April 2027 Log'!BO27="","",'April 2027 Log'!BO27),"")</f>
        <v/>
      </c>
      <c r="D128" s="18" t="str">
        <f>IFERROR(IF('May 2027 Log'!BO27="","",'May 2027 Log'!BO27),"")</f>
        <v/>
      </c>
      <c r="E128" s="18" t="str">
        <f>IFERROR(IF('June 2027 Log'!BO27="","",'June 2027 Log'!BO27),"")</f>
        <v/>
      </c>
      <c r="F128" s="18" t="str">
        <f>IFERROR(IF('July 2027 Log'!BO27="","",'July 2027 Log'!BO27),"")</f>
        <v/>
      </c>
      <c r="G128" s="18" t="str">
        <f>IFERROR(IF('August 2027 Log'!BO27="","",'August 2027 Log'!BO27),"")</f>
        <v/>
      </c>
      <c r="H128" s="21" t="str">
        <f t="shared" si="4"/>
        <v/>
      </c>
      <c r="I128" s="21">
        <f t="shared" si="5"/>
        <v>4569</v>
      </c>
    </row>
    <row r="129" spans="1:9" x14ac:dyDescent="0.35">
      <c r="A129" s="15" t="s">
        <v>182</v>
      </c>
      <c r="B129" s="18" t="str">
        <f>IFERROR(IF('March 2027 Log'!BO28="","",'March 2027 Log'!BO28),"")</f>
        <v/>
      </c>
      <c r="C129" s="18" t="str">
        <f>IFERROR(IF('April 2027 Log'!BO28="","",'April 2027 Log'!BO28),"")</f>
        <v/>
      </c>
      <c r="D129" s="18" t="str">
        <f>IFERROR(IF('May 2027 Log'!BO28="","",'May 2027 Log'!BO28),"")</f>
        <v/>
      </c>
      <c r="E129" s="18" t="str">
        <f>IFERROR(IF('June 2027 Log'!BO28="","",'June 2027 Log'!BO28),"")</f>
        <v/>
      </c>
      <c r="F129" s="18" t="str">
        <f>IFERROR(IF('July 2027 Log'!BO28="","",'July 2027 Log'!BO28),"")</f>
        <v/>
      </c>
      <c r="G129" s="18" t="str">
        <f>IFERROR(IF('August 2027 Log'!BO28="","",'August 2027 Log'!BO28),"")</f>
        <v/>
      </c>
      <c r="H129" s="21" t="str">
        <f t="shared" si="4"/>
        <v/>
      </c>
      <c r="I129" s="21">
        <f t="shared" si="5"/>
        <v>230671.27</v>
      </c>
    </row>
    <row r="130" spans="1:9" x14ac:dyDescent="0.35">
      <c r="A130" s="15" t="s">
        <v>183</v>
      </c>
      <c r="B130" s="18" t="str">
        <f>IFERROR(IF('March 2027 Log'!BO29="","",'March 2027 Log'!BO29),"")</f>
        <v/>
      </c>
      <c r="C130" s="18" t="str">
        <f>IFERROR(IF('April 2027 Log'!BO29="","",'April 2027 Log'!BO29),"")</f>
        <v/>
      </c>
      <c r="D130" s="18" t="str">
        <f>IFERROR(IF('May 2027 Log'!BO29="","",'May 2027 Log'!BO29),"")</f>
        <v/>
      </c>
      <c r="E130" s="18" t="str">
        <f>IFERROR(IF('June 2027 Log'!BO29="","",'June 2027 Log'!BO29),"")</f>
        <v/>
      </c>
      <c r="F130" s="18" t="str">
        <f>IFERROR(IF('July 2027 Log'!BO29="","",'July 2027 Log'!BO29),"")</f>
        <v/>
      </c>
      <c r="G130" s="18" t="str">
        <f>IFERROR(IF('August 2027 Log'!BO29="","",'August 2027 Log'!BO29),"")</f>
        <v/>
      </c>
      <c r="H130" s="21" t="str">
        <f t="shared" si="4"/>
        <v/>
      </c>
      <c r="I130" s="21">
        <f t="shared" si="5"/>
        <v>69000</v>
      </c>
    </row>
    <row r="131" spans="1:9" ht="29" x14ac:dyDescent="0.35">
      <c r="A131" s="15" t="s">
        <v>184</v>
      </c>
      <c r="B131" s="18" t="str">
        <f>IFERROR(IF('March 2027 Log'!BO30="","",'March 2027 Log'!BO30),"")</f>
        <v/>
      </c>
      <c r="C131" s="18" t="str">
        <f>IFERROR(IF('April 2027 Log'!BO30="","",'April 2027 Log'!BO30),"")</f>
        <v/>
      </c>
      <c r="D131" s="18" t="str">
        <f>IFERROR(IF('May 2027 Log'!BO30="","",'May 2027 Log'!BO30),"")</f>
        <v/>
      </c>
      <c r="E131" s="18" t="str">
        <f>IFERROR(IF('June 2027 Log'!BO30="","",'June 2027 Log'!BO30),"")</f>
        <v/>
      </c>
      <c r="F131" s="18" t="str">
        <f>IFERROR(IF('July 2027 Log'!BO30="","",'July 2027 Log'!BO30),"")</f>
        <v/>
      </c>
      <c r="G131" s="18" t="str">
        <f>IFERROR(IF('August 2027 Log'!BO30="","",'August 2027 Log'!BO30),"")</f>
        <v/>
      </c>
      <c r="H131" s="21" t="str">
        <f t="shared" si="4"/>
        <v/>
      </c>
      <c r="I131" s="21">
        <f t="shared" si="5"/>
        <v>10729.07</v>
      </c>
    </row>
    <row r="132" spans="1:9" ht="29" x14ac:dyDescent="0.35">
      <c r="A132" s="15" t="s">
        <v>185</v>
      </c>
      <c r="B132" s="18" t="str">
        <f>IFERROR(IF('March 2027 Log'!BO31="","",'March 2027 Log'!BO31),"")</f>
        <v/>
      </c>
      <c r="C132" s="18" t="str">
        <f>IFERROR(IF('April 2027 Log'!BO31="","",'April 2027 Log'!BO31),"")</f>
        <v/>
      </c>
      <c r="D132" s="18" t="str">
        <f>IFERROR(IF('May 2027 Log'!BO31="","",'May 2027 Log'!BO31),"")</f>
        <v/>
      </c>
      <c r="E132" s="18" t="str">
        <f>IFERROR(IF('June 2027 Log'!BO31="","",'June 2027 Log'!BO31),"")</f>
        <v/>
      </c>
      <c r="F132" s="18" t="str">
        <f>IFERROR(IF('July 2027 Log'!BO31="","",'July 2027 Log'!BO31),"")</f>
        <v/>
      </c>
      <c r="G132" s="18" t="str">
        <f>IFERROR(IF('August 2027 Log'!BO31="","",'August 2027 Log'!BO31),"")</f>
        <v/>
      </c>
      <c r="H132" s="21" t="str">
        <f t="shared" si="4"/>
        <v/>
      </c>
      <c r="I132" s="21">
        <f t="shared" si="5"/>
        <v>900.81815054151502</v>
      </c>
    </row>
    <row r="133" spans="1:9" x14ac:dyDescent="0.35">
      <c r="A133" s="15" t="s">
        <v>186</v>
      </c>
      <c r="B133" s="18" t="str">
        <f>IFERROR(IF('March 2027 Log'!BO32="","",'March 2027 Log'!BO32),"")</f>
        <v/>
      </c>
      <c r="C133" s="18" t="str">
        <f>IFERROR(IF('April 2027 Log'!BO32="","",'April 2027 Log'!BO32),"")</f>
        <v/>
      </c>
      <c r="D133" s="18" t="str">
        <f>IFERROR(IF('May 2027 Log'!BO32="","",'May 2027 Log'!BO32),"")</f>
        <v/>
      </c>
      <c r="E133" s="18" t="str">
        <f>IFERROR(IF('June 2027 Log'!BO32="","",'June 2027 Log'!BO32),"")</f>
        <v/>
      </c>
      <c r="F133" s="18" t="str">
        <f>IFERROR(IF('July 2027 Log'!BO32="","",'July 2027 Log'!BO32),"")</f>
        <v/>
      </c>
      <c r="G133" s="18" t="str">
        <f>IFERROR(IF('August 2027 Log'!BO32="","",'August 2027 Log'!BO32),"")</f>
        <v/>
      </c>
      <c r="H133" s="21" t="str">
        <f t="shared" si="4"/>
        <v/>
      </c>
      <c r="I133" s="21">
        <f t="shared" si="5"/>
        <v>12750.889999999996</v>
      </c>
    </row>
    <row r="134" spans="1:9" x14ac:dyDescent="0.35">
      <c r="A134" s="15" t="s">
        <v>187</v>
      </c>
      <c r="B134" s="18" t="str">
        <f>IFERROR(IF('March 2027 Log'!BO33="","",'March 2027 Log'!BO33),"")</f>
        <v/>
      </c>
      <c r="C134" s="18" t="str">
        <f>IFERROR(IF('April 2027 Log'!BO33="","",'April 2027 Log'!BO33),"")</f>
        <v/>
      </c>
      <c r="D134" s="18" t="str">
        <f>IFERROR(IF('May 2027 Log'!BO33="","",'May 2027 Log'!BO33),"")</f>
        <v/>
      </c>
      <c r="E134" s="18" t="str">
        <f>IFERROR(IF('June 2027 Log'!BO33="","",'June 2027 Log'!BO33),"")</f>
        <v/>
      </c>
      <c r="F134" s="18" t="str">
        <f>IFERROR(IF('July 2027 Log'!BO33="","",'July 2027 Log'!BO33),"")</f>
        <v/>
      </c>
      <c r="G134" s="18" t="str">
        <f>IFERROR(IF('August 2027 Log'!BO33="","",'August 2027 Log'!BO33),"")</f>
        <v/>
      </c>
      <c r="H134" s="21" t="str">
        <f t="shared" si="4"/>
        <v/>
      </c>
      <c r="I134" s="21">
        <f t="shared" si="5"/>
        <v>5218.6499999999996</v>
      </c>
    </row>
    <row r="135" spans="1:9" x14ac:dyDescent="0.35">
      <c r="A135" s="15" t="s">
        <v>188</v>
      </c>
      <c r="B135" s="18" t="str">
        <f>IFERROR(IF('March 2027 Log'!BO34="","",'March 2027 Log'!BO34),"")</f>
        <v/>
      </c>
      <c r="C135" s="18" t="str">
        <f>IFERROR(IF('April 2027 Log'!BO34="","",'April 2027 Log'!BO34),"")</f>
        <v/>
      </c>
      <c r="D135" s="18" t="str">
        <f>IFERROR(IF('May 2027 Log'!BO34="","",'May 2027 Log'!BO34),"")</f>
        <v/>
      </c>
      <c r="E135" s="18" t="str">
        <f>IFERROR(IF('June 2027 Log'!BO34="","",'June 2027 Log'!BO34),"")</f>
        <v/>
      </c>
      <c r="F135" s="18" t="str">
        <f>IFERROR(IF('July 2027 Log'!BO34="","",'July 2027 Log'!BO34),"")</f>
        <v/>
      </c>
      <c r="G135" s="18" t="str">
        <f>IFERROR(IF('August 2027 Log'!BO34="","",'August 2027 Log'!BO34),"")</f>
        <v/>
      </c>
      <c r="H135" s="21" t="str">
        <f t="shared" si="4"/>
        <v/>
      </c>
      <c r="I135" s="21">
        <f t="shared" si="5"/>
        <v>70363.63</v>
      </c>
    </row>
    <row r="136" spans="1:9" ht="29" x14ac:dyDescent="0.35">
      <c r="A136" s="15" t="s">
        <v>189</v>
      </c>
      <c r="B136" s="18" t="str">
        <f>IFERROR(IF('March 2027 Log'!BO35="","",'March 2027 Log'!BO35),"")</f>
        <v/>
      </c>
      <c r="C136" s="18" t="str">
        <f>IFERROR(IF('April 2027 Log'!BO35="","",'April 2027 Log'!BO35),"")</f>
        <v/>
      </c>
      <c r="D136" s="18" t="str">
        <f>IFERROR(IF('May 2027 Log'!BO35="","",'May 2027 Log'!BO35),"")</f>
        <v/>
      </c>
      <c r="E136" s="18" t="str">
        <f>IFERROR(IF('June 2027 Log'!BO35="","",'June 2027 Log'!BO35),"")</f>
        <v/>
      </c>
      <c r="F136" s="18" t="str">
        <f>IFERROR(IF('July 2027 Log'!BO35="","",'July 2027 Log'!BO35),"")</f>
        <v/>
      </c>
      <c r="G136" s="18" t="str">
        <f>IFERROR(IF('August 2027 Log'!BO35="","",'August 2027 Log'!BO35),"")</f>
        <v/>
      </c>
      <c r="H136" s="21" t="str">
        <f t="shared" si="4"/>
        <v/>
      </c>
      <c r="I136" s="21" t="str">
        <f t="shared" si="5"/>
        <v/>
      </c>
    </row>
    <row r="137" spans="1:9" x14ac:dyDescent="0.35">
      <c r="A137" s="15" t="s">
        <v>190</v>
      </c>
      <c r="B137" s="18" t="str">
        <f>IFERROR(IF('March 2027 Log'!BO36="","",'March 2027 Log'!BO36),"")</f>
        <v/>
      </c>
      <c r="C137" s="18" t="str">
        <f>IFERROR(IF('April 2027 Log'!BO36="","",'April 2027 Log'!BO36),"")</f>
        <v/>
      </c>
      <c r="D137" s="18" t="str">
        <f>IFERROR(IF('May 2027 Log'!BO36="","",'May 2027 Log'!BO36),"")</f>
        <v/>
      </c>
      <c r="E137" s="18" t="str">
        <f>IFERROR(IF('June 2027 Log'!BO36="","",'June 2027 Log'!BO36),"")</f>
        <v/>
      </c>
      <c r="F137" s="18" t="str">
        <f>IFERROR(IF('July 2027 Log'!BO36="","",'July 2027 Log'!BO36),"")</f>
        <v/>
      </c>
      <c r="G137" s="18" t="str">
        <f>IFERROR(IF('August 2027 Log'!BO36="","",'August 2027 Log'!BO36),"")</f>
        <v/>
      </c>
      <c r="H137" s="21" t="str">
        <f t="shared" si="4"/>
        <v/>
      </c>
      <c r="I137" s="21">
        <f t="shared" si="5"/>
        <v>224057.74999999997</v>
      </c>
    </row>
    <row r="138" spans="1:9" ht="29" x14ac:dyDescent="0.35">
      <c r="A138" s="15" t="s">
        <v>191</v>
      </c>
      <c r="B138" s="18" t="str">
        <f>IFERROR(IF('March 2027 Log'!BO37="","",'March 2027 Log'!BO37),"")</f>
        <v/>
      </c>
      <c r="C138" s="18" t="str">
        <f>IFERROR(IF('April 2027 Log'!BO37="","",'April 2027 Log'!BO37),"")</f>
        <v/>
      </c>
      <c r="D138" s="18" t="str">
        <f>IFERROR(IF('May 2027 Log'!BO37="","",'May 2027 Log'!BO37),"")</f>
        <v/>
      </c>
      <c r="E138" s="18" t="str">
        <f>IFERROR(IF('June 2027 Log'!BO37="","",'June 2027 Log'!BO37),"")</f>
        <v/>
      </c>
      <c r="F138" s="18" t="str">
        <f>IFERROR(IF('July 2027 Log'!BO37="","",'July 2027 Log'!BO37),"")</f>
        <v/>
      </c>
      <c r="G138" s="18" t="str">
        <f>IFERROR(IF('August 2027 Log'!BO37="","",'August 2027 Log'!BO37),"")</f>
        <v/>
      </c>
      <c r="H138" s="21" t="str">
        <f t="shared" si="4"/>
        <v/>
      </c>
      <c r="I138" s="21" t="str">
        <f t="shared" si="5"/>
        <v/>
      </c>
    </row>
    <row r="139" spans="1:9" x14ac:dyDescent="0.35">
      <c r="A139" s="15" t="s">
        <v>192</v>
      </c>
      <c r="B139" s="18" t="str">
        <f>IFERROR(IF('March 2027 Log'!BO38="","",'March 2027 Log'!BO38),"")</f>
        <v/>
      </c>
      <c r="C139" s="18" t="str">
        <f>IFERROR(IF('April 2027 Log'!BO38="","",'April 2027 Log'!BO38),"")</f>
        <v/>
      </c>
      <c r="D139" s="18" t="str">
        <f>IFERROR(IF('May 2027 Log'!BO38="","",'May 2027 Log'!BO38),"")</f>
        <v/>
      </c>
      <c r="E139" s="18" t="str">
        <f>IFERROR(IF('June 2027 Log'!BO38="","",'June 2027 Log'!BO38),"")</f>
        <v/>
      </c>
      <c r="F139" s="18" t="str">
        <f>IFERROR(IF('July 2027 Log'!BO38="","",'July 2027 Log'!BO38),"")</f>
        <v/>
      </c>
      <c r="G139" s="18" t="str">
        <f>IFERROR(IF('August 2027 Log'!BO38="","",'August 2027 Log'!BO38),"")</f>
        <v/>
      </c>
      <c r="H139" s="21" t="str">
        <f t="shared" si="4"/>
        <v/>
      </c>
      <c r="I139" s="21">
        <f t="shared" si="5"/>
        <v>731214.94</v>
      </c>
    </row>
    <row r="140" spans="1:9" x14ac:dyDescent="0.35">
      <c r="A140" s="15" t="s">
        <v>193</v>
      </c>
      <c r="B140" s="18" t="str">
        <f>IFERROR(IF('March 2027 Log'!BO39="","",'March 2027 Log'!BO39),"")</f>
        <v/>
      </c>
      <c r="C140" s="18" t="str">
        <f>IFERROR(IF('April 2027 Log'!BO39="","",'April 2027 Log'!BO39),"")</f>
        <v/>
      </c>
      <c r="D140" s="18" t="str">
        <f>IFERROR(IF('May 2027 Log'!BO39="","",'May 2027 Log'!BO39),"")</f>
        <v/>
      </c>
      <c r="E140" s="18" t="str">
        <f>IFERROR(IF('June 2027 Log'!BO39="","",'June 2027 Log'!BO39),"")</f>
        <v/>
      </c>
      <c r="F140" s="18" t="str">
        <f>IFERROR(IF('July 2027 Log'!BO39="","",'July 2027 Log'!BO39),"")</f>
        <v/>
      </c>
      <c r="G140" s="18" t="str">
        <f>IFERROR(IF('August 2027 Log'!BO39="","",'August 2027 Log'!BO39),"")</f>
        <v/>
      </c>
      <c r="H140" s="21" t="str">
        <f t="shared" si="4"/>
        <v/>
      </c>
      <c r="I140" s="21">
        <f t="shared" si="5"/>
        <v>597346.63000000012</v>
      </c>
    </row>
    <row r="141" spans="1:9" x14ac:dyDescent="0.35">
      <c r="A141" s="15" t="s">
        <v>194</v>
      </c>
      <c r="B141" s="18" t="str">
        <f>IFERROR(IF('March 2027 Log'!BO40="","",'March 2027 Log'!BO40),"")</f>
        <v/>
      </c>
      <c r="C141" s="18" t="str">
        <f>IFERROR(IF('April 2027 Log'!BO40="","",'April 2027 Log'!BO40),"")</f>
        <v/>
      </c>
      <c r="D141" s="18" t="str">
        <f>IFERROR(IF('May 2027 Log'!BO40="","",'May 2027 Log'!BO40),"")</f>
        <v/>
      </c>
      <c r="E141" s="18" t="str">
        <f>IFERROR(IF('June 2027 Log'!BO40="","",'June 2027 Log'!BO40),"")</f>
        <v/>
      </c>
      <c r="F141" s="18" t="str">
        <f>IFERROR(IF('July 2027 Log'!BO40="","",'July 2027 Log'!BO40),"")</f>
        <v/>
      </c>
      <c r="G141" s="18" t="str">
        <f>IFERROR(IF('August 2027 Log'!BO40="","",'August 2027 Log'!BO40),"")</f>
        <v/>
      </c>
      <c r="H141" s="21" t="str">
        <f t="shared" si="4"/>
        <v/>
      </c>
      <c r="I141" s="21" t="str">
        <f t="shared" si="5"/>
        <v/>
      </c>
    </row>
    <row r="142" spans="1:9" x14ac:dyDescent="0.35">
      <c r="A142" s="15" t="s">
        <v>195</v>
      </c>
      <c r="B142" s="18" t="str">
        <f>IFERROR(IF('March 2027 Log'!BO41="","",'March 2027 Log'!BO41),"")</f>
        <v/>
      </c>
      <c r="C142" s="18" t="str">
        <f>IFERROR(IF('April 2027 Log'!BO41="","",'April 2027 Log'!BO41),"")</f>
        <v/>
      </c>
      <c r="D142" s="18" t="str">
        <f>IFERROR(IF('May 2027 Log'!BO41="","",'May 2027 Log'!BO41),"")</f>
        <v/>
      </c>
      <c r="E142" s="18" t="str">
        <f>IFERROR(IF('June 2027 Log'!BO41="","",'June 2027 Log'!BO41),"")</f>
        <v/>
      </c>
      <c r="F142" s="18" t="str">
        <f>IFERROR(IF('July 2027 Log'!BO41="","",'July 2027 Log'!BO41),"")</f>
        <v/>
      </c>
      <c r="G142" s="18" t="str">
        <f>IFERROR(IF('August 2027 Log'!BO41="","",'August 2027 Log'!BO41),"")</f>
        <v/>
      </c>
      <c r="H142" s="21" t="str">
        <f t="shared" si="4"/>
        <v/>
      </c>
      <c r="I142" s="21" t="str">
        <f t="shared" si="5"/>
        <v/>
      </c>
    </row>
    <row r="143" spans="1:9" x14ac:dyDescent="0.35">
      <c r="A143" s="15" t="s">
        <v>196</v>
      </c>
      <c r="B143" s="18">
        <f>IFERROR(IF('March 2027 Log'!BO42="","",'March 2027 Log'!BO42),"")</f>
        <v>0</v>
      </c>
      <c r="C143" s="18">
        <f>IFERROR(IF('April 2027 Log'!BO42="","",'April 2027 Log'!BO42),"")</f>
        <v>0</v>
      </c>
      <c r="D143" s="18">
        <f>IFERROR(IF('May 2027 Log'!BO42="","",'May 2027 Log'!BO42),"")</f>
        <v>0</v>
      </c>
      <c r="E143" s="18">
        <f>IFERROR(IF('June 2027 Log'!BO42="","",'June 2027 Log'!BO42),"")</f>
        <v>0</v>
      </c>
      <c r="F143" s="18">
        <f>IFERROR(IF('July 2027 Log'!BO42="","",'July 2027 Log'!BO42),"")</f>
        <v>0</v>
      </c>
      <c r="G143" s="18">
        <f>IFERROR(IF('August 2027 Log'!BO42="","",'August 2027 Log'!BO42),"")</f>
        <v>0</v>
      </c>
      <c r="H143" s="21">
        <f t="shared" si="4"/>
        <v>0</v>
      </c>
      <c r="I143" s="21">
        <f t="shared" si="5"/>
        <v>1552619.3199999998</v>
      </c>
    </row>
    <row r="144" spans="1:9" x14ac:dyDescent="0.35">
      <c r="A144" s="15" t="s">
        <v>197</v>
      </c>
      <c r="B144" s="18" t="str">
        <f>IFERROR(IF('March 2027 Log'!BO43="","",'March 2027 Log'!BO43),"")</f>
        <v/>
      </c>
      <c r="C144" s="18" t="str">
        <f>IFERROR(IF('April 2027 Log'!BO43="","",'April 2027 Log'!BO43),"")</f>
        <v/>
      </c>
      <c r="D144" s="18" t="str">
        <f>IFERROR(IF('May 2027 Log'!BO43="","",'May 2027 Log'!BO43),"")</f>
        <v/>
      </c>
      <c r="E144" s="18" t="str">
        <f>IFERROR(IF('June 2027 Log'!BO43="","",'June 2027 Log'!BO43),"")</f>
        <v/>
      </c>
      <c r="F144" s="18" t="str">
        <f>IFERROR(IF('July 2027 Log'!BO43="","",'July 2027 Log'!BO43),"")</f>
        <v/>
      </c>
      <c r="G144" s="18" t="str">
        <f>IFERROR(IF('August 2027 Log'!BO43="","",'August 2027 Log'!BO43),"")</f>
        <v/>
      </c>
      <c r="H144" s="21" t="str">
        <f t="shared" si="4"/>
        <v/>
      </c>
      <c r="I144" s="21">
        <f t="shared" si="5"/>
        <v>345976.00000000012</v>
      </c>
    </row>
    <row r="145" spans="1:9" x14ac:dyDescent="0.35">
      <c r="A145" s="15" t="s">
        <v>198</v>
      </c>
      <c r="B145" s="18" t="str">
        <f>IFERROR(IF('March 2027 Log'!BO44="","",'March 2027 Log'!BO44),"")</f>
        <v/>
      </c>
      <c r="C145" s="18" t="str">
        <f>IFERROR(IF('April 2027 Log'!BO44="","",'April 2027 Log'!BO44),"")</f>
        <v/>
      </c>
      <c r="D145" s="18" t="str">
        <f>IFERROR(IF('May 2027 Log'!BO44="","",'May 2027 Log'!BO44),"")</f>
        <v/>
      </c>
      <c r="E145" s="18" t="str">
        <f>IFERROR(IF('June 2027 Log'!BO44="","",'June 2027 Log'!BO44),"")</f>
        <v/>
      </c>
      <c r="F145" s="18" t="str">
        <f>IFERROR(IF('July 2027 Log'!BO44="","",'July 2027 Log'!BO44),"")</f>
        <v/>
      </c>
      <c r="G145" s="18" t="str">
        <f>IFERROR(IF('August 2027 Log'!BO44="","",'August 2027 Log'!BO44),"")</f>
        <v/>
      </c>
      <c r="H145" s="21" t="str">
        <f t="shared" ref="H145:H176" si="6">IF(COUNT(B145:G145)=0,"",SUM(B145:G145))</f>
        <v/>
      </c>
      <c r="I145" s="21" t="str">
        <f t="shared" ref="I145:I176" si="7">IF(COUNT(B145:G145,I38)=0,"",SUM(B145:G145,I38))</f>
        <v/>
      </c>
    </row>
    <row r="146" spans="1:9" x14ac:dyDescent="0.35">
      <c r="A146" s="15" t="s">
        <v>199</v>
      </c>
      <c r="B146" s="18" t="str">
        <f>IFERROR(IF('March 2027 Log'!BO45="","",'March 2027 Log'!BO45),"")</f>
        <v/>
      </c>
      <c r="C146" s="18" t="str">
        <f>IFERROR(IF('April 2027 Log'!BO45="","",'April 2027 Log'!BO45),"")</f>
        <v/>
      </c>
      <c r="D146" s="18" t="str">
        <f>IFERROR(IF('May 2027 Log'!BO45="","",'May 2027 Log'!BO45),"")</f>
        <v/>
      </c>
      <c r="E146" s="18" t="str">
        <f>IFERROR(IF('June 2027 Log'!BO45="","",'June 2027 Log'!BO45),"")</f>
        <v/>
      </c>
      <c r="F146" s="18" t="str">
        <f>IFERROR(IF('July 2027 Log'!BO45="","",'July 2027 Log'!BO45),"")</f>
        <v/>
      </c>
      <c r="G146" s="18" t="str">
        <f>IFERROR(IF('August 2027 Log'!BO45="","",'August 2027 Log'!BO45),"")</f>
        <v/>
      </c>
      <c r="H146" s="21" t="str">
        <f t="shared" si="6"/>
        <v/>
      </c>
      <c r="I146" s="21" t="str">
        <f t="shared" si="7"/>
        <v/>
      </c>
    </row>
    <row r="147" spans="1:9" x14ac:dyDescent="0.35">
      <c r="A147" s="15" t="s">
        <v>200</v>
      </c>
      <c r="B147" s="18" t="str">
        <f>IFERROR(IF('March 2027 Log'!BO46="","",'March 2027 Log'!BO46),"")</f>
        <v/>
      </c>
      <c r="C147" s="18" t="str">
        <f>IFERROR(IF('April 2027 Log'!BO46="","",'April 2027 Log'!BO46),"")</f>
        <v/>
      </c>
      <c r="D147" s="18" t="str">
        <f>IFERROR(IF('May 2027 Log'!BO46="","",'May 2027 Log'!BO46),"")</f>
        <v/>
      </c>
      <c r="E147" s="18" t="str">
        <f>IFERROR(IF('June 2027 Log'!BO46="","",'June 2027 Log'!BO46),"")</f>
        <v/>
      </c>
      <c r="F147" s="18" t="str">
        <f>IFERROR(IF('July 2027 Log'!BO46="","",'July 2027 Log'!BO46),"")</f>
        <v/>
      </c>
      <c r="G147" s="18" t="str">
        <f>IFERROR(IF('August 2027 Log'!BO46="","",'August 2027 Log'!BO46),"")</f>
        <v/>
      </c>
      <c r="H147" s="21" t="str">
        <f t="shared" si="6"/>
        <v/>
      </c>
      <c r="I147" s="21" t="str">
        <f t="shared" si="7"/>
        <v/>
      </c>
    </row>
    <row r="148" spans="1:9" x14ac:dyDescent="0.35">
      <c r="A148" s="15" t="s">
        <v>201</v>
      </c>
      <c r="B148" s="18" t="str">
        <f>IFERROR(IF('March 2027 Log'!BO47="","",'March 2027 Log'!BO47),"")</f>
        <v/>
      </c>
      <c r="C148" s="18" t="str">
        <f>IFERROR(IF('April 2027 Log'!BO47="","",'April 2027 Log'!BO47),"")</f>
        <v/>
      </c>
      <c r="D148" s="18" t="str">
        <f>IFERROR(IF('May 2027 Log'!BO47="","",'May 2027 Log'!BO47),"")</f>
        <v/>
      </c>
      <c r="E148" s="18" t="str">
        <f>IFERROR(IF('June 2027 Log'!BO47="","",'June 2027 Log'!BO47),"")</f>
        <v/>
      </c>
      <c r="F148" s="18" t="str">
        <f>IFERROR(IF('July 2027 Log'!BO47="","",'July 2027 Log'!BO47),"")</f>
        <v/>
      </c>
      <c r="G148" s="18" t="str">
        <f>IFERROR(IF('August 2027 Log'!BO47="","",'August 2027 Log'!BO47),"")</f>
        <v/>
      </c>
      <c r="H148" s="21" t="str">
        <f t="shared" si="6"/>
        <v/>
      </c>
      <c r="I148" s="21" t="str">
        <f t="shared" si="7"/>
        <v/>
      </c>
    </row>
    <row r="149" spans="1:9" x14ac:dyDescent="0.35">
      <c r="A149" s="15" t="s">
        <v>202</v>
      </c>
      <c r="B149" s="18" t="str">
        <f>IFERROR(IF('March 2027 Log'!BO48="","",'March 2027 Log'!BO48),"")</f>
        <v/>
      </c>
      <c r="C149" s="18" t="str">
        <f>IFERROR(IF('April 2027 Log'!BO48="","",'April 2027 Log'!BO48),"")</f>
        <v/>
      </c>
      <c r="D149" s="18" t="str">
        <f>IFERROR(IF('May 2027 Log'!BO48="","",'May 2027 Log'!BO48),"")</f>
        <v/>
      </c>
      <c r="E149" s="18" t="str">
        <f>IFERROR(IF('June 2027 Log'!BO48="","",'June 2027 Log'!BO48),"")</f>
        <v/>
      </c>
      <c r="F149" s="18" t="str">
        <f>IFERROR(IF('July 2027 Log'!BO48="","",'July 2027 Log'!BO48),"")</f>
        <v/>
      </c>
      <c r="G149" s="18" t="str">
        <f>IFERROR(IF('August 2027 Log'!BO48="","",'August 2027 Log'!BO48),"")</f>
        <v/>
      </c>
      <c r="H149" s="21" t="str">
        <f t="shared" si="6"/>
        <v/>
      </c>
      <c r="I149" s="21" t="str">
        <f t="shared" si="7"/>
        <v/>
      </c>
    </row>
    <row r="150" spans="1:9" x14ac:dyDescent="0.35">
      <c r="A150" s="15" t="s">
        <v>203</v>
      </c>
      <c r="B150" s="18">
        <f>IFERROR(IF('March 2027 Log'!BO49="","",'March 2027 Log'!BO49),"")</f>
        <v>0</v>
      </c>
      <c r="C150" s="18">
        <f>IFERROR(IF('April 2027 Log'!BO49="","",'April 2027 Log'!BO49),"")</f>
        <v>0</v>
      </c>
      <c r="D150" s="18">
        <f>IFERROR(IF('May 2027 Log'!BO49="","",'May 2027 Log'!BO49),"")</f>
        <v>0</v>
      </c>
      <c r="E150" s="18">
        <f>IFERROR(IF('June 2027 Log'!BO49="","",'June 2027 Log'!BO49),"")</f>
        <v>0</v>
      </c>
      <c r="F150" s="18">
        <f>IFERROR(IF('July 2027 Log'!BO49="","",'July 2027 Log'!BO49),"")</f>
        <v>0</v>
      </c>
      <c r="G150" s="18">
        <f>IFERROR(IF('August 2027 Log'!BO49="","",'August 2027 Log'!BO49),"")</f>
        <v>0</v>
      </c>
      <c r="H150" s="21">
        <f t="shared" si="6"/>
        <v>0</v>
      </c>
      <c r="I150" s="21">
        <f t="shared" si="7"/>
        <v>345976.00000000012</v>
      </c>
    </row>
    <row r="151" spans="1:9" x14ac:dyDescent="0.35">
      <c r="A151" s="15" t="s">
        <v>204</v>
      </c>
      <c r="B151" s="18">
        <f>IFERROR(IF('March 2027 Log'!BO50="","",'March 2027 Log'!BO50),"")</f>
        <v>0</v>
      </c>
      <c r="C151" s="18">
        <f>IFERROR(IF('April 2027 Log'!BO50="","",'April 2027 Log'!BO50),"")</f>
        <v>0</v>
      </c>
      <c r="D151" s="18">
        <f>IFERROR(IF('May 2027 Log'!BO50="","",'May 2027 Log'!BO50),"")</f>
        <v>0</v>
      </c>
      <c r="E151" s="18">
        <f>IFERROR(IF('June 2027 Log'!BO50="","",'June 2027 Log'!BO50),"")</f>
        <v>0</v>
      </c>
      <c r="F151" s="18">
        <f>IFERROR(IF('July 2027 Log'!BO50="","",'July 2027 Log'!BO50),"")</f>
        <v>0</v>
      </c>
      <c r="G151" s="18">
        <f>IFERROR(IF('August 2027 Log'!BO50="","",'August 2027 Log'!BO50),"")</f>
        <v>0</v>
      </c>
      <c r="H151" s="21">
        <f t="shared" si="6"/>
        <v>0</v>
      </c>
      <c r="I151" s="21">
        <f t="shared" si="7"/>
        <v>1898595.3199999998</v>
      </c>
    </row>
    <row r="152" spans="1:9" x14ac:dyDescent="0.35">
      <c r="A152" s="15" t="s">
        <v>205</v>
      </c>
      <c r="B152" s="18" t="str">
        <f>IFERROR(IF('March 2027 Log'!BO51="","",'March 2027 Log'!BO51),"")</f>
        <v/>
      </c>
      <c r="C152" s="18" t="str">
        <f>IFERROR(IF('April 2027 Log'!BO51="","",'April 2027 Log'!BO51),"")</f>
        <v/>
      </c>
      <c r="D152" s="18" t="str">
        <f>IFERROR(IF('May 2027 Log'!BO51="","",'May 2027 Log'!BO51),"")</f>
        <v/>
      </c>
      <c r="E152" s="18" t="str">
        <f>IFERROR(IF('June 2027 Log'!BO51="","",'June 2027 Log'!BO51),"")</f>
        <v/>
      </c>
      <c r="F152" s="18" t="str">
        <f>IFERROR(IF('July 2027 Log'!BO51="","",'July 2027 Log'!BO51),"")</f>
        <v/>
      </c>
      <c r="G152" s="18" t="str">
        <f>IFERROR(IF('August 2027 Log'!BO51="","",'August 2027 Log'!BO51),"")</f>
        <v/>
      </c>
      <c r="H152" s="21" t="str">
        <f t="shared" si="6"/>
        <v/>
      </c>
      <c r="I152" s="21" t="str">
        <f t="shared" si="7"/>
        <v/>
      </c>
    </row>
    <row r="153" spans="1:9" x14ac:dyDescent="0.35">
      <c r="A153" s="15" t="s">
        <v>206</v>
      </c>
      <c r="B153" s="18" t="str">
        <f>IFERROR(IF('March 2027 Log'!BO52="","",'March 2027 Log'!BO52),"")</f>
        <v/>
      </c>
      <c r="C153" s="18" t="str">
        <f>IFERROR(IF('April 2027 Log'!BO52="","",'April 2027 Log'!BO52),"")</f>
        <v/>
      </c>
      <c r="D153" s="18" t="str">
        <f>IFERROR(IF('May 2027 Log'!BO52="","",'May 2027 Log'!BO52),"")</f>
        <v/>
      </c>
      <c r="E153" s="18" t="str">
        <f>IFERROR(IF('June 2027 Log'!BO52="","",'June 2027 Log'!BO52),"")</f>
        <v/>
      </c>
      <c r="F153" s="18" t="str">
        <f>IFERROR(IF('July 2027 Log'!BO52="","",'July 2027 Log'!BO52),"")</f>
        <v/>
      </c>
      <c r="G153" s="18" t="str">
        <f>IFERROR(IF('August 2027 Log'!BO52="","",'August 2027 Log'!BO52),"")</f>
        <v/>
      </c>
      <c r="H153" s="21" t="str">
        <f t="shared" si="6"/>
        <v/>
      </c>
      <c r="I153" s="21" t="str">
        <f t="shared" si="7"/>
        <v/>
      </c>
    </row>
    <row r="154" spans="1:9" x14ac:dyDescent="0.35">
      <c r="A154" s="15" t="s">
        <v>207</v>
      </c>
      <c r="B154" s="18" t="str">
        <f>IFERROR(IF('March 2027 Log'!BO53="","",'March 2027 Log'!BO53),"")</f>
        <v/>
      </c>
      <c r="C154" s="18" t="str">
        <f>IFERROR(IF('April 2027 Log'!BO53="","",'April 2027 Log'!BO53),"")</f>
        <v/>
      </c>
      <c r="D154" s="18" t="str">
        <f>IFERROR(IF('May 2027 Log'!BO53="","",'May 2027 Log'!BO53),"")</f>
        <v/>
      </c>
      <c r="E154" s="18" t="str">
        <f>IFERROR(IF('June 2027 Log'!BO53="","",'June 2027 Log'!BO53),"")</f>
        <v/>
      </c>
      <c r="F154" s="18" t="str">
        <f>IFERROR(IF('July 2027 Log'!BO53="","",'July 2027 Log'!BO53),"")</f>
        <v/>
      </c>
      <c r="G154" s="18" t="str">
        <f>IFERROR(IF('August 2027 Log'!BO53="","",'August 2027 Log'!BO53),"")</f>
        <v/>
      </c>
      <c r="H154" s="21" t="str">
        <f t="shared" si="6"/>
        <v/>
      </c>
      <c r="I154" s="21" t="str">
        <f t="shared" si="7"/>
        <v/>
      </c>
    </row>
    <row r="155" spans="1:9" x14ac:dyDescent="0.35">
      <c r="A155" s="15" t="s">
        <v>208</v>
      </c>
      <c r="B155" s="18">
        <f>IFERROR(IF('March 2027 Log'!BO54="","",'March 2027 Log'!BO54),"")</f>
        <v>0</v>
      </c>
      <c r="C155" s="18">
        <f>IFERROR(IF('April 2027 Log'!BO54="","",'April 2027 Log'!BO54),"")</f>
        <v>0</v>
      </c>
      <c r="D155" s="18">
        <f>IFERROR(IF('May 2027 Log'!BO54="","",'May 2027 Log'!BO54),"")</f>
        <v>0</v>
      </c>
      <c r="E155" s="18">
        <f>IFERROR(IF('June 2027 Log'!BO54="","",'June 2027 Log'!BO54),"")</f>
        <v>0</v>
      </c>
      <c r="F155" s="18">
        <f>IFERROR(IF('July 2027 Log'!BO54="","",'July 2027 Log'!BO54),"")</f>
        <v>0</v>
      </c>
      <c r="G155" s="18">
        <f>IFERROR(IF('August 2027 Log'!BO54="","",'August 2027 Log'!BO54),"")</f>
        <v>0</v>
      </c>
      <c r="H155" s="21">
        <f t="shared" si="6"/>
        <v>0</v>
      </c>
      <c r="I155" s="21">
        <f t="shared" si="7"/>
        <v>2560125.5600000005</v>
      </c>
    </row>
    <row r="156" spans="1:9" x14ac:dyDescent="0.35">
      <c r="A156" s="15" t="s">
        <v>209</v>
      </c>
      <c r="B156" s="18" t="str">
        <f>IFERROR(IF('March 2027 Log'!BO55="","",'March 2027 Log'!BO55),"")</f>
        <v/>
      </c>
      <c r="C156" s="18" t="str">
        <f>IFERROR(IF('April 2027 Log'!BO55="","",'April 2027 Log'!BO55),"")</f>
        <v/>
      </c>
      <c r="D156" s="18" t="str">
        <f>IFERROR(IF('May 2027 Log'!BO55="","",'May 2027 Log'!BO55),"")</f>
        <v/>
      </c>
      <c r="E156" s="18" t="str">
        <f>IFERROR(IF('June 2027 Log'!BO55="","",'June 2027 Log'!BO55),"")</f>
        <v/>
      </c>
      <c r="F156" s="18" t="str">
        <f>IFERROR(IF('July 2027 Log'!BO55="","",'July 2027 Log'!BO55),"")</f>
        <v/>
      </c>
      <c r="G156" s="18" t="str">
        <f>IFERROR(IF('August 2027 Log'!BO55="","",'August 2027 Log'!BO55),"")</f>
        <v/>
      </c>
      <c r="H156" s="21" t="str">
        <f t="shared" si="6"/>
        <v/>
      </c>
      <c r="I156" s="21">
        <f t="shared" si="7"/>
        <v>2549933.79</v>
      </c>
    </row>
    <row r="157" spans="1:9" x14ac:dyDescent="0.35">
      <c r="A157" s="15" t="s">
        <v>210</v>
      </c>
      <c r="B157" s="18" t="str">
        <f>IFERROR(IF('March 2027 Log'!BO56="","",'March 2027 Log'!BO56),"")</f>
        <v/>
      </c>
      <c r="C157" s="18" t="str">
        <f>IFERROR(IF('April 2027 Log'!BO56="","",'April 2027 Log'!BO56),"")</f>
        <v/>
      </c>
      <c r="D157" s="18" t="str">
        <f>IFERROR(IF('May 2027 Log'!BO56="","",'May 2027 Log'!BO56),"")</f>
        <v/>
      </c>
      <c r="E157" s="18" t="str">
        <f>IFERROR(IF('June 2027 Log'!BO56="","",'June 2027 Log'!BO56),"")</f>
        <v/>
      </c>
      <c r="F157" s="18" t="str">
        <f>IFERROR(IF('July 2027 Log'!BO56="","",'July 2027 Log'!BO56),"")</f>
        <v/>
      </c>
      <c r="G157" s="18" t="str">
        <f>IFERROR(IF('August 2027 Log'!BO56="","",'August 2027 Log'!BO56),"")</f>
        <v/>
      </c>
      <c r="H157" s="21" t="str">
        <f t="shared" si="6"/>
        <v/>
      </c>
      <c r="I157" s="21">
        <f t="shared" si="7"/>
        <v>-1270.6499999999999</v>
      </c>
    </row>
    <row r="158" spans="1:9" x14ac:dyDescent="0.35">
      <c r="A158" s="15" t="s">
        <v>211</v>
      </c>
      <c r="B158" s="18">
        <f>IFERROR(IF('March 2027 Log'!BO57="","",'March 2027 Log'!BO57),"")</f>
        <v>0</v>
      </c>
      <c r="C158" s="18">
        <f>IFERROR(IF('April 2027 Log'!BO57="","",'April 2027 Log'!BO57),"")</f>
        <v>0</v>
      </c>
      <c r="D158" s="18">
        <f>IFERROR(IF('May 2027 Log'!BO57="","",'May 2027 Log'!BO57),"")</f>
        <v>0</v>
      </c>
      <c r="E158" s="18">
        <f>IFERROR(IF('June 2027 Log'!BO57="","",'June 2027 Log'!BO57),"")</f>
        <v>0</v>
      </c>
      <c r="F158" s="18">
        <f>IFERROR(IF('July 2027 Log'!BO57="","",'July 2027 Log'!BO57),"")</f>
        <v>0</v>
      </c>
      <c r="G158" s="18">
        <f>IFERROR(IF('August 2027 Log'!BO57="","",'August 2027 Log'!BO57),"")</f>
        <v>0</v>
      </c>
      <c r="H158" s="21">
        <f t="shared" si="6"/>
        <v>0</v>
      </c>
      <c r="I158" s="21">
        <f t="shared" si="7"/>
        <v>2548663.14</v>
      </c>
    </row>
    <row r="159" spans="1:9" x14ac:dyDescent="0.35">
      <c r="A159" s="15" t="s">
        <v>212</v>
      </c>
      <c r="B159" s="18">
        <f>IFERROR(IF('March 2027 Log'!BO58="","",'March 2027 Log'!BO58),"")</f>
        <v>0</v>
      </c>
      <c r="C159" s="18">
        <f>IFERROR(IF('April 2027 Log'!BO58="","",'April 2027 Log'!BO58),"")</f>
        <v>0</v>
      </c>
      <c r="D159" s="18">
        <f>IFERROR(IF('May 2027 Log'!BO58="","",'May 2027 Log'!BO58),"")</f>
        <v>0</v>
      </c>
      <c r="E159" s="18">
        <f>IFERROR(IF('June 2027 Log'!BO58="","",'June 2027 Log'!BO58),"")</f>
        <v>0</v>
      </c>
      <c r="F159" s="18">
        <f>IFERROR(IF('July 2027 Log'!BO58="","",'July 2027 Log'!BO58),"")</f>
        <v>0</v>
      </c>
      <c r="G159" s="18">
        <f>IFERROR(IF('August 2027 Log'!BO58="","",'August 2027 Log'!BO58),"")</f>
        <v>0</v>
      </c>
      <c r="H159" s="21">
        <f t="shared" si="6"/>
        <v>0</v>
      </c>
      <c r="I159" s="21">
        <f t="shared" si="7"/>
        <v>11462.42000000002</v>
      </c>
    </row>
    <row r="160" spans="1:9" x14ac:dyDescent="0.35">
      <c r="A160" s="15" t="s">
        <v>213</v>
      </c>
      <c r="B160" s="18">
        <f>IFERROR(IF('March 2027 Log'!BO59="","",'March 2027 Log'!BO59),"")</f>
        <v>0</v>
      </c>
      <c r="C160" s="18">
        <f>IFERROR(IF('April 2027 Log'!BO59="","",'April 2027 Log'!BO59),"")</f>
        <v>0</v>
      </c>
      <c r="D160" s="18">
        <f>IFERROR(IF('May 2027 Log'!BO59="","",'May 2027 Log'!BO59),"")</f>
        <v>0</v>
      </c>
      <c r="E160" s="18">
        <f>IFERROR(IF('June 2027 Log'!BO59="","",'June 2027 Log'!BO59),"")</f>
        <v>0</v>
      </c>
      <c r="F160" s="18">
        <f>IFERROR(IF('July 2027 Log'!BO59="","",'July 2027 Log'!BO59),"")</f>
        <v>0</v>
      </c>
      <c r="G160" s="18">
        <f>IFERROR(IF('August 2027 Log'!BO59="","",'August 2027 Log'!BO59),"")</f>
        <v>0</v>
      </c>
      <c r="H160" s="21">
        <f t="shared" si="6"/>
        <v>0</v>
      </c>
      <c r="I160" s="21">
        <f t="shared" si="7"/>
        <v>-317</v>
      </c>
    </row>
    <row r="161" spans="1:9" x14ac:dyDescent="0.35">
      <c r="A161" s="15" t="s">
        <v>214</v>
      </c>
      <c r="B161" s="18" t="str">
        <f>IFERROR(IF('March 2027 Log'!BO61="","",'March 2027 Log'!BO61),"")</f>
        <v/>
      </c>
      <c r="C161" s="18" t="str">
        <f>IFERROR(IF('April 2027 Log'!BO61="","",'April 2027 Log'!BO61),"")</f>
        <v/>
      </c>
      <c r="D161" s="18" t="str">
        <f>IFERROR(IF('May 2027 Log'!BO61="","",'May 2027 Log'!BO61),"")</f>
        <v/>
      </c>
      <c r="E161" s="18" t="str">
        <f>IFERROR(IF('June 2027 Log'!BO61="","",'June 2027 Log'!BO61),"")</f>
        <v/>
      </c>
      <c r="F161" s="18" t="str">
        <f>IFERROR(IF('July 2027 Log'!BO61="","",'July 2027 Log'!BO61),"")</f>
        <v/>
      </c>
      <c r="G161" s="18" t="str">
        <f>IFERROR(IF('August 2027 Log'!BO61="","",'August 2027 Log'!BO61),"")</f>
        <v/>
      </c>
      <c r="H161" s="21" t="str">
        <f t="shared" si="6"/>
        <v/>
      </c>
      <c r="I161" s="21">
        <f t="shared" si="7"/>
        <v>-4362614</v>
      </c>
    </row>
    <row r="162" spans="1:9" x14ac:dyDescent="0.35">
      <c r="A162" s="15" t="s">
        <v>215</v>
      </c>
      <c r="B162" s="18" t="str">
        <f>IFERROR(IF('March 2027 Log'!BO62="","",'March 2027 Log'!BO62),"")</f>
        <v/>
      </c>
      <c r="C162" s="18" t="str">
        <f>IFERROR(IF('April 2027 Log'!BO62="","",'April 2027 Log'!BO62),"")</f>
        <v/>
      </c>
      <c r="D162" s="18" t="str">
        <f>IFERROR(IF('May 2027 Log'!BO62="","",'May 2027 Log'!BO62),"")</f>
        <v/>
      </c>
      <c r="E162" s="18" t="str">
        <f>IFERROR(IF('June 2027 Log'!BO62="","",'June 2027 Log'!BO62),"")</f>
        <v/>
      </c>
      <c r="F162" s="18" t="str">
        <f>IFERROR(IF('July 2027 Log'!BO62="","",'July 2027 Log'!BO62),"")</f>
        <v/>
      </c>
      <c r="G162" s="18" t="str">
        <f>IFERROR(IF('August 2027 Log'!BO62="","",'August 2027 Log'!BO62),"")</f>
        <v/>
      </c>
      <c r="H162" s="21" t="str">
        <f t="shared" si="6"/>
        <v/>
      </c>
      <c r="I162" s="21">
        <f t="shared" si="7"/>
        <v>19355</v>
      </c>
    </row>
    <row r="163" spans="1:9" x14ac:dyDescent="0.35">
      <c r="A163" s="15" t="s">
        <v>216</v>
      </c>
      <c r="B163" s="18" t="str">
        <f>IFERROR(IF('March 2027 Log'!BO63="","",'March 2027 Log'!BO63),"")</f>
        <v/>
      </c>
      <c r="C163" s="18" t="str">
        <f>IFERROR(IF('April 2027 Log'!BO63="","",'April 2027 Log'!BO63),"")</f>
        <v/>
      </c>
      <c r="D163" s="18" t="str">
        <f>IFERROR(IF('May 2027 Log'!BO63="","",'May 2027 Log'!BO63),"")</f>
        <v/>
      </c>
      <c r="E163" s="18" t="str">
        <f>IFERROR(IF('June 2027 Log'!BO63="","",'June 2027 Log'!BO63),"")</f>
        <v/>
      </c>
      <c r="F163" s="18" t="str">
        <f>IFERROR(IF('July 2027 Log'!BO63="","",'July 2027 Log'!BO63),"")</f>
        <v/>
      </c>
      <c r="G163" s="18" t="str">
        <f>IFERROR(IF('August 2027 Log'!BO63="","",'August 2027 Log'!BO63),"")</f>
        <v/>
      </c>
      <c r="H163" s="21" t="str">
        <f t="shared" si="6"/>
        <v/>
      </c>
      <c r="I163" s="21">
        <f t="shared" si="7"/>
        <v>5231</v>
      </c>
    </row>
    <row r="164" spans="1:9" x14ac:dyDescent="0.35">
      <c r="A164" s="15" t="s">
        <v>216</v>
      </c>
      <c r="B164" s="18" t="str">
        <f>IFERROR(IF('March 2027 Log'!BO64="","",'March 2027 Log'!BO64),"")</f>
        <v/>
      </c>
      <c r="C164" s="18" t="str">
        <f>IFERROR(IF('April 2027 Log'!BO64="","",'April 2027 Log'!BO64),"")</f>
        <v/>
      </c>
      <c r="D164" s="18" t="str">
        <f>IFERROR(IF('May 2027 Log'!BO64="","",'May 2027 Log'!BO64),"")</f>
        <v/>
      </c>
      <c r="E164" s="18" t="str">
        <f>IFERROR(IF('June 2027 Log'!BO64="","",'June 2027 Log'!BO64),"")</f>
        <v/>
      </c>
      <c r="F164" s="18" t="str">
        <f>IFERROR(IF('July 2027 Log'!BO64="","",'July 2027 Log'!BO64),"")</f>
        <v/>
      </c>
      <c r="G164" s="18" t="str">
        <f>IFERROR(IF('August 2027 Log'!BO64="","",'August 2027 Log'!BO64),"")</f>
        <v/>
      </c>
      <c r="H164" s="21" t="str">
        <f t="shared" si="6"/>
        <v/>
      </c>
      <c r="I164" s="21">
        <f t="shared" si="7"/>
        <v>4612</v>
      </c>
    </row>
    <row r="165" spans="1:9" x14ac:dyDescent="0.35">
      <c r="A165" s="15" t="s">
        <v>217</v>
      </c>
      <c r="B165" s="18" t="str">
        <f>IFERROR(IF('March 2027 Log'!BO65="","",'March 2027 Log'!BO65),"")</f>
        <v/>
      </c>
      <c r="C165" s="18" t="str">
        <f>IFERROR(IF('April 2027 Log'!BO65="","",'April 2027 Log'!BO65),"")</f>
        <v/>
      </c>
      <c r="D165" s="18" t="str">
        <f>IFERROR(IF('May 2027 Log'!BO65="","",'May 2027 Log'!BO65),"")</f>
        <v/>
      </c>
      <c r="E165" s="18" t="str">
        <f>IFERROR(IF('June 2027 Log'!BO65="","",'June 2027 Log'!BO65),"")</f>
        <v/>
      </c>
      <c r="F165" s="18" t="str">
        <f>IFERROR(IF('July 2027 Log'!BO65="","",'July 2027 Log'!BO65),"")</f>
        <v/>
      </c>
      <c r="G165" s="18" t="str">
        <f>IFERROR(IF('August 2027 Log'!BO65="","",'August 2027 Log'!BO65),"")</f>
        <v/>
      </c>
      <c r="H165" s="21" t="str">
        <f t="shared" si="6"/>
        <v/>
      </c>
      <c r="I165" s="21">
        <f t="shared" si="7"/>
        <v>20899</v>
      </c>
    </row>
    <row r="166" spans="1:9" x14ac:dyDescent="0.35">
      <c r="A166" s="15" t="s">
        <v>217</v>
      </c>
      <c r="B166" s="18" t="str">
        <f>IFERROR(IF('March 2027 Log'!BO66="","",'March 2027 Log'!BO66),"")</f>
        <v/>
      </c>
      <c r="C166" s="18" t="str">
        <f>IFERROR(IF('April 2027 Log'!BO66="","",'April 2027 Log'!BO66),"")</f>
        <v/>
      </c>
      <c r="D166" s="18" t="str">
        <f>IFERROR(IF('May 2027 Log'!BO66="","",'May 2027 Log'!BO66),"")</f>
        <v/>
      </c>
      <c r="E166" s="18" t="str">
        <f>IFERROR(IF('June 2027 Log'!BO66="","",'June 2027 Log'!BO66),"")</f>
        <v/>
      </c>
      <c r="F166" s="18" t="str">
        <f>IFERROR(IF('July 2027 Log'!BO66="","",'July 2027 Log'!BO66),"")</f>
        <v/>
      </c>
      <c r="G166" s="18" t="str">
        <f>IFERROR(IF('August 2027 Log'!BO66="","",'August 2027 Log'!BO66),"")</f>
        <v/>
      </c>
      <c r="H166" s="21" t="str">
        <f t="shared" si="6"/>
        <v/>
      </c>
      <c r="I166" s="21">
        <f t="shared" si="7"/>
        <v>20396</v>
      </c>
    </row>
    <row r="167" spans="1:9" ht="29" x14ac:dyDescent="0.35">
      <c r="A167" s="15" t="s">
        <v>218</v>
      </c>
      <c r="B167" s="18" t="str">
        <f>IFERROR(IF('March 2027 Log'!BO67="","",'March 2027 Log'!BO67),"")</f>
        <v/>
      </c>
      <c r="C167" s="18" t="str">
        <f>IFERROR(IF('April 2027 Log'!BO67="","",'April 2027 Log'!BO67),"")</f>
        <v/>
      </c>
      <c r="D167" s="18" t="str">
        <f>IFERROR(IF('May 2027 Log'!BO67="","",'May 2027 Log'!BO67),"")</f>
        <v/>
      </c>
      <c r="E167" s="18" t="str">
        <f>IFERROR(IF('June 2027 Log'!BO67="","",'June 2027 Log'!BO67),"")</f>
        <v/>
      </c>
      <c r="F167" s="18" t="str">
        <f>IFERROR(IF('July 2027 Log'!BO67="","",'July 2027 Log'!BO67),"")</f>
        <v/>
      </c>
      <c r="G167" s="18" t="str">
        <f>IFERROR(IF('August 2027 Log'!BO67="","",'August 2027 Log'!BO67),"")</f>
        <v/>
      </c>
      <c r="H167" s="21" t="str">
        <f t="shared" si="6"/>
        <v/>
      </c>
      <c r="I167" s="21">
        <f t="shared" si="7"/>
        <v>-7228373.9100000001</v>
      </c>
    </row>
    <row r="168" spans="1:9" x14ac:dyDescent="0.35">
      <c r="A168" s="15" t="s">
        <v>219</v>
      </c>
      <c r="B168" s="18" t="str">
        <f>IFERROR(IF('March 2027 Log'!BO68="","",'March 2027 Log'!BO68),"")</f>
        <v/>
      </c>
      <c r="C168" s="18" t="str">
        <f>IFERROR(IF('April 2027 Log'!BO68="","",'April 2027 Log'!BO68),"")</f>
        <v/>
      </c>
      <c r="D168" s="18" t="str">
        <f>IFERROR(IF('May 2027 Log'!BO68="","",'May 2027 Log'!BO68),"")</f>
        <v/>
      </c>
      <c r="E168" s="18" t="str">
        <f>IFERROR(IF('June 2027 Log'!BO68="","",'June 2027 Log'!BO68),"")</f>
        <v/>
      </c>
      <c r="F168" s="18" t="str">
        <f>IFERROR(IF('July 2027 Log'!BO68="","",'July 2027 Log'!BO68),"")</f>
        <v/>
      </c>
      <c r="G168" s="18" t="str">
        <f>IFERROR(IF('August 2027 Log'!BO68="","",'August 2027 Log'!BO68),"")</f>
        <v/>
      </c>
      <c r="H168" s="21" t="str">
        <f t="shared" si="6"/>
        <v/>
      </c>
      <c r="I168" s="21">
        <f t="shared" si="7"/>
        <v>-1010312</v>
      </c>
    </row>
    <row r="169" spans="1:9" x14ac:dyDescent="0.35">
      <c r="A169" s="15" t="s">
        <v>220</v>
      </c>
      <c r="B169" s="18" t="str">
        <f>IFERROR(IF('March 2027 Log'!BO69="","",'March 2027 Log'!BO69),"")</f>
        <v/>
      </c>
      <c r="C169" s="18" t="str">
        <f>IFERROR(IF('April 2027 Log'!BO69="","",'April 2027 Log'!BO69),"")</f>
        <v/>
      </c>
      <c r="D169" s="18" t="str">
        <f>IFERROR(IF('May 2027 Log'!BO69="","",'May 2027 Log'!BO69),"")</f>
        <v/>
      </c>
      <c r="E169" s="18" t="str">
        <f>IFERROR(IF('June 2027 Log'!BO69="","",'June 2027 Log'!BO69),"")</f>
        <v/>
      </c>
      <c r="F169" s="18" t="str">
        <f>IFERROR(IF('July 2027 Log'!BO69="","",'July 2027 Log'!BO69),"")</f>
        <v/>
      </c>
      <c r="G169" s="18" t="str">
        <f>IFERROR(IF('August 2027 Log'!BO69="","",'August 2027 Log'!BO69),"")</f>
        <v/>
      </c>
      <c r="H169" s="21" t="str">
        <f t="shared" si="6"/>
        <v/>
      </c>
      <c r="I169" s="21">
        <f t="shared" si="7"/>
        <v>-109203</v>
      </c>
    </row>
    <row r="170" spans="1:9" x14ac:dyDescent="0.35">
      <c r="A170" s="15" t="s">
        <v>221</v>
      </c>
      <c r="B170" s="18" t="str">
        <f>IFERROR(IF('March 2027 Log'!BO70="","",'March 2027 Log'!BO70),"")</f>
        <v/>
      </c>
      <c r="C170" s="18" t="str">
        <f>IFERROR(IF('April 2027 Log'!BO70="","",'April 2027 Log'!BO70),"")</f>
        <v/>
      </c>
      <c r="D170" s="18" t="str">
        <f>IFERROR(IF('May 2027 Log'!BO70="","",'May 2027 Log'!BO70),"")</f>
        <v/>
      </c>
      <c r="E170" s="18" t="str">
        <f>IFERROR(IF('June 2027 Log'!BO70="","",'June 2027 Log'!BO70),"")</f>
        <v/>
      </c>
      <c r="F170" s="18" t="str">
        <f>IFERROR(IF('July 2027 Log'!BO70="","",'July 2027 Log'!BO70),"")</f>
        <v/>
      </c>
      <c r="G170" s="18" t="str">
        <f>IFERROR(IF('August 2027 Log'!BO70="","",'August 2027 Log'!BO70),"")</f>
        <v/>
      </c>
      <c r="H170" s="21" t="str">
        <f t="shared" si="6"/>
        <v/>
      </c>
      <c r="I170" s="21">
        <f t="shared" si="7"/>
        <v>-1566438</v>
      </c>
    </row>
    <row r="171" spans="1:9" x14ac:dyDescent="0.35">
      <c r="A171" s="15" t="s">
        <v>222</v>
      </c>
      <c r="B171" s="18" t="str">
        <f>IFERROR(IF('March 2027 Log'!BO71="","",'March 2027 Log'!BO71),"")</f>
        <v/>
      </c>
      <c r="C171" s="18" t="str">
        <f>IFERROR(IF('April 2027 Log'!BO71="","",'April 2027 Log'!BO71),"")</f>
        <v/>
      </c>
      <c r="D171" s="18" t="str">
        <f>IFERROR(IF('May 2027 Log'!BO71="","",'May 2027 Log'!BO71),"")</f>
        <v/>
      </c>
      <c r="E171" s="18" t="str">
        <f>IFERROR(IF('June 2027 Log'!BO71="","",'June 2027 Log'!BO71),"")</f>
        <v/>
      </c>
      <c r="F171" s="18" t="str">
        <f>IFERROR(IF('July 2027 Log'!BO71="","",'July 2027 Log'!BO71),"")</f>
        <v/>
      </c>
      <c r="G171" s="18" t="str">
        <f>IFERROR(IF('August 2027 Log'!BO71="","",'August 2027 Log'!BO71),"")</f>
        <v/>
      </c>
      <c r="H171" s="21" t="str">
        <f t="shared" si="6"/>
        <v/>
      </c>
      <c r="I171" s="21">
        <f t="shared" si="7"/>
        <v>-65832</v>
      </c>
    </row>
    <row r="172" spans="1:9" ht="29" x14ac:dyDescent="0.35">
      <c r="A172" s="15" t="s">
        <v>223</v>
      </c>
      <c r="B172" s="18" t="str">
        <f>IFERROR(IF('March 2027 Log'!BO72="","",'March 2027 Log'!BO72),"")</f>
        <v/>
      </c>
      <c r="C172" s="18" t="str">
        <f>IFERROR(IF('April 2027 Log'!BO72="","",'April 2027 Log'!BO72),"")</f>
        <v/>
      </c>
      <c r="D172" s="18" t="str">
        <f>IFERROR(IF('May 2027 Log'!BO72="","",'May 2027 Log'!BO72),"")</f>
        <v/>
      </c>
      <c r="E172" s="18" t="str">
        <f>IFERROR(IF('June 2027 Log'!BO72="","",'June 2027 Log'!BO72),"")</f>
        <v/>
      </c>
      <c r="F172" s="18" t="str">
        <f>IFERROR(IF('July 2027 Log'!BO72="","",'July 2027 Log'!BO72),"")</f>
        <v/>
      </c>
      <c r="G172" s="18" t="str">
        <f>IFERROR(IF('August 2027 Log'!BO72="","",'August 2027 Log'!BO72),"")</f>
        <v/>
      </c>
      <c r="H172" s="21" t="str">
        <f t="shared" si="6"/>
        <v/>
      </c>
      <c r="I172" s="21">
        <f t="shared" si="7"/>
        <v>-1540336</v>
      </c>
    </row>
    <row r="173" spans="1:9" ht="29" x14ac:dyDescent="0.35">
      <c r="A173" s="15" t="s">
        <v>224</v>
      </c>
      <c r="B173" s="18" t="str">
        <f>IFERROR(IF('March 2027 Log'!BO73="","",'March 2027 Log'!BO73),"")</f>
        <v/>
      </c>
      <c r="C173" s="18" t="str">
        <f>IFERROR(IF('April 2027 Log'!BO73="","",'April 2027 Log'!BO73),"")</f>
        <v/>
      </c>
      <c r="D173" s="18" t="str">
        <f>IFERROR(IF('May 2027 Log'!BO73="","",'May 2027 Log'!BO73),"")</f>
        <v/>
      </c>
      <c r="E173" s="18" t="str">
        <f>IFERROR(IF('June 2027 Log'!BO73="","",'June 2027 Log'!BO73),"")</f>
        <v/>
      </c>
      <c r="F173" s="18" t="str">
        <f>IFERROR(IF('July 2027 Log'!BO73="","",'July 2027 Log'!BO73),"")</f>
        <v/>
      </c>
      <c r="G173" s="18" t="str">
        <f>IFERROR(IF('August 2027 Log'!BO73="","",'August 2027 Log'!BO73),"")</f>
        <v/>
      </c>
      <c r="H173" s="21" t="str">
        <f t="shared" si="6"/>
        <v/>
      </c>
      <c r="I173" s="21">
        <f t="shared" si="7"/>
        <v>-4292121</v>
      </c>
    </row>
    <row r="174" spans="1:9" x14ac:dyDescent="0.35">
      <c r="A174" s="15" t="s">
        <v>225</v>
      </c>
      <c r="B174" s="18" t="str">
        <f>IFERROR(IF('March 2027 Log'!BO74="","",'March 2027 Log'!BO74),"")</f>
        <v/>
      </c>
      <c r="C174" s="18" t="str">
        <f>IFERROR(IF('April 2027 Log'!BO74="","",'April 2027 Log'!BO74),"")</f>
        <v/>
      </c>
      <c r="D174" s="18" t="str">
        <f>IFERROR(IF('May 2027 Log'!BO74="","",'May 2027 Log'!BO74),"")</f>
        <v/>
      </c>
      <c r="E174" s="18" t="str">
        <f>IFERROR(IF('June 2027 Log'!BO74="","",'June 2027 Log'!BO74),"")</f>
        <v/>
      </c>
      <c r="F174" s="18" t="str">
        <f>IFERROR(IF('July 2027 Log'!BO74="","",'July 2027 Log'!BO74),"")</f>
        <v/>
      </c>
      <c r="G174" s="18" t="str">
        <f>IFERROR(IF('August 2027 Log'!BO74="","",'August 2027 Log'!BO74),"")</f>
        <v/>
      </c>
      <c r="H174" s="21" t="str">
        <f t="shared" si="6"/>
        <v/>
      </c>
      <c r="I174" s="21">
        <f t="shared" si="7"/>
        <v>2096482.1900000004</v>
      </c>
    </row>
    <row r="175" spans="1:9" x14ac:dyDescent="0.35">
      <c r="A175" s="15" t="s">
        <v>226</v>
      </c>
      <c r="B175" s="18">
        <f>IFERROR(IF('March 2027 Log'!BO75="","",'March 2027 Log'!BO75),"")</f>
        <v>0</v>
      </c>
      <c r="C175" s="18">
        <f>IFERROR(IF('April 2027 Log'!BO75="","",'April 2027 Log'!BO75),"")</f>
        <v>0</v>
      </c>
      <c r="D175" s="18">
        <f>IFERROR(IF('May 2027 Log'!BO75="","",'May 2027 Log'!BO75),"")</f>
        <v>0</v>
      </c>
      <c r="E175" s="18">
        <f>IFERROR(IF('June 2027 Log'!BO75="","",'June 2027 Log'!BO75),"")</f>
        <v>0</v>
      </c>
      <c r="F175" s="18">
        <f>IFERROR(IF('July 2027 Log'!BO75="","",'July 2027 Log'!BO75),"")</f>
        <v>0</v>
      </c>
      <c r="G175" s="18">
        <f>IFERROR(IF('August 2027 Log'!BO75="","",'August 2027 Log'!BO75),"")</f>
        <v>0</v>
      </c>
      <c r="H175" s="21">
        <f t="shared" si="6"/>
        <v>0</v>
      </c>
      <c r="I175" s="21">
        <f t="shared" si="7"/>
        <v>452180.95</v>
      </c>
    </row>
    <row r="176" spans="1:9" x14ac:dyDescent="0.35">
      <c r="A176" s="15" t="s">
        <v>227</v>
      </c>
      <c r="B176" s="18" t="str">
        <f>IFERROR(IF('March 2027 Log'!BO77="","",'March 2027 Log'!BO77),"")</f>
        <v/>
      </c>
      <c r="C176" s="18" t="str">
        <f>IFERROR(IF('April 2027 Log'!BO77="","",'April 2027 Log'!BO77),"")</f>
        <v/>
      </c>
      <c r="D176" s="18" t="str">
        <f>IFERROR(IF('May 2027 Log'!BO77="","",'May 2027 Log'!BO77),"")</f>
        <v/>
      </c>
      <c r="E176" s="18" t="str">
        <f>IFERROR(IF('June 2027 Log'!BO77="","",'June 2027 Log'!BO77),"")</f>
        <v/>
      </c>
      <c r="F176" s="18" t="str">
        <f>IFERROR(IF('July 2027 Log'!BO77="","",'July 2027 Log'!BO77),"")</f>
        <v/>
      </c>
      <c r="G176" s="18" t="str">
        <f>IFERROR(IF('August 2027 Log'!BO77="","",'August 2027 Log'!BO77),"")</f>
        <v/>
      </c>
      <c r="H176" s="21" t="str">
        <f t="shared" si="6"/>
        <v/>
      </c>
      <c r="I176" s="21">
        <f t="shared" si="7"/>
        <v>-994091</v>
      </c>
    </row>
    <row r="177" spans="1:9" x14ac:dyDescent="0.35">
      <c r="A177" s="15" t="s">
        <v>228</v>
      </c>
      <c r="B177" s="18" t="str">
        <f>IFERROR(IF('March 2027 Log'!BO78="","",'March 2027 Log'!BO78),"")</f>
        <v/>
      </c>
      <c r="C177" s="18" t="str">
        <f>IFERROR(IF('April 2027 Log'!BO78="","",'April 2027 Log'!BO78),"")</f>
        <v/>
      </c>
      <c r="D177" s="18" t="str">
        <f>IFERROR(IF('May 2027 Log'!BO78="","",'May 2027 Log'!BO78),"")</f>
        <v/>
      </c>
      <c r="E177" s="18" t="str">
        <f>IFERROR(IF('June 2027 Log'!BO78="","",'June 2027 Log'!BO78),"")</f>
        <v/>
      </c>
      <c r="F177" s="18" t="str">
        <f>IFERROR(IF('July 2027 Log'!BO78="","",'July 2027 Log'!BO78),"")</f>
        <v/>
      </c>
      <c r="G177" s="18" t="str">
        <f>IFERROR(IF('August 2027 Log'!BO78="","",'August 2027 Log'!BO78),"")</f>
        <v/>
      </c>
      <c r="H177" s="21" t="str">
        <f t="shared" ref="H177:H208" si="8">IF(COUNT(B177:G177)=0,"",SUM(B177:G177))</f>
        <v/>
      </c>
      <c r="I177" s="21">
        <f t="shared" ref="I177:I208" si="9">IF(COUNT(B177:G177,I70)=0,"",SUM(B177:G177,I70))</f>
        <v>-715944</v>
      </c>
    </row>
    <row r="178" spans="1:9" x14ac:dyDescent="0.35">
      <c r="A178" s="15" t="s">
        <v>229</v>
      </c>
      <c r="B178" s="18" t="str">
        <f>IFERROR(IF('March 2027 Log'!BO79="","",'March 2027 Log'!BO79),"")</f>
        <v/>
      </c>
      <c r="C178" s="18" t="str">
        <f>IFERROR(IF('April 2027 Log'!BO79="","",'April 2027 Log'!BO79),"")</f>
        <v/>
      </c>
      <c r="D178" s="18" t="str">
        <f>IFERROR(IF('May 2027 Log'!BO79="","",'May 2027 Log'!BO79),"")</f>
        <v/>
      </c>
      <c r="E178" s="18" t="str">
        <f>IFERROR(IF('June 2027 Log'!BO79="","",'June 2027 Log'!BO79),"")</f>
        <v/>
      </c>
      <c r="F178" s="18" t="str">
        <f>IFERROR(IF('July 2027 Log'!BO79="","",'July 2027 Log'!BO79),"")</f>
        <v/>
      </c>
      <c r="G178" s="18" t="str">
        <f>IFERROR(IF('August 2027 Log'!BO79="","",'August 2027 Log'!BO79),"")</f>
        <v/>
      </c>
      <c r="H178" s="21" t="str">
        <f t="shared" si="8"/>
        <v/>
      </c>
      <c r="I178" s="21">
        <f t="shared" si="9"/>
        <v>-829166</v>
      </c>
    </row>
    <row r="179" spans="1:9" x14ac:dyDescent="0.35">
      <c r="A179" s="15" t="s">
        <v>230</v>
      </c>
      <c r="B179" s="18" t="str">
        <f>IFERROR(IF('March 2027 Log'!BO80="","",'March 2027 Log'!BO80),"")</f>
        <v/>
      </c>
      <c r="C179" s="18" t="str">
        <f>IFERROR(IF('April 2027 Log'!BO80="","",'April 2027 Log'!BO80),"")</f>
        <v/>
      </c>
      <c r="D179" s="18" t="str">
        <f>IFERROR(IF('May 2027 Log'!BO80="","",'May 2027 Log'!BO80),"")</f>
        <v/>
      </c>
      <c r="E179" s="18" t="str">
        <f>IFERROR(IF('June 2027 Log'!BO80="","",'June 2027 Log'!BO80),"")</f>
        <v/>
      </c>
      <c r="F179" s="18" t="str">
        <f>IFERROR(IF('July 2027 Log'!BO80="","",'July 2027 Log'!BO80),"")</f>
        <v/>
      </c>
      <c r="G179" s="18" t="str">
        <f>IFERROR(IF('August 2027 Log'!BO80="","",'August 2027 Log'!BO80),"")</f>
        <v/>
      </c>
      <c r="H179" s="21" t="str">
        <f t="shared" si="8"/>
        <v/>
      </c>
      <c r="I179" s="21">
        <f t="shared" si="9"/>
        <v>-16221</v>
      </c>
    </row>
    <row r="180" spans="1:9" x14ac:dyDescent="0.35">
      <c r="A180" s="15" t="s">
        <v>231</v>
      </c>
      <c r="B180" s="18" t="str">
        <f>IFERROR(IF('March 2027 Log'!BO81="","",'March 2027 Log'!BO81),"")</f>
        <v/>
      </c>
      <c r="C180" s="18" t="str">
        <f>IFERROR(IF('April 2027 Log'!BO81="","",'April 2027 Log'!BO81),"")</f>
        <v/>
      </c>
      <c r="D180" s="18" t="str">
        <f>IFERROR(IF('May 2027 Log'!BO81="","",'May 2027 Log'!BO81),"")</f>
        <v/>
      </c>
      <c r="E180" s="18" t="str">
        <f>IFERROR(IF('June 2027 Log'!BO81="","",'June 2027 Log'!BO81),"")</f>
        <v/>
      </c>
      <c r="F180" s="18" t="str">
        <f>IFERROR(IF('July 2027 Log'!BO81="","",'July 2027 Log'!BO81),"")</f>
        <v/>
      </c>
      <c r="G180" s="18" t="str">
        <f>IFERROR(IF('August 2027 Log'!BO81="","",'August 2027 Log'!BO81),"")</f>
        <v/>
      </c>
      <c r="H180" s="21" t="str">
        <f t="shared" si="8"/>
        <v/>
      </c>
      <c r="I180" s="21">
        <f t="shared" si="9"/>
        <v>-737209</v>
      </c>
    </row>
    <row r="181" spans="1:9" x14ac:dyDescent="0.35">
      <c r="A181" s="15" t="s">
        <v>232</v>
      </c>
      <c r="B181" s="18" t="str">
        <f>IFERROR(IF('March 2027 Log'!BO82="","",'March 2027 Log'!BO82),"")</f>
        <v/>
      </c>
      <c r="C181" s="18" t="str">
        <f>IFERROR(IF('April 2027 Log'!BO82="","",'April 2027 Log'!BO82),"")</f>
        <v/>
      </c>
      <c r="D181" s="18" t="str">
        <f>IFERROR(IF('May 2027 Log'!BO82="","",'May 2027 Log'!BO82),"")</f>
        <v/>
      </c>
      <c r="E181" s="18" t="str">
        <f>IFERROR(IF('June 2027 Log'!BO82="","",'June 2027 Log'!BO82),"")</f>
        <v/>
      </c>
      <c r="F181" s="18" t="str">
        <f>IFERROR(IF('July 2027 Log'!BO82="","",'July 2027 Log'!BO82),"")</f>
        <v/>
      </c>
      <c r="G181" s="18" t="str">
        <f>IFERROR(IF('August 2027 Log'!BO82="","",'August 2027 Log'!BO82),"")</f>
        <v/>
      </c>
      <c r="H181" s="21" t="str">
        <f t="shared" si="8"/>
        <v/>
      </c>
      <c r="I181" s="21">
        <f t="shared" si="9"/>
        <v>-737272</v>
      </c>
    </row>
    <row r="182" spans="1:9" x14ac:dyDescent="0.35">
      <c r="A182" s="15" t="s">
        <v>233</v>
      </c>
      <c r="B182" s="18" t="str">
        <f>IFERROR(IF('March 2027 Log'!BO83="","",'March 2027 Log'!BO83),"")</f>
        <v/>
      </c>
      <c r="C182" s="18" t="str">
        <f>IFERROR(IF('April 2027 Log'!BO83="","",'April 2027 Log'!BO83),"")</f>
        <v/>
      </c>
      <c r="D182" s="18" t="str">
        <f>IFERROR(IF('May 2027 Log'!BO83="","",'May 2027 Log'!BO83),"")</f>
        <v/>
      </c>
      <c r="E182" s="18" t="str">
        <f>IFERROR(IF('June 2027 Log'!BO83="","",'June 2027 Log'!BO83),"")</f>
        <v/>
      </c>
      <c r="F182" s="18" t="str">
        <f>IFERROR(IF('July 2027 Log'!BO83="","",'July 2027 Log'!BO83),"")</f>
        <v/>
      </c>
      <c r="G182" s="18" t="str">
        <f>IFERROR(IF('August 2027 Log'!BO83="","",'August 2027 Log'!BO83),"")</f>
        <v/>
      </c>
      <c r="H182" s="21" t="str">
        <f t="shared" si="8"/>
        <v/>
      </c>
      <c r="I182" s="21">
        <f t="shared" si="9"/>
        <v>-230</v>
      </c>
    </row>
    <row r="183" spans="1:9" x14ac:dyDescent="0.35">
      <c r="A183" s="15" t="s">
        <v>234</v>
      </c>
      <c r="B183" s="18" t="str">
        <f>IFERROR(IF('March 2027 Log'!BO84="","",'March 2027 Log'!BO84),"")</f>
        <v/>
      </c>
      <c r="C183" s="18" t="str">
        <f>IFERROR(IF('April 2027 Log'!BO84="","",'April 2027 Log'!BO84),"")</f>
        <v/>
      </c>
      <c r="D183" s="18" t="str">
        <f>IFERROR(IF('May 2027 Log'!BO84="","",'May 2027 Log'!BO84),"")</f>
        <v/>
      </c>
      <c r="E183" s="18" t="str">
        <f>IFERROR(IF('June 2027 Log'!BO84="","",'June 2027 Log'!BO84),"")</f>
        <v/>
      </c>
      <c r="F183" s="18" t="str">
        <f>IFERROR(IF('July 2027 Log'!BO84="","",'July 2027 Log'!BO84),"")</f>
        <v/>
      </c>
      <c r="G183" s="18" t="str">
        <f>IFERROR(IF('August 2027 Log'!BO84="","",'August 2027 Log'!BO84),"")</f>
        <v/>
      </c>
      <c r="H183" s="21" t="str">
        <f t="shared" si="8"/>
        <v/>
      </c>
      <c r="I183" s="21">
        <f t="shared" si="9"/>
        <v>-80449</v>
      </c>
    </row>
    <row r="184" spans="1:9" x14ac:dyDescent="0.35">
      <c r="A184" s="15" t="s">
        <v>235</v>
      </c>
      <c r="B184" s="18" t="str">
        <f>IFERROR(IF('March 2027 Log'!BO85="","",'March 2027 Log'!BO85),"")</f>
        <v/>
      </c>
      <c r="C184" s="18" t="str">
        <f>IFERROR(IF('April 2027 Log'!BO85="","",'April 2027 Log'!BO85),"")</f>
        <v/>
      </c>
      <c r="D184" s="18" t="str">
        <f>IFERROR(IF('May 2027 Log'!BO85="","",'May 2027 Log'!BO85),"")</f>
        <v/>
      </c>
      <c r="E184" s="18" t="str">
        <f>IFERROR(IF('June 2027 Log'!BO85="","",'June 2027 Log'!BO85),"")</f>
        <v/>
      </c>
      <c r="F184" s="18" t="str">
        <f>IFERROR(IF('July 2027 Log'!BO85="","",'July 2027 Log'!BO85),"")</f>
        <v/>
      </c>
      <c r="G184" s="18" t="str">
        <f>IFERROR(IF('August 2027 Log'!BO85="","",'August 2027 Log'!BO85),"")</f>
        <v/>
      </c>
      <c r="H184" s="21" t="str">
        <f t="shared" si="8"/>
        <v/>
      </c>
      <c r="I184" s="21">
        <f t="shared" si="9"/>
        <v>-92307</v>
      </c>
    </row>
    <row r="185" spans="1:9" x14ac:dyDescent="0.35">
      <c r="A185" s="15" t="s">
        <v>236</v>
      </c>
      <c r="B185" s="18" t="str">
        <f>IFERROR(IF('March 2027 Log'!BO86="","",'March 2027 Log'!BO86),"")</f>
        <v/>
      </c>
      <c r="C185" s="18" t="str">
        <f>IFERROR(IF('April 2027 Log'!BO86="","",'April 2027 Log'!BO86),"")</f>
        <v/>
      </c>
      <c r="D185" s="18" t="str">
        <f>IFERROR(IF('May 2027 Log'!BO86="","",'May 2027 Log'!BO86),"")</f>
        <v/>
      </c>
      <c r="E185" s="18" t="str">
        <f>IFERROR(IF('June 2027 Log'!BO86="","",'June 2027 Log'!BO86),"")</f>
        <v/>
      </c>
      <c r="F185" s="18" t="str">
        <f>IFERROR(IF('July 2027 Log'!BO86="","",'July 2027 Log'!BO86),"")</f>
        <v/>
      </c>
      <c r="G185" s="18" t="str">
        <f>IFERROR(IF('August 2027 Log'!BO86="","",'August 2027 Log'!BO86),"")</f>
        <v/>
      </c>
      <c r="H185" s="21" t="str">
        <f t="shared" si="8"/>
        <v/>
      </c>
      <c r="I185" s="21">
        <f t="shared" si="9"/>
        <v>-65602</v>
      </c>
    </row>
    <row r="186" spans="1:9" x14ac:dyDescent="0.35">
      <c r="A186" s="15" t="s">
        <v>237</v>
      </c>
      <c r="B186" s="18" t="str">
        <f>IFERROR(IF('March 2027 Log'!BO87="","",'March 2027 Log'!BO87),"")</f>
        <v/>
      </c>
      <c r="C186" s="18" t="str">
        <f>IFERROR(IF('April 2027 Log'!BO87="","",'April 2027 Log'!BO87),"")</f>
        <v/>
      </c>
      <c r="D186" s="18" t="str">
        <f>IFERROR(IF('May 2027 Log'!BO87="","",'May 2027 Log'!BO87),"")</f>
        <v/>
      </c>
      <c r="E186" s="18" t="str">
        <f>IFERROR(IF('June 2027 Log'!BO87="","",'June 2027 Log'!BO87),"")</f>
        <v/>
      </c>
      <c r="F186" s="18" t="str">
        <f>IFERROR(IF('July 2027 Log'!BO87="","",'July 2027 Log'!BO87),"")</f>
        <v/>
      </c>
      <c r="G186" s="18" t="str">
        <f>IFERROR(IF('August 2027 Log'!BO87="","",'August 2027 Log'!BO87),"")</f>
        <v/>
      </c>
      <c r="H186" s="21" t="str">
        <f t="shared" si="8"/>
        <v/>
      </c>
      <c r="I186" s="21">
        <f t="shared" si="9"/>
        <v>-6734</v>
      </c>
    </row>
    <row r="187" spans="1:9" x14ac:dyDescent="0.35">
      <c r="A187" s="15" t="s">
        <v>238</v>
      </c>
      <c r="B187" s="18" t="str">
        <f>IFERROR(IF('March 2027 Log'!BO88="","",'March 2027 Log'!BO88),"")</f>
        <v/>
      </c>
      <c r="C187" s="18" t="str">
        <f>IFERROR(IF('April 2027 Log'!BO88="","",'April 2027 Log'!BO88),"")</f>
        <v/>
      </c>
      <c r="D187" s="18" t="str">
        <f>IFERROR(IF('May 2027 Log'!BO88="","",'May 2027 Log'!BO88),"")</f>
        <v/>
      </c>
      <c r="E187" s="18" t="str">
        <f>IFERROR(IF('June 2027 Log'!BO88="","",'June 2027 Log'!BO88),"")</f>
        <v/>
      </c>
      <c r="F187" s="18" t="str">
        <f>IFERROR(IF('July 2027 Log'!BO88="","",'July 2027 Log'!BO88),"")</f>
        <v/>
      </c>
      <c r="G187" s="18" t="str">
        <f>IFERROR(IF('August 2027 Log'!BO88="","",'August 2027 Log'!BO88),"")</f>
        <v/>
      </c>
      <c r="H187" s="21" t="str">
        <f t="shared" si="8"/>
        <v/>
      </c>
      <c r="I187" s="21">
        <f t="shared" si="9"/>
        <v>-16896</v>
      </c>
    </row>
    <row r="188" spans="1:9" x14ac:dyDescent="0.35">
      <c r="A188" s="15" t="s">
        <v>239</v>
      </c>
      <c r="B188" s="18" t="str">
        <f>IFERROR(IF('March 2027 Log'!BO91="","",'March 2027 Log'!BO91),"")</f>
        <v/>
      </c>
      <c r="C188" s="18" t="str">
        <f>IFERROR(IF('April 2027 Log'!BO91="","",'April 2027 Log'!BO91),"")</f>
        <v/>
      </c>
      <c r="D188" s="18" t="str">
        <f>IFERROR(IF('May 2027 Log'!BO91="","",'May 2027 Log'!BO91),"")</f>
        <v/>
      </c>
      <c r="E188" s="18" t="str">
        <f>IFERROR(IF('June 2027 Log'!BO91="","",'June 2027 Log'!BO91),"")</f>
        <v/>
      </c>
      <c r="F188" s="18" t="str">
        <f>IFERROR(IF('July 2027 Log'!BO91="","",'July 2027 Log'!BO91),"")</f>
        <v/>
      </c>
      <c r="G188" s="18" t="str">
        <f>IFERROR(IF('August 2027 Log'!BO91="","",'August 2027 Log'!BO91),"")</f>
        <v/>
      </c>
      <c r="H188" s="21" t="str">
        <f t="shared" si="8"/>
        <v/>
      </c>
      <c r="I188" s="21">
        <f t="shared" si="9"/>
        <v>999509.82000000007</v>
      </c>
    </row>
    <row r="189" spans="1:9" x14ac:dyDescent="0.35">
      <c r="A189" s="15" t="s">
        <v>240</v>
      </c>
      <c r="B189" s="18" t="str">
        <f>IFERROR(IF('March 2027 Log'!BO92="","",'March 2027 Log'!BO92),"")</f>
        <v/>
      </c>
      <c r="C189" s="18" t="str">
        <f>IFERROR(IF('April 2027 Log'!BO92="","",'April 2027 Log'!BO92),"")</f>
        <v/>
      </c>
      <c r="D189" s="18" t="str">
        <f>IFERROR(IF('May 2027 Log'!BO92="","",'May 2027 Log'!BO92),"")</f>
        <v/>
      </c>
      <c r="E189" s="18" t="str">
        <f>IFERROR(IF('June 2027 Log'!BO92="","",'June 2027 Log'!BO92),"")</f>
        <v/>
      </c>
      <c r="F189" s="18" t="str">
        <f>IFERROR(IF('July 2027 Log'!BO92="","",'July 2027 Log'!BO92),"")</f>
        <v/>
      </c>
      <c r="G189" s="18" t="str">
        <f>IFERROR(IF('August 2027 Log'!BO92="","",'August 2027 Log'!BO92),"")</f>
        <v/>
      </c>
      <c r="H189" s="21" t="str">
        <f t="shared" si="8"/>
        <v/>
      </c>
      <c r="I189" s="21">
        <f t="shared" si="9"/>
        <v>1635686.9400000002</v>
      </c>
    </row>
    <row r="190" spans="1:9" x14ac:dyDescent="0.35">
      <c r="A190" s="15" t="s">
        <v>241</v>
      </c>
      <c r="B190" s="18" t="str">
        <f>IFERROR(IF('March 2027 Log'!BO93="","",'March 2027 Log'!BO93),"")</f>
        <v/>
      </c>
      <c r="C190" s="18" t="str">
        <f>IFERROR(IF('April 2027 Log'!BO93="","",'April 2027 Log'!BO93),"")</f>
        <v/>
      </c>
      <c r="D190" s="18" t="str">
        <f>IFERROR(IF('May 2027 Log'!BO93="","",'May 2027 Log'!BO93),"")</f>
        <v/>
      </c>
      <c r="E190" s="18" t="str">
        <f>IFERROR(IF('June 2027 Log'!BO93="","",'June 2027 Log'!BO93),"")</f>
        <v/>
      </c>
      <c r="F190" s="18" t="str">
        <f>IFERROR(IF('July 2027 Log'!BO93="","",'July 2027 Log'!BO93),"")</f>
        <v/>
      </c>
      <c r="G190" s="18" t="str">
        <f>IFERROR(IF('August 2027 Log'!BO93="","",'August 2027 Log'!BO93),"")</f>
        <v/>
      </c>
      <c r="H190" s="21" t="str">
        <f t="shared" si="8"/>
        <v/>
      </c>
      <c r="I190" s="21">
        <f t="shared" si="9"/>
        <v>1663767.7999999998</v>
      </c>
    </row>
    <row r="191" spans="1:9" x14ac:dyDescent="0.35">
      <c r="A191" s="15" t="s">
        <v>242</v>
      </c>
      <c r="B191" s="18" t="str">
        <f>IFERROR(IF('March 2027 Log'!BO94="","",'March 2027 Log'!BO94),"")</f>
        <v/>
      </c>
      <c r="C191" s="18" t="str">
        <f>IFERROR(IF('April 2027 Log'!BO94="","",'April 2027 Log'!BO94),"")</f>
        <v/>
      </c>
      <c r="D191" s="18" t="str">
        <f>IFERROR(IF('May 2027 Log'!BO94="","",'May 2027 Log'!BO94),"")</f>
        <v/>
      </c>
      <c r="E191" s="18" t="str">
        <f>IFERROR(IF('June 2027 Log'!BO94="","",'June 2027 Log'!BO94),"")</f>
        <v/>
      </c>
      <c r="F191" s="18" t="str">
        <f>IFERROR(IF('July 2027 Log'!BO94="","",'July 2027 Log'!BO94),"")</f>
        <v/>
      </c>
      <c r="G191" s="18" t="str">
        <f>IFERROR(IF('August 2027 Log'!BO94="","",'August 2027 Log'!BO94),"")</f>
        <v/>
      </c>
      <c r="H191" s="21" t="str">
        <f t="shared" si="8"/>
        <v/>
      </c>
      <c r="I191" s="21">
        <f t="shared" si="9"/>
        <v>50864.01</v>
      </c>
    </row>
    <row r="192" spans="1:9" x14ac:dyDescent="0.35">
      <c r="A192" s="15" t="s">
        <v>243</v>
      </c>
      <c r="B192" s="18" t="str">
        <f>IFERROR(IF('March 2027 Log'!BO95="","",'March 2027 Log'!BO95),"")</f>
        <v/>
      </c>
      <c r="C192" s="18" t="str">
        <f>IFERROR(IF('April 2027 Log'!BO95="","",'April 2027 Log'!BO95),"")</f>
        <v/>
      </c>
      <c r="D192" s="18" t="str">
        <f>IFERROR(IF('May 2027 Log'!BO95="","",'May 2027 Log'!BO95),"")</f>
        <v/>
      </c>
      <c r="E192" s="18" t="str">
        <f>IFERROR(IF('June 2027 Log'!BO95="","",'June 2027 Log'!BO95),"")</f>
        <v/>
      </c>
      <c r="F192" s="18" t="str">
        <f>IFERROR(IF('July 2027 Log'!BO95="","",'July 2027 Log'!BO95),"")</f>
        <v/>
      </c>
      <c r="G192" s="18" t="str">
        <f>IFERROR(IF('August 2027 Log'!BO95="","",'August 2027 Log'!BO95),"")</f>
        <v/>
      </c>
      <c r="H192" s="21" t="str">
        <f t="shared" si="8"/>
        <v/>
      </c>
      <c r="I192" s="21">
        <f t="shared" si="9"/>
        <v>816738.55</v>
      </c>
    </row>
    <row r="193" spans="1:9" x14ac:dyDescent="0.35">
      <c r="A193" s="15" t="s">
        <v>244</v>
      </c>
      <c r="B193" s="18" t="str">
        <f>IFERROR(IF('March 2027 Log'!BO96="","",'March 2027 Log'!BO96),"")</f>
        <v/>
      </c>
      <c r="C193" s="18" t="str">
        <f>IFERROR(IF('April 2027 Log'!BO96="","",'April 2027 Log'!BO96),"")</f>
        <v/>
      </c>
      <c r="D193" s="18" t="str">
        <f>IFERROR(IF('May 2027 Log'!BO96="","",'May 2027 Log'!BO96),"")</f>
        <v/>
      </c>
      <c r="E193" s="18" t="str">
        <f>IFERROR(IF('June 2027 Log'!BO96="","",'June 2027 Log'!BO96),"")</f>
        <v/>
      </c>
      <c r="F193" s="18" t="str">
        <f>IFERROR(IF('July 2027 Log'!BO96="","",'July 2027 Log'!BO96),"")</f>
        <v/>
      </c>
      <c r="G193" s="18" t="str">
        <f>IFERROR(IF('August 2027 Log'!BO96="","",'August 2027 Log'!BO96),"")</f>
        <v/>
      </c>
      <c r="H193" s="21" t="str">
        <f t="shared" si="8"/>
        <v/>
      </c>
      <c r="I193" s="21">
        <f t="shared" si="9"/>
        <v>1480045.7999999998</v>
      </c>
    </row>
    <row r="194" spans="1:9" x14ac:dyDescent="0.35">
      <c r="A194" s="15" t="s">
        <v>245</v>
      </c>
      <c r="B194" s="18" t="str">
        <f>IFERROR(IF('March 2027 Log'!BO97="","",'March 2027 Log'!BO97),"")</f>
        <v/>
      </c>
      <c r="C194" s="18" t="str">
        <f>IFERROR(IF('April 2027 Log'!BO97="","",'April 2027 Log'!BO97),"")</f>
        <v/>
      </c>
      <c r="D194" s="18" t="str">
        <f>IFERROR(IF('May 2027 Log'!BO97="","",'May 2027 Log'!BO97),"")</f>
        <v/>
      </c>
      <c r="E194" s="18" t="str">
        <f>IFERROR(IF('June 2027 Log'!BO97="","",'June 2027 Log'!BO97),"")</f>
        <v/>
      </c>
      <c r="F194" s="18" t="str">
        <f>IFERROR(IF('July 2027 Log'!BO97="","",'July 2027 Log'!BO97),"")</f>
        <v/>
      </c>
      <c r="G194" s="18" t="str">
        <f>IFERROR(IF('August 2027 Log'!BO97="","",'August 2027 Log'!BO97),"")</f>
        <v/>
      </c>
      <c r="H194" s="21" t="str">
        <f t="shared" si="8"/>
        <v/>
      </c>
      <c r="I194" s="21">
        <f t="shared" si="9"/>
        <v>4348.24</v>
      </c>
    </row>
    <row r="195" spans="1:9" x14ac:dyDescent="0.35">
      <c r="A195" s="15" t="s">
        <v>246</v>
      </c>
      <c r="B195" s="18" t="str">
        <f>IFERROR(IF('March 2027 Log'!BO98="","",'March 2027 Log'!BO98),"")</f>
        <v/>
      </c>
      <c r="C195" s="18" t="str">
        <f>IFERROR(IF('April 2027 Log'!BO98="","",'April 2027 Log'!BO98),"")</f>
        <v/>
      </c>
      <c r="D195" s="18" t="str">
        <f>IFERROR(IF('May 2027 Log'!BO98="","",'May 2027 Log'!BO98),"")</f>
        <v/>
      </c>
      <c r="E195" s="18" t="str">
        <f>IFERROR(IF('June 2027 Log'!BO98="","",'June 2027 Log'!BO98),"")</f>
        <v/>
      </c>
      <c r="F195" s="18" t="str">
        <f>IFERROR(IF('July 2027 Log'!BO98="","",'July 2027 Log'!BO98),"")</f>
        <v/>
      </c>
      <c r="G195" s="18" t="str">
        <f>IFERROR(IF('August 2027 Log'!BO98="","",'August 2027 Log'!BO98),"")</f>
        <v/>
      </c>
      <c r="H195" s="21" t="str">
        <f t="shared" si="8"/>
        <v/>
      </c>
      <c r="I195" s="21">
        <f t="shared" si="9"/>
        <v>169296.82</v>
      </c>
    </row>
    <row r="196" spans="1:9" x14ac:dyDescent="0.35">
      <c r="A196" s="15" t="s">
        <v>247</v>
      </c>
      <c r="B196" s="18" t="str">
        <f>IFERROR(IF('March 2027 Log'!BO99="","",'March 2027 Log'!BO99),"")</f>
        <v/>
      </c>
      <c r="C196" s="18" t="str">
        <f>IFERROR(IF('April 2027 Log'!BO99="","",'April 2027 Log'!BO99),"")</f>
        <v/>
      </c>
      <c r="D196" s="18" t="str">
        <f>IFERROR(IF('May 2027 Log'!BO99="","",'May 2027 Log'!BO99),"")</f>
        <v/>
      </c>
      <c r="E196" s="18" t="str">
        <f>IFERROR(IF('June 2027 Log'!BO99="","",'June 2027 Log'!BO99),"")</f>
        <v/>
      </c>
      <c r="F196" s="18" t="str">
        <f>IFERROR(IF('July 2027 Log'!BO99="","",'July 2027 Log'!BO99),"")</f>
        <v/>
      </c>
      <c r="G196" s="18" t="str">
        <f>IFERROR(IF('August 2027 Log'!BO99="","",'August 2027 Log'!BO99),"")</f>
        <v/>
      </c>
      <c r="H196" s="21" t="str">
        <f t="shared" si="8"/>
        <v/>
      </c>
      <c r="I196" s="21">
        <f t="shared" si="9"/>
        <v>199966.26</v>
      </c>
    </row>
    <row r="197" spans="1:9" x14ac:dyDescent="0.35">
      <c r="A197" s="15" t="s">
        <v>248</v>
      </c>
      <c r="B197" s="18" t="str">
        <f>IFERROR(IF('March 2027 Log'!BO100="","",'March 2027 Log'!BO100),"")</f>
        <v/>
      </c>
      <c r="C197" s="18" t="str">
        <f>IFERROR(IF('April 2027 Log'!BO100="","",'April 2027 Log'!BO100),"")</f>
        <v/>
      </c>
      <c r="D197" s="18" t="str">
        <f>IFERROR(IF('May 2027 Log'!BO100="","",'May 2027 Log'!BO100),"")</f>
        <v/>
      </c>
      <c r="E197" s="18" t="str">
        <f>IFERROR(IF('June 2027 Log'!BO100="","",'June 2027 Log'!BO100),"")</f>
        <v/>
      </c>
      <c r="F197" s="18" t="str">
        <f>IFERROR(IF('July 2027 Log'!BO100="","",'July 2027 Log'!BO100),"")</f>
        <v/>
      </c>
      <c r="G197" s="18" t="str">
        <f>IFERROR(IF('August 2027 Log'!BO100="","",'August 2027 Log'!BO100),"")</f>
        <v/>
      </c>
      <c r="H197" s="21" t="str">
        <f t="shared" si="8"/>
        <v/>
      </c>
      <c r="I197" s="21">
        <f t="shared" si="9"/>
        <v>135730.19</v>
      </c>
    </row>
    <row r="198" spans="1:9" x14ac:dyDescent="0.35">
      <c r="A198" s="15" t="s">
        <v>249</v>
      </c>
      <c r="B198" s="18" t="str">
        <f>IFERROR(IF('March 2027 Log'!BO101="","",'March 2027 Log'!BO101),"")</f>
        <v/>
      </c>
      <c r="C198" s="18" t="str">
        <f>IFERROR(IF('April 2027 Log'!BO101="","",'April 2027 Log'!BO101),"")</f>
        <v/>
      </c>
      <c r="D198" s="18" t="str">
        <f>IFERROR(IF('May 2027 Log'!BO101="","",'May 2027 Log'!BO101),"")</f>
        <v/>
      </c>
      <c r="E198" s="18" t="str">
        <f>IFERROR(IF('June 2027 Log'!BO101="","",'June 2027 Log'!BO101),"")</f>
        <v/>
      </c>
      <c r="F198" s="18" t="str">
        <f>IFERROR(IF('July 2027 Log'!BO101="","",'July 2027 Log'!BO101),"")</f>
        <v/>
      </c>
      <c r="G198" s="18" t="str">
        <f>IFERROR(IF('August 2027 Log'!BO101="","",'August 2027 Log'!BO101),"")</f>
        <v/>
      </c>
      <c r="H198" s="21" t="str">
        <f t="shared" si="8"/>
        <v/>
      </c>
      <c r="I198" s="21">
        <f t="shared" si="9"/>
        <v>23933.22</v>
      </c>
    </row>
    <row r="199" spans="1:9" x14ac:dyDescent="0.35">
      <c r="A199" s="15" t="s">
        <v>250</v>
      </c>
      <c r="B199" s="18" t="str">
        <f>IFERROR(IF('March 2027 Log'!BO102="","",'March 2027 Log'!BO102),"")</f>
        <v/>
      </c>
      <c r="C199" s="18" t="str">
        <f>IFERROR(IF('April 2027 Log'!BO102="","",'April 2027 Log'!BO102),"")</f>
        <v/>
      </c>
      <c r="D199" s="18" t="str">
        <f>IFERROR(IF('May 2027 Log'!BO102="","",'May 2027 Log'!BO102),"")</f>
        <v/>
      </c>
      <c r="E199" s="18" t="str">
        <f>IFERROR(IF('June 2027 Log'!BO102="","",'June 2027 Log'!BO102),"")</f>
        <v/>
      </c>
      <c r="F199" s="18" t="str">
        <f>IFERROR(IF('July 2027 Log'!BO102="","",'July 2027 Log'!BO102),"")</f>
        <v/>
      </c>
      <c r="G199" s="18" t="str">
        <f>IFERROR(IF('August 2027 Log'!BO102="","",'August 2027 Log'!BO102),"")</f>
        <v/>
      </c>
      <c r="H199" s="21" t="str">
        <f t="shared" si="8"/>
        <v/>
      </c>
      <c r="I199" s="21">
        <f t="shared" si="9"/>
        <v>48485.96</v>
      </c>
    </row>
    <row r="200" spans="1:9" x14ac:dyDescent="0.35">
      <c r="A200" s="15" t="s">
        <v>251</v>
      </c>
      <c r="B200" s="18" t="str">
        <f>IFERROR(IF('March 2027 Log'!BO103="","",'March 2027 Log'!BO103),"")</f>
        <v/>
      </c>
      <c r="C200" s="18" t="str">
        <f>IFERROR(IF('April 2027 Log'!BO103="","",'April 2027 Log'!BO103),"")</f>
        <v/>
      </c>
      <c r="D200" s="18" t="str">
        <f>IFERROR(IF('May 2027 Log'!BO103="","",'May 2027 Log'!BO103),"")</f>
        <v/>
      </c>
      <c r="E200" s="18" t="str">
        <f>IFERROR(IF('June 2027 Log'!BO103="","",'June 2027 Log'!BO103),"")</f>
        <v/>
      </c>
      <c r="F200" s="18" t="str">
        <f>IFERROR(IF('July 2027 Log'!BO103="","",'July 2027 Log'!BO103),"")</f>
        <v/>
      </c>
      <c r="G200" s="18" t="str">
        <f>IFERROR(IF('August 2027 Log'!BO103="","",'August 2027 Log'!BO103),"")</f>
        <v/>
      </c>
      <c r="H200" s="21" t="str">
        <f t="shared" si="8"/>
        <v/>
      </c>
      <c r="I200" s="21">
        <f t="shared" si="9"/>
        <v>7228373.6099999994</v>
      </c>
    </row>
    <row r="201" spans="1:9" x14ac:dyDescent="0.35">
      <c r="A201" s="15" t="s">
        <v>252</v>
      </c>
      <c r="B201" s="18" t="str">
        <f>IFERROR(IF('March 2027 Log'!BO106="","",'March 2027 Log'!BO106),"")</f>
        <v/>
      </c>
      <c r="C201" s="18" t="str">
        <f>IFERROR(IF('April 2027 Log'!BO106="","",'April 2027 Log'!BO106),"")</f>
        <v/>
      </c>
      <c r="D201" s="18" t="str">
        <f>IFERROR(IF('May 2027 Log'!BO106="","",'May 2027 Log'!BO106),"")</f>
        <v/>
      </c>
      <c r="E201" s="18" t="str">
        <f>IFERROR(IF('June 2027 Log'!BO106="","",'June 2027 Log'!BO106),"")</f>
        <v/>
      </c>
      <c r="F201" s="18" t="str">
        <f>IFERROR(IF('July 2027 Log'!BO106="","",'July 2027 Log'!BO106),"")</f>
        <v/>
      </c>
      <c r="G201" s="18" t="str">
        <f>IFERROR(IF('August 2027 Log'!BO106="","",'August 2027 Log'!BO106),"")</f>
        <v/>
      </c>
      <c r="H201" s="21" t="str">
        <f t="shared" si="8"/>
        <v/>
      </c>
      <c r="I201" s="21">
        <f t="shared" si="9"/>
        <v>14955</v>
      </c>
    </row>
    <row r="202" spans="1:9" x14ac:dyDescent="0.35">
      <c r="A202" s="15" t="s">
        <v>253</v>
      </c>
      <c r="B202" s="18" t="str">
        <f>IFERROR(IF('March 2027 Log'!BO107="","",'March 2027 Log'!BO107),"")</f>
        <v/>
      </c>
      <c r="C202" s="18" t="str">
        <f>IFERROR(IF('April 2027 Log'!BO107="","",'April 2027 Log'!BO107),"")</f>
        <v/>
      </c>
      <c r="D202" s="18" t="str">
        <f>IFERROR(IF('May 2027 Log'!BO107="","",'May 2027 Log'!BO107),"")</f>
        <v/>
      </c>
      <c r="E202" s="18" t="str">
        <f>IFERROR(IF('June 2027 Log'!BO107="","",'June 2027 Log'!BO107),"")</f>
        <v/>
      </c>
      <c r="F202" s="18" t="str">
        <f>IFERROR(IF('July 2027 Log'!BO107="","",'July 2027 Log'!BO107),"")</f>
        <v/>
      </c>
      <c r="G202" s="18" t="str">
        <f>IFERROR(IF('August 2027 Log'!BO107="","",'August 2027 Log'!BO107),"")</f>
        <v/>
      </c>
      <c r="H202" s="21" t="str">
        <f t="shared" si="8"/>
        <v/>
      </c>
      <c r="I202" s="21">
        <f t="shared" si="9"/>
        <v>4531</v>
      </c>
    </row>
    <row r="203" spans="1:9" x14ac:dyDescent="0.35">
      <c r="A203" s="15" t="s">
        <v>253</v>
      </c>
      <c r="B203" s="18" t="str">
        <f>IFERROR(IF('March 2027 Log'!BO108="","",'March 2027 Log'!BO108),"")</f>
        <v/>
      </c>
      <c r="C203" s="18" t="str">
        <f>IFERROR(IF('April 2027 Log'!BO108="","",'April 2027 Log'!BO108),"")</f>
        <v/>
      </c>
      <c r="D203" s="18" t="str">
        <f>IFERROR(IF('May 2027 Log'!BO108="","",'May 2027 Log'!BO108),"")</f>
        <v/>
      </c>
      <c r="E203" s="18" t="str">
        <f>IFERROR(IF('June 2027 Log'!BO108="","",'June 2027 Log'!BO108),"")</f>
        <v/>
      </c>
      <c r="F203" s="18" t="str">
        <f>IFERROR(IF('July 2027 Log'!BO108="","",'July 2027 Log'!BO108),"")</f>
        <v/>
      </c>
      <c r="G203" s="18" t="str">
        <f>IFERROR(IF('August 2027 Log'!BO108="","",'August 2027 Log'!BO108),"")</f>
        <v/>
      </c>
      <c r="H203" s="21" t="str">
        <f t="shared" si="8"/>
        <v/>
      </c>
      <c r="I203" s="21">
        <f t="shared" si="9"/>
        <v>4512</v>
      </c>
    </row>
    <row r="204" spans="1:9" x14ac:dyDescent="0.35">
      <c r="A204" s="15" t="s">
        <v>254</v>
      </c>
      <c r="B204" s="18" t="str">
        <f>IFERROR(IF('March 2027 Log'!BO109="","",'March 2027 Log'!BO109),"")</f>
        <v/>
      </c>
      <c r="C204" s="18" t="str">
        <f>IFERROR(IF('April 2027 Log'!BO109="","",'April 2027 Log'!BO109),"")</f>
        <v/>
      </c>
      <c r="D204" s="18" t="str">
        <f>IFERROR(IF('May 2027 Log'!BO109="","",'May 2027 Log'!BO109),"")</f>
        <v/>
      </c>
      <c r="E204" s="18" t="str">
        <f>IFERROR(IF('June 2027 Log'!BO109="","",'June 2027 Log'!BO109),"")</f>
        <v/>
      </c>
      <c r="F204" s="18" t="str">
        <f>IFERROR(IF('July 2027 Log'!BO109="","",'July 2027 Log'!BO109),"")</f>
        <v/>
      </c>
      <c r="G204" s="18" t="str">
        <f>IFERROR(IF('August 2027 Log'!BO109="","",'August 2027 Log'!BO109),"")</f>
        <v/>
      </c>
      <c r="H204" s="21" t="str">
        <f t="shared" si="8"/>
        <v/>
      </c>
      <c r="I204" s="21">
        <f t="shared" si="9"/>
        <v>17499</v>
      </c>
    </row>
    <row r="205" spans="1:9" x14ac:dyDescent="0.35">
      <c r="A205" s="15" t="s">
        <v>254</v>
      </c>
      <c r="B205" s="18" t="str">
        <f>IFERROR(IF('March 2027 Log'!BO110="","",'March 2027 Log'!BO110),"")</f>
        <v/>
      </c>
      <c r="C205" s="18" t="str">
        <f>IFERROR(IF('April 2027 Log'!BO110="","",'April 2027 Log'!BO110),"")</f>
        <v/>
      </c>
      <c r="D205" s="18" t="str">
        <f>IFERROR(IF('May 2027 Log'!BO110="","",'May 2027 Log'!BO110),"")</f>
        <v/>
      </c>
      <c r="E205" s="18" t="str">
        <f>IFERROR(IF('June 2027 Log'!BO110="","",'June 2027 Log'!BO110),"")</f>
        <v/>
      </c>
      <c r="F205" s="18" t="str">
        <f>IFERROR(IF('July 2027 Log'!BO110="","",'July 2027 Log'!BO110),"")</f>
        <v/>
      </c>
      <c r="G205" s="18" t="str">
        <f>IFERROR(IF('August 2027 Log'!BO110="","",'August 2027 Log'!BO110),"")</f>
        <v/>
      </c>
      <c r="H205" s="21" t="str">
        <f t="shared" si="8"/>
        <v/>
      </c>
      <c r="I205" s="21">
        <f t="shared" si="9"/>
        <v>17496</v>
      </c>
    </row>
    <row r="206" spans="1:9" x14ac:dyDescent="0.35">
      <c r="A206" s="15" t="s">
        <v>255</v>
      </c>
      <c r="B206" s="18" t="str">
        <f>IFERROR(IF('March 2027 Log'!BO111="","",'March 2027 Log'!BO111),"")</f>
        <v/>
      </c>
      <c r="C206" s="18" t="str">
        <f>IFERROR(IF('April 2027 Log'!BO111="","",'April 2027 Log'!BO111),"")</f>
        <v/>
      </c>
      <c r="D206" s="18" t="str">
        <f>IFERROR(IF('May 2027 Log'!BO111="","",'May 2027 Log'!BO111),"")</f>
        <v/>
      </c>
      <c r="E206" s="18" t="str">
        <f>IFERROR(IF('June 2027 Log'!BO111="","",'June 2027 Log'!BO111),"")</f>
        <v/>
      </c>
      <c r="F206" s="18" t="str">
        <f>IFERROR(IF('July 2027 Log'!BO111="","",'July 2027 Log'!BO111),"")</f>
        <v/>
      </c>
      <c r="G206" s="18" t="str">
        <f>IFERROR(IF('August 2027 Log'!BO111="","",'August 2027 Log'!BO111),"")</f>
        <v/>
      </c>
      <c r="H206" s="21" t="str">
        <f t="shared" si="8"/>
        <v/>
      </c>
      <c r="I206" s="21">
        <f t="shared" si="9"/>
        <v>48613.54</v>
      </c>
    </row>
    <row r="207" spans="1:9" x14ac:dyDescent="0.35">
      <c r="A207" s="15" t="s">
        <v>256</v>
      </c>
      <c r="B207" s="18" t="str">
        <f>IFERROR(IF('March 2027 Log'!BO112="","",'March 2027 Log'!BO112),"")</f>
        <v/>
      </c>
      <c r="C207" s="18" t="str">
        <f>IFERROR(IF('April 2027 Log'!BO112="","",'April 2027 Log'!BO112),"")</f>
        <v/>
      </c>
      <c r="D207" s="18" t="str">
        <f>IFERROR(IF('May 2027 Log'!BO112="","",'May 2027 Log'!BO112),"")</f>
        <v/>
      </c>
      <c r="E207" s="18" t="str">
        <f>IFERROR(IF('June 2027 Log'!BO112="","",'June 2027 Log'!BO112),"")</f>
        <v/>
      </c>
      <c r="F207" s="18" t="str">
        <f>IFERROR(IF('July 2027 Log'!BO112="","",'July 2027 Log'!BO112),"")</f>
        <v/>
      </c>
      <c r="G207" s="18" t="str">
        <f>IFERROR(IF('August 2027 Log'!BO112="","",'August 2027 Log'!BO112),"")</f>
        <v/>
      </c>
      <c r="H207" s="21" t="str">
        <f t="shared" si="8"/>
        <v/>
      </c>
      <c r="I207" s="21">
        <f t="shared" si="9"/>
        <v>10824.37</v>
      </c>
    </row>
    <row r="208" spans="1:9" x14ac:dyDescent="0.35">
      <c r="A208" s="15" t="s">
        <v>257</v>
      </c>
      <c r="B208" s="18" t="str">
        <f>IFERROR(IF('March 2027 Log'!BO113="","",'March 2027 Log'!BO113),"")</f>
        <v/>
      </c>
      <c r="C208" s="18" t="str">
        <f>IFERROR(IF('April 2027 Log'!BO113="","",'April 2027 Log'!BO113),"")</f>
        <v/>
      </c>
      <c r="D208" s="18" t="str">
        <f>IFERROR(IF('May 2027 Log'!BO113="","",'May 2027 Log'!BO113),"")</f>
        <v/>
      </c>
      <c r="E208" s="18" t="str">
        <f>IFERROR(IF('June 2027 Log'!BO113="","",'June 2027 Log'!BO113),"")</f>
        <v/>
      </c>
      <c r="F208" s="18" t="str">
        <f>IFERROR(IF('July 2027 Log'!BO113="","",'July 2027 Log'!BO113),"")</f>
        <v/>
      </c>
      <c r="G208" s="18" t="str">
        <f>IFERROR(IF('August 2027 Log'!BO113="","",'August 2027 Log'!BO113),"")</f>
        <v/>
      </c>
      <c r="H208" s="21" t="str">
        <f t="shared" si="8"/>
        <v/>
      </c>
      <c r="I208" s="21">
        <f t="shared" si="9"/>
        <v>29314.47</v>
      </c>
    </row>
    <row r="209" spans="1:9" x14ac:dyDescent="0.35">
      <c r="A209" s="15" t="s">
        <v>258</v>
      </c>
      <c r="B209" s="18" t="str">
        <f>IFERROR(IF('March 2027 Log'!BO114="","",'March 2027 Log'!BO114),"")</f>
        <v/>
      </c>
      <c r="C209" s="18" t="str">
        <f>IFERROR(IF('April 2027 Log'!BO114="","",'April 2027 Log'!BO114),"")</f>
        <v/>
      </c>
      <c r="D209" s="18" t="str">
        <f>IFERROR(IF('May 2027 Log'!BO114="","",'May 2027 Log'!BO114),"")</f>
        <v/>
      </c>
      <c r="E209" s="18" t="str">
        <f>IFERROR(IF('June 2027 Log'!BO114="","",'June 2027 Log'!BO114),"")</f>
        <v/>
      </c>
      <c r="F209" s="18" t="str">
        <f>IFERROR(IF('July 2027 Log'!BO114="","",'July 2027 Log'!BO114),"")</f>
        <v/>
      </c>
      <c r="G209" s="18" t="str">
        <f>IFERROR(IF('August 2027 Log'!BO114="","",'August 2027 Log'!BO114),"")</f>
        <v/>
      </c>
      <c r="H209" s="21" t="str">
        <f t="shared" ref="H209:H215" si="10">IF(COUNT(B209:G209)=0,"",SUM(B209:G209))</f>
        <v/>
      </c>
      <c r="I209" s="21" t="str">
        <f t="shared" ref="I209:I215" si="11">IF(COUNT(B209:G209,I102)=0,"",SUM(B209:G209,I102))</f>
        <v/>
      </c>
    </row>
    <row r="210" spans="1:9" x14ac:dyDescent="0.35">
      <c r="A210" s="15" t="s">
        <v>259</v>
      </c>
      <c r="B210" s="18" t="str">
        <f>IFERROR(IF('March 2027 Log'!BO115="","",'March 2027 Log'!BO115),"")</f>
        <v/>
      </c>
      <c r="C210" s="18" t="str">
        <f>IFERROR(IF('April 2027 Log'!BO115="","",'April 2027 Log'!BO115),"")</f>
        <v/>
      </c>
      <c r="D210" s="18" t="str">
        <f>IFERROR(IF('May 2027 Log'!BO115="","",'May 2027 Log'!BO115),"")</f>
        <v/>
      </c>
      <c r="E210" s="18" t="str">
        <f>IFERROR(IF('June 2027 Log'!BO115="","",'June 2027 Log'!BO115),"")</f>
        <v/>
      </c>
      <c r="F210" s="18" t="str">
        <f>IFERROR(IF('July 2027 Log'!BO115="","",'July 2027 Log'!BO115),"")</f>
        <v/>
      </c>
      <c r="G210" s="18" t="str">
        <f>IFERROR(IF('August 2027 Log'!BO115="","",'August 2027 Log'!BO115),"")</f>
        <v/>
      </c>
      <c r="H210" s="21" t="str">
        <f t="shared" si="10"/>
        <v/>
      </c>
      <c r="I210" s="21" t="str">
        <f t="shared" si="11"/>
        <v/>
      </c>
    </row>
    <row r="211" spans="1:9" x14ac:dyDescent="0.35">
      <c r="A211" s="15" t="s">
        <v>260</v>
      </c>
      <c r="B211" s="18" t="str">
        <f>IFERROR(IF('March 2027 Log'!BO116="","",'March 2027 Log'!BO116),"")</f>
        <v/>
      </c>
      <c r="C211" s="18" t="str">
        <f>IFERROR(IF('April 2027 Log'!BO116="","",'April 2027 Log'!BO116),"")</f>
        <v/>
      </c>
      <c r="D211" s="18" t="str">
        <f>IFERROR(IF('May 2027 Log'!BO116="","",'May 2027 Log'!BO116),"")</f>
        <v/>
      </c>
      <c r="E211" s="18" t="str">
        <f>IFERROR(IF('June 2027 Log'!BO116="","",'June 2027 Log'!BO116),"")</f>
        <v/>
      </c>
      <c r="F211" s="18" t="str">
        <f>IFERROR(IF('July 2027 Log'!BO116="","",'July 2027 Log'!BO116),"")</f>
        <v/>
      </c>
      <c r="G211" s="18" t="str">
        <f>IFERROR(IF('August 2027 Log'!BO116="","",'August 2027 Log'!BO116),"")</f>
        <v/>
      </c>
      <c r="H211" s="21" t="str">
        <f t="shared" si="10"/>
        <v/>
      </c>
      <c r="I211" s="21" t="str">
        <f t="shared" si="11"/>
        <v/>
      </c>
    </row>
    <row r="212" spans="1:9" x14ac:dyDescent="0.35">
      <c r="A212" s="15" t="s">
        <v>261</v>
      </c>
      <c r="B212" s="18" t="str">
        <f>IFERROR(IF('March 2027 Log'!BO117="","",'March 2027 Log'!BO117),"")</f>
        <v/>
      </c>
      <c r="C212" s="18" t="str">
        <f>IFERROR(IF('April 2027 Log'!BO117="","",'April 2027 Log'!BO117),"")</f>
        <v/>
      </c>
      <c r="D212" s="18" t="str">
        <f>IFERROR(IF('May 2027 Log'!BO117="","",'May 2027 Log'!BO117),"")</f>
        <v/>
      </c>
      <c r="E212" s="18" t="str">
        <f>IFERROR(IF('June 2027 Log'!BO117="","",'June 2027 Log'!BO117),"")</f>
        <v/>
      </c>
      <c r="F212" s="18" t="str">
        <f>IFERROR(IF('July 2027 Log'!BO117="","",'July 2027 Log'!BO117),"")</f>
        <v/>
      </c>
      <c r="G212" s="18" t="str">
        <f>IFERROR(IF('August 2027 Log'!BO117="","",'August 2027 Log'!BO117),"")</f>
        <v/>
      </c>
      <c r="H212" s="21" t="str">
        <f t="shared" si="10"/>
        <v/>
      </c>
      <c r="I212" s="21" t="str">
        <f t="shared" si="11"/>
        <v/>
      </c>
    </row>
    <row r="213" spans="1:9" ht="29" x14ac:dyDescent="0.35">
      <c r="A213" s="15" t="s">
        <v>262</v>
      </c>
      <c r="B213" s="18" t="str">
        <f>IFERROR(IF('March 2027 Log'!BO118="","",'March 2027 Log'!BO118),"")</f>
        <v/>
      </c>
      <c r="C213" s="18" t="str">
        <f>IFERROR(IF('April 2027 Log'!BO118="","",'April 2027 Log'!BO118),"")</f>
        <v/>
      </c>
      <c r="D213" s="18" t="str">
        <f>IFERROR(IF('May 2027 Log'!BO118="","",'May 2027 Log'!BO118),"")</f>
        <v/>
      </c>
      <c r="E213" s="18" t="str">
        <f>IFERROR(IF('June 2027 Log'!BO118="","",'June 2027 Log'!BO118),"")</f>
        <v/>
      </c>
      <c r="F213" s="18" t="str">
        <f>IFERROR(IF('July 2027 Log'!BO118="","",'July 2027 Log'!BO118),"")</f>
        <v/>
      </c>
      <c r="G213" s="18" t="str">
        <f>IFERROR(IF('August 2027 Log'!BO118="","",'August 2027 Log'!BO118),"")</f>
        <v/>
      </c>
      <c r="H213" s="21" t="str">
        <f t="shared" si="10"/>
        <v/>
      </c>
      <c r="I213" s="21" t="str">
        <f t="shared" si="11"/>
        <v/>
      </c>
    </row>
    <row r="214" spans="1:9" x14ac:dyDescent="0.35">
      <c r="A214" s="15" t="s">
        <v>263</v>
      </c>
      <c r="B214" s="18" t="str">
        <f>IFERROR(IF('March 2027 Log'!BO119="","",'March 2027 Log'!BO119),"")</f>
        <v/>
      </c>
      <c r="C214" s="18" t="str">
        <f>IFERROR(IF('April 2027 Log'!BO119="","",'April 2027 Log'!BO119),"")</f>
        <v/>
      </c>
      <c r="D214" s="18" t="str">
        <f>IFERROR(IF('May 2027 Log'!BO119="","",'May 2027 Log'!BO119),"")</f>
        <v/>
      </c>
      <c r="E214" s="18" t="str">
        <f>IFERROR(IF('June 2027 Log'!BO119="","",'June 2027 Log'!BO119),"")</f>
        <v/>
      </c>
      <c r="F214" s="18" t="str">
        <f>IFERROR(IF('July 2027 Log'!BO119="","",'July 2027 Log'!BO119),"")</f>
        <v/>
      </c>
      <c r="G214" s="18" t="str">
        <f>IFERROR(IF('August 2027 Log'!BO119="","",'August 2027 Log'!BO119),"")</f>
        <v/>
      </c>
      <c r="H214" s="21" t="str">
        <f t="shared" si="10"/>
        <v/>
      </c>
      <c r="I214" s="21" t="str">
        <f t="shared" si="11"/>
        <v/>
      </c>
    </row>
    <row r="215" spans="1:9" x14ac:dyDescent="0.35">
      <c r="A215" s="16" t="s">
        <v>264</v>
      </c>
      <c r="B215" s="19" t="str">
        <f>IFERROR(IF('March 2027 Log'!BO120="","",'March 2027 Log'!BO120),"")</f>
        <v/>
      </c>
      <c r="C215" s="19" t="str">
        <f>IFERROR(IF('April 2027 Log'!BO120="","",'April 2027 Log'!BO120),"")</f>
        <v/>
      </c>
      <c r="D215" s="19" t="str">
        <f>IFERROR(IF('May 2027 Log'!BO120="","",'May 2027 Log'!BO120),"")</f>
        <v/>
      </c>
      <c r="E215" s="19" t="str">
        <f>IFERROR(IF('June 2027 Log'!BO120="","",'June 2027 Log'!BO120),"")</f>
        <v/>
      </c>
      <c r="F215" s="19" t="str">
        <f>IFERROR(IF('July 2027 Log'!BO120="","",'July 2027 Log'!BO120),"")</f>
        <v/>
      </c>
      <c r="G215" s="19" t="str">
        <f>IFERROR(IF('August 2027 Log'!BO120="","",'August 2027 Log'!BO120),"")</f>
        <v/>
      </c>
      <c r="H215" s="22" t="str">
        <f t="shared" si="10"/>
        <v/>
      </c>
      <c r="I215" s="22" t="str">
        <f t="shared" si="11"/>
        <v/>
      </c>
    </row>
  </sheetData>
  <mergeCells count="4">
    <mergeCell ref="A1:I1"/>
    <mergeCell ref="A2:I2"/>
    <mergeCell ref="A4:I4"/>
    <mergeCell ref="A111:I111"/>
  </mergeCells>
  <conditionalFormatting sqref="I6:I108">
    <cfRule type="cellIs" dxfId="131" priority="1" operator="lessThan">
      <formula>0</formula>
    </cfRule>
  </conditionalFormatting>
  <conditionalFormatting sqref="I113:I215">
    <cfRule type="cellIs" dxfId="130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X140"/>
  <sheetViews>
    <sheetView zoomScaleNormal="100" workbookViewId="0">
      <pane xSplit="1" ySplit="12" topLeftCell="B73" activePane="bottomRight" state="frozen"/>
      <selection pane="topRight" activeCell="B1" sqref="B1"/>
      <selection pane="bottomLeft" activeCell="A9" sqref="A9"/>
      <selection pane="bottomRight" activeCell="C10" sqref="C10"/>
    </sheetView>
  </sheetViews>
  <sheetFormatPr defaultRowHeight="14.5" x14ac:dyDescent="0.35"/>
  <cols>
    <col min="1" max="1" width="28.54296875" customWidth="1"/>
    <col min="2" max="2" width="15.26953125" customWidth="1"/>
    <col min="3" max="3" width="18.1796875" customWidth="1"/>
    <col min="4" max="45" width="11.81640625" customWidth="1"/>
    <col min="46" max="47" width="11.81640625" style="3" customWidth="1"/>
    <col min="48" max="48" width="11.81640625" customWidth="1"/>
    <col min="49" max="49" width="11.81640625" style="3" customWidth="1"/>
    <col min="50" max="52" width="11.81640625" customWidth="1"/>
    <col min="53" max="53" width="11.81640625" style="3" customWidth="1"/>
    <col min="54" max="65" width="11.81640625" customWidth="1"/>
    <col min="66" max="69" width="15.54296875" customWidth="1"/>
    <col min="70" max="70" width="12.7265625" customWidth="1"/>
    <col min="71" max="71" width="11.1796875" bestFit="1" customWidth="1"/>
    <col min="72" max="72" width="14.81640625" customWidth="1"/>
    <col min="73" max="73" width="8.81640625" customWidth="1"/>
    <col min="74" max="74" width="11.26953125" customWidth="1"/>
    <col min="75" max="75" width="9.26953125" bestFit="1" customWidth="1"/>
    <col min="76" max="76" width="13.453125" customWidth="1"/>
  </cols>
  <sheetData>
    <row r="1" spans="1:76" ht="48" customHeight="1" x14ac:dyDescent="0.35">
      <c r="A1" s="241" t="str">
        <f>"TEXAN FILLING STATION — "&amp;UPPER(TEXT(B3,"MMMM YYYY"))&amp;" DAILY CONTROL"</f>
        <v>TEXAN FILLING STATION — AUGUST 2026 DAILY CONTROL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  <c r="BL1" s="233"/>
      <c r="BM1" s="233"/>
      <c r="BN1" s="233"/>
      <c r="BO1" s="233"/>
      <c r="BP1" s="233"/>
      <c r="BQ1" s="233"/>
    </row>
    <row r="2" spans="1:76" ht="24" customHeight="1" x14ac:dyDescent="0.35">
      <c r="A2" s="234" t="s">
        <v>108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  <c r="BP2" s="234"/>
      <c r="BQ2" s="234"/>
    </row>
    <row r="3" spans="1:76" x14ac:dyDescent="0.35">
      <c r="A3" s="26" t="s">
        <v>109</v>
      </c>
      <c r="B3" s="27">
        <v>46235</v>
      </c>
      <c r="C3" s="28" t="s">
        <v>110</v>
      </c>
      <c r="D3" s="28" t="s">
        <v>111</v>
      </c>
      <c r="E3" s="29" t="s">
        <v>112</v>
      </c>
      <c r="F3" s="30" t="s">
        <v>113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2"/>
      <c r="AU3" s="32"/>
      <c r="AV3" s="31"/>
      <c r="AW3" s="32"/>
      <c r="AX3" s="31"/>
      <c r="AY3" s="31"/>
      <c r="AZ3" s="31"/>
      <c r="BA3" s="32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</row>
    <row r="4" spans="1:76" ht="15" thickBot="1" x14ac:dyDescent="0.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2"/>
      <c r="AU4" s="32"/>
      <c r="AV4" s="31"/>
      <c r="AW4" s="32"/>
      <c r="AX4" s="31"/>
      <c r="AY4" s="31"/>
      <c r="AZ4" s="31"/>
      <c r="BA4" s="32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</row>
    <row r="5" spans="1:76" ht="16.149999999999999" customHeight="1" x14ac:dyDescent="0.35">
      <c r="A5" s="164">
        <f>68*0.1</f>
        <v>6.8000000000000007</v>
      </c>
      <c r="B5" s="33"/>
      <c r="C5" s="34" t="s">
        <v>116</v>
      </c>
      <c r="D5" s="235" t="str">
        <f>IF(D6="","",UPPER(TEXT(D6,"dddd")))</f>
        <v>SATURDAY</v>
      </c>
      <c r="E5" s="229"/>
      <c r="F5" s="228" t="str">
        <f>IF(F6="","",UPPER(TEXT(F6,"dddd")))</f>
        <v>SUNDAY</v>
      </c>
      <c r="G5" s="229"/>
      <c r="H5" s="228" t="str">
        <f>IF(H6="","",UPPER(TEXT(H6,"dddd")))</f>
        <v>MONDAY</v>
      </c>
      <c r="I5" s="229"/>
      <c r="J5" s="228" t="str">
        <f>IF(J6="","",UPPER(TEXT(J6,"dddd")))</f>
        <v>TUESDAY</v>
      </c>
      <c r="K5" s="229"/>
      <c r="L5" s="228" t="str">
        <f>IF(L6="","",UPPER(TEXT(L6,"dddd")))</f>
        <v>WEDNESDAY</v>
      </c>
      <c r="M5" s="229"/>
      <c r="N5" s="228" t="str">
        <f>IF(N6="","",UPPER(TEXT(N6,"dddd")))</f>
        <v>THURSDAY</v>
      </c>
      <c r="O5" s="229"/>
      <c r="P5" s="228" t="str">
        <f>IF(P6="","",UPPER(TEXT(P6,"dddd")))</f>
        <v>FRIDAY</v>
      </c>
      <c r="Q5" s="229"/>
      <c r="R5" s="228" t="str">
        <f>IF(R6="","",UPPER(TEXT(R6,"dddd")))</f>
        <v>SATURDAY</v>
      </c>
      <c r="S5" s="229"/>
      <c r="T5" s="228" t="str">
        <f>IF(T6="","",UPPER(TEXT(T6,"dddd")))</f>
        <v>SUNDAY</v>
      </c>
      <c r="U5" s="229"/>
      <c r="V5" s="228" t="str">
        <f>IF(V6="","",UPPER(TEXT(V6,"dddd")))</f>
        <v>MONDAY</v>
      </c>
      <c r="W5" s="229"/>
      <c r="X5" s="228" t="str">
        <f>IF(X6="","",UPPER(TEXT(X6,"dddd")))</f>
        <v>TUESDAY</v>
      </c>
      <c r="Y5" s="229"/>
      <c r="Z5" s="228" t="str">
        <f>IF(Z6="","",UPPER(TEXT(Z6,"dddd")))</f>
        <v>WEDNESDAY</v>
      </c>
      <c r="AA5" s="229"/>
      <c r="AB5" s="228" t="str">
        <f>IF(AB6="","",UPPER(TEXT(AB6,"dddd")))</f>
        <v>THURSDAY</v>
      </c>
      <c r="AC5" s="229"/>
      <c r="AD5" s="228" t="str">
        <f>IF(AD6="","",UPPER(TEXT(AD6,"dddd")))</f>
        <v>FRIDAY</v>
      </c>
      <c r="AE5" s="229"/>
      <c r="AF5" s="228" t="str">
        <f>IF(AF6="","",UPPER(TEXT(AF6,"dddd")))</f>
        <v>SATURDAY</v>
      </c>
      <c r="AG5" s="229"/>
      <c r="AH5" s="228" t="str">
        <f>IF(AH6="","",UPPER(TEXT(AH6,"dddd")))</f>
        <v>SUNDAY</v>
      </c>
      <c r="AI5" s="229"/>
      <c r="AJ5" s="228" t="str">
        <f>IF(AJ6="","",UPPER(TEXT(AJ6,"dddd")))</f>
        <v>MONDAY</v>
      </c>
      <c r="AK5" s="229"/>
      <c r="AL5" s="228" t="str">
        <f>IF(AL6="","",UPPER(TEXT(AL6,"dddd")))</f>
        <v>TUESDAY</v>
      </c>
      <c r="AM5" s="229"/>
      <c r="AN5" s="228" t="str">
        <f>IF(AN6="","",UPPER(TEXT(AN6,"dddd")))</f>
        <v>WEDNESDAY</v>
      </c>
      <c r="AO5" s="229"/>
      <c r="AP5" s="228" t="str">
        <f>IF(AP6="","",UPPER(TEXT(AP6,"dddd")))</f>
        <v>THURSDAY</v>
      </c>
      <c r="AQ5" s="229"/>
      <c r="AR5" s="228" t="str">
        <f>IF(AR6="","",UPPER(TEXT(AR6,"dddd")))</f>
        <v>FRIDAY</v>
      </c>
      <c r="AS5" s="229"/>
      <c r="AT5" s="228" t="str">
        <f>IF(AT6="","",UPPER(TEXT(AT6,"dddd")))</f>
        <v>SATURDAY</v>
      </c>
      <c r="AU5" s="229"/>
      <c r="AV5" s="228" t="str">
        <f>IF(AV6="","",UPPER(TEXT(AV6,"dddd")))</f>
        <v>SUNDAY</v>
      </c>
      <c r="AW5" s="229"/>
      <c r="AX5" s="228" t="str">
        <f>IF(AX6="","",UPPER(TEXT(AX6,"dddd")))</f>
        <v>MONDAY</v>
      </c>
      <c r="AY5" s="229"/>
      <c r="AZ5" s="228" t="str">
        <f>IF(AZ6="","",UPPER(TEXT(AZ6,"dddd")))</f>
        <v>TUESDAY</v>
      </c>
      <c r="BA5" s="229"/>
      <c r="BB5" s="228" t="str">
        <f>IF(BB6="","",UPPER(TEXT(BB6,"dddd")))</f>
        <v>WEDNESDAY</v>
      </c>
      <c r="BC5" s="229"/>
      <c r="BD5" s="228" t="str">
        <f>IF(BD6="","",UPPER(TEXT(BD6,"dddd")))</f>
        <v>THURSDAY</v>
      </c>
      <c r="BE5" s="229"/>
      <c r="BF5" s="228" t="str">
        <f>IF(BF6="","",UPPER(TEXT(BF6,"dddd")))</f>
        <v>FRIDAY</v>
      </c>
      <c r="BG5" s="229"/>
      <c r="BH5" s="228" t="str">
        <f>IF(BH6="","",UPPER(TEXT(BH6,"dddd")))</f>
        <v>SATURDAY</v>
      </c>
      <c r="BI5" s="229"/>
      <c r="BJ5" s="228" t="str">
        <f>IF(BJ6="","",UPPER(TEXT(BJ6,"dddd")))</f>
        <v>SUNDAY</v>
      </c>
      <c r="BK5" s="229"/>
      <c r="BL5" s="228" t="str">
        <f>IF(BL6="","",UPPER(TEXT(BL6,"dddd")))</f>
        <v>MONDAY</v>
      </c>
      <c r="BM5" s="229"/>
      <c r="BN5" s="230" t="s">
        <v>114</v>
      </c>
      <c r="BO5" s="231"/>
      <c r="BP5" s="225" t="s">
        <v>118</v>
      </c>
      <c r="BQ5" s="226"/>
    </row>
    <row r="6" spans="1:76" x14ac:dyDescent="0.35">
      <c r="A6" s="35"/>
      <c r="B6" s="36"/>
      <c r="C6" s="37" t="s">
        <v>117</v>
      </c>
      <c r="D6" s="227">
        <f>IF($B$3="","",IF(MONTH($B$3+0)=MONTH($B$3),$B$3+0,""))</f>
        <v>46235</v>
      </c>
      <c r="E6" s="222"/>
      <c r="F6" s="220">
        <f>IF($B$3="","",IF(MONTH($B$3+1)=MONTH($B$3),$B$3+1,""))</f>
        <v>46236</v>
      </c>
      <c r="G6" s="222"/>
      <c r="H6" s="220">
        <f>IF($B$3="","",IF(MONTH($B$3+2)=MONTH($B$3),$B$3+2,""))</f>
        <v>46237</v>
      </c>
      <c r="I6" s="222"/>
      <c r="J6" s="220">
        <f>IF($B$3="","",IF(MONTH($B$3+3)=MONTH($B$3),$B$3+3,""))</f>
        <v>46238</v>
      </c>
      <c r="K6" s="222"/>
      <c r="L6" s="220">
        <f>IF($B$3="","",IF(MONTH($B$3+4)=MONTH($B$3),$B$3+4,""))</f>
        <v>46239</v>
      </c>
      <c r="M6" s="222"/>
      <c r="N6" s="220">
        <f>IF($B$3="","",IF(MONTH($B$3+5)=MONTH($B$3),$B$3+5,""))</f>
        <v>46240</v>
      </c>
      <c r="O6" s="222"/>
      <c r="P6" s="220">
        <f>IF($B$3="","",IF(MONTH($B$3+6)=MONTH($B$3),$B$3+6,""))</f>
        <v>46241</v>
      </c>
      <c r="Q6" s="222"/>
      <c r="R6" s="220">
        <f>IF($B$3="","",IF(MONTH($B$3+7)=MONTH($B$3),$B$3+7,""))</f>
        <v>46242</v>
      </c>
      <c r="S6" s="222"/>
      <c r="T6" s="220">
        <f>IF($B$3="","",IF(MONTH($B$3+8)=MONTH($B$3),$B$3+8,""))</f>
        <v>46243</v>
      </c>
      <c r="U6" s="222"/>
      <c r="V6" s="220">
        <f>IF($B$3="","",IF(MONTH($B$3+9)=MONTH($B$3),$B$3+9,""))</f>
        <v>46244</v>
      </c>
      <c r="W6" s="222"/>
      <c r="X6" s="220">
        <f>IF($B$3="","",IF(MONTH($B$3+10)=MONTH($B$3),$B$3+10,""))</f>
        <v>46245</v>
      </c>
      <c r="Y6" s="222"/>
      <c r="Z6" s="220">
        <f>IF($B$3="","",IF(MONTH($B$3+11)=MONTH($B$3),$B$3+11,""))</f>
        <v>46246</v>
      </c>
      <c r="AA6" s="222"/>
      <c r="AB6" s="220">
        <f>IF($B$3="","",IF(MONTH($B$3+12)=MONTH($B$3),$B$3+12,""))</f>
        <v>46247</v>
      </c>
      <c r="AC6" s="222"/>
      <c r="AD6" s="220">
        <f>IF($B$3="","",IF(MONTH($B$3+13)=MONTH($B$3),$B$3+13,""))</f>
        <v>46248</v>
      </c>
      <c r="AE6" s="222"/>
      <c r="AF6" s="220">
        <f>IF($B$3="","",IF(MONTH($B$3+14)=MONTH($B$3),$B$3+14,""))</f>
        <v>46249</v>
      </c>
      <c r="AG6" s="222"/>
      <c r="AH6" s="220">
        <f>IF($B$3="","",IF(MONTH($B$3+15)=MONTH($B$3),$B$3+15,""))</f>
        <v>46250</v>
      </c>
      <c r="AI6" s="222"/>
      <c r="AJ6" s="220">
        <f>IF($B$3="","",IF(MONTH($B$3+16)=MONTH($B$3),$B$3+16,""))</f>
        <v>46251</v>
      </c>
      <c r="AK6" s="222"/>
      <c r="AL6" s="220">
        <f>IF($B$3="","",IF(MONTH($B$3+17)=MONTH($B$3),$B$3+17,""))</f>
        <v>46252</v>
      </c>
      <c r="AM6" s="222"/>
      <c r="AN6" s="220">
        <f>IF($B$3="","",IF(MONTH($B$3+18)=MONTH($B$3),$B$3+18,""))</f>
        <v>46253</v>
      </c>
      <c r="AO6" s="222"/>
      <c r="AP6" s="220">
        <f>IF($B$3="","",IF(MONTH($B$3+19)=MONTH($B$3),$B$3+19,""))</f>
        <v>46254</v>
      </c>
      <c r="AQ6" s="222"/>
      <c r="AR6" s="220">
        <f>IF($B$3="","",IF(MONTH($B$3+20)=MONTH($B$3),$B$3+20,""))</f>
        <v>46255</v>
      </c>
      <c r="AS6" s="222"/>
      <c r="AT6" s="220">
        <f>IF($B$3="","",IF(MONTH($B$3+21)=MONTH($B$3),$B$3+21,""))</f>
        <v>46256</v>
      </c>
      <c r="AU6" s="222"/>
      <c r="AV6" s="220">
        <f>IF($B$3="","",IF(MONTH($B$3+22)=MONTH($B$3),$B$3+22,""))</f>
        <v>46257</v>
      </c>
      <c r="AW6" s="222"/>
      <c r="AX6" s="220">
        <f>IF($B$3="","",IF(MONTH($B$3+23)=MONTH($B$3),$B$3+23,""))</f>
        <v>46258</v>
      </c>
      <c r="AY6" s="222"/>
      <c r="AZ6" s="220">
        <f>IF($B$3="","",IF(MONTH($B$3+24)=MONTH($B$3),$B$3+24,""))</f>
        <v>46259</v>
      </c>
      <c r="BA6" s="222"/>
      <c r="BB6" s="220">
        <f>IF($B$3="","",IF(MONTH($B$3+25)=MONTH($B$3),$B$3+25,""))</f>
        <v>46260</v>
      </c>
      <c r="BC6" s="222"/>
      <c r="BD6" s="220">
        <f>IF($B$3="","",IF(MONTH($B$3+26)=MONTH($B$3),$B$3+26,""))</f>
        <v>46261</v>
      </c>
      <c r="BE6" s="222"/>
      <c r="BF6" s="220">
        <f>IF($B$3="","",IF(MONTH($B$3+27)=MONTH($B$3),$B$3+27,""))</f>
        <v>46262</v>
      </c>
      <c r="BG6" s="222"/>
      <c r="BH6" s="220">
        <f>IF($B$3="","",IF(MONTH($B$3+28)=MONTH($B$3),$B$3+28,""))</f>
        <v>46263</v>
      </c>
      <c r="BI6" s="222"/>
      <c r="BJ6" s="220">
        <f>IF($B$3="","",IF(MONTH($B$3+29)=MONTH($B$3),$B$3+29,""))</f>
        <v>46264</v>
      </c>
      <c r="BK6" s="222"/>
      <c r="BL6" s="220">
        <f>IF($B$3="","",IF(MONTH($B$3+30)=MONTH($B$3),$B$3+30,""))</f>
        <v>46265</v>
      </c>
      <c r="BM6" s="222"/>
      <c r="BN6" s="223" t="s">
        <v>115</v>
      </c>
      <c r="BO6" s="224"/>
      <c r="BP6" s="220">
        <f>IF($B$3="","",EOMONTH($B$3,0)+1)</f>
        <v>46266</v>
      </c>
      <c r="BQ6" s="221"/>
    </row>
    <row r="7" spans="1:76" x14ac:dyDescent="0.35">
      <c r="A7" s="38" t="s">
        <v>20</v>
      </c>
      <c r="B7" s="39"/>
      <c r="C7" s="40"/>
      <c r="D7" s="41"/>
      <c r="E7" s="165">
        <f>E59</f>
        <v>0</v>
      </c>
      <c r="F7" s="42"/>
      <c r="G7" s="165">
        <f>G59</f>
        <v>4</v>
      </c>
      <c r="H7" s="42"/>
      <c r="I7" s="165">
        <f>I59</f>
        <v>0</v>
      </c>
      <c r="J7" s="42"/>
      <c r="K7" s="165">
        <f>K59</f>
        <v>0</v>
      </c>
      <c r="L7" s="42"/>
      <c r="M7" s="165">
        <f>M59</f>
        <v>10</v>
      </c>
      <c r="N7" s="42"/>
      <c r="O7" s="165">
        <f>O59</f>
        <v>0</v>
      </c>
      <c r="P7" s="42"/>
      <c r="Q7" s="165">
        <f>Q59</f>
        <v>0</v>
      </c>
      <c r="R7" s="42"/>
      <c r="S7" s="165">
        <f>S59</f>
        <v>0</v>
      </c>
      <c r="T7" s="42"/>
      <c r="U7" s="165">
        <f>U59</f>
        <v>0</v>
      </c>
      <c r="V7" s="42"/>
      <c r="W7" s="165">
        <f>W59</f>
        <v>0</v>
      </c>
      <c r="X7" s="42"/>
      <c r="Y7" s="165">
        <f>Y59</f>
        <v>0</v>
      </c>
      <c r="Z7" s="42"/>
      <c r="AA7" s="165">
        <f>AA59</f>
        <v>0</v>
      </c>
      <c r="AB7" s="42"/>
      <c r="AC7" s="165">
        <f>AC59</f>
        <v>0</v>
      </c>
      <c r="AD7" s="42"/>
      <c r="AE7" s="165">
        <f>AE59</f>
        <v>0</v>
      </c>
      <c r="AF7" s="42"/>
      <c r="AG7" s="165">
        <f>AG59</f>
        <v>0</v>
      </c>
      <c r="AH7" s="42"/>
      <c r="AI7" s="165">
        <f>AI59</f>
        <v>0</v>
      </c>
      <c r="AJ7" s="42"/>
      <c r="AK7" s="165">
        <f>AK59</f>
        <v>0</v>
      </c>
      <c r="AL7" s="42"/>
      <c r="AM7" s="165">
        <f>AM59</f>
        <v>0</v>
      </c>
      <c r="AN7" s="42"/>
      <c r="AO7" s="165">
        <f>AO59</f>
        <v>0</v>
      </c>
      <c r="AP7" s="42"/>
      <c r="AQ7" s="165">
        <f>AQ59</f>
        <v>-30</v>
      </c>
      <c r="AR7" s="42"/>
      <c r="AS7" s="165">
        <f>AS59</f>
        <v>0</v>
      </c>
      <c r="AT7" s="42"/>
      <c r="AU7" s="165">
        <f>AU59</f>
        <v>0</v>
      </c>
      <c r="AV7" s="42"/>
      <c r="AW7" s="165">
        <f>AW59</f>
        <v>0</v>
      </c>
      <c r="AX7" s="42"/>
      <c r="AY7" s="165">
        <f>AY59</f>
        <v>0</v>
      </c>
      <c r="AZ7" s="42"/>
      <c r="BA7" s="165">
        <f>BA59</f>
        <v>0</v>
      </c>
      <c r="BB7" s="42"/>
      <c r="BC7" s="165">
        <f>BC59</f>
        <v>0</v>
      </c>
      <c r="BD7" s="42"/>
      <c r="BE7" s="165">
        <f>BE59</f>
        <v>0</v>
      </c>
      <c r="BF7" s="42"/>
      <c r="BG7" s="165">
        <f>BG59</f>
        <v>-80</v>
      </c>
      <c r="BH7" s="42"/>
      <c r="BI7" s="165">
        <f>BI59</f>
        <v>0</v>
      </c>
      <c r="BJ7" s="42"/>
      <c r="BK7" s="165">
        <f>BK59</f>
        <v>0</v>
      </c>
      <c r="BL7" s="42"/>
      <c r="BM7" s="165">
        <f>BM59</f>
        <v>0</v>
      </c>
      <c r="BN7" s="43"/>
      <c r="BO7" s="169">
        <f>IF(COUNT(E7,G7,I7,K7,M7,O7,Q7,S7,U7,W7,Y7,AA7,AC7,AE7,AG7,AI7,AK7,AM7,AO7,AQ7,AS7,AU7,AW7,AY7,BA7,BC7,BE7,BG7,BI7,BK7,BM7)=0,"",SUM(E7,G7,I7,K7,M7,O7,Q7,S7,U7,W7,Y7,AA7,AC7,AE7,AG7,AI7,AK7,AM7,AO7,AQ7,AS7,AU7,AW7,AY7,BA7,BC7,BE7,BG7,BI7,BK7,BM7))</f>
        <v>-96</v>
      </c>
      <c r="BP7" s="42"/>
      <c r="BQ7" s="171">
        <f>BQ59</f>
        <v>0</v>
      </c>
    </row>
    <row r="8" spans="1:76" x14ac:dyDescent="0.35">
      <c r="A8" s="38" t="s">
        <v>49</v>
      </c>
      <c r="B8" s="39"/>
      <c r="C8" s="40"/>
      <c r="D8" s="41"/>
      <c r="E8" s="165">
        <f>E58</f>
        <v>20.120000000002619</v>
      </c>
      <c r="F8" s="42"/>
      <c r="G8" s="165">
        <f>G58</f>
        <v>-2.2299999999959255</v>
      </c>
      <c r="H8" s="42"/>
      <c r="I8" s="165">
        <f>I58</f>
        <v>49.540000000008149</v>
      </c>
      <c r="J8" s="42"/>
      <c r="K8" s="165">
        <f>K58</f>
        <v>31.700000000004366</v>
      </c>
      <c r="L8" s="42"/>
      <c r="M8" s="165">
        <f>M58</f>
        <v>-843.81000000000495</v>
      </c>
      <c r="N8" s="42"/>
      <c r="O8" s="165">
        <f>O58</f>
        <v>858.51000000000204</v>
      </c>
      <c r="P8" s="42"/>
      <c r="Q8" s="165">
        <f>Q58</f>
        <v>84.559999999990396</v>
      </c>
      <c r="R8" s="42"/>
      <c r="S8" s="165">
        <f>S58</f>
        <v>4.8100000000049477</v>
      </c>
      <c r="T8" s="42"/>
      <c r="U8" s="165">
        <f>U58</f>
        <v>-106.98999999999796</v>
      </c>
      <c r="V8" s="42"/>
      <c r="W8" s="165">
        <f>W58</f>
        <v>145.33999999999651</v>
      </c>
      <c r="X8" s="42"/>
      <c r="Y8" s="165">
        <f>Y58</f>
        <v>47.720000000001164</v>
      </c>
      <c r="Z8" s="42"/>
      <c r="AA8" s="165">
        <f>AA58</f>
        <v>-15.189999999995052</v>
      </c>
      <c r="AB8" s="42"/>
      <c r="AC8" s="165">
        <f>AC58</f>
        <v>-123.28000000000611</v>
      </c>
      <c r="AD8" s="42"/>
      <c r="AE8" s="165">
        <f>AE58</f>
        <v>-9.6600000000180444</v>
      </c>
      <c r="AF8" s="42"/>
      <c r="AG8" s="165">
        <f>AG58</f>
        <v>-7.9399999999950523</v>
      </c>
      <c r="AH8" s="42"/>
      <c r="AI8" s="165">
        <f>AI58</f>
        <v>-3.3699999999953434</v>
      </c>
      <c r="AJ8" s="42"/>
      <c r="AK8" s="165">
        <f>AK58</f>
        <v>-97.020000000004075</v>
      </c>
      <c r="AL8" s="42"/>
      <c r="AM8" s="165">
        <f>AM58</f>
        <v>-178.63999999999214</v>
      </c>
      <c r="AN8" s="42"/>
      <c r="AO8" s="165">
        <f>AO58</f>
        <v>21.049999999995634</v>
      </c>
      <c r="AP8" s="42"/>
      <c r="AQ8" s="165">
        <f>AQ58</f>
        <v>-122.60000000000582</v>
      </c>
      <c r="AR8" s="42"/>
      <c r="AS8" s="165">
        <f>AS58</f>
        <v>476.06999999999243</v>
      </c>
      <c r="AT8" s="42"/>
      <c r="AU8" s="168">
        <f>AU58</f>
        <v>-248.30999999999767</v>
      </c>
      <c r="AV8" s="42"/>
      <c r="AW8" s="165">
        <f>AW58</f>
        <v>10.559999999997672</v>
      </c>
      <c r="AX8" s="42"/>
      <c r="AY8" s="165">
        <f>AY58</f>
        <v>9.2300000000032014</v>
      </c>
      <c r="AZ8" s="42"/>
      <c r="BA8" s="165">
        <f>BA58</f>
        <v>162.24000000000524</v>
      </c>
      <c r="BB8" s="42"/>
      <c r="BC8" s="165">
        <f>BC58</f>
        <v>-24.840000000003783</v>
      </c>
      <c r="BD8" s="42"/>
      <c r="BE8" s="165">
        <f>BE58</f>
        <v>13.999999999985448</v>
      </c>
      <c r="BF8" s="42"/>
      <c r="BG8" s="165">
        <f>BG58</f>
        <v>55.090000000011059</v>
      </c>
      <c r="BH8" s="42"/>
      <c r="BI8" s="165">
        <f>BI58</f>
        <v>-18.700000000004366</v>
      </c>
      <c r="BJ8" s="42"/>
      <c r="BK8" s="165">
        <f>BK58</f>
        <v>27.200000000004366</v>
      </c>
      <c r="BL8" s="42"/>
      <c r="BM8" s="165">
        <f>BM58</f>
        <v>16.300000000017462</v>
      </c>
      <c r="BN8" s="43"/>
      <c r="BO8" s="169">
        <f>IF(COUNT(E8,G8,I8,K8,M8,O8,Q8,S8,U8,W8,Y8,AA8,AC8,AE8,AG8,AI8,AK8,AM8,AO8,AQ8,AS8,AU8,AW8,AY8,BA8,BC8,BE8,BG8,BI8,BK8,BM8)=0,"",SUM(E8,G8,I8,K8,M8,O8,Q8,S8,U8,W8,Y8,AA8,AC8,AE8,AG8,AI8,AK8,AM8,AO8,AQ8,AS8,AU8,AW8,AY8,BA8,BC8,BE8,BG8,BI8,BK8,BM8))</f>
        <v>231.4600000000064</v>
      </c>
      <c r="BP8" s="42"/>
      <c r="BQ8" s="171">
        <f>BQ58</f>
        <v>51.760000000009313</v>
      </c>
    </row>
    <row r="9" spans="1:76" x14ac:dyDescent="0.35">
      <c r="A9" s="38" t="s">
        <v>50</v>
      </c>
      <c r="B9" s="39"/>
      <c r="C9" s="40"/>
      <c r="D9" s="41"/>
      <c r="E9" s="165">
        <f>E61</f>
        <v>82</v>
      </c>
      <c r="F9" s="42"/>
      <c r="G9" s="165">
        <f>G61</f>
        <v>-20</v>
      </c>
      <c r="H9" s="42"/>
      <c r="I9" s="165">
        <f>I61</f>
        <v>142</v>
      </c>
      <c r="J9" s="42"/>
      <c r="K9" s="165">
        <f>K61</f>
        <v>-562</v>
      </c>
      <c r="L9" s="42"/>
      <c r="M9" s="165">
        <f>M61</f>
        <v>660</v>
      </c>
      <c r="N9" s="42"/>
      <c r="O9" s="165">
        <f>O61</f>
        <v>-695</v>
      </c>
      <c r="P9" s="42"/>
      <c r="Q9" s="165">
        <f>Q61</f>
        <v>-210</v>
      </c>
      <c r="R9" s="42"/>
      <c r="S9" s="165">
        <f>S61</f>
        <v>-140</v>
      </c>
      <c r="T9" s="42"/>
      <c r="U9" s="165">
        <f>U61</f>
        <v>-220</v>
      </c>
      <c r="V9" s="42"/>
      <c r="W9" s="165">
        <f>W61</f>
        <v>-114</v>
      </c>
      <c r="X9" s="42"/>
      <c r="Y9" s="165">
        <f>Y61</f>
        <v>-404</v>
      </c>
      <c r="Z9" s="42"/>
      <c r="AA9" s="165">
        <f>AA61</f>
        <v>81</v>
      </c>
      <c r="AB9" s="42"/>
      <c r="AC9" s="165">
        <f>AC61</f>
        <v>-490</v>
      </c>
      <c r="AD9" s="42"/>
      <c r="AE9" s="165">
        <f>AE61</f>
        <v>-132</v>
      </c>
      <c r="AF9" s="42"/>
      <c r="AG9" s="165">
        <f>AG61</f>
        <v>-167</v>
      </c>
      <c r="AH9" s="42"/>
      <c r="AI9" s="165">
        <f>AI61</f>
        <v>62</v>
      </c>
      <c r="AJ9" s="42"/>
      <c r="AK9" s="165">
        <f>AK61</f>
        <v>252</v>
      </c>
      <c r="AL9" s="42"/>
      <c r="AM9" s="165">
        <f>AM61</f>
        <v>34</v>
      </c>
      <c r="AN9" s="42"/>
      <c r="AO9" s="165">
        <f>AO61</f>
        <v>-254</v>
      </c>
      <c r="AP9" s="42"/>
      <c r="AQ9" s="165">
        <f>AQ61</f>
        <v>-57</v>
      </c>
      <c r="AR9" s="42"/>
      <c r="AS9" s="165">
        <f>AS61</f>
        <v>97</v>
      </c>
      <c r="AT9" s="42"/>
      <c r="AU9" s="165">
        <f>AU61</f>
        <v>-403</v>
      </c>
      <c r="AV9" s="42"/>
      <c r="AW9" s="165">
        <f>AW61</f>
        <v>-238</v>
      </c>
      <c r="AX9" s="42"/>
      <c r="AY9" s="165">
        <f>AY61</f>
        <v>400</v>
      </c>
      <c r="AZ9" s="42"/>
      <c r="BA9" s="165">
        <f>BA61</f>
        <v>-78</v>
      </c>
      <c r="BB9" s="42"/>
      <c r="BC9" s="165">
        <f>BC61</f>
        <v>3780</v>
      </c>
      <c r="BD9" s="42"/>
      <c r="BE9" s="165">
        <f>BE61</f>
        <v>203</v>
      </c>
      <c r="BF9" s="42"/>
      <c r="BG9" s="165">
        <f>BG61</f>
        <v>-280</v>
      </c>
      <c r="BH9" s="42"/>
      <c r="BI9" s="165">
        <f>BI61</f>
        <v>21841</v>
      </c>
      <c r="BJ9" s="42"/>
      <c r="BK9" s="165">
        <f>BK61</f>
        <v>-492</v>
      </c>
      <c r="BL9" s="42"/>
      <c r="BM9" s="165">
        <f>BM61</f>
        <v>-140</v>
      </c>
      <c r="BN9" s="43"/>
      <c r="BO9" s="169">
        <f>IF(COUNT(E9,G9,I9,K9,M9,O9,Q9,S9,U9,W9,Y9,AA9,AC9,AE9,AG9,AI9,AK9,AM9,AO9,AQ9,AS9,AU9,AW9,AY9,BA9,BC9,BE9,BG9,BI9,BK9,BM9)=0,"",SUM(E9,G9,I9,K9,M9,O9,Q9,S9,U9,W9,Y9,AA9,AC9,AE9,AG9,AI9,AK9,AM9,AO9,AQ9,AS9,AU9,AW9,AY9,BA9,BC9,BE9,BG9,BI9,BK9,BM9))</f>
        <v>22538</v>
      </c>
      <c r="BP9" s="42"/>
      <c r="BQ9" s="171">
        <f>BQ61</f>
        <v>-1002160</v>
      </c>
    </row>
    <row r="10" spans="1:76" s="2" customFormat="1" x14ac:dyDescent="0.35">
      <c r="A10" s="44" t="s">
        <v>47</v>
      </c>
      <c r="B10" s="45"/>
      <c r="C10" s="46">
        <v>1413.73</v>
      </c>
      <c r="D10" s="47"/>
      <c r="E10" s="166">
        <f>E73</f>
        <v>1882</v>
      </c>
      <c r="F10" s="49"/>
      <c r="G10" s="166">
        <f t="shared" ref="G10:BQ10" si="0">G73</f>
        <v>1086</v>
      </c>
      <c r="H10" s="49"/>
      <c r="I10" s="166">
        <f t="shared" si="0"/>
        <v>2242</v>
      </c>
      <c r="J10" s="49"/>
      <c r="K10" s="166">
        <f t="shared" si="0"/>
        <v>2038</v>
      </c>
      <c r="L10" s="49"/>
      <c r="M10" s="166">
        <f t="shared" si="0"/>
        <v>1960</v>
      </c>
      <c r="N10" s="49"/>
      <c r="O10" s="166">
        <f t="shared" si="0"/>
        <v>1505</v>
      </c>
      <c r="P10" s="49"/>
      <c r="Q10" s="166">
        <f t="shared" si="0"/>
        <v>1593</v>
      </c>
      <c r="R10" s="49"/>
      <c r="S10" s="166">
        <f t="shared" si="0"/>
        <v>1460</v>
      </c>
      <c r="T10" s="49"/>
      <c r="U10" s="166">
        <f t="shared" si="0"/>
        <v>980</v>
      </c>
      <c r="V10" s="49"/>
      <c r="W10" s="166">
        <f t="shared" si="0"/>
        <v>1386</v>
      </c>
      <c r="X10" s="49"/>
      <c r="Y10" s="166">
        <f t="shared" si="0"/>
        <v>1649</v>
      </c>
      <c r="Z10" s="49"/>
      <c r="AA10" s="166">
        <f t="shared" si="0"/>
        <v>1581</v>
      </c>
      <c r="AB10" s="49"/>
      <c r="AC10" s="166">
        <f t="shared" si="0"/>
        <v>1710</v>
      </c>
      <c r="AD10" s="49"/>
      <c r="AE10" s="166">
        <f t="shared" si="0"/>
        <v>1932</v>
      </c>
      <c r="AF10" s="49"/>
      <c r="AG10" s="166">
        <f t="shared" si="0"/>
        <v>1233</v>
      </c>
      <c r="AH10" s="49"/>
      <c r="AI10" s="166">
        <f t="shared" si="0"/>
        <v>962</v>
      </c>
      <c r="AJ10" s="49"/>
      <c r="AK10" s="166">
        <f t="shared" si="0"/>
        <v>1852</v>
      </c>
      <c r="AL10" s="49"/>
      <c r="AM10" s="166">
        <f t="shared" si="0"/>
        <v>1634</v>
      </c>
      <c r="AN10" s="49"/>
      <c r="AO10" s="166">
        <f t="shared" si="0"/>
        <v>1746</v>
      </c>
      <c r="AP10" s="49"/>
      <c r="AQ10" s="166">
        <f t="shared" si="0"/>
        <v>1543</v>
      </c>
      <c r="AR10" s="49"/>
      <c r="AS10" s="166">
        <f t="shared" si="0"/>
        <v>1997</v>
      </c>
      <c r="AT10" s="49"/>
      <c r="AU10" s="166">
        <f t="shared" si="0"/>
        <v>1597</v>
      </c>
      <c r="AV10" s="49"/>
      <c r="AW10" s="166">
        <f t="shared" si="0"/>
        <v>962</v>
      </c>
      <c r="AX10" s="49"/>
      <c r="AY10" s="166">
        <f t="shared" si="0"/>
        <v>1400</v>
      </c>
      <c r="AZ10" s="49"/>
      <c r="BA10" s="166">
        <f t="shared" si="0"/>
        <v>2122</v>
      </c>
      <c r="BB10" s="49"/>
      <c r="BC10" s="166">
        <f t="shared" si="0"/>
        <v>1480</v>
      </c>
      <c r="BD10" s="49"/>
      <c r="BE10" s="166">
        <f t="shared" si="0"/>
        <v>2203</v>
      </c>
      <c r="BF10" s="49"/>
      <c r="BG10" s="166">
        <f t="shared" si="0"/>
        <v>2220</v>
      </c>
      <c r="BH10" s="49"/>
      <c r="BI10" s="166">
        <f t="shared" si="0"/>
        <v>1641</v>
      </c>
      <c r="BJ10" s="49"/>
      <c r="BK10" s="166">
        <f t="shared" si="0"/>
        <v>1108</v>
      </c>
      <c r="BL10" s="49"/>
      <c r="BM10" s="166">
        <f t="shared" si="0"/>
        <v>2060</v>
      </c>
      <c r="BN10" s="50"/>
      <c r="BO10" s="170">
        <f>IF(COUNT(E10,G10,I10,K10,M10,O10,Q10,S10,U10,W10,Y10,AA10,AC10,AE10,AG10,AI10,AK10,AM10,AO10,AQ10,AS10,AU10,AW10,AY10,BA10,BC10,BE10,BG10,BI10,BK10,BM10)=0,"",SUM(E10,G10,I10,K10,M10,O10,Q10,S10,U10,W10,Y10,AA10,AC10,AE10,AG10,AI10,AK10,AM10,AO10,AQ10,AS10,AU10,AW10,AY10,BA10,BC10,BE10,BG10,BI10,BK10,BM10))</f>
        <v>50764</v>
      </c>
      <c r="BP10" s="49"/>
      <c r="BQ10" s="172">
        <f t="shared" si="0"/>
        <v>-996093</v>
      </c>
      <c r="BR10"/>
      <c r="BS10"/>
      <c r="BT10"/>
      <c r="BU10"/>
      <c r="BV10"/>
      <c r="BW10"/>
      <c r="BX10"/>
    </row>
    <row r="11" spans="1:76" s="2" customFormat="1" x14ac:dyDescent="0.35">
      <c r="A11" s="44" t="s">
        <v>48</v>
      </c>
      <c r="B11" s="45"/>
      <c r="C11" s="46">
        <v>5252.8</v>
      </c>
      <c r="D11" s="47"/>
      <c r="E11" s="166">
        <f>E75+E56</f>
        <v>9645.9599999999991</v>
      </c>
      <c r="F11" s="49"/>
      <c r="G11" s="166">
        <f>G75+G56</f>
        <v>6603.8600000000006</v>
      </c>
      <c r="H11" s="49"/>
      <c r="I11" s="166">
        <f>I75+I56</f>
        <v>9571.4400000000023</v>
      </c>
      <c r="J11" s="49"/>
      <c r="K11" s="166">
        <f>K75+K56</f>
        <v>10754.269999999999</v>
      </c>
      <c r="L11" s="49"/>
      <c r="M11" s="166">
        <f>M75+M56</f>
        <v>9218.1200000000063</v>
      </c>
      <c r="N11" s="49"/>
      <c r="O11" s="166">
        <f>O75+O56</f>
        <v>9612.0400000000009</v>
      </c>
      <c r="P11" s="49"/>
      <c r="Q11" s="166">
        <f>Q75+Q56</f>
        <v>11923.71</v>
      </c>
      <c r="R11" s="49"/>
      <c r="S11" s="166">
        <f>S75+S56</f>
        <v>11713.000000000002</v>
      </c>
      <c r="T11" s="49"/>
      <c r="U11" s="166">
        <f>U75+U56</f>
        <v>7473.7099999999991</v>
      </c>
      <c r="V11" s="49"/>
      <c r="W11" s="166">
        <f>W75+W56</f>
        <v>8811.0100000000039</v>
      </c>
      <c r="X11" s="167">
        <f t="shared" ref="X11:AL11" si="1">X75</f>
        <v>0</v>
      </c>
      <c r="Y11" s="166">
        <f>Y75+Y56</f>
        <v>7032.9700000000012</v>
      </c>
      <c r="Z11" s="167">
        <f t="shared" si="1"/>
        <v>0</v>
      </c>
      <c r="AA11" s="166">
        <f>AA75+AA56</f>
        <v>8641.14</v>
      </c>
      <c r="AB11" s="167">
        <f t="shared" si="1"/>
        <v>0</v>
      </c>
      <c r="AC11" s="166">
        <f>AC75+AC56</f>
        <v>9935.510000000002</v>
      </c>
      <c r="AD11" s="167">
        <f t="shared" si="1"/>
        <v>0</v>
      </c>
      <c r="AE11" s="166">
        <f>AE75+AE56</f>
        <v>10252.260000000009</v>
      </c>
      <c r="AF11" s="167">
        <f t="shared" si="1"/>
        <v>0</v>
      </c>
      <c r="AG11" s="166">
        <f>AG75+AG56</f>
        <v>9509.5599999999977</v>
      </c>
      <c r="AH11" s="167">
        <f t="shared" si="1"/>
        <v>0</v>
      </c>
      <c r="AI11" s="166">
        <f>AI75+AI56</f>
        <v>5819.760000000002</v>
      </c>
      <c r="AJ11" s="167">
        <f t="shared" si="1"/>
        <v>0</v>
      </c>
      <c r="AK11" s="166">
        <f>AK75+AK56</f>
        <v>9362.8499999999985</v>
      </c>
      <c r="AL11" s="167">
        <f t="shared" si="1"/>
        <v>0</v>
      </c>
      <c r="AM11" s="166">
        <f>AM75+AM56</f>
        <v>9144.18</v>
      </c>
      <c r="AN11" s="49"/>
      <c r="AO11" s="166">
        <f>AO75+AO56</f>
        <v>9293.7700000000041</v>
      </c>
      <c r="AP11" s="49"/>
      <c r="AQ11" s="166">
        <f>AQ75+AQ56</f>
        <v>9483.1299999999974</v>
      </c>
      <c r="AR11" s="49"/>
      <c r="AS11" s="166">
        <f>AS75+AS56</f>
        <v>11446.470000000001</v>
      </c>
      <c r="AT11" s="49"/>
      <c r="AU11" s="166">
        <f>AU75+AU56</f>
        <v>10229.470000000001</v>
      </c>
      <c r="AV11" s="49"/>
      <c r="AW11" s="166">
        <f>AW75+AW56</f>
        <v>7999.5400000000009</v>
      </c>
      <c r="AX11" s="49"/>
      <c r="AY11" s="166">
        <f>AY75+AY56</f>
        <v>8612.8699999999953</v>
      </c>
      <c r="AZ11" s="49"/>
      <c r="BA11" s="166">
        <f>BA75+BA56</f>
        <v>8497.4399999999951</v>
      </c>
      <c r="BB11" s="49"/>
      <c r="BC11" s="166">
        <f>BC75+BC56</f>
        <v>9634.9600000000064</v>
      </c>
      <c r="BD11" s="49"/>
      <c r="BE11" s="166">
        <f>BE75+BE56</f>
        <v>10238.47000000001</v>
      </c>
      <c r="BF11" s="49"/>
      <c r="BG11" s="166">
        <f>BG75+BG56</f>
        <v>14529.259999999995</v>
      </c>
      <c r="BH11" s="49"/>
      <c r="BI11" s="166">
        <f>BI75+BI56</f>
        <v>10343</v>
      </c>
      <c r="BJ11" s="49"/>
      <c r="BK11" s="166">
        <f>BK75+BK56</f>
        <v>9653.9999999999945</v>
      </c>
      <c r="BL11" s="49"/>
      <c r="BM11" s="166">
        <f>BM75+BM56</f>
        <v>13957.849999999999</v>
      </c>
      <c r="BN11" s="50"/>
      <c r="BO11" s="170">
        <f>IF(COUNT(E11,G11,I11,K11,M11,O11,Q11,S11,U11,W11,Y11,AA11,AC11,AE11,AG11,AI11,AK11,AM11,AO11,AQ11,AS11,AU11,AW11,AY11,BA11,BC11,BE11,BG11,BI11,BK11,BM11)=0,"",SUM(E11,G11,I11,K11,M11,O11,Q11,S11,U11,W11,Y11,AA11,AC11,AE11,AG11,AI11,AK11,AM11,AO11,AQ11,AS11,AU11,AW11,AY11,BA11,BC11,BE11,BG11,BI11,BK11,BM11))</f>
        <v>298945.58</v>
      </c>
      <c r="BP11" s="49"/>
      <c r="BQ11" s="172">
        <f>BQ75+BQ56</f>
        <v>10405.21000000001</v>
      </c>
      <c r="BR11"/>
      <c r="BS11"/>
      <c r="BT11"/>
      <c r="BU11"/>
      <c r="BV11"/>
      <c r="BW11"/>
      <c r="BX11"/>
    </row>
    <row r="12" spans="1:76" ht="13.5" customHeight="1" x14ac:dyDescent="0.35">
      <c r="A12" s="53"/>
      <c r="B12" s="54"/>
      <c r="C12" s="55"/>
      <c r="D12" s="219"/>
      <c r="E12" s="217"/>
      <c r="F12" s="216"/>
      <c r="G12" s="217"/>
      <c r="H12" s="216"/>
      <c r="I12" s="217"/>
      <c r="J12" s="216"/>
      <c r="K12" s="217"/>
      <c r="L12" s="216"/>
      <c r="M12" s="217"/>
      <c r="N12" s="216"/>
      <c r="O12" s="217"/>
      <c r="P12" s="216"/>
      <c r="Q12" s="217"/>
      <c r="R12" s="216"/>
      <c r="S12" s="217"/>
      <c r="T12" s="216"/>
      <c r="U12" s="217"/>
      <c r="V12" s="216"/>
      <c r="W12" s="217"/>
      <c r="X12" s="216"/>
      <c r="Y12" s="217"/>
      <c r="Z12" s="216"/>
      <c r="AA12" s="217"/>
      <c r="AB12" s="216"/>
      <c r="AC12" s="217"/>
      <c r="AD12" s="216"/>
      <c r="AE12" s="217"/>
      <c r="AF12" s="216"/>
      <c r="AG12" s="217"/>
      <c r="AH12" s="216"/>
      <c r="AI12" s="217"/>
      <c r="AJ12" s="216"/>
      <c r="AK12" s="217"/>
      <c r="AL12" s="216"/>
      <c r="AM12" s="217"/>
      <c r="AN12" s="216"/>
      <c r="AO12" s="217"/>
      <c r="AP12" s="216"/>
      <c r="AQ12" s="217"/>
      <c r="AR12" s="216"/>
      <c r="AS12" s="217"/>
      <c r="AT12" s="216"/>
      <c r="AU12" s="217"/>
      <c r="AV12" s="216"/>
      <c r="AW12" s="217"/>
      <c r="AX12" s="216"/>
      <c r="AY12" s="217"/>
      <c r="AZ12" s="216"/>
      <c r="BA12" s="217"/>
      <c r="BB12" s="216"/>
      <c r="BC12" s="217"/>
      <c r="BD12" s="216"/>
      <c r="BE12" s="217"/>
      <c r="BF12" s="216"/>
      <c r="BG12" s="217"/>
      <c r="BH12" s="216"/>
      <c r="BI12" s="217"/>
      <c r="BJ12" s="216"/>
      <c r="BK12" s="217"/>
      <c r="BL12" s="216"/>
      <c r="BM12" s="217"/>
      <c r="BN12" s="56"/>
      <c r="BO12" s="57"/>
      <c r="BP12" s="216"/>
      <c r="BQ12" s="218"/>
    </row>
    <row r="13" spans="1:76" x14ac:dyDescent="0.35">
      <c r="A13" s="58" t="s">
        <v>39</v>
      </c>
      <c r="B13" s="59"/>
      <c r="C13" s="60">
        <v>0.79166666666666663</v>
      </c>
      <c r="D13" s="61" t="s">
        <v>52</v>
      </c>
      <c r="E13" s="62">
        <v>0.79166666666666663</v>
      </c>
      <c r="F13" s="63" t="s">
        <v>52</v>
      </c>
      <c r="G13" s="62">
        <v>0.79166666666666663</v>
      </c>
      <c r="H13" s="63" t="s">
        <v>52</v>
      </c>
      <c r="I13" s="62">
        <v>0.79166666666666663</v>
      </c>
      <c r="J13" s="63" t="s">
        <v>52</v>
      </c>
      <c r="K13" s="62">
        <v>0.79166666666666663</v>
      </c>
      <c r="L13" s="63" t="s">
        <v>52</v>
      </c>
      <c r="M13" s="62">
        <v>0.79166666666666663</v>
      </c>
      <c r="N13" s="63" t="s">
        <v>52</v>
      </c>
      <c r="O13" s="62">
        <v>0.79166666666666663</v>
      </c>
      <c r="P13" s="63" t="s">
        <v>52</v>
      </c>
      <c r="Q13" s="62">
        <v>0.79166666666666663</v>
      </c>
      <c r="R13" s="63" t="s">
        <v>52</v>
      </c>
      <c r="S13" s="62">
        <v>0.79166666666666663</v>
      </c>
      <c r="T13" s="63" t="s">
        <v>52</v>
      </c>
      <c r="U13" s="62">
        <v>0.79166666666666663</v>
      </c>
      <c r="V13" s="63" t="s">
        <v>52</v>
      </c>
      <c r="W13" s="62">
        <v>0.79166666666666663</v>
      </c>
      <c r="X13" s="63" t="s">
        <v>52</v>
      </c>
      <c r="Y13" s="62">
        <v>0.79166666666666663</v>
      </c>
      <c r="Z13" s="63" t="s">
        <v>52</v>
      </c>
      <c r="AA13" s="62">
        <v>0.79166666666666663</v>
      </c>
      <c r="AB13" s="63" t="s">
        <v>52</v>
      </c>
      <c r="AC13" s="62">
        <v>0.79166666666666663</v>
      </c>
      <c r="AD13" s="63" t="s">
        <v>52</v>
      </c>
      <c r="AE13" s="62">
        <v>0.79166666666666663</v>
      </c>
      <c r="AF13" s="63" t="s">
        <v>52</v>
      </c>
      <c r="AG13" s="62">
        <v>0.79166666666666663</v>
      </c>
      <c r="AH13" s="63" t="s">
        <v>52</v>
      </c>
      <c r="AI13" s="62" t="s">
        <v>101</v>
      </c>
      <c r="AJ13" s="63" t="s">
        <v>52</v>
      </c>
      <c r="AK13" s="62">
        <v>0.79166666666666663</v>
      </c>
      <c r="AL13" s="63" t="s">
        <v>52</v>
      </c>
      <c r="AM13" s="62">
        <v>0.79166666666666663</v>
      </c>
      <c r="AN13" s="63" t="s">
        <v>52</v>
      </c>
      <c r="AO13" s="62">
        <v>0.79166666666666663</v>
      </c>
      <c r="AP13" s="63" t="s">
        <v>52</v>
      </c>
      <c r="AQ13" s="62">
        <v>0.79166666666666663</v>
      </c>
      <c r="AR13" s="63" t="s">
        <v>52</v>
      </c>
      <c r="AS13" s="62">
        <v>0.79166666666666663</v>
      </c>
      <c r="AT13" s="63" t="s">
        <v>52</v>
      </c>
      <c r="AU13" s="62">
        <v>0.79166666666666663</v>
      </c>
      <c r="AV13" s="63" t="s">
        <v>52</v>
      </c>
      <c r="AW13" s="62">
        <v>0.79166666666666663</v>
      </c>
      <c r="AX13" s="63" t="s">
        <v>52</v>
      </c>
      <c r="AY13" s="62">
        <v>0.79166666666666663</v>
      </c>
      <c r="AZ13" s="63" t="s">
        <v>52</v>
      </c>
      <c r="BA13" s="62">
        <v>0.79166666666666663</v>
      </c>
      <c r="BB13" s="63" t="s">
        <v>52</v>
      </c>
      <c r="BC13" s="62">
        <v>0.79166666666666663</v>
      </c>
      <c r="BD13" s="63" t="s">
        <v>52</v>
      </c>
      <c r="BE13" s="62">
        <v>0.79166666666666663</v>
      </c>
      <c r="BF13" s="63" t="s">
        <v>52</v>
      </c>
      <c r="BG13" s="62">
        <v>0.79166666666666663</v>
      </c>
      <c r="BH13" s="63" t="s">
        <v>52</v>
      </c>
      <c r="BI13" s="62" t="s">
        <v>101</v>
      </c>
      <c r="BJ13" s="63" t="s">
        <v>52</v>
      </c>
      <c r="BK13" s="62">
        <v>0.79166666666666663</v>
      </c>
      <c r="BL13" s="63" t="s">
        <v>52</v>
      </c>
      <c r="BM13" s="62">
        <v>0.79166666666666663</v>
      </c>
      <c r="BN13" s="64"/>
      <c r="BO13" s="65"/>
      <c r="BP13" s="63" t="s">
        <v>52</v>
      </c>
      <c r="BQ13" s="66">
        <v>0.79166666666666663</v>
      </c>
    </row>
    <row r="14" spans="1:76" x14ac:dyDescent="0.35">
      <c r="A14" s="53" t="s">
        <v>40</v>
      </c>
      <c r="B14" s="59"/>
      <c r="C14" s="67" t="s">
        <v>57</v>
      </c>
      <c r="D14" s="68" t="s">
        <v>40</v>
      </c>
      <c r="E14" s="69" t="s">
        <v>57</v>
      </c>
      <c r="F14" s="70" t="s">
        <v>40</v>
      </c>
      <c r="G14" s="69" t="s">
        <v>57</v>
      </c>
      <c r="H14" s="70" t="s">
        <v>40</v>
      </c>
      <c r="I14" s="69" t="s">
        <v>57</v>
      </c>
      <c r="J14" s="70" t="s">
        <v>40</v>
      </c>
      <c r="K14" s="69" t="s">
        <v>57</v>
      </c>
      <c r="L14" s="70" t="s">
        <v>40</v>
      </c>
      <c r="M14" s="69" t="s">
        <v>57</v>
      </c>
      <c r="N14" s="70" t="s">
        <v>40</v>
      </c>
      <c r="O14" s="69" t="s">
        <v>57</v>
      </c>
      <c r="P14" s="70" t="s">
        <v>40</v>
      </c>
      <c r="Q14" s="69" t="s">
        <v>57</v>
      </c>
      <c r="R14" s="70" t="s">
        <v>40</v>
      </c>
      <c r="S14" s="69" t="s">
        <v>57</v>
      </c>
      <c r="T14" s="70" t="s">
        <v>40</v>
      </c>
      <c r="U14" s="69" t="s">
        <v>74</v>
      </c>
      <c r="V14" s="70" t="s">
        <v>40</v>
      </c>
      <c r="W14" s="69" t="s">
        <v>57</v>
      </c>
      <c r="X14" s="70" t="s">
        <v>40</v>
      </c>
      <c r="Y14" s="69" t="s">
        <v>57</v>
      </c>
      <c r="Z14" s="70" t="s">
        <v>40</v>
      </c>
      <c r="AA14" s="69" t="s">
        <v>57</v>
      </c>
      <c r="AB14" s="70" t="s">
        <v>40</v>
      </c>
      <c r="AC14" s="69" t="s">
        <v>57</v>
      </c>
      <c r="AD14" s="70" t="s">
        <v>40</v>
      </c>
      <c r="AE14" s="69" t="s">
        <v>57</v>
      </c>
      <c r="AF14" s="70" t="s">
        <v>40</v>
      </c>
      <c r="AG14" s="69" t="s">
        <v>57</v>
      </c>
      <c r="AH14" s="70" t="s">
        <v>40</v>
      </c>
      <c r="AI14" s="69" t="s">
        <v>57</v>
      </c>
      <c r="AJ14" s="70" t="s">
        <v>40</v>
      </c>
      <c r="AK14" s="69" t="s">
        <v>57</v>
      </c>
      <c r="AL14" s="70" t="s">
        <v>40</v>
      </c>
      <c r="AM14" s="69" t="s">
        <v>57</v>
      </c>
      <c r="AN14" s="70" t="s">
        <v>40</v>
      </c>
      <c r="AO14" s="69" t="s">
        <v>57</v>
      </c>
      <c r="AP14" s="70" t="s">
        <v>40</v>
      </c>
      <c r="AQ14" s="69" t="s">
        <v>57</v>
      </c>
      <c r="AR14" s="70" t="s">
        <v>40</v>
      </c>
      <c r="AS14" s="69" t="s">
        <v>57</v>
      </c>
      <c r="AT14" s="70" t="s">
        <v>40</v>
      </c>
      <c r="AU14" s="69" t="s">
        <v>57</v>
      </c>
      <c r="AV14" s="70" t="s">
        <v>40</v>
      </c>
      <c r="AW14" s="69" t="s">
        <v>57</v>
      </c>
      <c r="AX14" s="70" t="s">
        <v>40</v>
      </c>
      <c r="AY14" s="69" t="s">
        <v>57</v>
      </c>
      <c r="AZ14" s="70" t="s">
        <v>40</v>
      </c>
      <c r="BA14" s="69" t="s">
        <v>104</v>
      </c>
      <c r="BB14" s="70" t="s">
        <v>40</v>
      </c>
      <c r="BC14" s="69" t="s">
        <v>57</v>
      </c>
      <c r="BD14" s="70" t="s">
        <v>40</v>
      </c>
      <c r="BE14" s="69" t="s">
        <v>57</v>
      </c>
      <c r="BF14" s="70" t="s">
        <v>40</v>
      </c>
      <c r="BG14" s="69" t="s">
        <v>57</v>
      </c>
      <c r="BH14" s="70" t="s">
        <v>40</v>
      </c>
      <c r="BI14" s="69" t="s">
        <v>105</v>
      </c>
      <c r="BJ14" s="70" t="s">
        <v>40</v>
      </c>
      <c r="BK14" s="69" t="s">
        <v>57</v>
      </c>
      <c r="BL14" s="70" t="s">
        <v>40</v>
      </c>
      <c r="BM14" s="69" t="s">
        <v>57</v>
      </c>
      <c r="BN14" s="71"/>
      <c r="BO14" s="72"/>
      <c r="BP14" s="70" t="s">
        <v>40</v>
      </c>
      <c r="BQ14" s="73" t="s">
        <v>57</v>
      </c>
    </row>
    <row r="15" spans="1:76" x14ac:dyDescent="0.35">
      <c r="A15" s="53" t="s">
        <v>38</v>
      </c>
      <c r="B15" s="54"/>
      <c r="C15" s="67" t="s">
        <v>74</v>
      </c>
      <c r="D15" s="68" t="s">
        <v>53</v>
      </c>
      <c r="E15" s="69" t="s">
        <v>94</v>
      </c>
      <c r="F15" s="70" t="s">
        <v>53</v>
      </c>
      <c r="G15" s="69" t="s">
        <v>94</v>
      </c>
      <c r="H15" s="70" t="s">
        <v>53</v>
      </c>
      <c r="I15" s="69" t="s">
        <v>94</v>
      </c>
      <c r="J15" s="70" t="s">
        <v>53</v>
      </c>
      <c r="K15" s="69" t="s">
        <v>74</v>
      </c>
      <c r="L15" s="70" t="s">
        <v>53</v>
      </c>
      <c r="M15" s="69" t="s">
        <v>94</v>
      </c>
      <c r="N15" s="70" t="s">
        <v>53</v>
      </c>
      <c r="O15" s="69" t="s">
        <v>94</v>
      </c>
      <c r="P15" s="70" t="s">
        <v>53</v>
      </c>
      <c r="Q15" s="69" t="s">
        <v>74</v>
      </c>
      <c r="R15" s="70" t="s">
        <v>53</v>
      </c>
      <c r="S15" s="69" t="s">
        <v>74</v>
      </c>
      <c r="T15" s="70" t="s">
        <v>53</v>
      </c>
      <c r="U15" s="69" t="s">
        <v>74</v>
      </c>
      <c r="V15" s="70" t="s">
        <v>53</v>
      </c>
      <c r="W15" s="69" t="s">
        <v>74</v>
      </c>
      <c r="X15" s="70" t="s">
        <v>53</v>
      </c>
      <c r="Y15" s="69" t="s">
        <v>94</v>
      </c>
      <c r="Z15" s="70" t="s">
        <v>53</v>
      </c>
      <c r="AA15" s="69" t="s">
        <v>74</v>
      </c>
      <c r="AB15" s="70" t="s">
        <v>53</v>
      </c>
      <c r="AC15" s="69" t="s">
        <v>74</v>
      </c>
      <c r="AD15" s="70" t="s">
        <v>53</v>
      </c>
      <c r="AE15" s="69" t="s">
        <v>74</v>
      </c>
      <c r="AF15" s="70" t="s">
        <v>53</v>
      </c>
      <c r="AG15" s="69" t="s">
        <v>94</v>
      </c>
      <c r="AH15" s="70" t="s">
        <v>53</v>
      </c>
      <c r="AI15" s="69" t="s">
        <v>94</v>
      </c>
      <c r="AJ15" s="70" t="s">
        <v>53</v>
      </c>
      <c r="AK15" s="69" t="s">
        <v>94</v>
      </c>
      <c r="AL15" s="70" t="s">
        <v>53</v>
      </c>
      <c r="AM15" s="69" t="s">
        <v>74</v>
      </c>
      <c r="AN15" s="70" t="s">
        <v>53</v>
      </c>
      <c r="AO15" s="69" t="s">
        <v>94</v>
      </c>
      <c r="AP15" s="70" t="s">
        <v>53</v>
      </c>
      <c r="AQ15" s="69" t="s">
        <v>94</v>
      </c>
      <c r="AR15" s="70" t="s">
        <v>53</v>
      </c>
      <c r="AS15" s="69" t="s">
        <v>102</v>
      </c>
      <c r="AT15" s="70" t="s">
        <v>53</v>
      </c>
      <c r="AU15" s="69" t="s">
        <v>74</v>
      </c>
      <c r="AV15" s="70" t="s">
        <v>53</v>
      </c>
      <c r="AW15" s="69" t="s">
        <v>74</v>
      </c>
      <c r="AX15" s="70" t="s">
        <v>53</v>
      </c>
      <c r="AY15" s="69" t="s">
        <v>74</v>
      </c>
      <c r="AZ15" s="70" t="s">
        <v>53</v>
      </c>
      <c r="BA15" s="69" t="s">
        <v>74</v>
      </c>
      <c r="BB15" s="70" t="s">
        <v>53</v>
      </c>
      <c r="BC15" s="69" t="s">
        <v>74</v>
      </c>
      <c r="BD15" s="70" t="s">
        <v>53</v>
      </c>
      <c r="BE15" s="69" t="s">
        <v>74</v>
      </c>
      <c r="BF15" s="70" t="s">
        <v>53</v>
      </c>
      <c r="BG15" s="69" t="s">
        <v>74</v>
      </c>
      <c r="BH15" s="70" t="s">
        <v>53</v>
      </c>
      <c r="BI15" s="69" t="s">
        <v>94</v>
      </c>
      <c r="BJ15" s="70" t="s">
        <v>53</v>
      </c>
      <c r="BK15" s="69" t="s">
        <v>94</v>
      </c>
      <c r="BL15" s="70" t="s">
        <v>53</v>
      </c>
      <c r="BM15" s="69" t="s">
        <v>94</v>
      </c>
      <c r="BN15" s="71"/>
      <c r="BO15" s="72"/>
      <c r="BP15" s="70" t="s">
        <v>53</v>
      </c>
      <c r="BQ15" s="73" t="s">
        <v>102</v>
      </c>
    </row>
    <row r="16" spans="1:76" x14ac:dyDescent="0.35">
      <c r="A16" s="74" t="s">
        <v>51</v>
      </c>
      <c r="B16" s="75"/>
      <c r="C16" s="76"/>
      <c r="D16" s="77"/>
      <c r="E16" s="78"/>
      <c r="F16" s="79"/>
      <c r="G16" s="78"/>
      <c r="H16" s="79"/>
      <c r="I16" s="78"/>
      <c r="J16" s="79"/>
      <c r="K16" s="78"/>
      <c r="L16" s="79"/>
      <c r="M16" s="78"/>
      <c r="N16" s="79"/>
      <c r="O16" s="78"/>
      <c r="P16" s="79"/>
      <c r="Q16" s="78"/>
      <c r="R16" s="79"/>
      <c r="S16" s="78"/>
      <c r="T16" s="79"/>
      <c r="U16" s="78"/>
      <c r="V16" s="79"/>
      <c r="W16" s="78"/>
      <c r="X16" s="79"/>
      <c r="Y16" s="78"/>
      <c r="Z16" s="79"/>
      <c r="AA16" s="78"/>
      <c r="AB16" s="79"/>
      <c r="AC16" s="78"/>
      <c r="AD16" s="79"/>
      <c r="AE16" s="78"/>
      <c r="AF16" s="79"/>
      <c r="AG16" s="78"/>
      <c r="AH16" s="79"/>
      <c r="AI16" s="78"/>
      <c r="AJ16" s="79"/>
      <c r="AK16" s="78"/>
      <c r="AL16" s="79"/>
      <c r="AM16" s="78"/>
      <c r="AN16" s="79"/>
      <c r="AO16" s="78"/>
      <c r="AP16" s="79"/>
      <c r="AQ16" s="78"/>
      <c r="AR16" s="79"/>
      <c r="AS16" s="78"/>
      <c r="AT16" s="79"/>
      <c r="AU16" s="78"/>
      <c r="AV16" s="79"/>
      <c r="AW16" s="78"/>
      <c r="AX16" s="79"/>
      <c r="AY16" s="78"/>
      <c r="AZ16" s="79"/>
      <c r="BA16" s="78"/>
      <c r="BB16" s="79"/>
      <c r="BC16" s="78"/>
      <c r="BD16" s="79"/>
      <c r="BE16" s="78"/>
      <c r="BF16" s="79"/>
      <c r="BG16" s="78"/>
      <c r="BH16" s="79"/>
      <c r="BI16" s="78"/>
      <c r="BJ16" s="79"/>
      <c r="BK16" s="78"/>
      <c r="BL16" s="79"/>
      <c r="BM16" s="78"/>
      <c r="BN16" s="80"/>
      <c r="BO16" s="81"/>
      <c r="BP16" s="79" t="s">
        <v>57</v>
      </c>
      <c r="BQ16" s="82"/>
    </row>
    <row r="17" spans="1:76" x14ac:dyDescent="0.35">
      <c r="A17" s="53" t="s">
        <v>45</v>
      </c>
      <c r="B17" s="54"/>
      <c r="C17" s="67">
        <v>5</v>
      </c>
      <c r="D17" s="68"/>
      <c r="E17" s="69">
        <v>5</v>
      </c>
      <c r="F17" s="70"/>
      <c r="G17" s="69">
        <v>5</v>
      </c>
      <c r="H17" s="70"/>
      <c r="I17" s="69">
        <v>5</v>
      </c>
      <c r="J17" s="70"/>
      <c r="K17" s="69">
        <v>5</v>
      </c>
      <c r="L17" s="70"/>
      <c r="M17" s="69">
        <v>5</v>
      </c>
      <c r="N17" s="70"/>
      <c r="O17" s="69">
        <v>5</v>
      </c>
      <c r="P17" s="70"/>
      <c r="Q17" s="69">
        <v>5</v>
      </c>
      <c r="R17" s="70"/>
      <c r="S17" s="69">
        <v>5</v>
      </c>
      <c r="T17" s="70"/>
      <c r="U17" s="69">
        <v>5</v>
      </c>
      <c r="V17" s="70"/>
      <c r="W17" s="69">
        <v>5</v>
      </c>
      <c r="X17" s="70"/>
      <c r="Y17" s="69">
        <v>5</v>
      </c>
      <c r="Z17" s="70"/>
      <c r="AA17" s="69">
        <v>5</v>
      </c>
      <c r="AB17" s="70"/>
      <c r="AC17" s="69">
        <v>5</v>
      </c>
      <c r="AD17" s="70"/>
      <c r="AE17" s="69">
        <v>5</v>
      </c>
      <c r="AF17" s="70"/>
      <c r="AG17" s="69">
        <v>5</v>
      </c>
      <c r="AH17" s="70"/>
      <c r="AI17" s="69">
        <v>5</v>
      </c>
      <c r="AJ17" s="70"/>
      <c r="AK17" s="69">
        <v>5</v>
      </c>
      <c r="AL17" s="70"/>
      <c r="AM17" s="69">
        <v>5</v>
      </c>
      <c r="AN17" s="70"/>
      <c r="AO17" s="69">
        <v>5</v>
      </c>
      <c r="AP17" s="70"/>
      <c r="AQ17" s="69">
        <v>5</v>
      </c>
      <c r="AR17" s="70"/>
      <c r="AS17" s="69">
        <v>5</v>
      </c>
      <c r="AT17" s="70"/>
      <c r="AU17" s="69">
        <v>5</v>
      </c>
      <c r="AV17" s="70"/>
      <c r="AW17" s="69">
        <v>5</v>
      </c>
      <c r="AX17" s="70"/>
      <c r="AY17" s="69">
        <v>6</v>
      </c>
      <c r="AZ17" s="70"/>
      <c r="BA17" s="69"/>
      <c r="BB17" s="70"/>
      <c r="BC17" s="69">
        <v>6</v>
      </c>
      <c r="BD17" s="70"/>
      <c r="BE17" s="69">
        <v>6</v>
      </c>
      <c r="BF17" s="70"/>
      <c r="BG17" s="69">
        <v>6</v>
      </c>
      <c r="BH17" s="70"/>
      <c r="BI17" s="69">
        <v>6</v>
      </c>
      <c r="BJ17" s="70"/>
      <c r="BK17" s="69">
        <v>6</v>
      </c>
      <c r="BL17" s="70"/>
      <c r="BM17" s="69">
        <v>6</v>
      </c>
      <c r="BN17" s="71"/>
      <c r="BO17" s="182">
        <f t="shared" ref="BO17:BO59" si="2">IF(COUNT(E17,G17,I17,K17,M17,O17,Q17,S17,U17,W17,Y17,AA17,AC17,AE17,AG17,AI17,AK17,AM17,AO17,AQ17,AS17,AU17,AW17,AY17,BA17,BC17,BE17,BG17,BI17,BK17,BM17)=0,"",SUM(E17,G17,I17,K17,M17,O17,Q17,S17,U17,W17,Y17,AA17,AC17,AE17,AG17,AI17,AK17,AM17,AO17,AQ17,AS17,AU17,AW17,AY17,BA17,BC17,BE17,BG17,BI17,BK17,BM17))</f>
        <v>157</v>
      </c>
      <c r="BP17" s="70"/>
      <c r="BQ17" s="73">
        <v>0</v>
      </c>
    </row>
    <row r="18" spans="1:76" x14ac:dyDescent="0.35">
      <c r="A18" s="53" t="s">
        <v>46</v>
      </c>
      <c r="B18" s="54"/>
      <c r="C18" s="67"/>
      <c r="D18" s="68"/>
      <c r="E18" s="69"/>
      <c r="F18" s="70"/>
      <c r="G18" s="69"/>
      <c r="H18" s="70"/>
      <c r="I18" s="69"/>
      <c r="J18" s="70"/>
      <c r="K18" s="69"/>
      <c r="L18" s="70"/>
      <c r="M18" s="69"/>
      <c r="N18" s="70"/>
      <c r="O18" s="69"/>
      <c r="P18" s="70"/>
      <c r="Q18" s="69"/>
      <c r="R18" s="70"/>
      <c r="S18" s="69"/>
      <c r="T18" s="70"/>
      <c r="U18" s="69"/>
      <c r="V18" s="70"/>
      <c r="W18" s="69"/>
      <c r="X18" s="70"/>
      <c r="Y18" s="69"/>
      <c r="Z18" s="70"/>
      <c r="AA18" s="69"/>
      <c r="AB18" s="70"/>
      <c r="AC18" s="69"/>
      <c r="AD18" s="70"/>
      <c r="AE18" s="69"/>
      <c r="AF18" s="70"/>
      <c r="AG18" s="69"/>
      <c r="AH18" s="70"/>
      <c r="AI18" s="69"/>
      <c r="AJ18" s="70"/>
      <c r="AK18" s="69"/>
      <c r="AL18" s="70"/>
      <c r="AM18" s="69"/>
      <c r="AN18" s="70"/>
      <c r="AO18" s="69"/>
      <c r="AP18" s="70"/>
      <c r="AQ18" s="69"/>
      <c r="AR18" s="70"/>
      <c r="AS18" s="69"/>
      <c r="AT18" s="70"/>
      <c r="AU18" s="69"/>
      <c r="AV18" s="70"/>
      <c r="AW18" s="69"/>
      <c r="AX18" s="70"/>
      <c r="AY18" s="69"/>
      <c r="AZ18" s="70"/>
      <c r="BA18" s="69"/>
      <c r="BB18" s="70"/>
      <c r="BC18" s="69"/>
      <c r="BD18" s="70"/>
      <c r="BE18" s="69"/>
      <c r="BF18" s="70"/>
      <c r="BG18" s="69"/>
      <c r="BH18" s="70"/>
      <c r="BI18" s="69"/>
      <c r="BJ18" s="70"/>
      <c r="BK18" s="69"/>
      <c r="BL18" s="70"/>
      <c r="BM18" s="69"/>
      <c r="BN18" s="71"/>
      <c r="BO18" s="182" t="str">
        <f t="shared" si="2"/>
        <v/>
      </c>
      <c r="BP18" s="70"/>
      <c r="BQ18" s="73"/>
    </row>
    <row r="19" spans="1:76" x14ac:dyDescent="0.35">
      <c r="A19" s="53" t="s">
        <v>69</v>
      </c>
      <c r="B19" s="54"/>
      <c r="C19" s="67"/>
      <c r="D19" s="68"/>
      <c r="E19" s="69"/>
      <c r="F19" s="70"/>
      <c r="G19" s="69"/>
      <c r="H19" s="70"/>
      <c r="I19" s="69"/>
      <c r="J19" s="70"/>
      <c r="K19" s="69"/>
      <c r="L19" s="70"/>
      <c r="M19" s="69"/>
      <c r="N19" s="70"/>
      <c r="O19" s="69"/>
      <c r="P19" s="70"/>
      <c r="Q19" s="69"/>
      <c r="R19" s="70"/>
      <c r="S19" s="69"/>
      <c r="T19" s="70"/>
      <c r="U19" s="69"/>
      <c r="V19" s="70"/>
      <c r="W19" s="69"/>
      <c r="X19" s="70"/>
      <c r="Y19" s="69"/>
      <c r="Z19" s="70"/>
      <c r="AA19" s="69"/>
      <c r="AB19" s="70"/>
      <c r="AC19" s="69"/>
      <c r="AD19" s="70"/>
      <c r="AE19" s="69"/>
      <c r="AF19" s="70"/>
      <c r="AG19" s="69"/>
      <c r="AH19" s="70"/>
      <c r="AI19" s="69"/>
      <c r="AJ19" s="70"/>
      <c r="AK19" s="69"/>
      <c r="AL19" s="70"/>
      <c r="AM19" s="69"/>
      <c r="AN19" s="70"/>
      <c r="AO19" s="69"/>
      <c r="AP19" s="70"/>
      <c r="AQ19" s="69"/>
      <c r="AR19" s="70"/>
      <c r="AS19" s="69"/>
      <c r="AT19" s="70"/>
      <c r="AU19" s="69"/>
      <c r="AV19" s="70"/>
      <c r="AW19" s="69"/>
      <c r="AX19" s="70"/>
      <c r="AY19" s="69"/>
      <c r="AZ19" s="70"/>
      <c r="BA19" s="69"/>
      <c r="BB19" s="70"/>
      <c r="BC19" s="69"/>
      <c r="BD19" s="70"/>
      <c r="BE19" s="69"/>
      <c r="BF19" s="70"/>
      <c r="BG19" s="69"/>
      <c r="BH19" s="70"/>
      <c r="BI19" s="69"/>
      <c r="BJ19" s="70"/>
      <c r="BK19" s="69"/>
      <c r="BL19" s="70"/>
      <c r="BM19" s="69"/>
      <c r="BN19" s="71"/>
      <c r="BO19" s="182" t="str">
        <f t="shared" si="2"/>
        <v/>
      </c>
      <c r="BP19" s="70"/>
      <c r="BQ19" s="73"/>
    </row>
    <row r="20" spans="1:76" x14ac:dyDescent="0.35">
      <c r="A20" s="83" t="s">
        <v>0</v>
      </c>
      <c r="B20" s="54"/>
      <c r="C20" s="84"/>
      <c r="D20" s="85"/>
      <c r="E20" s="86"/>
      <c r="F20" s="87"/>
      <c r="G20" s="86"/>
      <c r="H20" s="87"/>
      <c r="I20" s="86"/>
      <c r="J20" s="87"/>
      <c r="K20" s="86"/>
      <c r="L20" s="87"/>
      <c r="M20" s="86"/>
      <c r="N20" s="87"/>
      <c r="O20" s="86"/>
      <c r="P20" s="87"/>
      <c r="Q20" s="86"/>
      <c r="R20" s="87"/>
      <c r="S20" s="86"/>
      <c r="T20" s="87"/>
      <c r="U20" s="86"/>
      <c r="V20" s="87"/>
      <c r="W20" s="86"/>
      <c r="X20" s="87"/>
      <c r="Y20" s="86"/>
      <c r="Z20" s="87"/>
      <c r="AA20" s="86"/>
      <c r="AB20" s="87"/>
      <c r="AC20" s="86"/>
      <c r="AD20" s="87"/>
      <c r="AE20" s="86"/>
      <c r="AF20" s="87"/>
      <c r="AG20" s="86"/>
      <c r="AH20" s="87"/>
      <c r="AI20" s="86"/>
      <c r="AJ20" s="87"/>
      <c r="AK20" s="86"/>
      <c r="AL20" s="87"/>
      <c r="AM20" s="86"/>
      <c r="AN20" s="87"/>
      <c r="AO20" s="86"/>
      <c r="AP20" s="87"/>
      <c r="AQ20" s="86"/>
      <c r="AR20" s="87"/>
      <c r="AS20" s="86"/>
      <c r="AT20" s="87"/>
      <c r="AU20" s="86"/>
      <c r="AV20" s="87"/>
      <c r="AW20" s="86"/>
      <c r="AX20" s="87"/>
      <c r="AY20" s="86"/>
      <c r="AZ20" s="87"/>
      <c r="BA20" s="86"/>
      <c r="BB20" s="87"/>
      <c r="BC20" s="86"/>
      <c r="BD20" s="87"/>
      <c r="BE20" s="86"/>
      <c r="BF20" s="87"/>
      <c r="BG20" s="86"/>
      <c r="BH20" s="87"/>
      <c r="BI20" s="86"/>
      <c r="BJ20" s="87"/>
      <c r="BK20" s="86"/>
      <c r="BL20" s="87"/>
      <c r="BM20" s="86"/>
      <c r="BN20" s="50"/>
      <c r="BO20" s="170" t="str">
        <f t="shared" si="2"/>
        <v/>
      </c>
      <c r="BP20" s="87"/>
      <c r="BQ20" s="88"/>
    </row>
    <row r="21" spans="1:76" x14ac:dyDescent="0.35">
      <c r="A21" s="83" t="s">
        <v>1</v>
      </c>
      <c r="B21" s="54"/>
      <c r="C21" s="174">
        <f>620+1500+1180+1700+1400+1300+2600+1100+1500+1600</f>
        <v>14500</v>
      </c>
      <c r="D21" s="85"/>
      <c r="E21" s="176">
        <f>140+450+1300+1200+1100+2000+1550+1650+1200+1200</f>
        <v>11790</v>
      </c>
      <c r="F21" s="87"/>
      <c r="G21" s="176">
        <f>110+850+1300+2200+1300+1800+1700+1400+1300</f>
        <v>11960</v>
      </c>
      <c r="H21" s="87"/>
      <c r="I21" s="176">
        <f>310+1100+1000+950+1200+1400+1100+1650+1400+1500+2200+1000+1900</f>
        <v>16710</v>
      </c>
      <c r="J21" s="87"/>
      <c r="K21" s="176">
        <f>1550+2210+2100+1700+1500+1850</f>
        <v>10910</v>
      </c>
      <c r="L21" s="87"/>
      <c r="M21" s="176">
        <f>180+500+600+1400+2150+1200+1500+1100+1400+1500+1400+2100+100</f>
        <v>15130</v>
      </c>
      <c r="N21" s="87"/>
      <c r="O21" s="176">
        <f>540+1200+1350+950+700+1000+1600+1200+1300+1100</f>
        <v>10940</v>
      </c>
      <c r="P21" s="87"/>
      <c r="Q21" s="176">
        <f>860+1650+2000+3150+1500+3600</f>
        <v>12760</v>
      </c>
      <c r="R21" s="87"/>
      <c r="S21" s="176">
        <f>1800+3150+2900+1500+1900+2500+1580</f>
        <v>15330</v>
      </c>
      <c r="T21" s="87"/>
      <c r="U21" s="176">
        <f>2750+1550+200+70+1200+1950+1700</f>
        <v>9420</v>
      </c>
      <c r="V21" s="87"/>
      <c r="W21" s="176">
        <f>1600+2250+1700+3250+2100+2050+440</f>
        <v>13390</v>
      </c>
      <c r="X21" s="87"/>
      <c r="Y21" s="176">
        <f>30+840+1400+1300+1500+1400+700+1400+1050+2000+1600</f>
        <v>13220</v>
      </c>
      <c r="Z21" s="87"/>
      <c r="AA21" s="176">
        <f>300+400+3200+2350+1450+1850+2800</f>
        <v>12350</v>
      </c>
      <c r="AB21" s="87"/>
      <c r="AC21" s="176">
        <f>1400+1400+2500+190+2800+2560+2950</f>
        <v>13800</v>
      </c>
      <c r="AD21" s="87"/>
      <c r="AE21" s="176">
        <f>80+900+1800+2400+2350+1500+1500</f>
        <v>10530</v>
      </c>
      <c r="AF21" s="87"/>
      <c r="AG21" s="176">
        <f>190+670+1300+2000+1000+1100+1300+1600+1000+900+1700+800</f>
        <v>13560</v>
      </c>
      <c r="AH21" s="87"/>
      <c r="AI21" s="176">
        <f>890+700+1100+1300+1900+1100+1100+1000+1300</f>
        <v>10390</v>
      </c>
      <c r="AJ21" s="87"/>
      <c r="AK21" s="176">
        <f>350+950+900+1200+1450+200+1600+1300+1200+3300+20+1200+1400+900+1600</f>
        <v>17570</v>
      </c>
      <c r="AL21" s="87"/>
      <c r="AM21" s="176">
        <f>1400+2150+1400+1900+1600+10+10+3100+1800+1600</f>
        <v>14970</v>
      </c>
      <c r="AN21" s="173">
        <f>-360-1020-1500-1950-1100-1400-1000-1100-1600-1700</f>
        <v>-12730</v>
      </c>
      <c r="AO21" s="176">
        <f>360+1020+1500+1950+1100+1400+1000+1100+1600+1700</f>
        <v>12730</v>
      </c>
      <c r="AP21" s="173">
        <f>-110-1490-530-900-1100-150-1200-800-1500-1300-1000-1200-1800</f>
        <v>-13080</v>
      </c>
      <c r="AQ21" s="176">
        <f>110+1490+530+900+1100+150+1200+800+1500+1200+1000+1300+1800</f>
        <v>13080</v>
      </c>
      <c r="AR21" s="173">
        <f>-540-3600-100-2180-1700-1300-1100</f>
        <v>-10520</v>
      </c>
      <c r="AS21" s="176">
        <f>540+3600+100+2180+1700+1300+1100</f>
        <v>10520</v>
      </c>
      <c r="AT21" s="173">
        <f>-2900-1800-1650-1450-1900-1800-2000-1800</f>
        <v>-15300</v>
      </c>
      <c r="AU21" s="176">
        <f>1800+2900+2000+1800+1900+1450+1650+1800</f>
        <v>15300</v>
      </c>
      <c r="AV21" s="173">
        <f>-400-590-1500-2650-2150-1450-3400-2050</f>
        <v>-14190</v>
      </c>
      <c r="AW21" s="176">
        <f>400+590+1500+2650+1450+2150+3400+2050</f>
        <v>14190</v>
      </c>
      <c r="AX21" s="173">
        <f>-1800-1700-1550-120-800-2000</f>
        <v>-7970</v>
      </c>
      <c r="AY21" s="176">
        <f>1800+1700+1550+120+800+2000</f>
        <v>7970</v>
      </c>
      <c r="AZ21" s="87"/>
      <c r="BA21" s="176">
        <f>80+490+1350+1400+1300+1300+1200+1100+1800+1100</f>
        <v>11120</v>
      </c>
      <c r="BB21" s="87"/>
      <c r="BC21" s="176">
        <f>270+1800+1300+1700+1800+870</f>
        <v>7740</v>
      </c>
      <c r="BD21" s="87"/>
      <c r="BE21" s="176">
        <f>690+2000+1300+1800+2400+1950+2150+1230+1450</f>
        <v>14970</v>
      </c>
      <c r="BF21" s="87"/>
      <c r="BG21" s="176">
        <f>660+1600+2900+2000+1400+2000+3310+2500+2200</f>
        <v>18570</v>
      </c>
      <c r="BH21" s="87"/>
      <c r="BI21" s="176">
        <f>1410+760+1100+1500+1200+1700+1650+2800+2700+1200+2100</f>
        <v>18120</v>
      </c>
      <c r="BJ21" s="87"/>
      <c r="BK21" s="176">
        <f>190+700+1400+1300+1000+1100+1000+1700+1400+1200+1400</f>
        <v>12390</v>
      </c>
      <c r="BL21" s="87"/>
      <c r="BM21" s="176">
        <f>520+900+580+2200+1200+1300+2000+900+1300+1250+1600+1700</f>
        <v>15450</v>
      </c>
      <c r="BN21" s="50"/>
      <c r="BO21" s="170">
        <f t="shared" si="2"/>
        <v>406880</v>
      </c>
      <c r="BP21" s="87"/>
      <c r="BQ21" s="178">
        <f>1600+2300+1800+1400+1800+1600+1800+1150+980+250+1100</f>
        <v>15780</v>
      </c>
    </row>
    <row r="22" spans="1:76" s="1" customFormat="1" ht="15" thickBot="1" x14ac:dyDescent="0.4">
      <c r="A22" s="89" t="s">
        <v>41</v>
      </c>
      <c r="B22" s="90"/>
      <c r="C22" s="175">
        <f t="shared" ref="C22" si="3">SUM(C20:C21)</f>
        <v>14500</v>
      </c>
      <c r="D22" s="47"/>
      <c r="E22" s="177">
        <f t="shared" ref="E22" si="4">SUM(E20:E21)</f>
        <v>11790</v>
      </c>
      <c r="F22" s="49"/>
      <c r="G22" s="177">
        <f t="shared" ref="G22" si="5">SUM(G20:G21)</f>
        <v>11960</v>
      </c>
      <c r="H22" s="49"/>
      <c r="I22" s="177">
        <f t="shared" ref="I22" si="6">SUM(I20:I21)</f>
        <v>16710</v>
      </c>
      <c r="J22" s="49"/>
      <c r="K22" s="177">
        <f t="shared" ref="K22" si="7">SUM(K20:K21)</f>
        <v>10910</v>
      </c>
      <c r="L22" s="49"/>
      <c r="M22" s="177">
        <f t="shared" ref="M22" si="8">SUM(M20:M21)</f>
        <v>15130</v>
      </c>
      <c r="N22" s="49"/>
      <c r="O22" s="177">
        <f t="shared" ref="O22" si="9">SUM(O20:O21)</f>
        <v>10940</v>
      </c>
      <c r="P22" s="49"/>
      <c r="Q22" s="177">
        <f t="shared" ref="Q22" si="10">SUM(Q20:Q21)</f>
        <v>12760</v>
      </c>
      <c r="R22" s="49"/>
      <c r="S22" s="177">
        <f t="shared" ref="S22" si="11">SUM(S20:S21)</f>
        <v>15330</v>
      </c>
      <c r="T22" s="49"/>
      <c r="U22" s="177">
        <f t="shared" ref="U22" si="12">SUM(U20:U21)</f>
        <v>9420</v>
      </c>
      <c r="V22" s="49"/>
      <c r="W22" s="177">
        <f t="shared" ref="W22" si="13">SUM(W20:W21)</f>
        <v>13390</v>
      </c>
      <c r="X22" s="49"/>
      <c r="Y22" s="177">
        <f t="shared" ref="Y22" si="14">SUM(Y20:Y21)</f>
        <v>13220</v>
      </c>
      <c r="Z22" s="49"/>
      <c r="AA22" s="177">
        <f t="shared" ref="AA22" si="15">SUM(AA20:AA21)</f>
        <v>12350</v>
      </c>
      <c r="AB22" s="49"/>
      <c r="AC22" s="177">
        <f t="shared" ref="AC22" si="16">SUM(AC20:AC21)</f>
        <v>13800</v>
      </c>
      <c r="AD22" s="49"/>
      <c r="AE22" s="177">
        <f t="shared" ref="AE22" si="17">SUM(AE20:AE21)</f>
        <v>10530</v>
      </c>
      <c r="AF22" s="49"/>
      <c r="AG22" s="177">
        <f t="shared" ref="AG22" si="18">SUM(AG20:AG21)</f>
        <v>13560</v>
      </c>
      <c r="AH22" s="49"/>
      <c r="AI22" s="177">
        <f t="shared" ref="AI22" si="19">SUM(AI20:AI21)</f>
        <v>10390</v>
      </c>
      <c r="AJ22" s="49"/>
      <c r="AK22" s="177">
        <f t="shared" ref="AK22" si="20">SUM(AK20:AK21)</f>
        <v>17570</v>
      </c>
      <c r="AL22" s="49"/>
      <c r="AM22" s="177">
        <f t="shared" ref="AM22" si="21">SUM(AM20:AM21)</f>
        <v>14970</v>
      </c>
      <c r="AN22" s="49"/>
      <c r="AO22" s="177">
        <f t="shared" ref="AO22" si="22">SUM(AO20:AO21)</f>
        <v>12730</v>
      </c>
      <c r="AP22" s="49"/>
      <c r="AQ22" s="177">
        <f t="shared" ref="AQ22" si="23">SUM(AQ20:AQ21)</f>
        <v>13080</v>
      </c>
      <c r="AR22" s="49"/>
      <c r="AS22" s="177">
        <f t="shared" ref="AS22" si="24">SUM(AS20:AS21)</f>
        <v>10520</v>
      </c>
      <c r="AT22" s="49"/>
      <c r="AU22" s="177">
        <f t="shared" ref="AU22" si="25">SUM(AU20:AU21)</f>
        <v>15300</v>
      </c>
      <c r="AV22" s="49"/>
      <c r="AW22" s="177">
        <f t="shared" ref="AW22" si="26">SUM(AW20:AW21)</f>
        <v>14190</v>
      </c>
      <c r="AX22" s="49"/>
      <c r="AY22" s="177">
        <f t="shared" ref="AY22" si="27">SUM(AY20:AY21)</f>
        <v>7970</v>
      </c>
      <c r="AZ22" s="49"/>
      <c r="BA22" s="177">
        <f t="shared" ref="BA22" si="28">SUM(BA20:BA21)</f>
        <v>11120</v>
      </c>
      <c r="BB22" s="49"/>
      <c r="BC22" s="177">
        <f t="shared" ref="BC22" si="29">SUM(BC20:BC21)</f>
        <v>7740</v>
      </c>
      <c r="BD22" s="49"/>
      <c r="BE22" s="177">
        <f t="shared" ref="BE22" si="30">SUM(BE20:BE21)</f>
        <v>14970</v>
      </c>
      <c r="BF22" s="49"/>
      <c r="BG22" s="177">
        <f t="shared" ref="BG22" si="31">SUM(BG20:BG21)</f>
        <v>18570</v>
      </c>
      <c r="BH22" s="49"/>
      <c r="BI22" s="177">
        <f t="shared" ref="BI22" si="32">SUM(BI20:BI21)</f>
        <v>18120</v>
      </c>
      <c r="BJ22" s="49"/>
      <c r="BK22" s="177">
        <f t="shared" ref="BK22" si="33">SUM(BK20:BK21)</f>
        <v>12390</v>
      </c>
      <c r="BL22" s="49"/>
      <c r="BM22" s="177">
        <f t="shared" ref="BM22" si="34">SUM(BM20:BM21)</f>
        <v>15450</v>
      </c>
      <c r="BN22" s="92"/>
      <c r="BO22" s="170">
        <f t="shared" si="2"/>
        <v>406880</v>
      </c>
      <c r="BP22" s="49"/>
      <c r="BQ22" s="179">
        <f t="shared" ref="BQ22" si="35">SUM(BQ20:BQ21)</f>
        <v>15780</v>
      </c>
      <c r="BR22"/>
      <c r="BS22"/>
      <c r="BT22"/>
      <c r="BU22"/>
      <c r="BV22"/>
      <c r="BW22"/>
      <c r="BX22"/>
    </row>
    <row r="23" spans="1:76" ht="15" hidden="1" thickBot="1" x14ac:dyDescent="0.4">
      <c r="A23" s="83" t="s">
        <v>2</v>
      </c>
      <c r="B23" s="54"/>
      <c r="C23" s="84"/>
      <c r="D23" s="85"/>
      <c r="E23" s="86"/>
      <c r="F23" s="87"/>
      <c r="G23" s="86"/>
      <c r="H23" s="87"/>
      <c r="I23" s="86"/>
      <c r="J23" s="87"/>
      <c r="K23" s="86"/>
      <c r="L23" s="87"/>
      <c r="M23" s="86"/>
      <c r="N23" s="87"/>
      <c r="O23" s="86"/>
      <c r="P23" s="87"/>
      <c r="Q23" s="86"/>
      <c r="R23" s="87"/>
      <c r="S23" s="86"/>
      <c r="T23" s="87"/>
      <c r="U23" s="86"/>
      <c r="V23" s="87"/>
      <c r="W23" s="86"/>
      <c r="X23" s="87"/>
      <c r="Y23" s="86"/>
      <c r="Z23" s="87"/>
      <c r="AA23" s="86"/>
      <c r="AB23" s="87"/>
      <c r="AC23" s="86"/>
      <c r="AD23" s="87"/>
      <c r="AE23" s="86"/>
      <c r="AF23" s="87"/>
      <c r="AG23" s="86"/>
      <c r="AH23" s="87"/>
      <c r="AI23" s="86"/>
      <c r="AJ23" s="87"/>
      <c r="AK23" s="86"/>
      <c r="AL23" s="87"/>
      <c r="AM23" s="86"/>
      <c r="AN23" s="87"/>
      <c r="AO23" s="86"/>
      <c r="AP23" s="87"/>
      <c r="AQ23" s="86"/>
      <c r="AR23" s="87"/>
      <c r="AS23" s="86"/>
      <c r="AT23" s="87"/>
      <c r="AU23" s="86"/>
      <c r="AV23" s="87"/>
      <c r="AW23" s="86"/>
      <c r="AX23" s="87"/>
      <c r="AY23" s="86"/>
      <c r="AZ23" s="87"/>
      <c r="BA23" s="86"/>
      <c r="BB23" s="87"/>
      <c r="BC23" s="86"/>
      <c r="BD23" s="87"/>
      <c r="BE23" s="86"/>
      <c r="BF23" s="87"/>
      <c r="BG23" s="86"/>
      <c r="BH23" s="87"/>
      <c r="BI23" s="86"/>
      <c r="BJ23" s="87"/>
      <c r="BK23" s="86"/>
      <c r="BL23" s="87"/>
      <c r="BM23" s="86"/>
      <c r="BN23" s="50"/>
      <c r="BO23" s="170" t="str">
        <f t="shared" si="2"/>
        <v/>
      </c>
      <c r="BP23" s="87"/>
      <c r="BQ23" s="88"/>
    </row>
    <row r="24" spans="1:76" ht="15" hidden="1" thickBot="1" x14ac:dyDescent="0.4">
      <c r="A24" s="83" t="s">
        <v>3</v>
      </c>
      <c r="B24" s="54"/>
      <c r="C24" s="84"/>
      <c r="D24" s="85"/>
      <c r="E24" s="86"/>
      <c r="F24" s="87"/>
      <c r="G24" s="86"/>
      <c r="H24" s="87"/>
      <c r="I24" s="86"/>
      <c r="J24" s="87"/>
      <c r="K24" s="86"/>
      <c r="L24" s="87"/>
      <c r="M24" s="86"/>
      <c r="N24" s="87"/>
      <c r="O24" s="86"/>
      <c r="P24" s="87"/>
      <c r="Q24" s="86"/>
      <c r="R24" s="87"/>
      <c r="S24" s="86"/>
      <c r="T24" s="87"/>
      <c r="U24" s="86"/>
      <c r="V24" s="87"/>
      <c r="W24" s="86"/>
      <c r="X24" s="87"/>
      <c r="Y24" s="86"/>
      <c r="Z24" s="87"/>
      <c r="AA24" s="86"/>
      <c r="AB24" s="87"/>
      <c r="AC24" s="86"/>
      <c r="AD24" s="87"/>
      <c r="AE24" s="86"/>
      <c r="AF24" s="87"/>
      <c r="AG24" s="86"/>
      <c r="AH24" s="87"/>
      <c r="AI24" s="86"/>
      <c r="AJ24" s="87"/>
      <c r="AK24" s="86"/>
      <c r="AL24" s="87"/>
      <c r="AM24" s="86"/>
      <c r="AN24" s="87"/>
      <c r="AO24" s="86"/>
      <c r="AP24" s="87"/>
      <c r="AQ24" s="86"/>
      <c r="AR24" s="87"/>
      <c r="AS24" s="86"/>
      <c r="AT24" s="87"/>
      <c r="AU24" s="86"/>
      <c r="AV24" s="87"/>
      <c r="AW24" s="86"/>
      <c r="AX24" s="87"/>
      <c r="AY24" s="86"/>
      <c r="AZ24" s="87"/>
      <c r="BA24" s="86"/>
      <c r="BB24" s="87"/>
      <c r="BC24" s="86"/>
      <c r="BD24" s="87"/>
      <c r="BE24" s="86"/>
      <c r="BF24" s="87"/>
      <c r="BG24" s="86"/>
      <c r="BH24" s="87"/>
      <c r="BI24" s="86"/>
      <c r="BJ24" s="87"/>
      <c r="BK24" s="86"/>
      <c r="BL24" s="87"/>
      <c r="BM24" s="86"/>
      <c r="BN24" s="50"/>
      <c r="BO24" s="170" t="str">
        <f t="shared" si="2"/>
        <v/>
      </c>
      <c r="BP24" s="87"/>
      <c r="BQ24" s="88"/>
    </row>
    <row r="25" spans="1:76" s="7" customFormat="1" x14ac:dyDescent="0.35">
      <c r="A25" s="83" t="s">
        <v>37</v>
      </c>
      <c r="B25" s="54"/>
      <c r="C25" s="84">
        <v>2654</v>
      </c>
      <c r="D25" s="85"/>
      <c r="E25" s="86">
        <v>2667</v>
      </c>
      <c r="F25" s="87"/>
      <c r="G25" s="86">
        <v>2042</v>
      </c>
      <c r="H25" s="87"/>
      <c r="I25" s="86">
        <v>1745</v>
      </c>
      <c r="J25" s="87"/>
      <c r="K25" s="86">
        <v>1859</v>
      </c>
      <c r="L25" s="87"/>
      <c r="M25" s="86">
        <v>2273</v>
      </c>
      <c r="N25" s="87"/>
      <c r="O25" s="86">
        <v>3017</v>
      </c>
      <c r="P25" s="87"/>
      <c r="Q25" s="86">
        <v>1754</v>
      </c>
      <c r="R25" s="87"/>
      <c r="S25" s="86">
        <v>1544</v>
      </c>
      <c r="T25" s="87"/>
      <c r="U25" s="86">
        <v>1765</v>
      </c>
      <c r="V25" s="87"/>
      <c r="W25" s="86">
        <v>1538</v>
      </c>
      <c r="X25" s="87"/>
      <c r="Y25" s="86">
        <v>1826</v>
      </c>
      <c r="Z25" s="87"/>
      <c r="AA25" s="86">
        <v>1619</v>
      </c>
      <c r="AB25" s="87"/>
      <c r="AC25" s="86">
        <v>1813</v>
      </c>
      <c r="AD25" s="87"/>
      <c r="AE25" s="86">
        <v>1871</v>
      </c>
      <c r="AF25" s="87"/>
      <c r="AG25" s="86">
        <v>1912</v>
      </c>
      <c r="AH25" s="87"/>
      <c r="AI25" s="86">
        <v>1147</v>
      </c>
      <c r="AJ25" s="87"/>
      <c r="AK25" s="86">
        <v>1973</v>
      </c>
      <c r="AL25" s="87"/>
      <c r="AM25" s="86">
        <v>1489</v>
      </c>
      <c r="AN25" s="87"/>
      <c r="AO25" s="86">
        <v>1302</v>
      </c>
      <c r="AP25" s="87"/>
      <c r="AQ25" s="86">
        <v>1685</v>
      </c>
      <c r="AR25" s="87"/>
      <c r="AS25" s="86">
        <v>2535</v>
      </c>
      <c r="AT25" s="87"/>
      <c r="AU25" s="86">
        <v>1760</v>
      </c>
      <c r="AV25" s="87"/>
      <c r="AW25" s="86">
        <v>2052</v>
      </c>
      <c r="AX25" s="87"/>
      <c r="AY25" s="86">
        <v>1797</v>
      </c>
      <c r="AZ25" s="87"/>
      <c r="BA25" s="86">
        <v>881</v>
      </c>
      <c r="BB25" s="87"/>
      <c r="BC25" s="86">
        <v>1717</v>
      </c>
      <c r="BD25" s="87"/>
      <c r="BE25" s="86">
        <v>2138</v>
      </c>
      <c r="BF25" s="87"/>
      <c r="BG25" s="86">
        <v>1990</v>
      </c>
      <c r="BH25" s="87"/>
      <c r="BI25" s="86">
        <v>2075</v>
      </c>
      <c r="BJ25" s="87"/>
      <c r="BK25" s="86">
        <v>1921</v>
      </c>
      <c r="BL25" s="87"/>
      <c r="BM25" s="86">
        <v>3986</v>
      </c>
      <c r="BN25" s="50"/>
      <c r="BO25" s="170">
        <f t="shared" si="2"/>
        <v>59693</v>
      </c>
      <c r="BP25" s="87"/>
      <c r="BQ25" s="88">
        <v>1114</v>
      </c>
      <c r="BR25"/>
      <c r="BS25"/>
      <c r="BT25"/>
      <c r="BU25"/>
      <c r="BV25"/>
      <c r="BW25"/>
      <c r="BX25"/>
    </row>
    <row r="26" spans="1:76" ht="15" thickBot="1" x14ac:dyDescent="0.4">
      <c r="A26" s="94" t="s">
        <v>4</v>
      </c>
      <c r="B26" s="95"/>
      <c r="C26" s="84">
        <v>2254</v>
      </c>
      <c r="D26" s="96"/>
      <c r="E26" s="86">
        <v>2667</v>
      </c>
      <c r="F26" s="97"/>
      <c r="G26" s="86">
        <v>2046</v>
      </c>
      <c r="H26" s="97"/>
      <c r="I26" s="86">
        <v>1745</v>
      </c>
      <c r="J26" s="97"/>
      <c r="K26" s="86">
        <v>1859</v>
      </c>
      <c r="L26" s="97"/>
      <c r="M26" s="86">
        <v>2283</v>
      </c>
      <c r="N26" s="97"/>
      <c r="O26" s="86">
        <v>3017</v>
      </c>
      <c r="P26" s="97"/>
      <c r="Q26" s="86">
        <v>1754</v>
      </c>
      <c r="R26" s="97"/>
      <c r="S26" s="86">
        <v>1544</v>
      </c>
      <c r="T26" s="97"/>
      <c r="U26" s="86">
        <v>1765</v>
      </c>
      <c r="V26" s="97"/>
      <c r="W26" s="86">
        <v>1538</v>
      </c>
      <c r="X26" s="97"/>
      <c r="Y26" s="86">
        <v>1826</v>
      </c>
      <c r="Z26" s="97"/>
      <c r="AA26" s="86">
        <v>1619</v>
      </c>
      <c r="AB26" s="97"/>
      <c r="AC26" s="86">
        <v>1813</v>
      </c>
      <c r="AD26" s="97"/>
      <c r="AE26" s="86">
        <v>1871</v>
      </c>
      <c r="AF26" s="97"/>
      <c r="AG26" s="86">
        <v>1912</v>
      </c>
      <c r="AH26" s="97"/>
      <c r="AI26" s="86">
        <v>1147</v>
      </c>
      <c r="AJ26" s="97"/>
      <c r="AK26" s="86">
        <v>1973</v>
      </c>
      <c r="AL26" s="97"/>
      <c r="AM26" s="86">
        <v>1489</v>
      </c>
      <c r="AN26" s="97"/>
      <c r="AO26" s="86">
        <v>1302</v>
      </c>
      <c r="AP26" s="97"/>
      <c r="AQ26" s="86">
        <v>1655</v>
      </c>
      <c r="AR26" s="97"/>
      <c r="AS26" s="86">
        <v>2535</v>
      </c>
      <c r="AT26" s="97"/>
      <c r="AU26" s="86">
        <v>1760</v>
      </c>
      <c r="AV26" s="97"/>
      <c r="AW26" s="86">
        <v>2052</v>
      </c>
      <c r="AX26" s="97"/>
      <c r="AY26" s="86">
        <v>1797</v>
      </c>
      <c r="AZ26" s="97"/>
      <c r="BA26" s="86">
        <v>881</v>
      </c>
      <c r="BB26" s="97"/>
      <c r="BC26" s="86">
        <v>1717</v>
      </c>
      <c r="BD26" s="97"/>
      <c r="BE26" s="86">
        <v>2138</v>
      </c>
      <c r="BF26" s="97"/>
      <c r="BG26" s="86">
        <v>1910</v>
      </c>
      <c r="BH26" s="97"/>
      <c r="BI26" s="86">
        <v>2075</v>
      </c>
      <c r="BJ26" s="97"/>
      <c r="BK26" s="86">
        <v>1921</v>
      </c>
      <c r="BL26" s="97"/>
      <c r="BM26" s="86">
        <v>3986</v>
      </c>
      <c r="BN26" s="50"/>
      <c r="BO26" s="170">
        <f t="shared" si="2"/>
        <v>59597</v>
      </c>
      <c r="BP26" s="97"/>
      <c r="BQ26" s="88">
        <v>1114</v>
      </c>
    </row>
    <row r="27" spans="1:76" s="7" customFormat="1" x14ac:dyDescent="0.35">
      <c r="A27" s="53" t="s">
        <v>21</v>
      </c>
      <c r="B27" s="54"/>
      <c r="C27" s="84">
        <v>84</v>
      </c>
      <c r="D27" s="85"/>
      <c r="E27" s="86">
        <v>85</v>
      </c>
      <c r="F27" s="87"/>
      <c r="G27" s="86">
        <v>86</v>
      </c>
      <c r="H27" s="87"/>
      <c r="I27" s="86">
        <v>87</v>
      </c>
      <c r="J27" s="87"/>
      <c r="K27" s="86">
        <v>88</v>
      </c>
      <c r="L27" s="87"/>
      <c r="M27" s="86">
        <v>89</v>
      </c>
      <c r="N27" s="87"/>
      <c r="O27" s="86">
        <v>90</v>
      </c>
      <c r="P27" s="87"/>
      <c r="Q27" s="86">
        <v>91</v>
      </c>
      <c r="R27" s="87"/>
      <c r="S27" s="86">
        <v>92</v>
      </c>
      <c r="T27" s="87"/>
      <c r="U27" s="86">
        <v>93</v>
      </c>
      <c r="V27" s="87"/>
      <c r="W27" s="86">
        <v>94</v>
      </c>
      <c r="X27" s="87"/>
      <c r="Y27" s="86">
        <v>95</v>
      </c>
      <c r="Z27" s="87"/>
      <c r="AA27" s="86">
        <v>96</v>
      </c>
      <c r="AB27" s="87"/>
      <c r="AC27" s="86">
        <v>97</v>
      </c>
      <c r="AD27" s="87"/>
      <c r="AE27" s="86">
        <v>98</v>
      </c>
      <c r="AF27" s="87"/>
      <c r="AG27" s="86">
        <v>99</v>
      </c>
      <c r="AH27" s="87"/>
      <c r="AI27" s="86">
        <v>100</v>
      </c>
      <c r="AJ27" s="87"/>
      <c r="AK27" s="86">
        <v>101</v>
      </c>
      <c r="AL27" s="87"/>
      <c r="AM27" s="86">
        <v>102</v>
      </c>
      <c r="AN27" s="87"/>
      <c r="AO27" s="86">
        <v>103</v>
      </c>
      <c r="AP27" s="87"/>
      <c r="AQ27" s="86">
        <v>104</v>
      </c>
      <c r="AR27" s="87"/>
      <c r="AS27" s="86">
        <v>105</v>
      </c>
      <c r="AT27" s="87"/>
      <c r="AU27" s="86">
        <v>106</v>
      </c>
      <c r="AV27" s="87"/>
      <c r="AW27" s="86">
        <v>107</v>
      </c>
      <c r="AX27" s="87"/>
      <c r="AY27" s="86">
        <v>108</v>
      </c>
      <c r="AZ27" s="87"/>
      <c r="BA27" s="86">
        <v>109</v>
      </c>
      <c r="BB27" s="87"/>
      <c r="BC27" s="86">
        <v>110</v>
      </c>
      <c r="BD27" s="87"/>
      <c r="BE27" s="86">
        <v>111</v>
      </c>
      <c r="BF27" s="87"/>
      <c r="BG27" s="86">
        <v>112</v>
      </c>
      <c r="BH27" s="87"/>
      <c r="BI27" s="86">
        <v>113</v>
      </c>
      <c r="BJ27" s="87"/>
      <c r="BK27" s="86">
        <v>114</v>
      </c>
      <c r="BL27" s="87"/>
      <c r="BM27" s="86">
        <v>115</v>
      </c>
      <c r="BN27" s="50"/>
      <c r="BO27" s="170">
        <f t="shared" si="2"/>
        <v>3100</v>
      </c>
      <c r="BP27" s="87"/>
      <c r="BQ27" s="88">
        <v>116</v>
      </c>
      <c r="BR27"/>
      <c r="BS27"/>
      <c r="BT27"/>
      <c r="BU27"/>
      <c r="BV27"/>
      <c r="BW27"/>
      <c r="BX27"/>
    </row>
    <row r="28" spans="1:76" x14ac:dyDescent="0.35">
      <c r="A28" s="53" t="s">
        <v>22</v>
      </c>
      <c r="B28" s="54"/>
      <c r="C28" s="84">
        <v>3890.93</v>
      </c>
      <c r="D28" s="85"/>
      <c r="E28" s="86">
        <v>6305.67</v>
      </c>
      <c r="F28" s="87"/>
      <c r="G28" s="86">
        <v>4330.72</v>
      </c>
      <c r="H28" s="87"/>
      <c r="I28" s="86">
        <v>2644.63</v>
      </c>
      <c r="J28" s="87"/>
      <c r="K28" s="86">
        <v>5844.24</v>
      </c>
      <c r="L28" s="87"/>
      <c r="M28" s="86">
        <v>3645</v>
      </c>
      <c r="N28" s="87"/>
      <c r="O28" s="86">
        <v>5728.66</v>
      </c>
      <c r="P28" s="87"/>
      <c r="Q28" s="86">
        <v>6034.83</v>
      </c>
      <c r="R28" s="87"/>
      <c r="S28" s="86">
        <v>4539.8999999999996</v>
      </c>
      <c r="T28" s="87"/>
      <c r="U28" s="86">
        <v>1765</v>
      </c>
      <c r="V28" s="87"/>
      <c r="W28" s="86">
        <v>1339.91</v>
      </c>
      <c r="X28" s="87"/>
      <c r="Y28" s="86">
        <v>4568.67</v>
      </c>
      <c r="Z28" s="87"/>
      <c r="AA28" s="86">
        <v>3004.31</v>
      </c>
      <c r="AB28" s="87"/>
      <c r="AC28" s="86">
        <v>1250</v>
      </c>
      <c r="AD28" s="87"/>
      <c r="AE28" s="86">
        <v>4441.1000000000004</v>
      </c>
      <c r="AF28" s="87"/>
      <c r="AG28" s="86">
        <v>2587.04</v>
      </c>
      <c r="AH28" s="87"/>
      <c r="AI28" s="86">
        <v>1478.92</v>
      </c>
      <c r="AJ28" s="87"/>
      <c r="AK28" s="86">
        <v>4569.8</v>
      </c>
      <c r="AL28" s="87"/>
      <c r="AM28" s="86">
        <v>3128.65</v>
      </c>
      <c r="AN28" s="87"/>
      <c r="AO28" s="86">
        <v>6867.16</v>
      </c>
      <c r="AP28" s="87"/>
      <c r="AQ28" s="86">
        <v>5237.0200000000004</v>
      </c>
      <c r="AR28" s="87"/>
      <c r="AS28" s="86">
        <v>9783.15</v>
      </c>
      <c r="AT28" s="87"/>
      <c r="AU28" s="86">
        <v>8081.21</v>
      </c>
      <c r="AV28" s="87"/>
      <c r="AW28" s="86">
        <v>6096</v>
      </c>
      <c r="AX28" s="87"/>
      <c r="AY28" s="86">
        <v>9357.19</v>
      </c>
      <c r="AZ28" s="87"/>
      <c r="BA28" s="86">
        <v>8504.4599999999991</v>
      </c>
      <c r="BB28" s="87"/>
      <c r="BC28" s="86">
        <v>6844.01</v>
      </c>
      <c r="BD28" s="87"/>
      <c r="BE28" s="86">
        <v>4771.13</v>
      </c>
      <c r="BF28" s="87"/>
      <c r="BG28" s="86">
        <v>9846.84</v>
      </c>
      <c r="BH28" s="87"/>
      <c r="BI28" s="86">
        <v>7837.91</v>
      </c>
      <c r="BJ28" s="87"/>
      <c r="BK28" s="86">
        <v>5978.79</v>
      </c>
      <c r="BL28" s="87"/>
      <c r="BM28" s="86">
        <v>2116.2399999999998</v>
      </c>
      <c r="BN28" s="50"/>
      <c r="BO28" s="170">
        <f t="shared" si="2"/>
        <v>158528.16</v>
      </c>
      <c r="BP28" s="87"/>
      <c r="BQ28" s="88">
        <v>6039.18</v>
      </c>
    </row>
    <row r="29" spans="1:76" s="4" customFormat="1" ht="15" thickBot="1" x14ac:dyDescent="0.4">
      <c r="A29" s="53" t="s">
        <v>23</v>
      </c>
      <c r="B29" s="54"/>
      <c r="C29" s="84"/>
      <c r="D29" s="85"/>
      <c r="E29" s="86"/>
      <c r="F29" s="87"/>
      <c r="G29" s="86"/>
      <c r="H29" s="87"/>
      <c r="I29" s="86"/>
      <c r="J29" s="87"/>
      <c r="K29" s="86"/>
      <c r="L29" s="87"/>
      <c r="M29" s="86"/>
      <c r="N29" s="87"/>
      <c r="O29" s="86"/>
      <c r="P29" s="87"/>
      <c r="Q29" s="86">
        <v>2000</v>
      </c>
      <c r="R29" s="87"/>
      <c r="S29" s="86"/>
      <c r="T29" s="87"/>
      <c r="U29" s="86"/>
      <c r="V29" s="87"/>
      <c r="W29" s="86">
        <v>5000</v>
      </c>
      <c r="X29" s="87"/>
      <c r="Y29" s="86"/>
      <c r="Z29" s="87"/>
      <c r="AA29" s="86"/>
      <c r="AB29" s="87"/>
      <c r="AC29" s="86"/>
      <c r="AD29" s="87"/>
      <c r="AE29" s="86">
        <v>5000</v>
      </c>
      <c r="AF29" s="87"/>
      <c r="AG29" s="86"/>
      <c r="AH29" s="87"/>
      <c r="AI29" s="86"/>
      <c r="AJ29" s="87"/>
      <c r="AK29" s="86">
        <v>5000</v>
      </c>
      <c r="AL29" s="87"/>
      <c r="AM29" s="86"/>
      <c r="AN29" s="87"/>
      <c r="AO29" s="86">
        <v>5000</v>
      </c>
      <c r="AP29" s="87"/>
      <c r="AQ29" s="86"/>
      <c r="AR29" s="87"/>
      <c r="AS29" s="86">
        <v>7000</v>
      </c>
      <c r="AT29" s="87"/>
      <c r="AU29" s="86"/>
      <c r="AV29" s="87"/>
      <c r="AW29" s="86"/>
      <c r="AX29" s="87"/>
      <c r="AY29" s="86">
        <v>5000</v>
      </c>
      <c r="AZ29" s="87"/>
      <c r="BA29" s="86"/>
      <c r="BB29" s="87"/>
      <c r="BC29" s="86"/>
      <c r="BD29" s="87"/>
      <c r="BE29" s="86"/>
      <c r="BF29" s="87"/>
      <c r="BG29" s="86">
        <v>7000</v>
      </c>
      <c r="BH29" s="87"/>
      <c r="BI29" s="86"/>
      <c r="BJ29" s="87"/>
      <c r="BK29" s="86"/>
      <c r="BL29" s="87"/>
      <c r="BM29" s="86"/>
      <c r="BN29" s="50"/>
      <c r="BO29" s="170">
        <f t="shared" si="2"/>
        <v>41000</v>
      </c>
      <c r="BP29" s="87"/>
      <c r="BQ29" s="88">
        <v>5000</v>
      </c>
      <c r="BR29"/>
      <c r="BS29"/>
      <c r="BT29"/>
      <c r="BU29"/>
      <c r="BV29"/>
      <c r="BW29"/>
      <c r="BX29"/>
    </row>
    <row r="30" spans="1:76" s="5" customFormat="1" ht="15" thickBot="1" x14ac:dyDescent="0.4">
      <c r="A30" s="98"/>
      <c r="B30" s="90"/>
      <c r="C30" s="84"/>
      <c r="D30" s="47"/>
      <c r="E30" s="180">
        <f>E28-(C28-E25+E29)</f>
        <v>5081.74</v>
      </c>
      <c r="F30" s="49"/>
      <c r="G30" s="166">
        <f>G28-(E28-G25+G29)</f>
        <v>67.050000000000182</v>
      </c>
      <c r="H30" s="49"/>
      <c r="I30" s="166">
        <f>I28-(G28-I25+I29)</f>
        <v>58.909999999999854</v>
      </c>
      <c r="J30" s="49"/>
      <c r="K30" s="180">
        <f>K28-(I28-K25+K29)</f>
        <v>5058.6099999999997</v>
      </c>
      <c r="L30" s="49"/>
      <c r="M30" s="166">
        <f>M28-(K28-M25+M29)</f>
        <v>73.760000000000218</v>
      </c>
      <c r="N30" s="49"/>
      <c r="O30" s="166">
        <f>O28-(M28-O25+O29)</f>
        <v>5100.66</v>
      </c>
      <c r="P30" s="49"/>
      <c r="Q30" s="166">
        <f>Q28-(O28-Q25+Q29)</f>
        <v>60.170000000000073</v>
      </c>
      <c r="R30" s="49"/>
      <c r="S30" s="166">
        <f>S28-(Q28-S25+S29)</f>
        <v>49.069999999999709</v>
      </c>
      <c r="T30" s="49"/>
      <c r="U30" s="166">
        <f>U28-(S28-U25+U29)</f>
        <v>-1009.8999999999996</v>
      </c>
      <c r="V30" s="49"/>
      <c r="W30" s="166">
        <f>W28-(U28-W25+W29)</f>
        <v>-3887.09</v>
      </c>
      <c r="X30" s="49"/>
      <c r="Y30" s="166">
        <f>Y28-(W28-Y25+Y29)</f>
        <v>5054.76</v>
      </c>
      <c r="Z30" s="49"/>
      <c r="AA30" s="166">
        <f>AA28-(Y28-AA25+AA29)</f>
        <v>54.639999999999873</v>
      </c>
      <c r="AB30" s="49"/>
      <c r="AC30" s="166">
        <f>AC28-(AA28-AC25+AC29)</f>
        <v>58.690000000000055</v>
      </c>
      <c r="AD30" s="49"/>
      <c r="AE30" s="166">
        <f>AE28-(AC28-AE25+AE29)</f>
        <v>62.100000000000364</v>
      </c>
      <c r="AF30" s="49"/>
      <c r="AG30" s="166">
        <f>AG28-(AE28-AG25+AG29)</f>
        <v>57.9399999999996</v>
      </c>
      <c r="AH30" s="49"/>
      <c r="AI30" s="166">
        <f>AI28-(AG28-AI25+AI29)</f>
        <v>38.880000000000109</v>
      </c>
      <c r="AJ30" s="49"/>
      <c r="AK30" s="166">
        <f>AK28-(AI28-AK25+AK29)</f>
        <v>63.880000000000109</v>
      </c>
      <c r="AL30" s="49"/>
      <c r="AM30" s="166">
        <f>AM28-(AK28-AM25+AM29)</f>
        <v>47.849999999999909</v>
      </c>
      <c r="AN30" s="49"/>
      <c r="AO30" s="166">
        <f>AO28-(AM28-AO25+AO29)</f>
        <v>40.510000000000218</v>
      </c>
      <c r="AP30" s="49"/>
      <c r="AQ30" s="166">
        <f>AQ28-(AO28-AQ25+AQ29)</f>
        <v>54.860000000000582</v>
      </c>
      <c r="AR30" s="49"/>
      <c r="AS30" s="166">
        <f>AS28-(AQ28-AS25+AS29)</f>
        <v>81.1299999999992</v>
      </c>
      <c r="AT30" s="49"/>
      <c r="AU30" s="166">
        <f>AU28-(AS28-AU25+AU29)</f>
        <v>58.0600000000004</v>
      </c>
      <c r="AV30" s="49"/>
      <c r="AW30" s="166">
        <f>AW28-(AU28-AW25+AW29)</f>
        <v>66.789999999999964</v>
      </c>
      <c r="AX30" s="49"/>
      <c r="AY30" s="166">
        <f>AY28-(AW28-AY25+AY29)</f>
        <v>58.190000000000509</v>
      </c>
      <c r="AZ30" s="49"/>
      <c r="BA30" s="166">
        <f>BA28-(AY28-BA25+BA29)</f>
        <v>28.269999999998618</v>
      </c>
      <c r="BB30" s="49"/>
      <c r="BC30" s="166">
        <f>BC28-(BA28-BC25+BC29)</f>
        <v>56.550000000001091</v>
      </c>
      <c r="BD30" s="49"/>
      <c r="BE30" s="166">
        <f>BE28-(BC28-BE25+BE29)</f>
        <v>65.119999999999891</v>
      </c>
      <c r="BF30" s="49"/>
      <c r="BG30" s="166">
        <f>BG28-(BE28-BG25+BG29)</f>
        <v>65.709999999999127</v>
      </c>
      <c r="BH30" s="49"/>
      <c r="BI30" s="166">
        <f>BI28-(BG28-BI25+BI29)</f>
        <v>66.069999999999709</v>
      </c>
      <c r="BJ30" s="49"/>
      <c r="BK30" s="166">
        <f>BK28-(BI28-BK25+BK29)</f>
        <v>61.880000000000109</v>
      </c>
      <c r="BL30" s="49"/>
      <c r="BM30" s="166">
        <f>BM28-(BK28-BM25+BM29)</f>
        <v>123.44999999999982</v>
      </c>
      <c r="BN30" s="50"/>
      <c r="BO30" s="170">
        <f t="shared" si="2"/>
        <v>16918.310000000001</v>
      </c>
      <c r="BP30" s="49"/>
      <c r="BQ30" s="172">
        <f>BQ28-(BM28-BQ25+BQ29)</f>
        <v>36.940000000000509</v>
      </c>
      <c r="BR30"/>
      <c r="BS30"/>
      <c r="BT30"/>
      <c r="BU30"/>
      <c r="BV30"/>
      <c r="BW30"/>
      <c r="BX30"/>
    </row>
    <row r="31" spans="1:76" s="5" customFormat="1" ht="15" thickBot="1" x14ac:dyDescent="0.4">
      <c r="A31" s="98"/>
      <c r="B31" s="90"/>
      <c r="C31" s="84"/>
      <c r="D31" s="47"/>
      <c r="E31" s="166">
        <f>IF(E25=0,"",E30/E25*100)</f>
        <v>190.54143232095987</v>
      </c>
      <c r="F31" s="49"/>
      <c r="G31" s="166">
        <f>IF(G25=0,"",G30/G25*100)</f>
        <v>3.2835455435847294</v>
      </c>
      <c r="H31" s="49"/>
      <c r="I31" s="166">
        <f>IF(I25=0,"",I30/I25*100)</f>
        <v>3.3759312320916819</v>
      </c>
      <c r="J31" s="49"/>
      <c r="K31" s="166">
        <f>IF(K25=0,"",K30/K25*100)</f>
        <v>272.11457772996232</v>
      </c>
      <c r="L31" s="49"/>
      <c r="M31" s="166">
        <f>IF(M25=0,"",M30/M25*100)</f>
        <v>3.2450505939287382</v>
      </c>
      <c r="N31" s="49"/>
      <c r="O31" s="166">
        <f>IF(O25=0,"",O30/O25*100)</f>
        <v>169.06397083195225</v>
      </c>
      <c r="P31" s="49"/>
      <c r="Q31" s="166">
        <f>IF(Q25=0,"",Q30/Q25*100)</f>
        <v>3.4304446978335275</v>
      </c>
      <c r="R31" s="49"/>
      <c r="S31" s="166">
        <f>IF(S25=0,"",S30/S25*100)</f>
        <v>3.1781088082901365</v>
      </c>
      <c r="T31" s="49"/>
      <c r="U31" s="166">
        <f>IF(U25=0,"",U30/U25*100)</f>
        <v>-57.218130311614715</v>
      </c>
      <c r="V31" s="49"/>
      <c r="W31" s="166">
        <f>IF(W25=0,"",W30/W25*100)</f>
        <v>-252.73667100130041</v>
      </c>
      <c r="X31" s="49"/>
      <c r="Y31" s="166">
        <f>IF(Y25=0,"",Y30/Y25*100)</f>
        <v>276.82146768893756</v>
      </c>
      <c r="Z31" s="49"/>
      <c r="AA31" s="166">
        <f>IF(AA25=0,"",AA30/AA25*100)</f>
        <v>3.3749227918468114</v>
      </c>
      <c r="AB31" s="49"/>
      <c r="AC31" s="166">
        <f>IF(AC25=0,"",AC30/AC25*100)</f>
        <v>3.2371759514616691</v>
      </c>
      <c r="AD31" s="49"/>
      <c r="AE31" s="166">
        <f>IF(AE25=0,"",AE30/AE25*100)</f>
        <v>3.3190807055050966</v>
      </c>
      <c r="AF31" s="49"/>
      <c r="AG31" s="166">
        <f>IF(AG25=0,"",AG30/AG25*100)</f>
        <v>3.0303347280334516</v>
      </c>
      <c r="AH31" s="49"/>
      <c r="AI31" s="166">
        <f>IF(AI25=0,"",AI30/AI25*100)</f>
        <v>3.3897122929381087</v>
      </c>
      <c r="AJ31" s="49"/>
      <c r="AK31" s="166">
        <f>IF(AK25=0,"",AK30/AK25*100)</f>
        <v>3.2377090724784647</v>
      </c>
      <c r="AL31" s="49"/>
      <c r="AM31" s="166">
        <f>IF(AM25=0,"",AM30/AM25*100)</f>
        <v>3.2135661517797121</v>
      </c>
      <c r="AN31" s="49"/>
      <c r="AO31" s="166">
        <f>IF(AO25=0,"",AO30/AO25*100)</f>
        <v>3.1113671274961763</v>
      </c>
      <c r="AP31" s="49"/>
      <c r="AQ31" s="166">
        <f>IF(AQ25=0,"",AQ30/AQ25*100)</f>
        <v>3.2557863501484028</v>
      </c>
      <c r="AR31" s="49"/>
      <c r="AS31" s="166">
        <f>IF(AS25=0,"",AS30/AS25*100)</f>
        <v>3.2003944773175226</v>
      </c>
      <c r="AT31" s="49"/>
      <c r="AU31" s="166">
        <f>IF(AU25=0,"",AU30/AU25*100)</f>
        <v>3.298863636363659</v>
      </c>
      <c r="AV31" s="49"/>
      <c r="AW31" s="166">
        <f>IF(AW25=0,"",AW30/AW25*100)</f>
        <v>3.2548732943469765</v>
      </c>
      <c r="AX31" s="49"/>
      <c r="AY31" s="166">
        <f>IF(AY25=0,"",AY30/AY25*100)</f>
        <v>3.2381747356705901</v>
      </c>
      <c r="AZ31" s="49"/>
      <c r="BA31" s="166">
        <f>IF(BA25=0,"",BA30/BA25*100)</f>
        <v>3.2088535754822498</v>
      </c>
      <c r="BB31" s="49"/>
      <c r="BC31" s="166">
        <f>IF(BC25=0,"",BC30/BC25*100)</f>
        <v>3.2935352358765919</v>
      </c>
      <c r="BD31" s="49"/>
      <c r="BE31" s="166">
        <f>IF(BE25=0,"",BE30/BE25*100)</f>
        <v>3.0458372310570576</v>
      </c>
      <c r="BF31" s="49"/>
      <c r="BG31" s="166">
        <f>IF(BG25=0,"",BG30/BG25*100)</f>
        <v>3.3020100502512126</v>
      </c>
      <c r="BH31" s="49"/>
      <c r="BI31" s="166">
        <f>IF(BI25=0,"",BI30/BI25*100)</f>
        <v>3.1840963855421545</v>
      </c>
      <c r="BJ31" s="49"/>
      <c r="BK31" s="166">
        <f>IF(BK25=0,"",BK30/BK25*100)</f>
        <v>3.2212389380531032</v>
      </c>
      <c r="BL31" s="49"/>
      <c r="BM31" s="166">
        <f>IF(BM25=0,"",BM30/BM25*100)</f>
        <v>3.0970898143502215</v>
      </c>
      <c r="BN31" s="50"/>
      <c r="BO31" s="170">
        <f t="shared" si="2"/>
        <v>679.61435068062497</v>
      </c>
      <c r="BP31" s="49"/>
      <c r="BQ31" s="172">
        <f>IF(BQ25=0,"",BQ30/BQ25*100)</f>
        <v>3.3159784560144083</v>
      </c>
      <c r="BR31"/>
      <c r="BS31"/>
      <c r="BT31"/>
      <c r="BU31"/>
      <c r="BV31"/>
      <c r="BW31"/>
      <c r="BX31"/>
    </row>
    <row r="32" spans="1:76" x14ac:dyDescent="0.35">
      <c r="A32" s="83" t="s">
        <v>5</v>
      </c>
      <c r="B32" s="54"/>
      <c r="C32" s="174">
        <f>161.5+25+15</f>
        <v>201.5</v>
      </c>
      <c r="D32" s="85"/>
      <c r="E32" s="86">
        <v>15</v>
      </c>
      <c r="F32" s="87"/>
      <c r="G32" s="86">
        <v>15</v>
      </c>
      <c r="H32" s="87"/>
      <c r="I32" s="86">
        <v>243.9</v>
      </c>
      <c r="J32" s="87"/>
      <c r="K32" s="176">
        <f>15+215.9</f>
        <v>230.9</v>
      </c>
      <c r="L32" s="87"/>
      <c r="M32" s="176">
        <f>58.32+161.4</f>
        <v>219.72</v>
      </c>
      <c r="N32" s="87"/>
      <c r="O32" s="176">
        <f>15+22+22</f>
        <v>59</v>
      </c>
      <c r="P32" s="87"/>
      <c r="Q32" s="176">
        <f>44+3.5+51.5</f>
        <v>99</v>
      </c>
      <c r="R32" s="87"/>
      <c r="S32" s="176">
        <f>25+15+1849.93</f>
        <v>1889.93</v>
      </c>
      <c r="T32" s="87"/>
      <c r="U32" s="176">
        <f>22+49.5</f>
        <v>71.5</v>
      </c>
      <c r="V32" s="87"/>
      <c r="W32" s="86">
        <v>2</v>
      </c>
      <c r="X32" s="87"/>
      <c r="Y32" s="176">
        <f>22+15+80+189.9+15+1417.5+15+24</f>
        <v>1778.4</v>
      </c>
      <c r="Z32" s="87"/>
      <c r="AA32" s="176">
        <f>165.4+25+44+124.5</f>
        <v>358.9</v>
      </c>
      <c r="AB32" s="87"/>
      <c r="AC32" s="176">
        <f>37+89.5+15</f>
        <v>141.5</v>
      </c>
      <c r="AD32" s="87"/>
      <c r="AE32" s="176">
        <f>4+22</f>
        <v>26</v>
      </c>
      <c r="AF32" s="87"/>
      <c r="AG32" s="86">
        <v>15</v>
      </c>
      <c r="AH32" s="87"/>
      <c r="AI32" s="86">
        <v>22</v>
      </c>
      <c r="AJ32" s="87"/>
      <c r="AK32" s="176">
        <f>127.9+22+60.8</f>
        <v>210.7</v>
      </c>
      <c r="AL32" s="87"/>
      <c r="AM32" s="176">
        <f>37+22+33.9</f>
        <v>92.9</v>
      </c>
      <c r="AN32" s="87"/>
      <c r="AO32" s="176">
        <f>73.8+19.5+37</f>
        <v>130.30000000000001</v>
      </c>
      <c r="AP32" s="87"/>
      <c r="AQ32" s="86">
        <v>33.9</v>
      </c>
      <c r="AR32" s="87"/>
      <c r="AS32" s="176">
        <f>133+106.58+34.5+55.9</f>
        <v>329.97999999999996</v>
      </c>
      <c r="AT32" s="87"/>
      <c r="AU32" s="86">
        <v>189.9</v>
      </c>
      <c r="AV32" s="87"/>
      <c r="AW32" s="86">
        <v>25.5</v>
      </c>
      <c r="AX32" s="87"/>
      <c r="AY32" s="176">
        <f>22+15</f>
        <v>37</v>
      </c>
      <c r="AZ32" s="87"/>
      <c r="BA32" s="86">
        <v>39.9</v>
      </c>
      <c r="BB32" s="87"/>
      <c r="BC32" s="176">
        <f>22+2+138+23.9+55.9</f>
        <v>241.8</v>
      </c>
      <c r="BD32" s="87"/>
      <c r="BE32" s="86">
        <v>1955.85</v>
      </c>
      <c r="BF32" s="87"/>
      <c r="BG32" s="176">
        <f>1297.32+15+22</f>
        <v>1334.32</v>
      </c>
      <c r="BH32" s="87"/>
      <c r="BI32" s="176">
        <f>19.5+22+37</f>
        <v>78.5</v>
      </c>
      <c r="BJ32" s="87"/>
      <c r="BK32" s="86">
        <v>24</v>
      </c>
      <c r="BL32" s="87"/>
      <c r="BM32" s="176">
        <f>15+126.9+22</f>
        <v>163.9</v>
      </c>
      <c r="BN32" s="50"/>
      <c r="BO32" s="170">
        <f t="shared" si="2"/>
        <v>10076.199999999997</v>
      </c>
      <c r="BP32" s="87"/>
      <c r="BQ32" s="178">
        <f>15+43.8+22+33.9+33.9+33.9+33.9</f>
        <v>216.4</v>
      </c>
    </row>
    <row r="33" spans="1:76" x14ac:dyDescent="0.35">
      <c r="A33" s="83" t="s">
        <v>6</v>
      </c>
      <c r="B33" s="54"/>
      <c r="C33" s="174">
        <f>2035.9+500.09+114.99+8773.52+72.9+2538.8+1611.5+378.12</f>
        <v>16025.820000000002</v>
      </c>
      <c r="D33" s="85"/>
      <c r="E33" s="86"/>
      <c r="F33" s="87"/>
      <c r="G33" s="86"/>
      <c r="H33" s="87"/>
      <c r="I33" s="86"/>
      <c r="J33" s="87"/>
      <c r="K33" s="86"/>
      <c r="L33" s="87"/>
      <c r="M33" s="86"/>
      <c r="N33" s="87"/>
      <c r="O33" s="86"/>
      <c r="P33" s="87"/>
      <c r="Q33" s="86"/>
      <c r="R33" s="87"/>
      <c r="S33" s="86"/>
      <c r="T33" s="87"/>
      <c r="U33" s="86"/>
      <c r="V33" s="87"/>
      <c r="W33" s="86"/>
      <c r="X33" s="87"/>
      <c r="Y33" s="86"/>
      <c r="Z33" s="87"/>
      <c r="AA33" s="86"/>
      <c r="AB33" s="87"/>
      <c r="AC33" s="86"/>
      <c r="AD33" s="87"/>
      <c r="AE33" s="86"/>
      <c r="AF33" s="87"/>
      <c r="AG33" s="86"/>
      <c r="AH33" s="87"/>
      <c r="AI33" s="86"/>
      <c r="AJ33" s="87"/>
      <c r="AK33" s="86"/>
      <c r="AL33" s="87"/>
      <c r="AM33" s="86"/>
      <c r="AN33" s="87"/>
      <c r="AO33" s="86"/>
      <c r="AP33" s="87"/>
      <c r="AQ33" s="86"/>
      <c r="AR33" s="87"/>
      <c r="AS33" s="86"/>
      <c r="AT33" s="87"/>
      <c r="AU33" s="86"/>
      <c r="AV33" s="87"/>
      <c r="AW33" s="86"/>
      <c r="AX33" s="87"/>
      <c r="AY33" s="86"/>
      <c r="AZ33" s="87"/>
      <c r="BA33" s="86"/>
      <c r="BB33" s="87"/>
      <c r="BC33" s="86"/>
      <c r="BD33" s="87"/>
      <c r="BE33" s="86"/>
      <c r="BF33" s="87"/>
      <c r="BG33" s="86"/>
      <c r="BH33" s="87"/>
      <c r="BI33" s="86"/>
      <c r="BJ33" s="87"/>
      <c r="BK33" s="86"/>
      <c r="BL33" s="87"/>
      <c r="BM33" s="176">
        <f>2311.1+764+1955.85+187.7</f>
        <v>5218.6499999999996</v>
      </c>
      <c r="BN33" s="50"/>
      <c r="BO33" s="170">
        <f t="shared" si="2"/>
        <v>5218.6499999999996</v>
      </c>
      <c r="BP33" s="87"/>
      <c r="BQ33" s="88"/>
    </row>
    <row r="34" spans="1:76" x14ac:dyDescent="0.35">
      <c r="A34" s="83" t="s">
        <v>7</v>
      </c>
      <c r="B34" s="54"/>
      <c r="C34" s="174">
        <f>541.27+238.5+70+460+2035.9+2347.8+71+228+205.9+127.5+63.5+72.9+1053.6+22+31+740+300</f>
        <v>8608.869999999999</v>
      </c>
      <c r="D34" s="85"/>
      <c r="E34" s="176">
        <f>300+48+20+180</f>
        <v>548</v>
      </c>
      <c r="F34" s="87"/>
      <c r="G34" s="86">
        <v>1000</v>
      </c>
      <c r="H34" s="87"/>
      <c r="I34" s="176">
        <f>300+1250.2+192+189.2+300</f>
        <v>2231.4</v>
      </c>
      <c r="J34" s="87"/>
      <c r="K34" s="176">
        <f>215.24+215.24+299+300+272+345+640.8+300</f>
        <v>2587.2799999999997</v>
      </c>
      <c r="L34" s="87"/>
      <c r="M34" s="176">
        <f>300+452.4+458.8</f>
        <v>1211.2</v>
      </c>
      <c r="N34" s="87"/>
      <c r="O34" s="176">
        <f>300+760+280+160</f>
        <v>1500</v>
      </c>
      <c r="P34" s="87"/>
      <c r="Q34" s="176">
        <f>119.9+300+300+378.4+234</f>
        <v>1332.3</v>
      </c>
      <c r="R34" s="87"/>
      <c r="S34" s="176">
        <f>481.24+120+300+300+160+350.4</f>
        <v>1711.6399999999999</v>
      </c>
      <c r="T34" s="87"/>
      <c r="U34" s="176">
        <f>300+300</f>
        <v>600</v>
      </c>
      <c r="V34" s="87"/>
      <c r="W34" s="176">
        <f>300+300+399.26</f>
        <v>999.26</v>
      </c>
      <c r="X34" s="87"/>
      <c r="Y34" s="176">
        <f>300+80+144</f>
        <v>524</v>
      </c>
      <c r="Z34" s="87"/>
      <c r="AA34" s="176">
        <f>150+460+518.4+192+752.8</f>
        <v>2073.1999999999998</v>
      </c>
      <c r="AB34" s="87"/>
      <c r="AC34" s="176">
        <f>600+300+80+242.4+144+448.4</f>
        <v>1814.8000000000002</v>
      </c>
      <c r="AD34" s="87"/>
      <c r="AE34" s="176">
        <f>300+300+1030.38+128+2462.48+105+600+420+390</f>
        <v>5735.8600000000006</v>
      </c>
      <c r="AF34" s="87"/>
      <c r="AG34" s="176">
        <f>80+500+158.4</f>
        <v>738.4</v>
      </c>
      <c r="AH34" s="87"/>
      <c r="AI34" s="86"/>
      <c r="AJ34" s="87"/>
      <c r="AK34" s="176">
        <f>300+300+21.9+21.9+119.2+272</f>
        <v>1035</v>
      </c>
      <c r="AL34" s="87"/>
      <c r="AM34" s="176">
        <f>300+300+40+180+80</f>
        <v>900</v>
      </c>
      <c r="AN34" s="173">
        <f>-428-300-161.6-399.2-262</f>
        <v>-1550.8</v>
      </c>
      <c r="AO34" s="176">
        <f>428+300+161.6+262+399.2</f>
        <v>1550.8</v>
      </c>
      <c r="AP34" s="173">
        <f>-300-844.15-80-1221.3</f>
        <v>-2445.4499999999998</v>
      </c>
      <c r="AQ34" s="176">
        <f>300+844.15+80+1221.3</f>
        <v>2445.4499999999998</v>
      </c>
      <c r="AR34" s="173">
        <f>-300-300-721.39-578-192-345</f>
        <v>-2436.39</v>
      </c>
      <c r="AS34" s="176">
        <f>721.39+300+300+345+578+192</f>
        <v>2436.39</v>
      </c>
      <c r="AT34" s="181">
        <f>-300-300-370-144-259.2-160</f>
        <v>-1533.2</v>
      </c>
      <c r="AU34" s="176">
        <f>300+300+370+144+259.2+160</f>
        <v>1533.2</v>
      </c>
      <c r="AV34" s="173">
        <f>-272-139.9-300-300</f>
        <v>-1011.9</v>
      </c>
      <c r="AW34" s="176">
        <f>300+300+272+139.9</f>
        <v>1011.9</v>
      </c>
      <c r="AX34" s="173">
        <f>-300-300-35-99-98-262</f>
        <v>-1094</v>
      </c>
      <c r="AY34" s="176">
        <f>35+300+300+99+98+262</f>
        <v>1094</v>
      </c>
      <c r="AZ34" s="87"/>
      <c r="BA34" s="176">
        <f>329.2+160+300+330+336+253.48</f>
        <v>1708.68</v>
      </c>
      <c r="BB34" s="87"/>
      <c r="BC34" s="176">
        <f>388.8+344+460+1167+300</f>
        <v>2659.8</v>
      </c>
      <c r="BD34" s="87"/>
      <c r="BE34" s="176">
        <f>700+600+300+80</f>
        <v>1680</v>
      </c>
      <c r="BF34" s="87"/>
      <c r="BG34" s="176">
        <f>345.19+741.4+300+300+150+390+140+196</f>
        <v>2562.59</v>
      </c>
      <c r="BH34" s="87"/>
      <c r="BI34" s="176">
        <f>272+80</f>
        <v>352</v>
      </c>
      <c r="BJ34" s="87"/>
      <c r="BK34" s="86">
        <v>272</v>
      </c>
      <c r="BL34" s="87"/>
      <c r="BM34" s="176">
        <f>300+300+518.5+360+187.7+1955.85+764+2311.1+35.5</f>
        <v>6732.65</v>
      </c>
      <c r="BN34" s="50"/>
      <c r="BO34" s="170">
        <f t="shared" si="2"/>
        <v>52581.80000000001</v>
      </c>
      <c r="BP34" s="87"/>
      <c r="BQ34" s="178">
        <f>300+300+518+35.5+535.5+80+876</f>
        <v>2645</v>
      </c>
    </row>
    <row r="35" spans="1:76" x14ac:dyDescent="0.35">
      <c r="A35" s="100"/>
      <c r="B35" s="75"/>
      <c r="C35" s="101"/>
      <c r="D35" s="102"/>
      <c r="E35" s="103"/>
      <c r="F35" s="104"/>
      <c r="G35" s="103"/>
      <c r="H35" s="104"/>
      <c r="I35" s="103"/>
      <c r="J35" s="104"/>
      <c r="K35" s="103"/>
      <c r="L35" s="104"/>
      <c r="M35" s="103"/>
      <c r="N35" s="104"/>
      <c r="O35" s="103"/>
      <c r="P35" s="104"/>
      <c r="Q35" s="103"/>
      <c r="R35" s="104"/>
      <c r="S35" s="103"/>
      <c r="T35" s="104"/>
      <c r="U35" s="103"/>
      <c r="V35" s="104"/>
      <c r="W35" s="103"/>
      <c r="X35" s="104"/>
      <c r="Y35" s="103"/>
      <c r="Z35" s="104"/>
      <c r="AA35" s="103"/>
      <c r="AB35" s="104"/>
      <c r="AC35" s="103"/>
      <c r="AD35" s="104"/>
      <c r="AE35" s="103"/>
      <c r="AF35" s="104"/>
      <c r="AG35" s="103"/>
      <c r="AH35" s="104"/>
      <c r="AI35" s="103"/>
      <c r="AJ35" s="104"/>
      <c r="AK35" s="103"/>
      <c r="AL35" s="104"/>
      <c r="AM35" s="103"/>
      <c r="AN35" s="104"/>
      <c r="AO35" s="103"/>
      <c r="AP35" s="104"/>
      <c r="AQ35" s="103"/>
      <c r="AR35" s="104"/>
      <c r="AS35" s="103"/>
      <c r="AT35" s="104"/>
      <c r="AU35" s="103"/>
      <c r="AV35" s="104"/>
      <c r="AW35" s="103"/>
      <c r="AX35" s="104"/>
      <c r="AY35" s="103"/>
      <c r="AZ35" s="104"/>
      <c r="BA35" s="103"/>
      <c r="BB35" s="104"/>
      <c r="BC35" s="103"/>
      <c r="BD35" s="104"/>
      <c r="BE35" s="103"/>
      <c r="BF35" s="104"/>
      <c r="BG35" s="103"/>
      <c r="BH35" s="104"/>
      <c r="BI35" s="103"/>
      <c r="BJ35" s="104"/>
      <c r="BK35" s="103"/>
      <c r="BL35" s="104"/>
      <c r="BM35" s="103"/>
      <c r="BN35" s="105"/>
      <c r="BO35" s="183" t="str">
        <f t="shared" si="2"/>
        <v/>
      </c>
      <c r="BP35" s="104"/>
      <c r="BQ35" s="107"/>
    </row>
    <row r="36" spans="1:76" x14ac:dyDescent="0.35">
      <c r="A36" s="83" t="s">
        <v>59</v>
      </c>
      <c r="B36" s="54" t="s">
        <v>58</v>
      </c>
      <c r="C36" s="84">
        <v>9180.65</v>
      </c>
      <c r="D36" s="85">
        <v>542</v>
      </c>
      <c r="E36" s="86">
        <v>7104</v>
      </c>
      <c r="F36" s="87">
        <v>543</v>
      </c>
      <c r="G36" s="86">
        <v>1492.7</v>
      </c>
      <c r="H36" s="87" t="s">
        <v>95</v>
      </c>
      <c r="I36" s="176">
        <f>1000+3515.8</f>
        <v>4515.8</v>
      </c>
      <c r="J36" s="87">
        <v>546</v>
      </c>
      <c r="K36" s="86">
        <v>9936.75</v>
      </c>
      <c r="L36" s="87">
        <v>547</v>
      </c>
      <c r="M36" s="86">
        <v>8598.2999999999993</v>
      </c>
      <c r="N36" s="87" t="s">
        <v>96</v>
      </c>
      <c r="O36" s="176">
        <f>1896.25+7485.45</f>
        <v>9381.7000000000007</v>
      </c>
      <c r="P36" s="87">
        <v>550</v>
      </c>
      <c r="Q36" s="86">
        <v>7129.85</v>
      </c>
      <c r="R36" s="87">
        <v>551</v>
      </c>
      <c r="S36" s="86">
        <v>72.5</v>
      </c>
      <c r="T36" s="87">
        <v>552</v>
      </c>
      <c r="U36" s="86">
        <v>2642.55</v>
      </c>
      <c r="V36" s="87">
        <v>553</v>
      </c>
      <c r="W36" s="86">
        <v>971.25</v>
      </c>
      <c r="X36" s="87">
        <v>554</v>
      </c>
      <c r="Y36" s="86">
        <v>9066.4500000000007</v>
      </c>
      <c r="Z36" s="87" t="s">
        <v>98</v>
      </c>
      <c r="AA36" s="176">
        <f>845.4+9395.05</f>
        <v>10240.449999999999</v>
      </c>
      <c r="AB36" s="87">
        <v>557</v>
      </c>
      <c r="AC36" s="86">
        <v>8460.9500000000007</v>
      </c>
      <c r="AD36" s="87" t="s">
        <v>99</v>
      </c>
      <c r="AE36" s="176">
        <f>1456.45+2246.45</f>
        <v>3702.8999999999996</v>
      </c>
      <c r="AF36" s="87" t="s">
        <v>100</v>
      </c>
      <c r="AG36" s="176">
        <f>1899.15+4514.9</f>
        <v>6414.0499999999993</v>
      </c>
      <c r="AH36" s="87">
        <v>562</v>
      </c>
      <c r="AI36" s="86">
        <v>800</v>
      </c>
      <c r="AJ36" s="87">
        <v>563</v>
      </c>
      <c r="AK36" s="86">
        <v>7147.65</v>
      </c>
      <c r="AL36" s="87">
        <v>564</v>
      </c>
      <c r="AM36" s="86">
        <v>5161.5</v>
      </c>
      <c r="AN36" s="87">
        <v>565</v>
      </c>
      <c r="AO36" s="86">
        <v>7571.55</v>
      </c>
      <c r="AP36" s="87">
        <v>566</v>
      </c>
      <c r="AQ36" s="86">
        <v>4805.7</v>
      </c>
      <c r="AR36" s="87">
        <v>567</v>
      </c>
      <c r="AS36" s="86">
        <v>6264.35</v>
      </c>
      <c r="AT36" s="87">
        <v>568</v>
      </c>
      <c r="AU36" s="86">
        <v>4100.1000000000004</v>
      </c>
      <c r="AV36" s="87">
        <v>569</v>
      </c>
      <c r="AW36" s="86">
        <v>1266.9000000000001</v>
      </c>
      <c r="AX36" s="87">
        <v>570</v>
      </c>
      <c r="AY36" s="86">
        <v>7215.4</v>
      </c>
      <c r="AZ36" s="87">
        <v>571</v>
      </c>
      <c r="BA36" s="86">
        <v>4651.8999999999996</v>
      </c>
      <c r="BB36" s="87">
        <v>572</v>
      </c>
      <c r="BC36" s="86">
        <v>2332.15</v>
      </c>
      <c r="BD36" s="87">
        <v>573</v>
      </c>
      <c r="BE36" s="86">
        <v>4516.25</v>
      </c>
      <c r="BF36" s="87">
        <v>574</v>
      </c>
      <c r="BG36" s="86">
        <v>4466.8500000000004</v>
      </c>
      <c r="BH36" s="87">
        <v>575</v>
      </c>
      <c r="BI36" s="86">
        <v>1016.8</v>
      </c>
      <c r="BJ36" s="87">
        <v>576</v>
      </c>
      <c r="BK36" s="86">
        <v>3838</v>
      </c>
      <c r="BL36" s="87">
        <v>577</v>
      </c>
      <c r="BM36" s="86">
        <v>983.3</v>
      </c>
      <c r="BN36" s="50"/>
      <c r="BO36" s="170">
        <f t="shared" si="2"/>
        <v>155868.59999999998</v>
      </c>
      <c r="BP36" s="87">
        <v>578</v>
      </c>
      <c r="BQ36" s="88">
        <v>7444.65</v>
      </c>
    </row>
    <row r="37" spans="1:76" x14ac:dyDescent="0.35">
      <c r="A37" s="83"/>
      <c r="B37" s="54"/>
      <c r="C37" s="84"/>
      <c r="D37" s="85"/>
      <c r="E37" s="86"/>
      <c r="F37" s="87"/>
      <c r="G37" s="86"/>
      <c r="H37" s="87"/>
      <c r="I37" s="86"/>
      <c r="J37" s="87"/>
      <c r="K37" s="86"/>
      <c r="L37" s="87"/>
      <c r="M37" s="86"/>
      <c r="N37" s="87"/>
      <c r="O37" s="86"/>
      <c r="P37" s="87"/>
      <c r="Q37" s="86"/>
      <c r="R37" s="87"/>
      <c r="S37" s="86"/>
      <c r="T37" s="87"/>
      <c r="U37" s="86"/>
      <c r="V37" s="87"/>
      <c r="W37" s="86"/>
      <c r="X37" s="87"/>
      <c r="Y37" s="86"/>
      <c r="Z37" s="87"/>
      <c r="AA37" s="86"/>
      <c r="AB37" s="87"/>
      <c r="AC37" s="86"/>
      <c r="AD37" s="87"/>
      <c r="AE37" s="86"/>
      <c r="AF37" s="87"/>
      <c r="AG37" s="86"/>
      <c r="AH37" s="87"/>
      <c r="AI37" s="86"/>
      <c r="AJ37" s="87"/>
      <c r="AK37" s="86"/>
      <c r="AL37" s="87"/>
      <c r="AM37" s="86"/>
      <c r="AN37" s="87"/>
      <c r="AO37" s="86"/>
      <c r="AP37" s="87"/>
      <c r="AQ37" s="86"/>
      <c r="AR37" s="87"/>
      <c r="AS37" s="86"/>
      <c r="AT37" s="87"/>
      <c r="AU37" s="86"/>
      <c r="AV37" s="87"/>
      <c r="AW37" s="86"/>
      <c r="AX37" s="87"/>
      <c r="AY37" s="86"/>
      <c r="AZ37" s="87"/>
      <c r="BA37" s="86"/>
      <c r="BB37" s="87"/>
      <c r="BC37" s="86"/>
      <c r="BD37" s="87"/>
      <c r="BE37" s="86"/>
      <c r="BF37" s="87"/>
      <c r="BG37" s="86"/>
      <c r="BH37" s="87"/>
      <c r="BI37" s="86"/>
      <c r="BJ37" s="87"/>
      <c r="BK37" s="86"/>
      <c r="BL37" s="87"/>
      <c r="BM37" s="86"/>
      <c r="BN37" s="50"/>
      <c r="BO37" s="170" t="str">
        <f t="shared" si="2"/>
        <v/>
      </c>
      <c r="BP37" s="87"/>
      <c r="BQ37" s="88"/>
    </row>
    <row r="38" spans="1:76" x14ac:dyDescent="0.35">
      <c r="A38" s="83" t="s">
        <v>62</v>
      </c>
      <c r="B38" s="54" t="s">
        <v>63</v>
      </c>
      <c r="C38" s="84">
        <v>14307.75</v>
      </c>
      <c r="D38" s="85">
        <v>147</v>
      </c>
      <c r="E38" s="86">
        <v>15062.7</v>
      </c>
      <c r="F38" s="87">
        <v>148</v>
      </c>
      <c r="G38" s="86">
        <v>8874.7000000000007</v>
      </c>
      <c r="H38" s="87">
        <v>149</v>
      </c>
      <c r="I38" s="86">
        <v>20021.5</v>
      </c>
      <c r="J38" s="87">
        <v>150</v>
      </c>
      <c r="K38" s="86">
        <v>21011.45</v>
      </c>
      <c r="L38" s="87">
        <v>151</v>
      </c>
      <c r="M38" s="86">
        <v>12727.45</v>
      </c>
      <c r="N38" s="87">
        <v>152</v>
      </c>
      <c r="O38" s="86">
        <v>14080.65</v>
      </c>
      <c r="P38" s="87">
        <v>153</v>
      </c>
      <c r="Q38" s="86">
        <v>13494.9</v>
      </c>
      <c r="R38" s="87">
        <v>154</v>
      </c>
      <c r="S38" s="176">
        <f>1330.4+200+200+150+2000+500+805.3+400+428.1+300+300+680.1+300+300+200+400+100+800+150+700+300+1000+200+606.1+700+400+350+200+1539.95+400+100+300</f>
        <v>16339.950000000003</v>
      </c>
      <c r="T38" s="87" t="s">
        <v>97</v>
      </c>
      <c r="U38" s="176">
        <f>1+5142.15</f>
        <v>5143.1499999999996</v>
      </c>
      <c r="V38" s="87">
        <v>157</v>
      </c>
      <c r="W38" s="86">
        <v>6480.6</v>
      </c>
      <c r="X38" s="87">
        <v>158</v>
      </c>
      <c r="Y38" s="86">
        <v>13417</v>
      </c>
      <c r="Z38" s="87">
        <v>159</v>
      </c>
      <c r="AA38" s="86">
        <v>17994.650000000001</v>
      </c>
      <c r="AB38" s="87">
        <v>160</v>
      </c>
      <c r="AC38" s="86">
        <v>16604.7</v>
      </c>
      <c r="AD38" s="87">
        <v>161</v>
      </c>
      <c r="AE38" s="86">
        <v>22991.35</v>
      </c>
      <c r="AF38" s="87">
        <v>162</v>
      </c>
      <c r="AG38" s="86">
        <v>15296.54</v>
      </c>
      <c r="AH38" s="87">
        <v>163</v>
      </c>
      <c r="AI38" s="86">
        <v>18272.400000000001</v>
      </c>
      <c r="AJ38" s="87">
        <v>164</v>
      </c>
      <c r="AK38" s="86">
        <v>22982.05</v>
      </c>
      <c r="AL38" s="87">
        <v>165</v>
      </c>
      <c r="AM38" s="86">
        <v>12498.95</v>
      </c>
      <c r="AN38" s="87">
        <v>166</v>
      </c>
      <c r="AO38" s="86">
        <v>13115.75</v>
      </c>
      <c r="AP38" s="87">
        <v>167</v>
      </c>
      <c r="AQ38" s="86">
        <v>7750.6</v>
      </c>
      <c r="AR38" s="87">
        <v>168</v>
      </c>
      <c r="AS38" s="86">
        <v>12970.15</v>
      </c>
      <c r="AT38" s="87">
        <v>169</v>
      </c>
      <c r="AU38" s="86">
        <v>10630.8</v>
      </c>
      <c r="AV38" s="87">
        <v>170</v>
      </c>
      <c r="AW38" s="86">
        <v>9283.9500000000007</v>
      </c>
      <c r="AX38" s="87">
        <v>171</v>
      </c>
      <c r="AY38" s="86">
        <v>12321</v>
      </c>
      <c r="AZ38" s="87">
        <v>172</v>
      </c>
      <c r="BA38" s="86">
        <v>13351.55</v>
      </c>
      <c r="BB38" s="87">
        <v>173</v>
      </c>
      <c r="BC38" s="86">
        <v>17017</v>
      </c>
      <c r="BD38" s="87">
        <v>174</v>
      </c>
      <c r="BE38" s="86">
        <v>27304.65</v>
      </c>
      <c r="BF38" s="87">
        <v>175</v>
      </c>
      <c r="BG38" s="86">
        <v>22084.6</v>
      </c>
      <c r="BH38" s="87">
        <v>176</v>
      </c>
      <c r="BI38" s="86">
        <v>17179.05</v>
      </c>
      <c r="BJ38" s="87">
        <v>177</v>
      </c>
      <c r="BK38" s="86">
        <v>13565.45</v>
      </c>
      <c r="BL38" s="87">
        <v>178</v>
      </c>
      <c r="BM38" s="86">
        <v>22542</v>
      </c>
      <c r="BN38" s="50"/>
      <c r="BO38" s="170">
        <f t="shared" si="2"/>
        <v>472411.24</v>
      </c>
      <c r="BP38" s="87" t="s">
        <v>107</v>
      </c>
      <c r="BQ38" s="178">
        <f>11111.95+32127.55+53745.6</f>
        <v>96985.1</v>
      </c>
    </row>
    <row r="39" spans="1:76" x14ac:dyDescent="0.35">
      <c r="A39" s="83" t="s">
        <v>64</v>
      </c>
      <c r="B39" s="54" t="s">
        <v>63</v>
      </c>
      <c r="C39" s="84">
        <v>18119.849999999999</v>
      </c>
      <c r="D39" s="85">
        <v>76</v>
      </c>
      <c r="E39" s="86">
        <v>17493.099999999999</v>
      </c>
      <c r="F39" s="87">
        <v>77</v>
      </c>
      <c r="G39" s="86">
        <v>7481.85</v>
      </c>
      <c r="H39" s="87">
        <v>78</v>
      </c>
      <c r="I39" s="86">
        <v>19020.95</v>
      </c>
      <c r="J39" s="87">
        <v>79</v>
      </c>
      <c r="K39" s="86">
        <v>13603.2</v>
      </c>
      <c r="L39" s="87">
        <v>80</v>
      </c>
      <c r="M39" s="86">
        <v>16706.8</v>
      </c>
      <c r="N39" s="87">
        <v>81</v>
      </c>
      <c r="O39" s="86">
        <v>10273.5</v>
      </c>
      <c r="P39" s="87">
        <v>82</v>
      </c>
      <c r="Q39" s="86">
        <v>18601.95</v>
      </c>
      <c r="R39" s="87">
        <v>83</v>
      </c>
      <c r="S39" s="86">
        <v>12823.65</v>
      </c>
      <c r="T39" s="87">
        <v>84</v>
      </c>
      <c r="U39" s="86">
        <v>15822.95</v>
      </c>
      <c r="V39" s="87">
        <v>85</v>
      </c>
      <c r="W39" s="86">
        <v>20614.349999999999</v>
      </c>
      <c r="X39" s="87">
        <v>86</v>
      </c>
      <c r="Y39" s="86">
        <v>17452.7</v>
      </c>
      <c r="Z39" s="87">
        <v>87</v>
      </c>
      <c r="AA39" s="86">
        <v>5069.55</v>
      </c>
      <c r="AB39" s="87">
        <v>88</v>
      </c>
      <c r="AC39" s="86">
        <v>11745.55</v>
      </c>
      <c r="AD39" s="87">
        <v>89</v>
      </c>
      <c r="AE39" s="86">
        <v>17156.7</v>
      </c>
      <c r="AF39" s="87">
        <v>90</v>
      </c>
      <c r="AG39" s="86">
        <v>7208.85</v>
      </c>
      <c r="AH39" s="87"/>
      <c r="AI39" s="86"/>
      <c r="AJ39" s="87">
        <v>91</v>
      </c>
      <c r="AK39" s="86">
        <v>7206.4</v>
      </c>
      <c r="AL39" s="87">
        <v>92</v>
      </c>
      <c r="AM39" s="86">
        <v>14419.75</v>
      </c>
      <c r="AN39" s="87">
        <v>93</v>
      </c>
      <c r="AO39" s="86">
        <v>12000.8</v>
      </c>
      <c r="AP39" s="87">
        <v>94</v>
      </c>
      <c r="AQ39" s="86">
        <v>17545.05</v>
      </c>
      <c r="AR39" s="87">
        <v>95</v>
      </c>
      <c r="AS39" s="86">
        <v>22071.9</v>
      </c>
      <c r="AT39" s="87">
        <v>96</v>
      </c>
      <c r="AU39" s="86">
        <v>12501.25</v>
      </c>
      <c r="AV39" s="87">
        <v>97</v>
      </c>
      <c r="AW39" s="86">
        <v>5180.6499999999996</v>
      </c>
      <c r="AX39" s="87">
        <v>98</v>
      </c>
      <c r="AY39" s="86">
        <v>12008.55</v>
      </c>
      <c r="AZ39" s="87">
        <v>99</v>
      </c>
      <c r="BA39" s="86">
        <v>26594.15</v>
      </c>
      <c r="BB39" s="87">
        <v>100</v>
      </c>
      <c r="BC39" s="86">
        <v>10789.15</v>
      </c>
      <c r="BD39" s="87">
        <v>101</v>
      </c>
      <c r="BE39" s="86">
        <v>11882.7</v>
      </c>
      <c r="BF39" s="87">
        <v>102</v>
      </c>
      <c r="BG39" s="86">
        <v>20625.150000000001</v>
      </c>
      <c r="BH39" s="87">
        <v>103</v>
      </c>
      <c r="BI39" s="86">
        <v>14877.85</v>
      </c>
      <c r="BJ39" s="87">
        <v>104</v>
      </c>
      <c r="BK39" s="86">
        <v>7409.75</v>
      </c>
      <c r="BL39" s="87">
        <v>105</v>
      </c>
      <c r="BM39" s="86">
        <v>24381.25</v>
      </c>
      <c r="BN39" s="50"/>
      <c r="BO39" s="170">
        <f t="shared" si="2"/>
        <v>430570.00000000006</v>
      </c>
      <c r="BP39" s="87">
        <v>106</v>
      </c>
      <c r="BQ39" s="88">
        <v>36364.83</v>
      </c>
    </row>
    <row r="40" spans="1:76" x14ac:dyDescent="0.35">
      <c r="A40" s="83" t="s">
        <v>44</v>
      </c>
      <c r="B40" s="54"/>
      <c r="C40" s="84"/>
      <c r="D40" s="85"/>
      <c r="E40" s="86"/>
      <c r="F40" s="87"/>
      <c r="G40" s="86"/>
      <c r="H40" s="87"/>
      <c r="I40" s="86"/>
      <c r="J40" s="87"/>
      <c r="K40" s="86"/>
      <c r="L40" s="87"/>
      <c r="M40" s="86"/>
      <c r="N40" s="87"/>
      <c r="O40" s="86"/>
      <c r="P40" s="87"/>
      <c r="Q40" s="86"/>
      <c r="R40" s="87"/>
      <c r="S40" s="86"/>
      <c r="T40" s="87"/>
      <c r="U40" s="86"/>
      <c r="V40" s="87"/>
      <c r="W40" s="86"/>
      <c r="X40" s="87"/>
      <c r="Y40" s="86"/>
      <c r="Z40" s="87"/>
      <c r="AA40" s="86"/>
      <c r="AB40" s="87"/>
      <c r="AC40" s="86"/>
      <c r="AD40" s="87"/>
      <c r="AE40" s="86"/>
      <c r="AF40" s="87"/>
      <c r="AG40" s="86"/>
      <c r="AH40" s="87"/>
      <c r="AI40" s="86"/>
      <c r="AJ40" s="87"/>
      <c r="AK40" s="86"/>
      <c r="AL40" s="87"/>
      <c r="AM40" s="86"/>
      <c r="AN40" s="87"/>
      <c r="AO40" s="86"/>
      <c r="AP40" s="87"/>
      <c r="AQ40" s="86"/>
      <c r="AR40" s="87"/>
      <c r="AS40" s="86"/>
      <c r="AT40" s="87"/>
      <c r="AU40" s="86"/>
      <c r="AV40" s="87"/>
      <c r="AW40" s="86" t="s">
        <v>103</v>
      </c>
      <c r="AX40" s="87"/>
      <c r="AY40" s="86"/>
      <c r="AZ40" s="87"/>
      <c r="BA40" s="86"/>
      <c r="BB40" s="87"/>
      <c r="BC40" s="86"/>
      <c r="BD40" s="87"/>
      <c r="BE40" s="86"/>
      <c r="BF40" s="87"/>
      <c r="BG40" s="86"/>
      <c r="BH40" s="87"/>
      <c r="BI40" s="86"/>
      <c r="BJ40" s="87"/>
      <c r="BK40" s="86"/>
      <c r="BL40" s="87"/>
      <c r="BM40" s="86"/>
      <c r="BN40" s="50"/>
      <c r="BO40" s="170" t="str">
        <f t="shared" si="2"/>
        <v/>
      </c>
      <c r="BP40" s="87"/>
      <c r="BQ40" s="88"/>
    </row>
    <row r="41" spans="1:76" x14ac:dyDescent="0.35">
      <c r="A41" s="83" t="s">
        <v>54</v>
      </c>
      <c r="B41" s="54"/>
      <c r="C41" s="84"/>
      <c r="D41" s="85"/>
      <c r="E41" s="86"/>
      <c r="F41" s="87"/>
      <c r="G41" s="86"/>
      <c r="H41" s="87"/>
      <c r="I41" s="86"/>
      <c r="J41" s="87"/>
      <c r="K41" s="86"/>
      <c r="L41" s="87"/>
      <c r="M41" s="86"/>
      <c r="N41" s="87"/>
      <c r="O41" s="86"/>
      <c r="P41" s="87"/>
      <c r="Q41" s="86"/>
      <c r="R41" s="87"/>
      <c r="S41" s="86"/>
      <c r="T41" s="87"/>
      <c r="U41" s="86"/>
      <c r="V41" s="87"/>
      <c r="W41" s="86"/>
      <c r="X41" s="87"/>
      <c r="Y41" s="86"/>
      <c r="Z41" s="87"/>
      <c r="AA41" s="86"/>
      <c r="AB41" s="87"/>
      <c r="AC41" s="86"/>
      <c r="AD41" s="87"/>
      <c r="AE41" s="86"/>
      <c r="AF41" s="87"/>
      <c r="AG41" s="86"/>
      <c r="AH41" s="87"/>
      <c r="AI41" s="86"/>
      <c r="AJ41" s="87"/>
      <c r="AK41" s="86"/>
      <c r="AL41" s="87"/>
      <c r="AM41" s="86"/>
      <c r="AN41" s="87"/>
      <c r="AO41" s="86"/>
      <c r="AP41" s="87"/>
      <c r="AQ41" s="86"/>
      <c r="AR41" s="87"/>
      <c r="AS41" s="86"/>
      <c r="AT41" s="87"/>
      <c r="AU41" s="86"/>
      <c r="AV41" s="87"/>
      <c r="AW41" s="86"/>
      <c r="AX41" s="87"/>
      <c r="AY41" s="86"/>
      <c r="AZ41" s="87"/>
      <c r="BA41" s="86"/>
      <c r="BB41" s="87"/>
      <c r="BC41" s="86"/>
      <c r="BD41" s="87"/>
      <c r="BE41" s="86"/>
      <c r="BF41" s="87"/>
      <c r="BG41" s="86"/>
      <c r="BH41" s="87"/>
      <c r="BI41" s="86"/>
      <c r="BJ41" s="87"/>
      <c r="BK41" s="86"/>
      <c r="BL41" s="87"/>
      <c r="BM41" s="86"/>
      <c r="BN41" s="50"/>
      <c r="BO41" s="170" t="str">
        <f t="shared" si="2"/>
        <v/>
      </c>
      <c r="BP41" s="87"/>
      <c r="BQ41" s="88"/>
    </row>
    <row r="42" spans="1:76" s="1" customFormat="1" x14ac:dyDescent="0.35">
      <c r="A42" s="89" t="s">
        <v>35</v>
      </c>
      <c r="B42" s="90"/>
      <c r="C42" s="174">
        <f>SUM(C36:C41)</f>
        <v>41608.25</v>
      </c>
      <c r="D42" s="47"/>
      <c r="E42" s="166">
        <f>SUM(E36:E41)</f>
        <v>39659.800000000003</v>
      </c>
      <c r="F42" s="49"/>
      <c r="G42" s="166">
        <f>SUM(G36:G41)</f>
        <v>17849.25</v>
      </c>
      <c r="H42" s="49"/>
      <c r="I42" s="166">
        <f>SUM(I36:I41)</f>
        <v>43558.25</v>
      </c>
      <c r="J42" s="49"/>
      <c r="K42" s="166">
        <f>SUM(K36:K41)</f>
        <v>44551.4</v>
      </c>
      <c r="L42" s="49"/>
      <c r="M42" s="166">
        <f>SUM(M36:M41)</f>
        <v>38032.550000000003</v>
      </c>
      <c r="N42" s="49"/>
      <c r="O42" s="166">
        <f>SUM(O36:O41)</f>
        <v>33735.85</v>
      </c>
      <c r="P42" s="49"/>
      <c r="Q42" s="166">
        <f>SUM(Q36:Q41)</f>
        <v>39226.699999999997</v>
      </c>
      <c r="R42" s="49"/>
      <c r="S42" s="166">
        <f>SUM(S36:S41)</f>
        <v>29236.100000000006</v>
      </c>
      <c r="T42" s="49"/>
      <c r="U42" s="166">
        <f>SUM(U36:U41)</f>
        <v>23608.65</v>
      </c>
      <c r="V42" s="49"/>
      <c r="W42" s="166">
        <f>SUM(W36:W41)</f>
        <v>28066.199999999997</v>
      </c>
      <c r="X42" s="49"/>
      <c r="Y42" s="166">
        <f>SUM(Y36:Y41)</f>
        <v>39936.15</v>
      </c>
      <c r="Z42" s="49"/>
      <c r="AA42" s="166">
        <f>SUM(AA36:AA41)</f>
        <v>33304.65</v>
      </c>
      <c r="AB42" s="49"/>
      <c r="AC42" s="166">
        <f>SUM(AC36:AC41)</f>
        <v>36811.199999999997</v>
      </c>
      <c r="AD42" s="49"/>
      <c r="AE42" s="166">
        <f>SUM(AE36:AE41)</f>
        <v>43850.95</v>
      </c>
      <c r="AF42" s="49"/>
      <c r="AG42" s="166">
        <f>SUM(AG36:AG41)</f>
        <v>28919.440000000002</v>
      </c>
      <c r="AH42" s="49"/>
      <c r="AI42" s="166">
        <f>SUM(AI36:AI41)</f>
        <v>19072.400000000001</v>
      </c>
      <c r="AJ42" s="49"/>
      <c r="AK42" s="166">
        <f>SUM(AK36:AK41)</f>
        <v>37336.1</v>
      </c>
      <c r="AL42" s="49"/>
      <c r="AM42" s="166">
        <f>SUM(AM36:AM41)</f>
        <v>32080.2</v>
      </c>
      <c r="AN42" s="49"/>
      <c r="AO42" s="166">
        <f>SUM(AO36:AO41)</f>
        <v>32688.1</v>
      </c>
      <c r="AP42" s="49"/>
      <c r="AQ42" s="166">
        <f>SUM(AQ36:AQ41)</f>
        <v>30101.35</v>
      </c>
      <c r="AR42" s="49"/>
      <c r="AS42" s="166">
        <f>SUM(AS36:AS41)</f>
        <v>41306.400000000001</v>
      </c>
      <c r="AT42" s="49"/>
      <c r="AU42" s="166">
        <f>SUM(AU36:AU41)</f>
        <v>27232.15</v>
      </c>
      <c r="AV42" s="49"/>
      <c r="AW42" s="166">
        <f>SUM(AW36:AW41)</f>
        <v>15731.5</v>
      </c>
      <c r="AX42" s="49"/>
      <c r="AY42" s="166">
        <f>SUM(AY36:AY41)</f>
        <v>31544.95</v>
      </c>
      <c r="AZ42" s="49"/>
      <c r="BA42" s="166">
        <f>SUM(BA36:BA41)</f>
        <v>44597.599999999999</v>
      </c>
      <c r="BB42" s="49"/>
      <c r="BC42" s="166">
        <f>SUM(BC36:BC41)</f>
        <v>30138.300000000003</v>
      </c>
      <c r="BD42" s="49"/>
      <c r="BE42" s="166">
        <f>SUM(BE36:BE41)</f>
        <v>43703.600000000006</v>
      </c>
      <c r="BF42" s="49"/>
      <c r="BG42" s="166">
        <f>SUM(BG36:BG41)</f>
        <v>47176.6</v>
      </c>
      <c r="BH42" s="49"/>
      <c r="BI42" s="166">
        <f>SUM(BI36:BI41)</f>
        <v>33073.699999999997</v>
      </c>
      <c r="BJ42" s="49"/>
      <c r="BK42" s="166">
        <f>SUM(BK36:BK41)</f>
        <v>24813.200000000001</v>
      </c>
      <c r="BL42" s="49"/>
      <c r="BM42" s="166">
        <f>SUM(BM36:BM41)</f>
        <v>47906.55</v>
      </c>
      <c r="BN42" s="50"/>
      <c r="BO42" s="170">
        <f t="shared" si="2"/>
        <v>1058849.8399999999</v>
      </c>
      <c r="BP42" s="49"/>
      <c r="BQ42" s="172">
        <f>SUM(BQ36:BQ41)</f>
        <v>140794.58000000002</v>
      </c>
      <c r="BR42"/>
      <c r="BS42"/>
      <c r="BT42"/>
      <c r="BU42"/>
      <c r="BV42"/>
      <c r="BW42"/>
      <c r="BX42"/>
    </row>
    <row r="43" spans="1:76" x14ac:dyDescent="0.35">
      <c r="A43" s="83" t="s">
        <v>61</v>
      </c>
      <c r="B43" s="54" t="s">
        <v>60</v>
      </c>
      <c r="C43" s="84">
        <v>10936.68</v>
      </c>
      <c r="D43" s="85">
        <v>89</v>
      </c>
      <c r="E43" s="86">
        <v>7547.88</v>
      </c>
      <c r="F43" s="87">
        <v>90</v>
      </c>
      <c r="G43" s="86">
        <v>4663.38</v>
      </c>
      <c r="H43" s="87">
        <v>91</v>
      </c>
      <c r="I43" s="86">
        <v>6398.77</v>
      </c>
      <c r="J43" s="87">
        <v>92</v>
      </c>
      <c r="K43" s="86">
        <v>6744.09</v>
      </c>
      <c r="L43" s="87">
        <v>93</v>
      </c>
      <c r="M43" s="86">
        <v>5987.49</v>
      </c>
      <c r="N43" s="87">
        <v>94</v>
      </c>
      <c r="O43" s="86">
        <v>8094.55</v>
      </c>
      <c r="P43" s="87">
        <v>95</v>
      </c>
      <c r="Q43" s="86">
        <v>10231.57</v>
      </c>
      <c r="R43" s="87">
        <v>96</v>
      </c>
      <c r="S43" s="86">
        <v>7638.29</v>
      </c>
      <c r="T43" s="87">
        <v>97</v>
      </c>
      <c r="U43" s="86">
        <v>4881.72</v>
      </c>
      <c r="V43" s="87">
        <v>98</v>
      </c>
      <c r="W43" s="86">
        <v>5457.24</v>
      </c>
      <c r="X43" s="87">
        <v>99</v>
      </c>
      <c r="Y43" s="86">
        <v>4628.99</v>
      </c>
      <c r="Z43" s="87">
        <v>100</v>
      </c>
      <c r="AA43" s="86">
        <v>7617.3</v>
      </c>
      <c r="AB43" s="87">
        <v>101</v>
      </c>
      <c r="AC43" s="86">
        <v>8173.93</v>
      </c>
      <c r="AD43" s="87">
        <v>102</v>
      </c>
      <c r="AE43" s="86">
        <v>8829.74</v>
      </c>
      <c r="AF43" s="87">
        <v>103</v>
      </c>
      <c r="AG43" s="86">
        <v>6835.28</v>
      </c>
      <c r="AH43" s="87">
        <v>104</v>
      </c>
      <c r="AI43" s="86">
        <v>4458.09</v>
      </c>
      <c r="AJ43" s="87">
        <v>105</v>
      </c>
      <c r="AK43" s="86">
        <v>5773.18</v>
      </c>
      <c r="AL43" s="87">
        <v>106</v>
      </c>
      <c r="AM43" s="86">
        <v>4813.8900000000003</v>
      </c>
      <c r="AN43" s="87">
        <v>107</v>
      </c>
      <c r="AO43" s="86">
        <v>9490.4699999999993</v>
      </c>
      <c r="AP43" s="87">
        <v>108</v>
      </c>
      <c r="AQ43" s="86">
        <v>5293.88</v>
      </c>
      <c r="AR43" s="87">
        <v>109</v>
      </c>
      <c r="AS43" s="86">
        <v>11937.7</v>
      </c>
      <c r="AT43" s="87">
        <v>110</v>
      </c>
      <c r="AU43" s="86">
        <v>8476.11</v>
      </c>
      <c r="AV43" s="87">
        <v>111</v>
      </c>
      <c r="AW43" s="86">
        <v>2738.1</v>
      </c>
      <c r="AX43" s="87">
        <v>112</v>
      </c>
      <c r="AY43" s="86">
        <v>5730.7</v>
      </c>
      <c r="AZ43" s="87">
        <v>113</v>
      </c>
      <c r="BA43" s="86">
        <v>8365.1</v>
      </c>
      <c r="BB43" s="87">
        <v>114</v>
      </c>
      <c r="BC43" s="86">
        <v>8367.17</v>
      </c>
      <c r="BD43" s="87">
        <v>115</v>
      </c>
      <c r="BE43" s="86">
        <v>7414.67</v>
      </c>
      <c r="BF43" s="87">
        <v>116</v>
      </c>
      <c r="BG43" s="86">
        <v>15477.09</v>
      </c>
      <c r="BH43" s="87">
        <v>117</v>
      </c>
      <c r="BI43" s="86">
        <v>7378.7</v>
      </c>
      <c r="BJ43" s="87">
        <v>118</v>
      </c>
      <c r="BK43" s="86">
        <v>8202.9500000000007</v>
      </c>
      <c r="BL43" s="87">
        <v>119</v>
      </c>
      <c r="BM43" s="86">
        <v>11218.8</v>
      </c>
      <c r="BN43" s="50"/>
      <c r="BO43" s="170">
        <f t="shared" si="2"/>
        <v>228866.82000000009</v>
      </c>
      <c r="BP43" s="87" t="s">
        <v>106</v>
      </c>
      <c r="BQ43" s="178">
        <f>3740.89+3613.15</f>
        <v>7354.04</v>
      </c>
    </row>
    <row r="44" spans="1:76" hidden="1" x14ac:dyDescent="0.35">
      <c r="A44" s="83" t="s">
        <v>8</v>
      </c>
      <c r="B44" s="54"/>
      <c r="C44" s="84"/>
      <c r="D44" s="85"/>
      <c r="E44" s="86"/>
      <c r="F44" s="87"/>
      <c r="G44" s="86"/>
      <c r="H44" s="87"/>
      <c r="I44" s="86"/>
      <c r="J44" s="87"/>
      <c r="K44" s="86"/>
      <c r="L44" s="87"/>
      <c r="M44" s="86"/>
      <c r="N44" s="87"/>
      <c r="O44" s="86"/>
      <c r="P44" s="87"/>
      <c r="Q44" s="86"/>
      <c r="R44" s="87"/>
      <c r="S44" s="86"/>
      <c r="T44" s="87"/>
      <c r="U44" s="86"/>
      <c r="V44" s="87"/>
      <c r="W44" s="86"/>
      <c r="X44" s="87"/>
      <c r="Y44" s="86"/>
      <c r="Z44" s="87"/>
      <c r="AA44" s="86"/>
      <c r="AB44" s="87"/>
      <c r="AC44" s="86"/>
      <c r="AD44" s="87"/>
      <c r="AE44" s="86"/>
      <c r="AF44" s="87"/>
      <c r="AG44" s="86"/>
      <c r="AH44" s="87"/>
      <c r="AI44" s="86"/>
      <c r="AJ44" s="87"/>
      <c r="AK44" s="86"/>
      <c r="AL44" s="87"/>
      <c r="AM44" s="86"/>
      <c r="AN44" s="87"/>
      <c r="AO44" s="86"/>
      <c r="AP44" s="87"/>
      <c r="AQ44" s="86"/>
      <c r="AR44" s="87"/>
      <c r="AS44" s="86"/>
      <c r="AT44" s="87"/>
      <c r="AU44" s="86"/>
      <c r="AV44" s="87"/>
      <c r="AW44" s="86"/>
      <c r="AX44" s="87"/>
      <c r="AY44" s="86"/>
      <c r="AZ44" s="87"/>
      <c r="BA44" s="86"/>
      <c r="BB44" s="87"/>
      <c r="BC44" s="86"/>
      <c r="BD44" s="87"/>
      <c r="BE44" s="86"/>
      <c r="BF44" s="87"/>
      <c r="BG44" s="86"/>
      <c r="BH44" s="87"/>
      <c r="BI44" s="86"/>
      <c r="BJ44" s="87"/>
      <c r="BK44" s="86"/>
      <c r="BL44" s="87"/>
      <c r="BM44" s="86"/>
      <c r="BN44" s="50"/>
      <c r="BO44" s="170" t="str">
        <f t="shared" si="2"/>
        <v/>
      </c>
      <c r="BP44" s="87"/>
      <c r="BQ44" s="88"/>
    </row>
    <row r="45" spans="1:76" hidden="1" x14ac:dyDescent="0.35">
      <c r="A45" s="83" t="s">
        <v>9</v>
      </c>
      <c r="B45" s="54"/>
      <c r="C45" s="84"/>
      <c r="D45" s="85"/>
      <c r="E45" s="86"/>
      <c r="F45" s="87"/>
      <c r="G45" s="86"/>
      <c r="H45" s="87"/>
      <c r="I45" s="86"/>
      <c r="J45" s="87"/>
      <c r="K45" s="86"/>
      <c r="L45" s="87"/>
      <c r="M45" s="86"/>
      <c r="N45" s="87"/>
      <c r="O45" s="86"/>
      <c r="P45" s="87"/>
      <c r="Q45" s="86"/>
      <c r="R45" s="87"/>
      <c r="S45" s="86"/>
      <c r="T45" s="87"/>
      <c r="U45" s="86"/>
      <c r="V45" s="87"/>
      <c r="W45" s="86"/>
      <c r="X45" s="87"/>
      <c r="Y45" s="86"/>
      <c r="Z45" s="87"/>
      <c r="AA45" s="86"/>
      <c r="AB45" s="87"/>
      <c r="AC45" s="86"/>
      <c r="AD45" s="87"/>
      <c r="AE45" s="86"/>
      <c r="AF45" s="87"/>
      <c r="AG45" s="86"/>
      <c r="AH45" s="87"/>
      <c r="AI45" s="86"/>
      <c r="AJ45" s="87"/>
      <c r="AK45" s="86"/>
      <c r="AL45" s="87"/>
      <c r="AM45" s="86"/>
      <c r="AN45" s="87"/>
      <c r="AO45" s="86"/>
      <c r="AP45" s="87"/>
      <c r="AQ45" s="86"/>
      <c r="AR45" s="87"/>
      <c r="AS45" s="86"/>
      <c r="AT45" s="87"/>
      <c r="AU45" s="86"/>
      <c r="AV45" s="87"/>
      <c r="AW45" s="86"/>
      <c r="AX45" s="87"/>
      <c r="AY45" s="86"/>
      <c r="AZ45" s="87"/>
      <c r="BA45" s="86"/>
      <c r="BB45" s="87"/>
      <c r="BC45" s="86"/>
      <c r="BD45" s="87"/>
      <c r="BE45" s="86"/>
      <c r="BF45" s="87"/>
      <c r="BG45" s="86"/>
      <c r="BH45" s="87"/>
      <c r="BI45" s="86"/>
      <c r="BJ45" s="87"/>
      <c r="BK45" s="86"/>
      <c r="BL45" s="87"/>
      <c r="BM45" s="86"/>
      <c r="BN45" s="50"/>
      <c r="BO45" s="170" t="str">
        <f t="shared" si="2"/>
        <v/>
      </c>
      <c r="BP45" s="87"/>
      <c r="BQ45" s="88"/>
    </row>
    <row r="46" spans="1:76" hidden="1" x14ac:dyDescent="0.35">
      <c r="A46" s="83" t="s">
        <v>43</v>
      </c>
      <c r="B46" s="54"/>
      <c r="C46" s="84"/>
      <c r="D46" s="85"/>
      <c r="E46" s="86"/>
      <c r="F46" s="87"/>
      <c r="G46" s="86"/>
      <c r="H46" s="87"/>
      <c r="I46" s="86"/>
      <c r="J46" s="87"/>
      <c r="K46" s="86"/>
      <c r="L46" s="87"/>
      <c r="M46" s="86"/>
      <c r="N46" s="87"/>
      <c r="O46" s="86"/>
      <c r="P46" s="87"/>
      <c r="Q46" s="86"/>
      <c r="R46" s="87"/>
      <c r="S46" s="86"/>
      <c r="T46" s="87"/>
      <c r="U46" s="86"/>
      <c r="V46" s="87"/>
      <c r="W46" s="86"/>
      <c r="X46" s="87"/>
      <c r="Y46" s="86"/>
      <c r="Z46" s="87"/>
      <c r="AA46" s="86"/>
      <c r="AB46" s="87"/>
      <c r="AC46" s="86"/>
      <c r="AD46" s="87"/>
      <c r="AE46" s="86"/>
      <c r="AF46" s="87"/>
      <c r="AG46" s="86"/>
      <c r="AH46" s="87"/>
      <c r="AI46" s="86"/>
      <c r="AJ46" s="87"/>
      <c r="AK46" s="86"/>
      <c r="AL46" s="87"/>
      <c r="AM46" s="86"/>
      <c r="AN46" s="87"/>
      <c r="AO46" s="86"/>
      <c r="AP46" s="87"/>
      <c r="AQ46" s="86"/>
      <c r="AR46" s="87"/>
      <c r="AS46" s="86"/>
      <c r="AT46" s="87"/>
      <c r="AU46" s="86"/>
      <c r="AV46" s="87"/>
      <c r="AW46" s="86"/>
      <c r="AX46" s="87"/>
      <c r="AY46" s="86"/>
      <c r="AZ46" s="87"/>
      <c r="BA46" s="86"/>
      <c r="BB46" s="87"/>
      <c r="BC46" s="86"/>
      <c r="BD46" s="87"/>
      <c r="BE46" s="86"/>
      <c r="BF46" s="87"/>
      <c r="BG46" s="86"/>
      <c r="BH46" s="87"/>
      <c r="BI46" s="86"/>
      <c r="BJ46" s="87"/>
      <c r="BK46" s="86"/>
      <c r="BL46" s="87"/>
      <c r="BM46" s="86"/>
      <c r="BN46" s="50"/>
      <c r="BO46" s="170" t="str">
        <f t="shared" si="2"/>
        <v/>
      </c>
      <c r="BP46" s="87"/>
      <c r="BQ46" s="88"/>
    </row>
    <row r="47" spans="1:76" hidden="1" x14ac:dyDescent="0.35">
      <c r="A47" s="83" t="s">
        <v>10</v>
      </c>
      <c r="B47" s="54"/>
      <c r="C47" s="84"/>
      <c r="D47" s="85"/>
      <c r="E47" s="86"/>
      <c r="F47" s="87"/>
      <c r="G47" s="86"/>
      <c r="H47" s="87"/>
      <c r="I47" s="86"/>
      <c r="J47" s="87"/>
      <c r="K47" s="86"/>
      <c r="L47" s="87"/>
      <c r="M47" s="86"/>
      <c r="N47" s="87"/>
      <c r="O47" s="86"/>
      <c r="P47" s="87"/>
      <c r="Q47" s="86"/>
      <c r="R47" s="87"/>
      <c r="S47" s="86"/>
      <c r="T47" s="87"/>
      <c r="U47" s="86"/>
      <c r="V47" s="87"/>
      <c r="W47" s="86"/>
      <c r="X47" s="87"/>
      <c r="Y47" s="86"/>
      <c r="Z47" s="87"/>
      <c r="AA47" s="86"/>
      <c r="AB47" s="87"/>
      <c r="AC47" s="86"/>
      <c r="AD47" s="87"/>
      <c r="AE47" s="86"/>
      <c r="AF47" s="87"/>
      <c r="AG47" s="86"/>
      <c r="AH47" s="87"/>
      <c r="AI47" s="86"/>
      <c r="AJ47" s="87"/>
      <c r="AK47" s="86"/>
      <c r="AL47" s="87"/>
      <c r="AM47" s="86"/>
      <c r="AN47" s="87"/>
      <c r="AO47" s="86"/>
      <c r="AP47" s="87"/>
      <c r="AQ47" s="86"/>
      <c r="AR47" s="87"/>
      <c r="AS47" s="86"/>
      <c r="AT47" s="87"/>
      <c r="AU47" s="86"/>
      <c r="AV47" s="87"/>
      <c r="AW47" s="86"/>
      <c r="AX47" s="87"/>
      <c r="AY47" s="86"/>
      <c r="AZ47" s="87"/>
      <c r="BA47" s="86"/>
      <c r="BB47" s="87"/>
      <c r="BC47" s="86"/>
      <c r="BD47" s="87"/>
      <c r="BE47" s="86"/>
      <c r="BF47" s="87"/>
      <c r="BG47" s="86"/>
      <c r="BH47" s="87"/>
      <c r="BI47" s="86"/>
      <c r="BJ47" s="87"/>
      <c r="BK47" s="86"/>
      <c r="BL47" s="87"/>
      <c r="BM47" s="86"/>
      <c r="BN47" s="50"/>
      <c r="BO47" s="170" t="str">
        <f t="shared" si="2"/>
        <v/>
      </c>
      <c r="BP47" s="87"/>
      <c r="BQ47" s="88"/>
    </row>
    <row r="48" spans="1:76" hidden="1" x14ac:dyDescent="0.35">
      <c r="A48" s="83" t="s">
        <v>11</v>
      </c>
      <c r="B48" s="54"/>
      <c r="C48" s="84"/>
      <c r="D48" s="85"/>
      <c r="E48" s="86"/>
      <c r="F48" s="87"/>
      <c r="G48" s="86"/>
      <c r="H48" s="87"/>
      <c r="I48" s="86"/>
      <c r="J48" s="87"/>
      <c r="K48" s="86"/>
      <c r="L48" s="87"/>
      <c r="M48" s="86"/>
      <c r="N48" s="87"/>
      <c r="O48" s="86"/>
      <c r="P48" s="87"/>
      <c r="Q48" s="86"/>
      <c r="R48" s="87"/>
      <c r="S48" s="86"/>
      <c r="T48" s="87"/>
      <c r="U48" s="86"/>
      <c r="V48" s="87"/>
      <c r="W48" s="86"/>
      <c r="X48" s="87"/>
      <c r="Y48" s="86"/>
      <c r="Z48" s="87"/>
      <c r="AA48" s="86"/>
      <c r="AB48" s="87"/>
      <c r="AC48" s="86"/>
      <c r="AD48" s="87"/>
      <c r="AE48" s="86"/>
      <c r="AF48" s="87"/>
      <c r="AG48" s="86"/>
      <c r="AH48" s="87"/>
      <c r="AI48" s="86"/>
      <c r="AJ48" s="87"/>
      <c r="AK48" s="86"/>
      <c r="AL48" s="87"/>
      <c r="AM48" s="86"/>
      <c r="AN48" s="87"/>
      <c r="AO48" s="86"/>
      <c r="AP48" s="87"/>
      <c r="AQ48" s="86"/>
      <c r="AR48" s="87"/>
      <c r="AS48" s="86"/>
      <c r="AT48" s="87"/>
      <c r="AU48" s="86"/>
      <c r="AV48" s="87"/>
      <c r="AW48" s="86"/>
      <c r="AX48" s="87"/>
      <c r="AY48" s="86"/>
      <c r="AZ48" s="87"/>
      <c r="BA48" s="86"/>
      <c r="BB48" s="87"/>
      <c r="BC48" s="86"/>
      <c r="BD48" s="87"/>
      <c r="BE48" s="86"/>
      <c r="BF48" s="87"/>
      <c r="BG48" s="86"/>
      <c r="BH48" s="87"/>
      <c r="BI48" s="86"/>
      <c r="BJ48" s="87"/>
      <c r="BK48" s="86"/>
      <c r="BL48" s="87"/>
      <c r="BM48" s="86"/>
      <c r="BN48" s="50"/>
      <c r="BO48" s="170" t="str">
        <f t="shared" si="2"/>
        <v/>
      </c>
      <c r="BP48" s="87"/>
      <c r="BQ48" s="88"/>
    </row>
    <row r="49" spans="1:76" s="1" customFormat="1" x14ac:dyDescent="0.35">
      <c r="A49" s="89" t="s">
        <v>36</v>
      </c>
      <c r="B49" s="90"/>
      <c r="C49" s="174">
        <f>SUM(C43:C48)</f>
        <v>10936.68</v>
      </c>
      <c r="D49" s="47"/>
      <c r="E49" s="166">
        <f>SUM(E43:E48)</f>
        <v>7547.88</v>
      </c>
      <c r="F49" s="49"/>
      <c r="G49" s="166">
        <f>SUM(G43:G48)</f>
        <v>4663.38</v>
      </c>
      <c r="H49" s="49"/>
      <c r="I49" s="166">
        <f>SUM(I43:I48)</f>
        <v>6398.77</v>
      </c>
      <c r="J49" s="49"/>
      <c r="K49" s="166">
        <f>SUM(K43:K48)</f>
        <v>6744.09</v>
      </c>
      <c r="L49" s="49"/>
      <c r="M49" s="166">
        <f>SUM(M43:M48)</f>
        <v>5987.49</v>
      </c>
      <c r="N49" s="49"/>
      <c r="O49" s="166">
        <f>SUM(O43:O48)</f>
        <v>8094.55</v>
      </c>
      <c r="P49" s="49"/>
      <c r="Q49" s="166">
        <f>SUM(Q43:Q48)</f>
        <v>10231.57</v>
      </c>
      <c r="R49" s="49"/>
      <c r="S49" s="166">
        <f>SUM(S43:S48)</f>
        <v>7638.29</v>
      </c>
      <c r="T49" s="49"/>
      <c r="U49" s="166">
        <f>SUM(U43:U48)</f>
        <v>4881.72</v>
      </c>
      <c r="V49" s="49"/>
      <c r="W49" s="166">
        <f>SUM(W43:W48)</f>
        <v>5457.24</v>
      </c>
      <c r="X49" s="49"/>
      <c r="Y49" s="166">
        <f>SUM(Y43:Y48)</f>
        <v>4628.99</v>
      </c>
      <c r="Z49" s="49"/>
      <c r="AA49" s="166">
        <f>SUM(AA43:AA48)</f>
        <v>7617.3</v>
      </c>
      <c r="AB49" s="49"/>
      <c r="AC49" s="166">
        <f>SUM(AC43:AC48)</f>
        <v>8173.93</v>
      </c>
      <c r="AD49" s="49"/>
      <c r="AE49" s="166">
        <f>SUM(AE43:AE48)</f>
        <v>8829.74</v>
      </c>
      <c r="AF49" s="49"/>
      <c r="AG49" s="166">
        <f>SUM(AG43:AG48)</f>
        <v>6835.28</v>
      </c>
      <c r="AH49" s="49"/>
      <c r="AI49" s="166">
        <f>SUM(AI43:AI48)</f>
        <v>4458.09</v>
      </c>
      <c r="AJ49" s="49"/>
      <c r="AK49" s="166">
        <f>SUM(AK43:AK48)</f>
        <v>5773.18</v>
      </c>
      <c r="AL49" s="49"/>
      <c r="AM49" s="166">
        <f>SUM(AM43:AM48)</f>
        <v>4813.8900000000003</v>
      </c>
      <c r="AN49" s="49"/>
      <c r="AO49" s="166">
        <f>SUM(AO43:AO48)</f>
        <v>9490.4699999999993</v>
      </c>
      <c r="AP49" s="49"/>
      <c r="AQ49" s="166">
        <f>SUM(AQ43:AQ48)</f>
        <v>5293.88</v>
      </c>
      <c r="AR49" s="49"/>
      <c r="AS49" s="166">
        <f>SUM(AS43:AS48)</f>
        <v>11937.7</v>
      </c>
      <c r="AT49" s="49"/>
      <c r="AU49" s="166">
        <f>SUM(AU43:AU48)</f>
        <v>8476.11</v>
      </c>
      <c r="AV49" s="49"/>
      <c r="AW49" s="166">
        <f>SUM(AW43:AW48)</f>
        <v>2738.1</v>
      </c>
      <c r="AX49" s="49"/>
      <c r="AY49" s="166">
        <f>SUM(AY43:AY48)</f>
        <v>5730.7</v>
      </c>
      <c r="AZ49" s="49"/>
      <c r="BA49" s="166">
        <f>SUM(BA43:BA48)</f>
        <v>8365.1</v>
      </c>
      <c r="BB49" s="49"/>
      <c r="BC49" s="166">
        <f>SUM(BC43:BC48)</f>
        <v>8367.17</v>
      </c>
      <c r="BD49" s="49"/>
      <c r="BE49" s="166">
        <f>SUM(BE43:BE48)</f>
        <v>7414.67</v>
      </c>
      <c r="BF49" s="49"/>
      <c r="BG49" s="166">
        <f>SUM(BG43:BG48)</f>
        <v>15477.09</v>
      </c>
      <c r="BH49" s="49"/>
      <c r="BI49" s="166">
        <f>SUM(BI43:BI48)</f>
        <v>7378.7</v>
      </c>
      <c r="BJ49" s="49"/>
      <c r="BK49" s="166">
        <f>SUM(BK43:BK48)</f>
        <v>8202.9500000000007</v>
      </c>
      <c r="BL49" s="49"/>
      <c r="BM49" s="166">
        <f>SUM(BM43:BM48)</f>
        <v>11218.8</v>
      </c>
      <c r="BN49" s="50"/>
      <c r="BO49" s="170">
        <f t="shared" si="2"/>
        <v>228866.82000000009</v>
      </c>
      <c r="BP49" s="49"/>
      <c r="BQ49" s="172">
        <f>SUM(BQ43:BQ48)</f>
        <v>7354.04</v>
      </c>
      <c r="BR49"/>
      <c r="BS49"/>
      <c r="BT49"/>
      <c r="BU49"/>
      <c r="BV49"/>
      <c r="BW49"/>
      <c r="BX49"/>
    </row>
    <row r="50" spans="1:76" s="1" customFormat="1" x14ac:dyDescent="0.35">
      <c r="A50" s="89" t="s">
        <v>12</v>
      </c>
      <c r="B50" s="90"/>
      <c r="C50" s="174">
        <f t="shared" ref="C50" si="36">+C42+C49</f>
        <v>52544.93</v>
      </c>
      <c r="D50" s="47"/>
      <c r="E50" s="166">
        <f t="shared" ref="E50" si="37">+E42+E49</f>
        <v>47207.68</v>
      </c>
      <c r="F50" s="49"/>
      <c r="G50" s="166">
        <f t="shared" ref="G50" si="38">+G42+G49</f>
        <v>22512.63</v>
      </c>
      <c r="H50" s="49"/>
      <c r="I50" s="166">
        <f t="shared" ref="I50" si="39">+I42+I49</f>
        <v>49957.020000000004</v>
      </c>
      <c r="J50" s="49"/>
      <c r="K50" s="166">
        <f t="shared" ref="K50" si="40">+K42+K49</f>
        <v>51295.490000000005</v>
      </c>
      <c r="L50" s="49"/>
      <c r="M50" s="166">
        <f t="shared" ref="M50" si="41">+M42+M49</f>
        <v>44020.04</v>
      </c>
      <c r="N50" s="49"/>
      <c r="O50" s="166">
        <f t="shared" ref="O50" si="42">+O42+O49</f>
        <v>41830.400000000001</v>
      </c>
      <c r="P50" s="49"/>
      <c r="Q50" s="166">
        <f t="shared" ref="Q50" si="43">+Q42+Q49</f>
        <v>49458.27</v>
      </c>
      <c r="R50" s="49"/>
      <c r="S50" s="166">
        <f t="shared" ref="S50" si="44">+S42+S49</f>
        <v>36874.390000000007</v>
      </c>
      <c r="T50" s="49"/>
      <c r="U50" s="166">
        <f t="shared" ref="U50" si="45">+U42+U49</f>
        <v>28490.370000000003</v>
      </c>
      <c r="V50" s="49"/>
      <c r="W50" s="166">
        <f t="shared" ref="W50" si="46">+W42+W49</f>
        <v>33523.439999999995</v>
      </c>
      <c r="X50" s="49"/>
      <c r="Y50" s="166">
        <f t="shared" ref="Y50" si="47">+Y42+Y49</f>
        <v>44565.14</v>
      </c>
      <c r="Z50" s="49"/>
      <c r="AA50" s="166">
        <f t="shared" ref="AA50" si="48">+AA42+AA49</f>
        <v>40921.950000000004</v>
      </c>
      <c r="AB50" s="49"/>
      <c r="AC50" s="166">
        <f t="shared" ref="AC50" si="49">+AC42+AC49</f>
        <v>44985.13</v>
      </c>
      <c r="AD50" s="49"/>
      <c r="AE50" s="166">
        <f t="shared" ref="AE50" si="50">+AE42+AE49</f>
        <v>52680.689999999995</v>
      </c>
      <c r="AF50" s="49"/>
      <c r="AG50" s="166">
        <f t="shared" ref="AG50" si="51">+AG42+AG49</f>
        <v>35754.720000000001</v>
      </c>
      <c r="AH50" s="49"/>
      <c r="AI50" s="166">
        <f t="shared" ref="AI50" si="52">+AI42+AI49</f>
        <v>23530.49</v>
      </c>
      <c r="AJ50" s="49"/>
      <c r="AK50" s="166">
        <f t="shared" ref="AK50" si="53">+AK42+AK49</f>
        <v>43109.279999999999</v>
      </c>
      <c r="AL50" s="49"/>
      <c r="AM50" s="166">
        <f t="shared" ref="AM50" si="54">+AM42+AM49</f>
        <v>36894.090000000004</v>
      </c>
      <c r="AN50" s="49"/>
      <c r="AO50" s="166">
        <f t="shared" ref="AO50" si="55">+AO42+AO49</f>
        <v>42178.57</v>
      </c>
      <c r="AP50" s="49"/>
      <c r="AQ50" s="166">
        <f t="shared" ref="AQ50" si="56">+AQ42+AQ49</f>
        <v>35395.229999999996</v>
      </c>
      <c r="AR50" s="49"/>
      <c r="AS50" s="166">
        <f t="shared" ref="AS50" si="57">+AS42+AS49</f>
        <v>53244.100000000006</v>
      </c>
      <c r="AT50" s="49"/>
      <c r="AU50" s="166">
        <f t="shared" ref="AU50" si="58">+AU42+AU49</f>
        <v>35708.26</v>
      </c>
      <c r="AV50" s="49"/>
      <c r="AW50" s="166">
        <f t="shared" ref="AW50" si="59">+AW42+AW49</f>
        <v>18469.599999999999</v>
      </c>
      <c r="AX50" s="49"/>
      <c r="AY50" s="166">
        <f t="shared" ref="AY50" si="60">+AY42+AY49</f>
        <v>37275.65</v>
      </c>
      <c r="AZ50" s="49"/>
      <c r="BA50" s="166">
        <f t="shared" ref="BA50" si="61">+BA42+BA49</f>
        <v>52962.7</v>
      </c>
      <c r="BB50" s="49"/>
      <c r="BC50" s="166">
        <f t="shared" ref="BC50" si="62">+BC42+BC49</f>
        <v>38505.47</v>
      </c>
      <c r="BD50" s="49"/>
      <c r="BE50" s="166">
        <f t="shared" ref="BE50" si="63">+BE42+BE49</f>
        <v>51118.270000000004</v>
      </c>
      <c r="BF50" s="49"/>
      <c r="BG50" s="166">
        <f t="shared" ref="BG50" si="64">+BG42+BG49</f>
        <v>62653.69</v>
      </c>
      <c r="BH50" s="49"/>
      <c r="BI50" s="166">
        <f t="shared" ref="BI50" si="65">+BI42+BI49</f>
        <v>40452.399999999994</v>
      </c>
      <c r="BJ50" s="49"/>
      <c r="BK50" s="166">
        <f t="shared" ref="BK50" si="66">+BK42+BK49</f>
        <v>33016.15</v>
      </c>
      <c r="BL50" s="49"/>
      <c r="BM50" s="166">
        <f t="shared" ref="BM50" si="67">+BM42+BM49</f>
        <v>59125.350000000006</v>
      </c>
      <c r="BN50" s="50"/>
      <c r="BO50" s="170">
        <f t="shared" si="2"/>
        <v>1287716.6599999997</v>
      </c>
      <c r="BP50" s="49"/>
      <c r="BQ50" s="172">
        <f t="shared" ref="BQ50" si="68">+BQ42+BQ49</f>
        <v>148148.62000000002</v>
      </c>
      <c r="BR50"/>
      <c r="BS50"/>
      <c r="BT50"/>
      <c r="BU50"/>
      <c r="BV50"/>
      <c r="BW50"/>
      <c r="BX50"/>
    </row>
    <row r="51" spans="1:76" x14ac:dyDescent="0.35">
      <c r="A51" s="83" t="s">
        <v>13</v>
      </c>
      <c r="B51" s="54"/>
      <c r="C51" s="84"/>
      <c r="D51" s="85"/>
      <c r="E51" s="86"/>
      <c r="F51" s="87"/>
      <c r="G51" s="86"/>
      <c r="H51" s="87"/>
      <c r="I51" s="86"/>
      <c r="J51" s="87"/>
      <c r="K51" s="86"/>
      <c r="L51" s="87"/>
      <c r="M51" s="86"/>
      <c r="N51" s="87"/>
      <c r="O51" s="86"/>
      <c r="P51" s="87"/>
      <c r="Q51" s="86"/>
      <c r="R51" s="87"/>
      <c r="S51" s="86"/>
      <c r="T51" s="87"/>
      <c r="U51" s="86"/>
      <c r="V51" s="87"/>
      <c r="W51" s="86"/>
      <c r="X51" s="87"/>
      <c r="Y51" s="86"/>
      <c r="Z51" s="87"/>
      <c r="AA51" s="86"/>
      <c r="AB51" s="87"/>
      <c r="AC51" s="86"/>
      <c r="AD51" s="87"/>
      <c r="AE51" s="86"/>
      <c r="AF51" s="87"/>
      <c r="AG51" s="86"/>
      <c r="AH51" s="87"/>
      <c r="AI51" s="86"/>
      <c r="AJ51" s="87"/>
      <c r="AK51" s="86"/>
      <c r="AL51" s="87"/>
      <c r="AM51" s="86"/>
      <c r="AN51" s="87"/>
      <c r="AO51" s="86"/>
      <c r="AP51" s="87"/>
      <c r="AQ51" s="86"/>
      <c r="AR51" s="87"/>
      <c r="AS51" s="86"/>
      <c r="AT51" s="87"/>
      <c r="AU51" s="86"/>
      <c r="AV51" s="87"/>
      <c r="AW51" s="86"/>
      <c r="AX51" s="87"/>
      <c r="AY51" s="86"/>
      <c r="AZ51" s="87"/>
      <c r="BA51" s="86"/>
      <c r="BB51" s="87"/>
      <c r="BC51" s="86"/>
      <c r="BD51" s="87"/>
      <c r="BE51" s="86"/>
      <c r="BF51" s="87"/>
      <c r="BG51" s="86"/>
      <c r="BH51" s="87"/>
      <c r="BI51" s="86"/>
      <c r="BJ51" s="87"/>
      <c r="BK51" s="86"/>
      <c r="BL51" s="87"/>
      <c r="BM51" s="86"/>
      <c r="BN51" s="50"/>
      <c r="BO51" s="170" t="str">
        <f t="shared" si="2"/>
        <v/>
      </c>
      <c r="BP51" s="87"/>
      <c r="BQ51" s="88"/>
    </row>
    <row r="52" spans="1:76" x14ac:dyDescent="0.35">
      <c r="A52" s="83" t="s">
        <v>14</v>
      </c>
      <c r="B52" s="54"/>
      <c r="C52" s="84"/>
      <c r="D52" s="85"/>
      <c r="E52" s="86"/>
      <c r="F52" s="87"/>
      <c r="G52" s="86"/>
      <c r="H52" s="87"/>
      <c r="I52" s="86"/>
      <c r="J52" s="87"/>
      <c r="K52" s="86"/>
      <c r="L52" s="87"/>
      <c r="M52" s="86"/>
      <c r="N52" s="87"/>
      <c r="O52" s="86"/>
      <c r="P52" s="87"/>
      <c r="Q52" s="86"/>
      <c r="R52" s="87"/>
      <c r="S52" s="86"/>
      <c r="T52" s="87"/>
      <c r="U52" s="86"/>
      <c r="V52" s="87"/>
      <c r="W52" s="86"/>
      <c r="X52" s="87"/>
      <c r="Y52" s="86"/>
      <c r="Z52" s="87"/>
      <c r="AA52" s="86"/>
      <c r="AB52" s="87"/>
      <c r="AC52" s="86"/>
      <c r="AD52" s="87"/>
      <c r="AE52" s="86"/>
      <c r="AF52" s="87"/>
      <c r="AG52" s="86"/>
      <c r="AH52" s="87"/>
      <c r="AI52" s="86"/>
      <c r="AJ52" s="87"/>
      <c r="AK52" s="86"/>
      <c r="AL52" s="87"/>
      <c r="AM52" s="86"/>
      <c r="AN52" s="87"/>
      <c r="AO52" s="86"/>
      <c r="AP52" s="87"/>
      <c r="AQ52" s="86"/>
      <c r="AR52" s="87"/>
      <c r="AS52" s="86"/>
      <c r="AT52" s="87"/>
      <c r="AU52" s="86"/>
      <c r="AV52" s="87"/>
      <c r="AW52" s="86"/>
      <c r="AX52" s="87"/>
      <c r="AY52" s="86"/>
      <c r="AZ52" s="87"/>
      <c r="BA52" s="86"/>
      <c r="BB52" s="87"/>
      <c r="BC52" s="86"/>
      <c r="BD52" s="87"/>
      <c r="BE52" s="86"/>
      <c r="BF52" s="87"/>
      <c r="BG52" s="86"/>
      <c r="BH52" s="87"/>
      <c r="BI52" s="86"/>
      <c r="BJ52" s="87"/>
      <c r="BK52" s="86"/>
      <c r="BL52" s="87"/>
      <c r="BM52" s="86"/>
      <c r="BN52" s="50"/>
      <c r="BO52" s="170" t="str">
        <f t="shared" si="2"/>
        <v/>
      </c>
      <c r="BP52" s="87"/>
      <c r="BQ52" s="88"/>
    </row>
    <row r="53" spans="1:76" x14ac:dyDescent="0.35">
      <c r="A53" s="83" t="s">
        <v>42</v>
      </c>
      <c r="B53" s="54"/>
      <c r="C53" s="84"/>
      <c r="D53" s="85"/>
      <c r="E53" s="86"/>
      <c r="F53" s="87"/>
      <c r="G53" s="86"/>
      <c r="H53" s="87"/>
      <c r="I53" s="86"/>
      <c r="J53" s="87"/>
      <c r="K53" s="86"/>
      <c r="L53" s="87"/>
      <c r="M53" s="86"/>
      <c r="N53" s="87"/>
      <c r="O53" s="86"/>
      <c r="P53" s="87"/>
      <c r="Q53" s="86"/>
      <c r="R53" s="87"/>
      <c r="S53" s="86"/>
      <c r="T53" s="87"/>
      <c r="U53" s="86"/>
      <c r="V53" s="87"/>
      <c r="W53" s="86"/>
      <c r="X53" s="87"/>
      <c r="Y53" s="86"/>
      <c r="Z53" s="87"/>
      <c r="AA53" s="86"/>
      <c r="AB53" s="87"/>
      <c r="AC53" s="86"/>
      <c r="AD53" s="87"/>
      <c r="AE53" s="86"/>
      <c r="AF53" s="87"/>
      <c r="AG53" s="86"/>
      <c r="AH53" s="87"/>
      <c r="AI53" s="86"/>
      <c r="AJ53" s="87"/>
      <c r="AK53" s="86"/>
      <c r="AL53" s="87"/>
      <c r="AM53" s="86"/>
      <c r="AN53" s="87"/>
      <c r="AO53" s="86"/>
      <c r="AP53" s="87"/>
      <c r="AQ53" s="86"/>
      <c r="AR53" s="87"/>
      <c r="AS53" s="86"/>
      <c r="AT53" s="87"/>
      <c r="AU53" s="86"/>
      <c r="AV53" s="87"/>
      <c r="AW53" s="86"/>
      <c r="AX53" s="87"/>
      <c r="AY53" s="86"/>
      <c r="AZ53" s="87"/>
      <c r="BA53" s="86"/>
      <c r="BB53" s="87"/>
      <c r="BC53" s="86"/>
      <c r="BD53" s="87"/>
      <c r="BE53" s="86"/>
      <c r="BF53" s="87"/>
      <c r="BG53" s="86"/>
      <c r="BH53" s="87"/>
      <c r="BI53" s="86"/>
      <c r="BJ53" s="87"/>
      <c r="BK53" s="86"/>
      <c r="BL53" s="87"/>
      <c r="BM53" s="86"/>
      <c r="BN53" s="50"/>
      <c r="BO53" s="170" t="str">
        <f t="shared" si="2"/>
        <v/>
      </c>
      <c r="BP53" s="87"/>
      <c r="BQ53" s="88"/>
    </row>
    <row r="54" spans="1:76" x14ac:dyDescent="0.35">
      <c r="A54" s="89" t="s">
        <v>15</v>
      </c>
      <c r="B54" s="90"/>
      <c r="C54" s="174">
        <f>C22+C23+C32+C34+C50+C51+C52-C33+C24+C53+C112</f>
        <v>59829.48</v>
      </c>
      <c r="D54" s="47"/>
      <c r="E54" s="166">
        <f>E22+E23+E32+E34+E50+E51+E52-E33+E24+E53+E112</f>
        <v>59560.68</v>
      </c>
      <c r="F54" s="49"/>
      <c r="G54" s="166">
        <f>G22+G23+G32+G34+G50+G51+G52-G33+G24+G53+G112</f>
        <v>35487.630000000005</v>
      </c>
      <c r="H54" s="49"/>
      <c r="I54" s="166">
        <f>I22+I23+I32+I34+I50+I51+I52-I33+I24+I53+I112</f>
        <v>69178.23000000001</v>
      </c>
      <c r="J54" s="49"/>
      <c r="K54" s="166">
        <f>K22+K23+K32+K34+K50+K51+K52-K33+K24+K53+K112</f>
        <v>65023.670000000006</v>
      </c>
      <c r="L54" s="49"/>
      <c r="M54" s="166">
        <f>M22+M23+M32+M34+M50+M51+M52-M33+M24+M53+M112</f>
        <v>60580.959999999999</v>
      </c>
      <c r="N54" s="49"/>
      <c r="O54" s="166">
        <f>O22+O23+O32+O34+O50+O51+O52-O33+O24+O53+O112</f>
        <v>54329.4</v>
      </c>
      <c r="P54" s="49"/>
      <c r="Q54" s="166">
        <f>Q22+Q23+Q32+Q34+Q50+Q51+Q52-Q33+Q24+Q53+Q112</f>
        <v>63649.569999999992</v>
      </c>
      <c r="R54" s="49"/>
      <c r="S54" s="166">
        <f>S22+S23+S32+S34+S50+S51+S52-S33+S24+S53+S112</f>
        <v>55805.960000000006</v>
      </c>
      <c r="T54" s="49"/>
      <c r="U54" s="166">
        <f>U22+U23+U32+U34+U50+U51+U52-U33+U24+U53+U112</f>
        <v>38581.870000000003</v>
      </c>
      <c r="V54" s="49"/>
      <c r="W54" s="166">
        <f>W22+W23+W32+W34+W50+W51+W52-W33+W24+W53+W112</f>
        <v>47914.7</v>
      </c>
      <c r="X54" s="49"/>
      <c r="Y54" s="166">
        <f>Y22+Y23+Y32+Y34+Y50+Y51+Y52-Y33+Y24+Y53+Y112</f>
        <v>60087.54</v>
      </c>
      <c r="Z54" s="49"/>
      <c r="AA54" s="166">
        <f>AA22+AA23+AA32+AA34+AA50+AA51+AA52-AA33+AA24+AA53+AA112</f>
        <v>55704.05</v>
      </c>
      <c r="AB54" s="49"/>
      <c r="AC54" s="166">
        <f>AC22+AC23+AC32+AC34+AC50+AC51+AC52-AC33+AC24+AC53+AC112</f>
        <v>60741.429999999993</v>
      </c>
      <c r="AD54" s="49"/>
      <c r="AE54" s="166">
        <f>AE22+AE23+AE32+AE34+AE50+AE51+AE52-AE33+AE24+AE53+AE112</f>
        <v>68972.549999999988</v>
      </c>
      <c r="AF54" s="49"/>
      <c r="AG54" s="166">
        <f>AG22+AG23+AG32+AG34+AG50+AG51+AG52-AG33+AG24+AG53+AG112</f>
        <v>50068.12</v>
      </c>
      <c r="AH54" s="49"/>
      <c r="AI54" s="166">
        <f>AI22+AI23+AI32+AI34+AI50+AI51+AI52-AI33+AI24+AI53+AI112</f>
        <v>33942.490000000005</v>
      </c>
      <c r="AJ54" s="49"/>
      <c r="AK54" s="166">
        <f>AK22+AK23+AK32+AK34+AK50+AK51+AK52-AK33+AK24+AK53+AK112</f>
        <v>61924.979999999996</v>
      </c>
      <c r="AL54" s="49"/>
      <c r="AM54" s="166">
        <f>AM22+AM23+AM32+AM34+AM50+AM51+AM52-AM33+AM24+AM53+AM112</f>
        <v>52856.990000000005</v>
      </c>
      <c r="AN54" s="49"/>
      <c r="AO54" s="166">
        <f>AO22+AO23+AO32+AO34+AO50+AO51+AO52-AO33+AO24+AO53+AO112</f>
        <v>56589.67</v>
      </c>
      <c r="AP54" s="49"/>
      <c r="AQ54" s="166">
        <f>AQ22+AQ23+AQ32+AQ34+AQ50+AQ51+AQ52-AQ33+AQ24+AQ53+AQ112</f>
        <v>50954.579999999994</v>
      </c>
      <c r="AR54" s="49"/>
      <c r="AS54" s="166">
        <f>AS22+AS23+AS32+AS34+AS50+AS51+AS52-AS33+AS24+AS53+AS112</f>
        <v>66557.34</v>
      </c>
      <c r="AT54" s="49"/>
      <c r="AU54" s="166">
        <f>AU22+AU23+AU32+AU34+AU50+AU51+AU52-AU33+AU24+AU53+AU112</f>
        <v>52731.360000000001</v>
      </c>
      <c r="AV54" s="49"/>
      <c r="AW54" s="166">
        <f>AW22+AW23+AW32+AW34+AW50+AW51+AW52-AW33+AW24+AW53+AW112</f>
        <v>33697</v>
      </c>
      <c r="AX54" s="49"/>
      <c r="AY54" s="166">
        <f>AY22+AY23+AY32+AY34+AY50+AY51+AY52-AY33+AY24+AY53+AY112</f>
        <v>46376.65</v>
      </c>
      <c r="AZ54" s="49"/>
      <c r="BA54" s="166">
        <f>BA22+BA23+BA32+BA34+BA50+BA51+BA52-BA33+BA24+BA53+BA112</f>
        <v>65831.28</v>
      </c>
      <c r="BB54" s="49"/>
      <c r="BC54" s="166">
        <f>BC22+BC23+BC32+BC34+BC50+BC51+BC52-BC33+BC24+BC53+BC112</f>
        <v>49147.07</v>
      </c>
      <c r="BD54" s="49"/>
      <c r="BE54" s="166">
        <f>BE22+BE23+BE32+BE34+BE50+BE51+BE52-BE33+BE24+BE53+BE112</f>
        <v>69724.12</v>
      </c>
      <c r="BF54" s="49"/>
      <c r="BG54" s="166">
        <f>BG22+BG23+BG32+BG34+BG50+BG51+BG52-BG33+BG24+BG53+BG112</f>
        <v>85120.6</v>
      </c>
      <c r="BH54" s="49"/>
      <c r="BI54" s="166">
        <f>BI22+BI23+BI32+BI34+BI50+BI51+BI52-BI33+BI24+BI53+BI112</f>
        <v>59002.899999999994</v>
      </c>
      <c r="BJ54" s="49"/>
      <c r="BK54" s="166">
        <f>BK22+BK23+BK32+BK34+BK50+BK51+BK52-BK33+BK24+BK53+BK112</f>
        <v>45702.15</v>
      </c>
      <c r="BL54" s="49"/>
      <c r="BM54" s="166">
        <f>BM22+BM23+BM32+BM34+BM50+BM51+BM52-BM33+BM24+BM53+BM112</f>
        <v>76253.250000000015</v>
      </c>
      <c r="BN54" s="50"/>
      <c r="BO54" s="170">
        <f t="shared" si="2"/>
        <v>1752098.7900000005</v>
      </c>
      <c r="BP54" s="49"/>
      <c r="BQ54" s="172">
        <f>BQ22+BQ23+BQ32+BQ34+BQ50+BQ51+BQ52-BQ33+BQ24+BQ53+BQ112</f>
        <v>166790.02000000002</v>
      </c>
    </row>
    <row r="55" spans="1:76" x14ac:dyDescent="0.35">
      <c r="A55" s="83" t="s">
        <v>16</v>
      </c>
      <c r="B55" s="54"/>
      <c r="C55" s="84">
        <v>60193.36</v>
      </c>
      <c r="D55" s="85"/>
      <c r="E55" s="86">
        <v>59555.56</v>
      </c>
      <c r="F55" s="87"/>
      <c r="G55" s="86">
        <v>35489.86</v>
      </c>
      <c r="H55" s="87"/>
      <c r="I55" s="86">
        <v>69143.19</v>
      </c>
      <c r="J55" s="87"/>
      <c r="K55" s="86">
        <v>65044.87</v>
      </c>
      <c r="L55" s="87"/>
      <c r="M55" s="86">
        <v>61449.47</v>
      </c>
      <c r="N55" s="87"/>
      <c r="O55" s="86">
        <v>53470.89</v>
      </c>
      <c r="P55" s="87"/>
      <c r="Q55" s="86">
        <v>63565.01</v>
      </c>
      <c r="R55" s="87"/>
      <c r="S55" s="86">
        <v>55865.05</v>
      </c>
      <c r="T55" s="87"/>
      <c r="U55" s="86">
        <v>38688.86</v>
      </c>
      <c r="V55" s="87"/>
      <c r="W55" s="86">
        <v>47818.26</v>
      </c>
      <c r="X55" s="87"/>
      <c r="Y55" s="86">
        <v>60063.82</v>
      </c>
      <c r="Z55" s="87"/>
      <c r="AA55" s="86">
        <v>55719.24</v>
      </c>
      <c r="AB55" s="87"/>
      <c r="AC55" s="86">
        <v>60880.71</v>
      </c>
      <c r="AD55" s="87"/>
      <c r="AE55" s="86">
        <v>68990.210000000006</v>
      </c>
      <c r="AF55" s="87"/>
      <c r="AG55" s="86">
        <v>50076.06</v>
      </c>
      <c r="AH55" s="87"/>
      <c r="AI55" s="86">
        <v>33945.86</v>
      </c>
      <c r="AJ55" s="87"/>
      <c r="AK55" s="86">
        <v>62022</v>
      </c>
      <c r="AL55" s="87"/>
      <c r="AM55" s="86">
        <v>53050.13</v>
      </c>
      <c r="AN55" s="87"/>
      <c r="AO55" s="86">
        <v>56568.62</v>
      </c>
      <c r="AP55" s="87"/>
      <c r="AQ55" s="86">
        <v>51077.18</v>
      </c>
      <c r="AR55" s="87"/>
      <c r="AS55" s="86">
        <v>66566.77</v>
      </c>
      <c r="AT55" s="87"/>
      <c r="AU55" s="86">
        <v>52995.67</v>
      </c>
      <c r="AV55" s="87"/>
      <c r="AW55" s="86">
        <v>33701.440000000002</v>
      </c>
      <c r="AX55" s="87"/>
      <c r="AY55" s="86">
        <v>46390.92</v>
      </c>
      <c r="AZ55" s="87"/>
      <c r="BA55" s="86">
        <v>65724.039999999994</v>
      </c>
      <c r="BB55" s="87"/>
      <c r="BC55" s="86">
        <v>49171.91</v>
      </c>
      <c r="BD55" s="87"/>
      <c r="BE55" s="86">
        <v>69737.02</v>
      </c>
      <c r="BF55" s="87"/>
      <c r="BG55" s="86">
        <v>85065.51</v>
      </c>
      <c r="BH55" s="87"/>
      <c r="BI55" s="86">
        <v>59021.599999999999</v>
      </c>
      <c r="BJ55" s="87"/>
      <c r="BK55" s="86">
        <v>45708.85</v>
      </c>
      <c r="BL55" s="87"/>
      <c r="BM55" s="86">
        <v>76251.45</v>
      </c>
      <c r="BN55" s="50"/>
      <c r="BO55" s="170">
        <f t="shared" si="2"/>
        <v>1752820.0299999998</v>
      </c>
      <c r="BP55" s="87"/>
      <c r="BQ55" s="88">
        <v>166806.06</v>
      </c>
    </row>
    <row r="56" spans="1:76" x14ac:dyDescent="0.35">
      <c r="A56" s="83" t="s">
        <v>17</v>
      </c>
      <c r="B56" s="54"/>
      <c r="C56" s="174">
        <f>18.5-25-14.5-114.99-500.09</f>
        <v>-636.07999999999993</v>
      </c>
      <c r="D56" s="85"/>
      <c r="E56" s="86">
        <v>-15</v>
      </c>
      <c r="F56" s="87"/>
      <c r="G56" s="86"/>
      <c r="H56" s="87"/>
      <c r="I56" s="86">
        <v>-14.5</v>
      </c>
      <c r="J56" s="87"/>
      <c r="K56" s="86">
        <v>-52.9</v>
      </c>
      <c r="L56" s="87"/>
      <c r="M56" s="86">
        <v>-24.7</v>
      </c>
      <c r="N56" s="87"/>
      <c r="O56" s="86"/>
      <c r="P56" s="87"/>
      <c r="Q56" s="86"/>
      <c r="R56" s="87"/>
      <c r="S56" s="176">
        <f>-33.9-30</f>
        <v>-63.9</v>
      </c>
      <c r="T56" s="87"/>
      <c r="U56" s="86"/>
      <c r="V56" s="87"/>
      <c r="W56" s="176">
        <f>-30.9-18</f>
        <v>-48.9</v>
      </c>
      <c r="X56" s="87"/>
      <c r="Y56" s="86">
        <v>-24</v>
      </c>
      <c r="Z56" s="87"/>
      <c r="AA56" s="86"/>
      <c r="AB56" s="87"/>
      <c r="AC56" s="86">
        <v>-16</v>
      </c>
      <c r="AD56" s="87"/>
      <c r="AE56" s="86">
        <v>-8</v>
      </c>
      <c r="AF56" s="87"/>
      <c r="AG56" s="86"/>
      <c r="AH56" s="87"/>
      <c r="AI56" s="86"/>
      <c r="AJ56" s="87"/>
      <c r="AK56" s="86"/>
      <c r="AL56" s="87"/>
      <c r="AM56" s="86">
        <v>-14.5</v>
      </c>
      <c r="AN56" s="87"/>
      <c r="AO56" s="86">
        <v>0</v>
      </c>
      <c r="AP56" s="87"/>
      <c r="AQ56" s="86">
        <v>0</v>
      </c>
      <c r="AR56" s="87"/>
      <c r="AS56" s="176">
        <f>-450-35.5</f>
        <v>-485.5</v>
      </c>
      <c r="AT56" s="87"/>
      <c r="AU56" s="86">
        <v>-16</v>
      </c>
      <c r="AV56" s="87"/>
      <c r="AW56" s="86">
        <v>-15</v>
      </c>
      <c r="AX56" s="87"/>
      <c r="AY56" s="86">
        <v>-23.5</v>
      </c>
      <c r="AZ56" s="87"/>
      <c r="BA56" s="86">
        <v>-55</v>
      </c>
      <c r="BB56" s="87"/>
      <c r="BC56" s="86"/>
      <c r="BD56" s="87"/>
      <c r="BE56" s="86">
        <v>-26.9</v>
      </c>
      <c r="BF56" s="87"/>
      <c r="BG56" s="86"/>
      <c r="BH56" s="87"/>
      <c r="BI56" s="86"/>
      <c r="BJ56" s="87"/>
      <c r="BK56" s="86">
        <v>-33.9</v>
      </c>
      <c r="BL56" s="87"/>
      <c r="BM56" s="86">
        <v>-14.5</v>
      </c>
      <c r="BN56" s="50"/>
      <c r="BO56" s="170">
        <f t="shared" si="2"/>
        <v>-952.69999999999993</v>
      </c>
      <c r="BP56" s="87"/>
      <c r="BQ56" s="178">
        <f>-33.9-33.9</f>
        <v>-67.8</v>
      </c>
    </row>
    <row r="57" spans="1:76" x14ac:dyDescent="0.35">
      <c r="A57" s="89" t="s">
        <v>18</v>
      </c>
      <c r="B57" s="90"/>
      <c r="C57" s="174">
        <f>SUM(C55:C56)</f>
        <v>59557.279999999999</v>
      </c>
      <c r="D57" s="47"/>
      <c r="E57" s="166">
        <f>SUM(E55:E56)</f>
        <v>59540.56</v>
      </c>
      <c r="F57" s="49"/>
      <c r="G57" s="166">
        <f>SUM(G55:G56)</f>
        <v>35489.86</v>
      </c>
      <c r="H57" s="49"/>
      <c r="I57" s="166">
        <f>SUM(I55:I56)</f>
        <v>69128.69</v>
      </c>
      <c r="J57" s="49"/>
      <c r="K57" s="166">
        <f>SUM(K55:K56)</f>
        <v>64991.97</v>
      </c>
      <c r="L57" s="49"/>
      <c r="M57" s="166">
        <f>SUM(M55:M56)</f>
        <v>61424.770000000004</v>
      </c>
      <c r="N57" s="49"/>
      <c r="O57" s="166">
        <f>SUM(O55:O56)</f>
        <v>53470.89</v>
      </c>
      <c r="P57" s="49"/>
      <c r="Q57" s="166">
        <f>SUM(Q55:Q56)</f>
        <v>63565.01</v>
      </c>
      <c r="R57" s="49"/>
      <c r="S57" s="166">
        <f>SUM(S55:S56)</f>
        <v>55801.15</v>
      </c>
      <c r="T57" s="49"/>
      <c r="U57" s="166">
        <f>SUM(U55:U56)</f>
        <v>38688.86</v>
      </c>
      <c r="V57" s="49"/>
      <c r="W57" s="166">
        <f>SUM(W55:W56)</f>
        <v>47769.36</v>
      </c>
      <c r="X57" s="49"/>
      <c r="Y57" s="166">
        <f>SUM(Y55:Y56)</f>
        <v>60039.82</v>
      </c>
      <c r="Z57" s="49"/>
      <c r="AA57" s="166">
        <f>SUM(AA55:AA56)</f>
        <v>55719.24</v>
      </c>
      <c r="AB57" s="49"/>
      <c r="AC57" s="166">
        <f>SUM(AC55:AC56)</f>
        <v>60864.71</v>
      </c>
      <c r="AD57" s="49"/>
      <c r="AE57" s="166">
        <f>SUM(AE55:AE56)</f>
        <v>68982.210000000006</v>
      </c>
      <c r="AF57" s="49"/>
      <c r="AG57" s="166">
        <f>SUM(AG55:AG56)</f>
        <v>50076.06</v>
      </c>
      <c r="AH57" s="49"/>
      <c r="AI57" s="166">
        <f>SUM(AI55:AI56)</f>
        <v>33945.86</v>
      </c>
      <c r="AJ57" s="49"/>
      <c r="AK57" s="166">
        <f>SUM(AK55:AK56)</f>
        <v>62022</v>
      </c>
      <c r="AL57" s="49"/>
      <c r="AM57" s="166">
        <f>SUM(AM55:AM56)</f>
        <v>53035.63</v>
      </c>
      <c r="AN57" s="49"/>
      <c r="AO57" s="166">
        <f>SUM(AO55:AO56)</f>
        <v>56568.62</v>
      </c>
      <c r="AP57" s="49"/>
      <c r="AQ57" s="166">
        <f>SUM(AQ55:AQ56)</f>
        <v>51077.18</v>
      </c>
      <c r="AR57" s="49"/>
      <c r="AS57" s="166">
        <f>SUM(AS55:AS56)</f>
        <v>66081.27</v>
      </c>
      <c r="AT57" s="49"/>
      <c r="AU57" s="166">
        <f>SUM(AU55:AU56)</f>
        <v>52979.67</v>
      </c>
      <c r="AV57" s="49"/>
      <c r="AW57" s="166">
        <f>SUM(AW55:AW56)</f>
        <v>33686.44</v>
      </c>
      <c r="AX57" s="49"/>
      <c r="AY57" s="166">
        <f>SUM(AY55:AY56)</f>
        <v>46367.42</v>
      </c>
      <c r="AZ57" s="49"/>
      <c r="BA57" s="166">
        <f>SUM(BA55:BA56)</f>
        <v>65669.039999999994</v>
      </c>
      <c r="BB57" s="49"/>
      <c r="BC57" s="166">
        <f>SUM(BC55:BC56)</f>
        <v>49171.91</v>
      </c>
      <c r="BD57" s="49"/>
      <c r="BE57" s="166">
        <f>SUM(BE55:BE56)</f>
        <v>69710.12000000001</v>
      </c>
      <c r="BF57" s="49"/>
      <c r="BG57" s="166">
        <f>SUM(BG55:BG56)</f>
        <v>85065.51</v>
      </c>
      <c r="BH57" s="49"/>
      <c r="BI57" s="166">
        <f>SUM(BI55:BI56)</f>
        <v>59021.599999999999</v>
      </c>
      <c r="BJ57" s="49"/>
      <c r="BK57" s="166">
        <f>SUM(BK55:BK56)</f>
        <v>45674.95</v>
      </c>
      <c r="BL57" s="49"/>
      <c r="BM57" s="166">
        <f>SUM(BM55:BM56)</f>
        <v>76236.95</v>
      </c>
      <c r="BN57" s="50"/>
      <c r="BO57" s="170">
        <f t="shared" si="2"/>
        <v>1751867.3299999998</v>
      </c>
      <c r="BP57" s="49"/>
      <c r="BQ57" s="172">
        <f>SUM(BQ55:BQ56)</f>
        <v>166738.26</v>
      </c>
    </row>
    <row r="58" spans="1:76" x14ac:dyDescent="0.35">
      <c r="A58" s="108" t="s">
        <v>19</v>
      </c>
      <c r="B58" s="109"/>
      <c r="C58" s="174">
        <f>+C54-C57</f>
        <v>272.20000000000437</v>
      </c>
      <c r="D58" s="47"/>
      <c r="E58" s="166">
        <f>+E54-E57</f>
        <v>20.120000000002619</v>
      </c>
      <c r="F58" s="49"/>
      <c r="G58" s="166">
        <f>+G54-G57</f>
        <v>-2.2299999999959255</v>
      </c>
      <c r="H58" s="49"/>
      <c r="I58" s="166">
        <f>+I54-I57</f>
        <v>49.540000000008149</v>
      </c>
      <c r="J58" s="49"/>
      <c r="K58" s="166">
        <f>+K54-K57</f>
        <v>31.700000000004366</v>
      </c>
      <c r="L58" s="49"/>
      <c r="M58" s="166">
        <f>+M54-M57</f>
        <v>-843.81000000000495</v>
      </c>
      <c r="N58" s="49"/>
      <c r="O58" s="166">
        <f>+O54-O57</f>
        <v>858.51000000000204</v>
      </c>
      <c r="P58" s="49"/>
      <c r="Q58" s="166">
        <f>+Q54-Q57</f>
        <v>84.559999999990396</v>
      </c>
      <c r="R58" s="49"/>
      <c r="S58" s="166">
        <f>+S54-S57</f>
        <v>4.8100000000049477</v>
      </c>
      <c r="T58" s="49"/>
      <c r="U58" s="166">
        <f>+U54-U57</f>
        <v>-106.98999999999796</v>
      </c>
      <c r="V58" s="49"/>
      <c r="W58" s="166">
        <f>+W54-W57</f>
        <v>145.33999999999651</v>
      </c>
      <c r="X58" s="49"/>
      <c r="Y58" s="166">
        <f>+Y54-Y57</f>
        <v>47.720000000001164</v>
      </c>
      <c r="Z58" s="49"/>
      <c r="AA58" s="166">
        <f>+AA54-AA57</f>
        <v>-15.189999999995052</v>
      </c>
      <c r="AB58" s="49"/>
      <c r="AC58" s="166">
        <f>+AC54-AC57</f>
        <v>-123.28000000000611</v>
      </c>
      <c r="AD58" s="49"/>
      <c r="AE58" s="166">
        <f>+AE54-AE57</f>
        <v>-9.6600000000180444</v>
      </c>
      <c r="AF58" s="49"/>
      <c r="AG58" s="166">
        <f>+AG54-AG57</f>
        <v>-7.9399999999950523</v>
      </c>
      <c r="AH58" s="49"/>
      <c r="AI58" s="166">
        <f>+AI54-AI57</f>
        <v>-3.3699999999953434</v>
      </c>
      <c r="AJ58" s="49"/>
      <c r="AK58" s="166">
        <f>+AK54-AK57</f>
        <v>-97.020000000004075</v>
      </c>
      <c r="AL58" s="49"/>
      <c r="AM58" s="166">
        <f>+AM54-AM57</f>
        <v>-178.63999999999214</v>
      </c>
      <c r="AN58" s="49"/>
      <c r="AO58" s="166">
        <f>+AO54-AO57</f>
        <v>21.049999999995634</v>
      </c>
      <c r="AP58" s="49"/>
      <c r="AQ58" s="166">
        <f>+AQ54-AQ57</f>
        <v>-122.60000000000582</v>
      </c>
      <c r="AR58" s="49"/>
      <c r="AS58" s="166">
        <f>+AS54-AS57</f>
        <v>476.06999999999243</v>
      </c>
      <c r="AT58" s="49"/>
      <c r="AU58" s="166">
        <f>+AU54-AU57</f>
        <v>-248.30999999999767</v>
      </c>
      <c r="AV58" s="49"/>
      <c r="AW58" s="166">
        <f>+AW54-AW57</f>
        <v>10.559999999997672</v>
      </c>
      <c r="AX58" s="49"/>
      <c r="AY58" s="166">
        <f>+AY54-AY57</f>
        <v>9.2300000000032014</v>
      </c>
      <c r="AZ58" s="49"/>
      <c r="BA58" s="166">
        <f>+BA54-BA57</f>
        <v>162.24000000000524</v>
      </c>
      <c r="BB58" s="49"/>
      <c r="BC58" s="166">
        <f>+BC54-BC57</f>
        <v>-24.840000000003783</v>
      </c>
      <c r="BD58" s="49"/>
      <c r="BE58" s="166">
        <f>+BE54-BE57</f>
        <v>13.999999999985448</v>
      </c>
      <c r="BF58" s="49"/>
      <c r="BG58" s="166">
        <f>+BG54-BG57</f>
        <v>55.090000000011059</v>
      </c>
      <c r="BH58" s="49"/>
      <c r="BI58" s="166">
        <f>+BI54-BI57</f>
        <v>-18.700000000004366</v>
      </c>
      <c r="BJ58" s="49"/>
      <c r="BK58" s="166">
        <f>+BK54-BK57</f>
        <v>27.200000000004366</v>
      </c>
      <c r="BL58" s="49"/>
      <c r="BM58" s="166">
        <f>+BM54-BM57</f>
        <v>16.300000000017462</v>
      </c>
      <c r="BN58" s="50"/>
      <c r="BO58" s="170">
        <f t="shared" si="2"/>
        <v>231.4600000000064</v>
      </c>
      <c r="BP58" s="49"/>
      <c r="BQ58" s="172">
        <f>+BQ54-BQ57</f>
        <v>51.760000000009313</v>
      </c>
    </row>
    <row r="59" spans="1:76" ht="15.5" x14ac:dyDescent="0.35">
      <c r="A59" s="110" t="s">
        <v>20</v>
      </c>
      <c r="B59" s="109"/>
      <c r="C59" s="174">
        <f>-C25+C26</f>
        <v>-400</v>
      </c>
      <c r="D59" s="47"/>
      <c r="E59" s="166">
        <f>-E25+E26</f>
        <v>0</v>
      </c>
      <c r="F59" s="49"/>
      <c r="G59" s="166">
        <f>-G25+G26</f>
        <v>4</v>
      </c>
      <c r="H59" s="49"/>
      <c r="I59" s="166">
        <f>-I25+I26</f>
        <v>0</v>
      </c>
      <c r="J59" s="49"/>
      <c r="K59" s="166">
        <f>-K25+K26</f>
        <v>0</v>
      </c>
      <c r="L59" s="49"/>
      <c r="M59" s="166">
        <f>-M25+M26</f>
        <v>10</v>
      </c>
      <c r="N59" s="49"/>
      <c r="O59" s="166">
        <f>-O25+O26</f>
        <v>0</v>
      </c>
      <c r="P59" s="49"/>
      <c r="Q59" s="166">
        <f>-Q25+Q26</f>
        <v>0</v>
      </c>
      <c r="R59" s="49"/>
      <c r="S59" s="166">
        <f>-S25+S26</f>
        <v>0</v>
      </c>
      <c r="T59" s="49"/>
      <c r="U59" s="166">
        <f>-U25+U26</f>
        <v>0</v>
      </c>
      <c r="V59" s="49"/>
      <c r="W59" s="166">
        <f>-W25+W26</f>
        <v>0</v>
      </c>
      <c r="X59" s="49"/>
      <c r="Y59" s="166">
        <f>-Y25+Y26</f>
        <v>0</v>
      </c>
      <c r="Z59" s="49"/>
      <c r="AA59" s="166">
        <f>-AA25+AA26</f>
        <v>0</v>
      </c>
      <c r="AB59" s="49"/>
      <c r="AC59" s="166">
        <f>-AC25+AC26</f>
        <v>0</v>
      </c>
      <c r="AD59" s="49"/>
      <c r="AE59" s="166">
        <f>-AE25+AE26</f>
        <v>0</v>
      </c>
      <c r="AF59" s="49"/>
      <c r="AG59" s="166">
        <f>-AG25+AG26</f>
        <v>0</v>
      </c>
      <c r="AH59" s="49"/>
      <c r="AI59" s="166">
        <f>-AI25+AI26</f>
        <v>0</v>
      </c>
      <c r="AJ59" s="49"/>
      <c r="AK59" s="166">
        <f>-AK25+AK26</f>
        <v>0</v>
      </c>
      <c r="AL59" s="49"/>
      <c r="AM59" s="166">
        <f>-AM25+AM26</f>
        <v>0</v>
      </c>
      <c r="AN59" s="49"/>
      <c r="AO59" s="166">
        <f>-AO25+AO26</f>
        <v>0</v>
      </c>
      <c r="AP59" s="49"/>
      <c r="AQ59" s="166">
        <f>-AQ25+AQ26</f>
        <v>-30</v>
      </c>
      <c r="AR59" s="49"/>
      <c r="AS59" s="166">
        <f>-AS25+AS26</f>
        <v>0</v>
      </c>
      <c r="AT59" s="49"/>
      <c r="AU59" s="166">
        <f>-AU25+AU26</f>
        <v>0</v>
      </c>
      <c r="AV59" s="49"/>
      <c r="AW59" s="166">
        <f>-AW25+AW26</f>
        <v>0</v>
      </c>
      <c r="AX59" s="49"/>
      <c r="AY59" s="166">
        <f>-AY25+AY26</f>
        <v>0</v>
      </c>
      <c r="AZ59" s="49"/>
      <c r="BA59" s="166">
        <f>-BA25+BA26</f>
        <v>0</v>
      </c>
      <c r="BB59" s="49"/>
      <c r="BC59" s="166">
        <f>-BC25+BC26</f>
        <v>0</v>
      </c>
      <c r="BD59" s="49"/>
      <c r="BE59" s="166">
        <f>-BE25+BE26</f>
        <v>0</v>
      </c>
      <c r="BF59" s="49"/>
      <c r="BG59" s="166">
        <f>-BG25+BG26</f>
        <v>-80</v>
      </c>
      <c r="BH59" s="49"/>
      <c r="BI59" s="166">
        <f>-BI25+BI26</f>
        <v>0</v>
      </c>
      <c r="BJ59" s="49"/>
      <c r="BK59" s="166">
        <f>-BK25+BK26</f>
        <v>0</v>
      </c>
      <c r="BL59" s="49"/>
      <c r="BM59" s="166">
        <f>-BM25+BM26</f>
        <v>0</v>
      </c>
      <c r="BN59" s="50"/>
      <c r="BO59" s="170">
        <f t="shared" si="2"/>
        <v>-96</v>
      </c>
      <c r="BP59" s="49"/>
      <c r="BQ59" s="172">
        <f>-BQ25+BQ26</f>
        <v>0</v>
      </c>
    </row>
    <row r="60" spans="1:76" ht="15" thickBot="1" x14ac:dyDescent="0.4">
      <c r="A60" s="111"/>
      <c r="B60" s="112"/>
      <c r="C60" s="113"/>
      <c r="D60" s="114"/>
      <c r="E60" s="115"/>
      <c r="F60" s="116"/>
      <c r="G60" s="115"/>
      <c r="H60" s="116"/>
      <c r="I60" s="115"/>
      <c r="J60" s="116"/>
      <c r="K60" s="115"/>
      <c r="L60" s="116"/>
      <c r="M60" s="115"/>
      <c r="N60" s="116"/>
      <c r="O60" s="115"/>
      <c r="P60" s="116"/>
      <c r="Q60" s="115"/>
      <c r="R60" s="116"/>
      <c r="S60" s="115"/>
      <c r="T60" s="116"/>
      <c r="U60" s="115"/>
      <c r="V60" s="116"/>
      <c r="W60" s="115"/>
      <c r="X60" s="116"/>
      <c r="Y60" s="115"/>
      <c r="Z60" s="116"/>
      <c r="AA60" s="115"/>
      <c r="AB60" s="116"/>
      <c r="AC60" s="115"/>
      <c r="AD60" s="116"/>
      <c r="AE60" s="115"/>
      <c r="AF60" s="116"/>
      <c r="AG60" s="115"/>
      <c r="AH60" s="116"/>
      <c r="AI60" s="115"/>
      <c r="AJ60" s="116"/>
      <c r="AK60" s="115"/>
      <c r="AL60" s="116"/>
      <c r="AM60" s="115"/>
      <c r="AN60" s="116"/>
      <c r="AO60" s="115"/>
      <c r="AP60" s="116"/>
      <c r="AQ60" s="115"/>
      <c r="AR60" s="116"/>
      <c r="AS60" s="115"/>
      <c r="AT60" s="116"/>
      <c r="AU60" s="115"/>
      <c r="AV60" s="116"/>
      <c r="AW60" s="115"/>
      <c r="AX60" s="116"/>
      <c r="AY60" s="115"/>
      <c r="AZ60" s="116"/>
      <c r="BA60" s="115"/>
      <c r="BB60" s="116"/>
      <c r="BC60" s="115"/>
      <c r="BD60" s="116"/>
      <c r="BE60" s="115"/>
      <c r="BF60" s="116"/>
      <c r="BG60" s="115"/>
      <c r="BH60" s="116"/>
      <c r="BI60" s="115"/>
      <c r="BJ60" s="116"/>
      <c r="BK60" s="115"/>
      <c r="BL60" s="116"/>
      <c r="BM60" s="115"/>
      <c r="BN60" s="117"/>
      <c r="BO60" s="118"/>
      <c r="BP60" s="116"/>
      <c r="BQ60" s="119"/>
    </row>
    <row r="61" spans="1:76" s="25" customFormat="1" ht="16" thickBot="1" x14ac:dyDescent="0.4">
      <c r="A61" s="120" t="s">
        <v>265</v>
      </c>
      <c r="B61" s="121"/>
      <c r="C61" s="122"/>
      <c r="D61" s="123"/>
      <c r="E61" s="184">
        <f t="shared" ref="E61" si="69">+E73-D67</f>
        <v>82</v>
      </c>
      <c r="F61" s="124"/>
      <c r="G61" s="184">
        <f t="shared" ref="G61" si="70">+G73-F67</f>
        <v>-20</v>
      </c>
      <c r="H61" s="124"/>
      <c r="I61" s="184">
        <f t="shared" ref="I61" si="71">+I73-H67</f>
        <v>142</v>
      </c>
      <c r="J61" s="124"/>
      <c r="K61" s="184">
        <f t="shared" ref="K61" si="72">+K73-J67</f>
        <v>-562</v>
      </c>
      <c r="L61" s="124"/>
      <c r="M61" s="184">
        <f t="shared" ref="M61" si="73">+M73-L67</f>
        <v>660</v>
      </c>
      <c r="N61" s="124"/>
      <c r="O61" s="184">
        <f t="shared" ref="O61" si="74">+O73-N67</f>
        <v>-695</v>
      </c>
      <c r="P61" s="124"/>
      <c r="Q61" s="184">
        <f t="shared" ref="Q61" si="75">+Q73-P67</f>
        <v>-210</v>
      </c>
      <c r="R61" s="124"/>
      <c r="S61" s="184">
        <f t="shared" ref="S61" si="76">+S73-R67</f>
        <v>-140</v>
      </c>
      <c r="T61" s="124"/>
      <c r="U61" s="184">
        <f t="shared" ref="U61" si="77">+U73-T67</f>
        <v>-220</v>
      </c>
      <c r="V61" s="124"/>
      <c r="W61" s="184">
        <f t="shared" ref="W61" si="78">+W73-V67</f>
        <v>-114</v>
      </c>
      <c r="X61" s="124"/>
      <c r="Y61" s="184">
        <f t="shared" ref="Y61" si="79">+Y73-X67</f>
        <v>-404</v>
      </c>
      <c r="Z61" s="124"/>
      <c r="AA61" s="184">
        <f t="shared" ref="AA61" si="80">+AA73-Z67</f>
        <v>81</v>
      </c>
      <c r="AB61" s="124"/>
      <c r="AC61" s="184">
        <f t="shared" ref="AC61" si="81">+AC73-AB67</f>
        <v>-490</v>
      </c>
      <c r="AD61" s="124"/>
      <c r="AE61" s="184">
        <f t="shared" ref="AE61" si="82">+AE73-AD67</f>
        <v>-132</v>
      </c>
      <c r="AF61" s="124"/>
      <c r="AG61" s="184">
        <f t="shared" ref="AG61" si="83">+AG73-AF67</f>
        <v>-167</v>
      </c>
      <c r="AH61" s="124"/>
      <c r="AI61" s="184">
        <f t="shared" ref="AI61" si="84">+AI73-AH67</f>
        <v>62</v>
      </c>
      <c r="AJ61" s="124"/>
      <c r="AK61" s="184">
        <f t="shared" ref="AK61" si="85">+AK73-AJ67</f>
        <v>252</v>
      </c>
      <c r="AL61" s="124"/>
      <c r="AM61" s="184">
        <f t="shared" ref="AM61" si="86">+AM73-AL67</f>
        <v>34</v>
      </c>
      <c r="AN61" s="124"/>
      <c r="AO61" s="184">
        <f t="shared" ref="AO61" si="87">+AO73-AN67</f>
        <v>-254</v>
      </c>
      <c r="AP61" s="124"/>
      <c r="AQ61" s="184">
        <f t="shared" ref="AQ61" si="88">+AQ73-AP67</f>
        <v>-57</v>
      </c>
      <c r="AR61" s="124"/>
      <c r="AS61" s="184">
        <f t="shared" ref="AS61" si="89">+AS73-AR67</f>
        <v>97</v>
      </c>
      <c r="AT61" s="124"/>
      <c r="AU61" s="184">
        <f t="shared" ref="AU61" si="90">+AU73-AT67</f>
        <v>-403</v>
      </c>
      <c r="AV61" s="124"/>
      <c r="AW61" s="184">
        <f t="shared" ref="AW61" si="91">+AW73-AV67</f>
        <v>-238</v>
      </c>
      <c r="AX61" s="124"/>
      <c r="AY61" s="184">
        <f t="shared" ref="AY61" si="92">+AY73-AX67</f>
        <v>400</v>
      </c>
      <c r="AZ61" s="124"/>
      <c r="BA61" s="184">
        <f t="shared" ref="BA61" si="93">+BA73-AZ67</f>
        <v>-78</v>
      </c>
      <c r="BB61" s="124"/>
      <c r="BC61" s="184">
        <f t="shared" ref="BC61" si="94">+BC73-BB67</f>
        <v>3780</v>
      </c>
      <c r="BD61" s="124"/>
      <c r="BE61" s="184">
        <f t="shared" ref="BE61" si="95">+BE73-BD67</f>
        <v>203</v>
      </c>
      <c r="BF61" s="124"/>
      <c r="BG61" s="184">
        <f>+BG73-BF67</f>
        <v>-280</v>
      </c>
      <c r="BH61" s="124"/>
      <c r="BI61" s="184">
        <f>+BI73-BH67</f>
        <v>21841</v>
      </c>
      <c r="BJ61" s="124"/>
      <c r="BK61" s="184">
        <f t="shared" ref="BK61" si="96">+BK73-BJ67</f>
        <v>-492</v>
      </c>
      <c r="BL61" s="124"/>
      <c r="BM61" s="184">
        <f t="shared" ref="BM61" si="97">+BM73-BL67</f>
        <v>-140</v>
      </c>
      <c r="BN61" s="124"/>
      <c r="BO61" s="184">
        <f>IF(COUNT(E61,G61,I61,K61,M61,O61,Q61,S61,U61,W61,Y61,AA61,AC61,AE61,AG61,AI61,AK61,AM61,AO61,AQ61,AS61,AU61,AW61,AY61,BA61,BC61,BE61,BG61,BI61,BK61,BM61)=0,"",SUM(E61,G61,I61,K61,M61,O61,Q61,S61,U61,W61,Y61,AA61,AC61,AE61,AG61,AI61,AK61,AM61,AO61,AQ61,AS61,AU61,AW61,AY61,BA61,BC61,BE61,BG61,BI61,BK61,BM61))</f>
        <v>22538</v>
      </c>
      <c r="BP61" s="125"/>
      <c r="BQ61" s="185">
        <f t="shared" ref="BQ61" si="98">+BQ73-BP67</f>
        <v>-1002160</v>
      </c>
      <c r="BR61" s="24"/>
      <c r="BS61" s="24"/>
      <c r="BT61" s="24"/>
      <c r="BU61" s="24"/>
      <c r="BV61" s="24"/>
      <c r="BW61" s="24"/>
      <c r="BX61" s="24"/>
    </row>
    <row r="62" spans="1:76" x14ac:dyDescent="0.35">
      <c r="A62" s="126" t="s">
        <v>24</v>
      </c>
      <c r="B62" s="186">
        <f>C62-C106</f>
        <v>4400</v>
      </c>
      <c r="C62" s="127">
        <v>4400</v>
      </c>
      <c r="D62" s="188">
        <f>+C62-E62+E106</f>
        <v>700</v>
      </c>
      <c r="E62" s="128">
        <v>3700</v>
      </c>
      <c r="F62" s="190">
        <f>+E62-G62+G106</f>
        <v>400</v>
      </c>
      <c r="G62" s="128">
        <v>3300</v>
      </c>
      <c r="H62" s="190">
        <f>+G62-I62+I106</f>
        <v>800</v>
      </c>
      <c r="I62" s="128">
        <v>2500</v>
      </c>
      <c r="J62" s="190">
        <f>+I62-K62+K106</f>
        <v>600</v>
      </c>
      <c r="K62" s="128">
        <v>1900</v>
      </c>
      <c r="L62" s="190">
        <f>+K62-M62+M106</f>
        <v>700</v>
      </c>
      <c r="M62" s="128">
        <v>1200</v>
      </c>
      <c r="N62" s="190">
        <f>+M62-O62+O106</f>
        <v>1000</v>
      </c>
      <c r="O62" s="128">
        <v>4200</v>
      </c>
      <c r="P62" s="190">
        <f>+O62-Q62+Q106</f>
        <v>700</v>
      </c>
      <c r="Q62" s="128">
        <v>3500</v>
      </c>
      <c r="R62" s="190">
        <f>+Q62-S62+S106</f>
        <v>500</v>
      </c>
      <c r="S62" s="128">
        <v>3000</v>
      </c>
      <c r="T62" s="190">
        <f>+S62-U62+U106</f>
        <v>500</v>
      </c>
      <c r="U62" s="128">
        <v>2500</v>
      </c>
      <c r="V62" s="190">
        <f>+U62-W62+W106</f>
        <v>500</v>
      </c>
      <c r="W62" s="128">
        <v>2000</v>
      </c>
      <c r="X62" s="190">
        <f>+W62-Y62+Y106</f>
        <v>953</v>
      </c>
      <c r="Y62" s="128">
        <v>8000</v>
      </c>
      <c r="Z62" s="190">
        <f>+Y62-AA62+AA106</f>
        <v>800</v>
      </c>
      <c r="AA62" s="128">
        <v>7200</v>
      </c>
      <c r="AB62" s="190">
        <f>+AA62-AC62+AC106</f>
        <v>700</v>
      </c>
      <c r="AC62" s="128">
        <v>6500</v>
      </c>
      <c r="AD62" s="190">
        <f>+AC62-AE62+AE106</f>
        <v>502</v>
      </c>
      <c r="AE62" s="128">
        <v>8000</v>
      </c>
      <c r="AF62" s="190">
        <f>+AE62-AG62+AG106</f>
        <v>500</v>
      </c>
      <c r="AG62" s="128">
        <v>7500</v>
      </c>
      <c r="AH62" s="190">
        <f>+AG62-AI62+AI106</f>
        <v>400</v>
      </c>
      <c r="AI62" s="128">
        <v>7100</v>
      </c>
      <c r="AJ62" s="190">
        <f>+AI62-AK62+AK106</f>
        <v>600</v>
      </c>
      <c r="AK62" s="128">
        <v>6500</v>
      </c>
      <c r="AL62" s="190">
        <f>+AK62-AM62+AM106</f>
        <v>500</v>
      </c>
      <c r="AM62" s="128">
        <v>6000</v>
      </c>
      <c r="AN62" s="190">
        <f>+AM62-AO62+AO106</f>
        <v>800</v>
      </c>
      <c r="AO62" s="128">
        <v>5200</v>
      </c>
      <c r="AP62" s="190">
        <f>+AO62-AQ62+AQ106</f>
        <v>300</v>
      </c>
      <c r="AQ62" s="128">
        <v>6900</v>
      </c>
      <c r="AR62" s="190">
        <f>+AQ62-AS62+AS106</f>
        <v>900</v>
      </c>
      <c r="AS62" s="128">
        <v>6000</v>
      </c>
      <c r="AT62" s="190">
        <f>+AS62-AU62+AU106</f>
        <v>1000</v>
      </c>
      <c r="AU62" s="128">
        <v>5000</v>
      </c>
      <c r="AV62" s="190">
        <f>+AU62-AW62+AW106</f>
        <v>500</v>
      </c>
      <c r="AW62" s="128">
        <v>4500</v>
      </c>
      <c r="AX62" s="190">
        <f>+AW62-AY62+AY106</f>
        <v>100</v>
      </c>
      <c r="AY62" s="128">
        <v>4400</v>
      </c>
      <c r="AZ62" s="190">
        <f>+AY62-BA62+BA106</f>
        <v>600</v>
      </c>
      <c r="BA62" s="128">
        <v>3800</v>
      </c>
      <c r="BB62" s="190">
        <f>+BA62-BC62+BC106</f>
        <v>800</v>
      </c>
      <c r="BC62" s="128">
        <v>3000</v>
      </c>
      <c r="BD62" s="190">
        <f>+BC62-BE62+BE106</f>
        <v>700</v>
      </c>
      <c r="BE62" s="128">
        <v>2300</v>
      </c>
      <c r="BF62" s="190">
        <f>+BE62-BG62+BG106</f>
        <v>1000</v>
      </c>
      <c r="BG62" s="128">
        <v>1300</v>
      </c>
      <c r="BH62" s="190">
        <f>+BG62-BI62+BI106</f>
        <v>-16200</v>
      </c>
      <c r="BI62" s="128">
        <v>17500</v>
      </c>
      <c r="BJ62" s="190">
        <f>+BI62-BK62+BK106</f>
        <v>500</v>
      </c>
      <c r="BK62" s="128">
        <v>17000</v>
      </c>
      <c r="BL62" s="190">
        <f>+BK62-BM62+BM106</f>
        <v>500</v>
      </c>
      <c r="BM62" s="128">
        <v>16500</v>
      </c>
      <c r="BN62" s="129"/>
      <c r="BO62" s="191">
        <f>IF(COUNT(D62,F62,H62,J62,L62,N62,P62,R62,T62,V62,X62,Z62,AB62,AD62,AF62,AH62,AJ62,AL62,AN62,AP62,AR62,AT62,AV62,AX62,AZ62,BB62,BD62,BF62,BH62,BJ62,BL62)=0,"",SUM(D62,F62,H62,J62,L62,N62,P62,R62,T62,V62,X62,Z62,AB62,AD62,AF62,AH62,AJ62,AL62,AN62,AP62,AR62,AT62,AV62,AX62,AZ62,BB62,BD62,BF62,BH62,BJ62,BL62))</f>
        <v>2855</v>
      </c>
      <c r="BP62" s="190">
        <f>+BM62-BQ62+BQ106</f>
        <v>1100</v>
      </c>
      <c r="BQ62" s="130">
        <v>15400</v>
      </c>
    </row>
    <row r="63" spans="1:76" x14ac:dyDescent="0.35">
      <c r="A63" s="53" t="s">
        <v>25</v>
      </c>
      <c r="B63" s="187">
        <f>C63-C107</f>
        <v>700</v>
      </c>
      <c r="C63" s="84">
        <v>700</v>
      </c>
      <c r="D63" s="189">
        <f>+C63-E63+E107</f>
        <v>300</v>
      </c>
      <c r="E63" s="48">
        <v>400</v>
      </c>
      <c r="F63" s="167">
        <f>+E63-G63+G107</f>
        <v>127</v>
      </c>
      <c r="G63" s="48">
        <v>1300</v>
      </c>
      <c r="H63" s="167">
        <f>+G63-I63+I107</f>
        <v>200</v>
      </c>
      <c r="I63" s="48">
        <v>1100</v>
      </c>
      <c r="J63" s="167">
        <f>+I63-K63+K107</f>
        <v>200</v>
      </c>
      <c r="K63" s="48">
        <v>900</v>
      </c>
      <c r="L63" s="167">
        <f>+K63-M63+M107</f>
        <v>300</v>
      </c>
      <c r="M63" s="48">
        <v>600</v>
      </c>
      <c r="N63" s="167">
        <f>+M63-O63+O107</f>
        <v>100</v>
      </c>
      <c r="O63" s="48">
        <v>500</v>
      </c>
      <c r="P63" s="167">
        <f>+O63-Q63+Q107</f>
        <v>102</v>
      </c>
      <c r="Q63" s="48">
        <v>1900</v>
      </c>
      <c r="R63" s="167">
        <f>+Q63-S63+S107</f>
        <v>100</v>
      </c>
      <c r="S63" s="48">
        <v>1800</v>
      </c>
      <c r="T63" s="167">
        <f>+S63-U63+U107</f>
        <v>100</v>
      </c>
      <c r="U63" s="48">
        <v>1700</v>
      </c>
      <c r="V63" s="167">
        <f>+U63-W63+W107</f>
        <v>200</v>
      </c>
      <c r="W63" s="48">
        <v>1500</v>
      </c>
      <c r="X63" s="167">
        <f>+W63-Y63+Y107</f>
        <v>300</v>
      </c>
      <c r="Y63" s="48">
        <v>1200</v>
      </c>
      <c r="Z63" s="167">
        <f>+Y63-AA63+AA107</f>
        <v>0</v>
      </c>
      <c r="AA63" s="48">
        <v>1200</v>
      </c>
      <c r="AB63" s="167">
        <f>+AA63-AC63+AC107</f>
        <v>200</v>
      </c>
      <c r="AC63" s="48">
        <v>1000</v>
      </c>
      <c r="AD63" s="167">
        <f>+AC63-AE63+AE107</f>
        <v>102</v>
      </c>
      <c r="AE63" s="48">
        <v>1900</v>
      </c>
      <c r="AF63" s="167">
        <f>+AE63-AG63+AG107</f>
        <v>100</v>
      </c>
      <c r="AG63" s="48">
        <v>1800</v>
      </c>
      <c r="AH63" s="167">
        <f>+AG63-AI63+AI107</f>
        <v>0</v>
      </c>
      <c r="AI63" s="48">
        <v>1800</v>
      </c>
      <c r="AJ63" s="167">
        <f>+AI63-AK63+AK107</f>
        <v>300</v>
      </c>
      <c r="AK63" s="48">
        <v>1500</v>
      </c>
      <c r="AL63" s="167">
        <f>+AK63-AM63+AM107</f>
        <v>100</v>
      </c>
      <c r="AM63" s="48">
        <v>1400</v>
      </c>
      <c r="AN63" s="167">
        <f>+AM63-AO63+AO107</f>
        <v>200</v>
      </c>
      <c r="AO63" s="48">
        <v>1200</v>
      </c>
      <c r="AP63" s="167">
        <f>+AO63-AQ63+AQ107</f>
        <v>-100</v>
      </c>
      <c r="AQ63" s="48">
        <v>2300</v>
      </c>
      <c r="AR63" s="167">
        <f>+AQ63-AS63+AS107</f>
        <v>300</v>
      </c>
      <c r="AS63" s="48">
        <v>2000</v>
      </c>
      <c r="AT63" s="167">
        <f>+AS63-AU63+AU107</f>
        <v>0</v>
      </c>
      <c r="AU63" s="48">
        <v>2000</v>
      </c>
      <c r="AV63" s="167">
        <f>+AU63-AW63+AW107</f>
        <v>100</v>
      </c>
      <c r="AW63" s="48">
        <v>1900</v>
      </c>
      <c r="AX63" s="167">
        <f>+AW63-AY63+AY107</f>
        <v>200</v>
      </c>
      <c r="AY63" s="48">
        <v>1700</v>
      </c>
      <c r="AZ63" s="167">
        <f>+AY63-BA63+BA107</f>
        <v>300</v>
      </c>
      <c r="BA63" s="48">
        <v>1400</v>
      </c>
      <c r="BB63" s="167">
        <f>+BA63-BC63+BC107</f>
        <v>100</v>
      </c>
      <c r="BC63" s="48">
        <v>1300</v>
      </c>
      <c r="BD63" s="167">
        <f>+BC63-BE63+BE107</f>
        <v>100</v>
      </c>
      <c r="BE63" s="48">
        <v>1200</v>
      </c>
      <c r="BF63" s="167">
        <f>+BE63-BG63+BG107</f>
        <v>200</v>
      </c>
      <c r="BG63" s="48">
        <v>1000</v>
      </c>
      <c r="BH63" s="167">
        <f>+BG63-BI63+BI107</f>
        <v>-2800</v>
      </c>
      <c r="BI63" s="48">
        <v>3800</v>
      </c>
      <c r="BJ63" s="167">
        <f>+BI63-BK63+BK107</f>
        <v>200</v>
      </c>
      <c r="BK63" s="48">
        <v>3600</v>
      </c>
      <c r="BL63" s="167">
        <f>+BK63-BM63+BM107</f>
        <v>200</v>
      </c>
      <c r="BM63" s="48">
        <v>3400</v>
      </c>
      <c r="BN63" s="50"/>
      <c r="BO63" s="170">
        <f>IF(COUNT(D63,F63,H63,J63,L63,N63,P63,R63,T63,V63,X63,Z63,AB63,AD63,AF63,AH63,AJ63,AL63,AN63,AP63,AR63,AT63,AV63,AX63,AZ63,BB63,BD63,BF63,BH63,BJ63,BL63)=0,"",SUM(D63,F63,H63,J63,L63,N63,P63,R63,T63,V63,X63,Z63,AB63,AD63,AF63,AH63,AJ63,AL63,AN63,AP63,AR63,AT63,AV63,AX63,AZ63,BB63,BD63,BF63,BH63,BJ63,BL63))</f>
        <v>1831</v>
      </c>
      <c r="BP63" s="167">
        <f>+BM63-BQ63+BQ107</f>
        <v>100</v>
      </c>
      <c r="BQ63" s="88">
        <v>3300</v>
      </c>
    </row>
    <row r="64" spans="1:76" x14ac:dyDescent="0.35">
      <c r="A64" s="53" t="s">
        <v>25</v>
      </c>
      <c r="B64" s="187">
        <f>C64-C108</f>
        <v>100</v>
      </c>
      <c r="C64" s="84">
        <v>100</v>
      </c>
      <c r="D64" s="189">
        <f>+C64-E64+E108</f>
        <v>0</v>
      </c>
      <c r="E64" s="48">
        <v>100</v>
      </c>
      <c r="F64" s="167">
        <f>+E64-G64+G108</f>
        <v>79</v>
      </c>
      <c r="G64" s="48">
        <v>1000</v>
      </c>
      <c r="H64" s="167">
        <f>+G64-I64+I108</f>
        <v>100</v>
      </c>
      <c r="I64" s="48">
        <v>900</v>
      </c>
      <c r="J64" s="167">
        <f>+I64-K64+K108</f>
        <v>100</v>
      </c>
      <c r="K64" s="48">
        <v>800</v>
      </c>
      <c r="L64" s="167">
        <f>+K64-M64+M108</f>
        <v>100</v>
      </c>
      <c r="M64" s="48">
        <v>700</v>
      </c>
      <c r="N64" s="167">
        <f>+M64-O64+O108</f>
        <v>100</v>
      </c>
      <c r="O64" s="48">
        <v>600</v>
      </c>
      <c r="P64" s="167">
        <f>+O64-Q64+Q108</f>
        <v>101</v>
      </c>
      <c r="Q64" s="48">
        <v>2000</v>
      </c>
      <c r="R64" s="167">
        <f>+Q64-S64+S108</f>
        <v>200</v>
      </c>
      <c r="S64" s="48">
        <v>1800</v>
      </c>
      <c r="T64" s="167">
        <f>+S64-U64+U108</f>
        <v>0</v>
      </c>
      <c r="U64" s="48">
        <v>1800</v>
      </c>
      <c r="V64" s="167">
        <f>+U64-W64+W108</f>
        <v>100</v>
      </c>
      <c r="W64" s="48">
        <v>1700</v>
      </c>
      <c r="X64" s="167">
        <f>+W64-Y64+Y108</f>
        <v>200</v>
      </c>
      <c r="Y64" s="48">
        <v>1500</v>
      </c>
      <c r="Z64" s="167">
        <f>+Y64-AA64+AA108</f>
        <v>100</v>
      </c>
      <c r="AA64" s="48">
        <v>1400</v>
      </c>
      <c r="AB64" s="167">
        <f>+AA64-AC64+AC108</f>
        <v>200</v>
      </c>
      <c r="AC64" s="48">
        <v>1200</v>
      </c>
      <c r="AD64" s="167">
        <f>+AC64-AE64+AE108</f>
        <v>232</v>
      </c>
      <c r="AE64" s="48">
        <v>2000</v>
      </c>
      <c r="AF64" s="167">
        <f>+AE64-AG64+AG108</f>
        <v>100</v>
      </c>
      <c r="AG64" s="48">
        <v>1900</v>
      </c>
      <c r="AH64" s="167">
        <f>+AG64-AI64+AI108</f>
        <v>100</v>
      </c>
      <c r="AI64" s="48">
        <v>1800</v>
      </c>
      <c r="AJ64" s="167">
        <f>+AI64-AK64+AK108</f>
        <v>100</v>
      </c>
      <c r="AK64" s="48">
        <v>1700</v>
      </c>
      <c r="AL64" s="167">
        <f>+AK64-AM64+AM108</f>
        <v>100</v>
      </c>
      <c r="AM64" s="48">
        <v>1600</v>
      </c>
      <c r="AN64" s="167">
        <f>+AM64-AO64+AO108</f>
        <v>200</v>
      </c>
      <c r="AO64" s="48">
        <v>1400</v>
      </c>
      <c r="AP64" s="167">
        <f>+AO64-AQ64+AQ108</f>
        <v>200</v>
      </c>
      <c r="AQ64" s="48">
        <v>2200</v>
      </c>
      <c r="AR64" s="167">
        <f>+AQ64-AS64+AS108</f>
        <v>100</v>
      </c>
      <c r="AS64" s="48">
        <v>2100</v>
      </c>
      <c r="AT64" s="167">
        <f>+AS64-AU64+AU108</f>
        <v>100</v>
      </c>
      <c r="AU64" s="48">
        <v>2000</v>
      </c>
      <c r="AV64" s="167">
        <f>+AU64-AW64+AW108</f>
        <v>100</v>
      </c>
      <c r="AW64" s="48">
        <v>1900</v>
      </c>
      <c r="AX64" s="167">
        <f>+AW64-AY64+AY108</f>
        <v>100</v>
      </c>
      <c r="AY64" s="48">
        <v>1800</v>
      </c>
      <c r="AZ64" s="167">
        <f>+AY64-BA64+BA108</f>
        <v>200</v>
      </c>
      <c r="BA64" s="48">
        <v>1600</v>
      </c>
      <c r="BB64" s="167">
        <f>+BA64-BC64+BC108</f>
        <v>100</v>
      </c>
      <c r="BC64" s="48">
        <v>1500</v>
      </c>
      <c r="BD64" s="167">
        <f>+BC64-BE64+BE108</f>
        <v>100</v>
      </c>
      <c r="BE64" s="48">
        <v>1400</v>
      </c>
      <c r="BF64" s="167">
        <f>+BE64-BG64+BG108</f>
        <v>100</v>
      </c>
      <c r="BG64" s="48">
        <v>1300</v>
      </c>
      <c r="BH64" s="167">
        <f>+BG64-BI64+BI108</f>
        <v>-1900</v>
      </c>
      <c r="BI64" s="48">
        <v>3200</v>
      </c>
      <c r="BJ64" s="167">
        <f>+BI64-BK64+BK108</f>
        <v>200</v>
      </c>
      <c r="BK64" s="48">
        <v>3000</v>
      </c>
      <c r="BL64" s="167">
        <f>+BK64-BM64+BM108</f>
        <v>400</v>
      </c>
      <c r="BM64" s="48">
        <v>2600</v>
      </c>
      <c r="BN64" s="50"/>
      <c r="BO64" s="170">
        <f>IF(COUNT(D64,F64,H64,J64,L64,N64,P64,R64,T64,V64,X64,Z64,AB64,AD64,AF64,AH64,AJ64,AL64,AN64,AP64,AR64,AT64,AV64,AX64,AZ64,BB64,BD64,BF64,BH64,BJ64,BL64)=0,"",SUM(D64,F64,H64,J64,L64,N64,P64,R64,T64,V64,X64,Z64,AB64,AD64,AF64,AH64,AJ64,AL64,AN64,AP64,AR64,AT64,AV64,AX64,AZ64,BB64,BD64,BF64,BH64,BJ64,BL64))</f>
        <v>2012</v>
      </c>
      <c r="BP64" s="167">
        <f>+BM64-BQ64+BQ108</f>
        <v>100</v>
      </c>
      <c r="BQ64" s="88">
        <v>2500</v>
      </c>
    </row>
    <row r="65" spans="1:69" x14ac:dyDescent="0.35">
      <c r="A65" s="53" t="s">
        <v>26</v>
      </c>
      <c r="B65" s="187">
        <f>C65-C109</f>
        <v>3400</v>
      </c>
      <c r="C65" s="84">
        <v>3400</v>
      </c>
      <c r="D65" s="189">
        <f>+C65-E65+E109</f>
        <v>300</v>
      </c>
      <c r="E65" s="48">
        <v>3100</v>
      </c>
      <c r="F65" s="167">
        <f>+E65-G65+G109</f>
        <v>200</v>
      </c>
      <c r="G65" s="48">
        <v>2900</v>
      </c>
      <c r="H65" s="167">
        <f>+G65-I65+I109</f>
        <v>500</v>
      </c>
      <c r="I65" s="48">
        <v>2400</v>
      </c>
      <c r="J65" s="167">
        <f>+I65-K65+K109</f>
        <v>800</v>
      </c>
      <c r="K65" s="48">
        <v>7100</v>
      </c>
      <c r="L65" s="167">
        <f>+K65-M65+M109</f>
        <v>100</v>
      </c>
      <c r="M65" s="48">
        <v>7000</v>
      </c>
      <c r="N65" s="167">
        <f>+M65-O65+O109</f>
        <v>500</v>
      </c>
      <c r="O65" s="48">
        <v>6500</v>
      </c>
      <c r="P65" s="167">
        <f>+O65-Q65+Q109</f>
        <v>400</v>
      </c>
      <c r="Q65" s="48">
        <v>6100</v>
      </c>
      <c r="R65" s="167">
        <f>+Q65-S65+S109</f>
        <v>500</v>
      </c>
      <c r="S65" s="48">
        <v>5600</v>
      </c>
      <c r="T65" s="167">
        <f>+S65-U65+U109</f>
        <v>200</v>
      </c>
      <c r="U65" s="48">
        <v>5400</v>
      </c>
      <c r="V65" s="167">
        <f>+U65-W65+W109</f>
        <v>400</v>
      </c>
      <c r="W65" s="48">
        <v>5000</v>
      </c>
      <c r="X65" s="167">
        <f>+W65-Y65+Y109</f>
        <v>100</v>
      </c>
      <c r="Y65" s="48">
        <v>4900</v>
      </c>
      <c r="Z65" s="167">
        <f>+Y65-AA65+AA109</f>
        <v>300</v>
      </c>
      <c r="AA65" s="48">
        <v>4600</v>
      </c>
      <c r="AB65" s="167">
        <f>+AA65-AC65+AC109</f>
        <v>600</v>
      </c>
      <c r="AC65" s="48">
        <v>4000</v>
      </c>
      <c r="AD65" s="167">
        <f>+AC65-AE65+AE109</f>
        <v>602</v>
      </c>
      <c r="AE65" s="48">
        <v>4400</v>
      </c>
      <c r="AF65" s="167">
        <f>+AE65-AG65+AG109</f>
        <v>200</v>
      </c>
      <c r="AG65" s="48">
        <v>4200</v>
      </c>
      <c r="AH65" s="167">
        <f>+AG65-AI65+AI109</f>
        <v>200</v>
      </c>
      <c r="AI65" s="48">
        <v>4000</v>
      </c>
      <c r="AJ65" s="167">
        <f>+AI65-AK65+AK109</f>
        <v>300</v>
      </c>
      <c r="AK65" s="48">
        <v>3700</v>
      </c>
      <c r="AL65" s="167">
        <f>+AK65-AM65+AM109</f>
        <v>900</v>
      </c>
      <c r="AM65" s="48">
        <v>2800</v>
      </c>
      <c r="AN65" s="167">
        <f>+AM65-AO65+AO109</f>
        <v>0</v>
      </c>
      <c r="AO65" s="48">
        <v>2800</v>
      </c>
      <c r="AP65" s="167">
        <f>+AO65-AQ65+AQ109</f>
        <v>800</v>
      </c>
      <c r="AQ65" s="48">
        <v>5000</v>
      </c>
      <c r="AR65" s="167">
        <f>+AQ65-AS65+AS109</f>
        <v>200</v>
      </c>
      <c r="AS65" s="48">
        <v>4800</v>
      </c>
      <c r="AT65" s="167">
        <f>+AS65-AU65+AU109</f>
        <v>400</v>
      </c>
      <c r="AU65" s="48">
        <v>4400</v>
      </c>
      <c r="AV65" s="167">
        <f>+AU65-AW65+AW109</f>
        <v>100</v>
      </c>
      <c r="AW65" s="48">
        <v>4300</v>
      </c>
      <c r="AX65" s="167">
        <f>+AW65-AY65+AY109</f>
        <v>200</v>
      </c>
      <c r="AY65" s="48">
        <v>4100</v>
      </c>
      <c r="AZ65" s="167">
        <f>+AY65-BA65+BA109</f>
        <v>700</v>
      </c>
      <c r="BA65" s="48">
        <v>3400</v>
      </c>
      <c r="BB65" s="167">
        <f>+BA65-BC65+BC109</f>
        <v>-600</v>
      </c>
      <c r="BC65" s="48">
        <v>4000</v>
      </c>
      <c r="BD65" s="167">
        <f>+BC65-BE65+BE109</f>
        <v>400</v>
      </c>
      <c r="BE65" s="48">
        <v>3600</v>
      </c>
      <c r="BF65" s="167">
        <f>+BE65-BG65+BG109</f>
        <v>600</v>
      </c>
      <c r="BG65" s="48">
        <v>3000</v>
      </c>
      <c r="BH65" s="167">
        <f>+BG65-BI65+BI109</f>
        <v>400</v>
      </c>
      <c r="BI65" s="48">
        <v>2600</v>
      </c>
      <c r="BJ65" s="167">
        <f>+BI65-BK65+BK109</f>
        <v>400</v>
      </c>
      <c r="BK65" s="48">
        <v>2200</v>
      </c>
      <c r="BL65" s="167">
        <f>+BK65-BM65+BM109</f>
        <v>600</v>
      </c>
      <c r="BM65" s="48">
        <v>1600</v>
      </c>
      <c r="BN65" s="50"/>
      <c r="BO65" s="170">
        <f>IF(COUNT(D65,F65,H65,J65,L65,N65,P65,R65,T65,V65,X65,Z65,AB65,AD65,AF65,AH65,AJ65,AL65,AN65,AP65,AR65,AT65,AV65,AX65,AZ65,BB65,BD65,BF65,BH65,BJ65,BL65)=0,"",SUM(D65,F65,H65,J65,L65,N65,P65,R65,T65,V65,X65,Z65,AB65,AD65,AF65,AH65,AJ65,AL65,AN65,AP65,AR65,AT65,AV65,AX65,AZ65,BB65,BD65,BF65,BH65,BJ65,BL65))</f>
        <v>11302</v>
      </c>
      <c r="BP65" s="167">
        <f>+BM65-BQ65+BQ109</f>
        <v>1800</v>
      </c>
      <c r="BQ65" s="88">
        <v>4800</v>
      </c>
    </row>
    <row r="66" spans="1:69" x14ac:dyDescent="0.35">
      <c r="A66" s="53" t="s">
        <v>26</v>
      </c>
      <c r="B66" s="187">
        <f>C66-C110</f>
        <v>2900</v>
      </c>
      <c r="C66" s="84">
        <v>2900</v>
      </c>
      <c r="D66" s="189">
        <f>+C66-E66+E110</f>
        <v>500</v>
      </c>
      <c r="E66" s="48">
        <v>2400</v>
      </c>
      <c r="F66" s="167">
        <f>+E66-G66+G110</f>
        <v>300</v>
      </c>
      <c r="G66" s="48">
        <v>2100</v>
      </c>
      <c r="H66" s="167">
        <f>+G66-I66+I110</f>
        <v>500</v>
      </c>
      <c r="I66" s="48">
        <v>1600</v>
      </c>
      <c r="J66" s="167">
        <f>+I66-K66+K110</f>
        <v>900</v>
      </c>
      <c r="K66" s="48">
        <v>6200</v>
      </c>
      <c r="L66" s="167">
        <f>+K66-M66+M110</f>
        <v>100</v>
      </c>
      <c r="M66" s="48">
        <v>6100</v>
      </c>
      <c r="N66" s="167">
        <f>+M66-O66+O110</f>
        <v>500</v>
      </c>
      <c r="O66" s="48">
        <v>5600</v>
      </c>
      <c r="P66" s="167">
        <f>+O66-Q66+Q110</f>
        <v>500</v>
      </c>
      <c r="Q66" s="48">
        <v>5100</v>
      </c>
      <c r="R66" s="167">
        <f>+Q66-S66+S110</f>
        <v>300</v>
      </c>
      <c r="S66" s="48">
        <v>4800</v>
      </c>
      <c r="T66" s="167">
        <f>+S66-U66+U110</f>
        <v>400</v>
      </c>
      <c r="U66" s="48">
        <v>4400</v>
      </c>
      <c r="V66" s="167">
        <f>+U66-W66+W110</f>
        <v>300</v>
      </c>
      <c r="W66" s="48">
        <v>4100</v>
      </c>
      <c r="X66" s="167">
        <f>+W66-Y66+Y110</f>
        <v>500</v>
      </c>
      <c r="Y66" s="48">
        <v>3600</v>
      </c>
      <c r="Z66" s="167">
        <f>+Y66-AA66+AA110</f>
        <v>300</v>
      </c>
      <c r="AA66" s="48">
        <v>3300</v>
      </c>
      <c r="AB66" s="167">
        <f>+AA66-AC66+AC110</f>
        <v>500</v>
      </c>
      <c r="AC66" s="48">
        <v>2800</v>
      </c>
      <c r="AD66" s="167">
        <f>+AC66-AE66+AE110</f>
        <v>626</v>
      </c>
      <c r="AE66" s="48">
        <v>4200</v>
      </c>
      <c r="AF66" s="167">
        <f>+AE66-AG66+AG110</f>
        <v>500</v>
      </c>
      <c r="AG66" s="48">
        <v>3700</v>
      </c>
      <c r="AH66" s="167">
        <f>+AG66-AI66+AI110</f>
        <v>200</v>
      </c>
      <c r="AI66" s="48">
        <v>3500</v>
      </c>
      <c r="AJ66" s="167">
        <f>+AI66-AK66+AK110</f>
        <v>300</v>
      </c>
      <c r="AK66" s="48">
        <v>3200</v>
      </c>
      <c r="AL66" s="167">
        <f>+AK66-AM66+AM110</f>
        <v>0</v>
      </c>
      <c r="AM66" s="48">
        <v>3200</v>
      </c>
      <c r="AN66" s="167">
        <f>+AM66-AO66+AO110</f>
        <v>800</v>
      </c>
      <c r="AO66" s="48">
        <v>2400</v>
      </c>
      <c r="AP66" s="167">
        <f>+AO66-AQ66+AQ110</f>
        <v>400</v>
      </c>
      <c r="AQ66" s="48">
        <v>3000</v>
      </c>
      <c r="AR66" s="167">
        <f>+AQ66-AS66+AS110</f>
        <v>400</v>
      </c>
      <c r="AS66" s="48">
        <v>2600</v>
      </c>
      <c r="AT66" s="167">
        <f>+AS66-AU66+AU110</f>
        <v>500</v>
      </c>
      <c r="AU66" s="48">
        <v>2100</v>
      </c>
      <c r="AV66" s="167">
        <f>+AU66-AW66+AW110</f>
        <v>400</v>
      </c>
      <c r="AW66" s="48">
        <v>1700</v>
      </c>
      <c r="AX66" s="167">
        <f>+AW66-AY66+AY110</f>
        <v>400</v>
      </c>
      <c r="AY66" s="48">
        <v>1300</v>
      </c>
      <c r="AZ66" s="167">
        <f>+AY66-BA66+BA110</f>
        <v>400</v>
      </c>
      <c r="BA66" s="48">
        <v>900</v>
      </c>
      <c r="BB66" s="167">
        <f>+BA66-BC66+BC110</f>
        <v>-2700</v>
      </c>
      <c r="BC66" s="48">
        <v>3600</v>
      </c>
      <c r="BD66" s="167">
        <f>+BC66-BE66+BE110</f>
        <v>700</v>
      </c>
      <c r="BE66" s="48">
        <v>2900</v>
      </c>
      <c r="BF66" s="167">
        <f>+BE66-BG66+BG110</f>
        <v>600</v>
      </c>
      <c r="BG66" s="48">
        <v>2300</v>
      </c>
      <c r="BH66" s="167">
        <f>+BG66-BI66+BI110</f>
        <v>300</v>
      </c>
      <c r="BI66" s="48">
        <v>2000</v>
      </c>
      <c r="BJ66" s="167">
        <f>+BI66-BK66+BK110</f>
        <v>300</v>
      </c>
      <c r="BK66" s="48">
        <v>1700</v>
      </c>
      <c r="BL66" s="167">
        <f>+BK66-BM66+BM110</f>
        <v>500</v>
      </c>
      <c r="BM66" s="48">
        <v>1200</v>
      </c>
      <c r="BN66" s="50"/>
      <c r="BO66" s="170">
        <f>IF(COUNT(D66,F66,H66,J66,L66,N66,P66,R66,T66,V66,X66,Z66,AB66,AD66,AF66,AH66,AJ66,AL66,AN66,AP66,AR66,AT66,AV66,AX66,AZ66,BB66,BD66,BF66,BH66,BJ66,BL66)=0,"",SUM(D66,F66,H66,J66,L66,N66,P66,R66,T66,V66,X66,Z66,AB66,AD66,AF66,AH66,AJ66,AL66,AN66,AP66,AR66,AT66,AV66,AX66,AZ66,BB66,BD66,BF66,BH66,BJ66,BL66))</f>
        <v>10226</v>
      </c>
      <c r="BP66" s="167">
        <f>+BM66-BQ66+BQ110</f>
        <v>2967</v>
      </c>
      <c r="BQ66" s="88">
        <v>4200</v>
      </c>
    </row>
    <row r="67" spans="1:69" x14ac:dyDescent="0.35">
      <c r="A67" s="98"/>
      <c r="B67" s="90"/>
      <c r="C67" s="131"/>
      <c r="D67" s="189">
        <f>SUM(D62:D66)</f>
        <v>1800</v>
      </c>
      <c r="E67" s="166">
        <f>+E73-D73</f>
        <v>3.0900000000001455</v>
      </c>
      <c r="F67" s="167">
        <f>SUM(F62:F66)</f>
        <v>1106</v>
      </c>
      <c r="G67" s="166">
        <f>+G73-F73</f>
        <v>-0.56999999999993634</v>
      </c>
      <c r="H67" s="167">
        <f>SUM(H62:H66)</f>
        <v>2100</v>
      </c>
      <c r="I67" s="166">
        <f>+I73-H73</f>
        <v>1.9600000000000364</v>
      </c>
      <c r="J67" s="167">
        <f>SUM(J62:J66)</f>
        <v>2600</v>
      </c>
      <c r="K67" s="166">
        <f>+K73-J73</f>
        <v>1.0999999999999091</v>
      </c>
      <c r="L67" s="167">
        <f>SUM(L62:L66)</f>
        <v>1300</v>
      </c>
      <c r="M67" s="166">
        <f>+M73-L73</f>
        <v>5.2799999999999727</v>
      </c>
      <c r="N67" s="167">
        <f>SUM(N62:N66)</f>
        <v>2200</v>
      </c>
      <c r="O67" s="166">
        <f>+O73-N73</f>
        <v>-172.86000000000013</v>
      </c>
      <c r="P67" s="167">
        <f>SUM(P62:P66)</f>
        <v>1803</v>
      </c>
      <c r="Q67" s="166">
        <f>+Q73-P73</f>
        <v>-334.90000000000009</v>
      </c>
      <c r="R67" s="167">
        <f>SUM(R62:R66)</f>
        <v>1600</v>
      </c>
      <c r="S67" s="166">
        <f>+S73-R73</f>
        <v>-178.79999999999995</v>
      </c>
      <c r="T67" s="167">
        <f>SUM(T62:T66)</f>
        <v>1200</v>
      </c>
      <c r="U67" s="166">
        <f>+U73-T73</f>
        <v>-176.32999999999993</v>
      </c>
      <c r="V67" s="167">
        <f>SUM(V62:V66)</f>
        <v>1500</v>
      </c>
      <c r="W67" s="166">
        <f>+W73-V73</f>
        <v>-66.590000000000146</v>
      </c>
      <c r="X67" s="167">
        <f>SUM(X62:X66)</f>
        <v>2053</v>
      </c>
      <c r="Y67" s="166">
        <f>+Y73-X73</f>
        <v>-342.07999999999993</v>
      </c>
      <c r="Z67" s="167">
        <f>SUM(Z62:Z66)</f>
        <v>1500</v>
      </c>
      <c r="AA67" s="166">
        <f>+AA73-Z73</f>
        <v>-179.78999999999996</v>
      </c>
      <c r="AB67" s="167">
        <f>SUM(AB62:AB66)</f>
        <v>2200</v>
      </c>
      <c r="AC67" s="166">
        <f>+AC73-AB73</f>
        <v>1710</v>
      </c>
      <c r="AD67" s="167">
        <f>SUM(AD62:AD66)</f>
        <v>2064</v>
      </c>
      <c r="AE67" s="166">
        <f>+AE73-AD73</f>
        <v>1932</v>
      </c>
      <c r="AF67" s="167">
        <f>SUM(AF62:AF66)</f>
        <v>1400</v>
      </c>
      <c r="AG67" s="166">
        <f>+AG73-AF73</f>
        <v>1233</v>
      </c>
      <c r="AH67" s="167">
        <f>SUM(AH62:AH66)</f>
        <v>900</v>
      </c>
      <c r="AI67" s="166">
        <f>+AI73-AH73</f>
        <v>962</v>
      </c>
      <c r="AJ67" s="167">
        <f>SUM(AJ62:AJ66)</f>
        <v>1600</v>
      </c>
      <c r="AK67" s="166">
        <f>+AK73-AJ73</f>
        <v>1852</v>
      </c>
      <c r="AL67" s="167">
        <f>SUM(AL62:AL66)</f>
        <v>1600</v>
      </c>
      <c r="AM67" s="166">
        <f>+AM73-AL73</f>
        <v>1634</v>
      </c>
      <c r="AN67" s="167">
        <f>SUM(AN62:AN66)</f>
        <v>2000</v>
      </c>
      <c r="AO67" s="166">
        <f>+AO73-AN73</f>
        <v>2.0899999999999181</v>
      </c>
      <c r="AP67" s="167">
        <f>SUM(AP62:AP66)</f>
        <v>1600</v>
      </c>
      <c r="AQ67" s="166">
        <f>+AQ73-AP73</f>
        <v>-4.9400000000000546</v>
      </c>
      <c r="AR67" s="167">
        <f>SUM(AR62:AR66)</f>
        <v>1900</v>
      </c>
      <c r="AS67" s="166">
        <f>+AS73-AR73</f>
        <v>-0.90999999999985448</v>
      </c>
      <c r="AT67" s="167">
        <f>SUM(AT62:AT66)</f>
        <v>2000</v>
      </c>
      <c r="AU67" s="166">
        <f>+AU73-AT73</f>
        <v>-1.8700000000001182</v>
      </c>
      <c r="AV67" s="167">
        <f>SUM(AV62:AV66)</f>
        <v>1200</v>
      </c>
      <c r="AW67" s="166">
        <f>+AW73-AV73</f>
        <v>-1.0799999999999272</v>
      </c>
      <c r="AX67" s="167">
        <f>SUM(AX62:AX66)</f>
        <v>1000</v>
      </c>
      <c r="AY67" s="166">
        <f>+AY73-AX73</f>
        <v>-2.8499999999999091</v>
      </c>
      <c r="AZ67" s="167">
        <f>SUM(AZ62:AZ66)</f>
        <v>2200</v>
      </c>
      <c r="BA67" s="166">
        <f>+BA73-AZ73</f>
        <v>-0.57000000000016371</v>
      </c>
      <c r="BB67" s="167">
        <f>SUM(BB62:BB66)</f>
        <v>-2300</v>
      </c>
      <c r="BC67" s="166">
        <f>+BC73-BB73</f>
        <v>1480</v>
      </c>
      <c r="BD67" s="167">
        <f>SUM(BD62:BD66)</f>
        <v>2000</v>
      </c>
      <c r="BE67" s="166">
        <f>+BE73-BD73</f>
        <v>2203</v>
      </c>
      <c r="BF67" s="167">
        <f>SUM(BF62:BF66)</f>
        <v>2500</v>
      </c>
      <c r="BG67" s="166">
        <f>+BG73-BF73</f>
        <v>2220</v>
      </c>
      <c r="BH67" s="167">
        <f>SUM(BH62:BH66)</f>
        <v>-20200</v>
      </c>
      <c r="BI67" s="166">
        <f>+BI73-BH73</f>
        <v>1641</v>
      </c>
      <c r="BJ67" s="167">
        <f>SUM(BJ62:BJ66)</f>
        <v>1600</v>
      </c>
      <c r="BK67" s="166">
        <f>+BK73-BJ73</f>
        <v>1108</v>
      </c>
      <c r="BL67" s="167">
        <f>SUM(BL62:BL66)</f>
        <v>2200</v>
      </c>
      <c r="BM67" s="166">
        <f>+BM73-BL73</f>
        <v>2060</v>
      </c>
      <c r="BN67" s="50"/>
      <c r="BO67" s="170">
        <f t="shared" ref="BO67:BO75" si="99">IF(COUNT(E67,G67,I67,K67,M67,O67,Q67,S67,U67,W67,Y67,AA67,AC67,AE67,AG67,AI67,AK67,AM67,AO67,AQ67,AS67,AU67,AW67,AY67,BA67,BC67,BE67,BG67,BI67,BK67,BM67)=0,"",SUM(E67,G67,I67,K67,M67,O67,Q67,S67,U67,W67,Y67,AA67,AC67,AE67,AG67,AI67,AK67,AM67,AO67,AQ67,AS67,AU67,AW67,AY67,BA67,BC67,BE67,BG67,BI67,BK67,BM67))</f>
        <v>18584.38</v>
      </c>
      <c r="BP67" s="167">
        <f>SUM(BP62:BP66)</f>
        <v>6067</v>
      </c>
      <c r="BQ67" s="172">
        <f>+BQ73-BP73</f>
        <v>-996093</v>
      </c>
    </row>
    <row r="68" spans="1:69" x14ac:dyDescent="0.35">
      <c r="A68" s="132" t="s">
        <v>87</v>
      </c>
      <c r="B68" s="133"/>
      <c r="C68" s="131"/>
      <c r="D68" s="189">
        <f>D91+D94</f>
        <v>360.87</v>
      </c>
      <c r="E68" s="166">
        <f>+E77-C77+E80-C80</f>
        <v>361</v>
      </c>
      <c r="F68" s="167">
        <f>F91+F94</f>
        <v>151.69</v>
      </c>
      <c r="G68" s="166">
        <f>+G77-E77+G80-E80</f>
        <v>152</v>
      </c>
      <c r="H68" s="167">
        <f>H91+H94</f>
        <v>535.1099999999999</v>
      </c>
      <c r="I68" s="166">
        <f>+I77-G77+I80-G80</f>
        <v>535</v>
      </c>
      <c r="J68" s="167">
        <f>J91+J94</f>
        <v>514.20000000000005</v>
      </c>
      <c r="K68" s="166">
        <f>+K77-I77+K80-I80</f>
        <v>514</v>
      </c>
      <c r="L68" s="167">
        <f>L91+L94</f>
        <v>503.39</v>
      </c>
      <c r="M68" s="166">
        <f>+M77-K77+M80-K80</f>
        <v>504</v>
      </c>
      <c r="N68" s="167">
        <f>N91+N94</f>
        <v>234.28000000000003</v>
      </c>
      <c r="O68" s="166">
        <f>+O77-M77+O80-M80</f>
        <v>234</v>
      </c>
      <c r="P68" s="167">
        <f>P91+P94</f>
        <v>491.77</v>
      </c>
      <c r="Q68" s="166">
        <f>+Q77-O77+Q80-O80</f>
        <v>492</v>
      </c>
      <c r="R68" s="167">
        <f>R91+R94</f>
        <v>445.14</v>
      </c>
      <c r="S68" s="166">
        <f>+S77-Q77+S80-Q80</f>
        <v>445</v>
      </c>
      <c r="T68" s="167">
        <f>T91+T94</f>
        <v>252.17000000000002</v>
      </c>
      <c r="U68" s="166">
        <f>+U77-S77+U80-S80</f>
        <v>252</v>
      </c>
      <c r="V68" s="167">
        <f>V91+V94</f>
        <v>270.38</v>
      </c>
      <c r="W68" s="166">
        <f>+W77-U77+W80-U80</f>
        <v>270</v>
      </c>
      <c r="X68" s="167">
        <f>X91+X94</f>
        <v>221.38</v>
      </c>
      <c r="Y68" s="166">
        <f>+Y77-W77+Y80-W80</f>
        <v>222</v>
      </c>
      <c r="Z68" s="167">
        <f>Z91+Z94</f>
        <v>430.55</v>
      </c>
      <c r="AA68" s="166">
        <f>+AA77-Y77+AA80-Y80</f>
        <v>431</v>
      </c>
      <c r="AB68" s="167">
        <f>AB91+AB94</f>
        <v>0</v>
      </c>
      <c r="AC68" s="166">
        <f>+AC77-AA77+AC80-AA80</f>
        <v>478</v>
      </c>
      <c r="AD68" s="167">
        <f>AD91+AD94</f>
        <v>0</v>
      </c>
      <c r="AE68" s="166">
        <f>+AE77-AC77+AE80-AC80</f>
        <v>602</v>
      </c>
      <c r="AF68" s="167">
        <f>AF91+AF94</f>
        <v>0</v>
      </c>
      <c r="AG68" s="166">
        <f>+AG77-AE77+AG80-AE80</f>
        <v>243</v>
      </c>
      <c r="AH68" s="167">
        <f>AH91+AH94</f>
        <v>0</v>
      </c>
      <c r="AI68" s="166">
        <f>+AI77-AG77+AI80-AG80</f>
        <v>263</v>
      </c>
      <c r="AJ68" s="167">
        <f>AJ91+AJ94</f>
        <v>0</v>
      </c>
      <c r="AK68" s="166">
        <f>+AK77-AI77+AK80-AI80</f>
        <v>437</v>
      </c>
      <c r="AL68" s="167">
        <f>AL91+AL94</f>
        <v>0</v>
      </c>
      <c r="AM68" s="166">
        <f>+AM77-AK77+AM80-AK80</f>
        <v>355</v>
      </c>
      <c r="AN68" s="167">
        <f>AN91+AN94</f>
        <v>572.56999999999994</v>
      </c>
      <c r="AO68" s="166">
        <f>+AO77-AM77+AO80-AM80</f>
        <v>574</v>
      </c>
      <c r="AP68" s="167">
        <f>AP91+AP94</f>
        <v>438.46999999999997</v>
      </c>
      <c r="AQ68" s="166">
        <f>+AQ77-AO77+AQ80-AO80</f>
        <v>438</v>
      </c>
      <c r="AR68" s="167">
        <f>AR91+AR94</f>
        <v>519.79</v>
      </c>
      <c r="AS68" s="166">
        <f>+AS77-AQ77+AS80-AQ80</f>
        <v>520</v>
      </c>
      <c r="AT68" s="167">
        <f>AT91+AT94</f>
        <v>251.16</v>
      </c>
      <c r="AU68" s="166">
        <f>+AU77-AS77+AU80-AS80</f>
        <v>251</v>
      </c>
      <c r="AV68" s="167">
        <f>AV91+AV94</f>
        <v>68.77</v>
      </c>
      <c r="AW68" s="166">
        <f>+AW77-AU77+AW80-AU80</f>
        <v>69</v>
      </c>
      <c r="AX68" s="167">
        <f>AX91+AX94</f>
        <v>205.85</v>
      </c>
      <c r="AY68" s="166">
        <f>+AY77-AW77+AY80-AW80</f>
        <v>205</v>
      </c>
      <c r="AZ68" s="167">
        <f>AZ91+AZ94</f>
        <v>699.24</v>
      </c>
      <c r="BA68" s="166">
        <f>+BA77-AY77+BA80-AY80</f>
        <v>700</v>
      </c>
      <c r="BB68" s="167">
        <f>BB91+BB94</f>
        <v>0</v>
      </c>
      <c r="BC68" s="166">
        <f>+BC77-BA77+BC80-BA80</f>
        <v>355</v>
      </c>
      <c r="BD68" s="167">
        <f>BD91+BD94</f>
        <v>0</v>
      </c>
      <c r="BE68" s="166">
        <f>+BE77-BC77+BE80-BC80</f>
        <v>447</v>
      </c>
      <c r="BF68" s="167">
        <f>BF91+BF94</f>
        <v>0</v>
      </c>
      <c r="BG68" s="166">
        <f>+BG77-BE77+BG80-BE80</f>
        <v>634</v>
      </c>
      <c r="BH68" s="167">
        <f>BH91+BH94</f>
        <v>0</v>
      </c>
      <c r="BI68" s="166">
        <f>+BI77-BG77+BI80-BG80</f>
        <v>473</v>
      </c>
      <c r="BJ68" s="167">
        <f>BJ91+BJ94</f>
        <v>0</v>
      </c>
      <c r="BK68" s="166">
        <f>+BK77-BI77+BK80-BI80</f>
        <v>394</v>
      </c>
      <c r="BL68" s="167">
        <f>BL91+BL94</f>
        <v>0</v>
      </c>
      <c r="BM68" s="166">
        <f>+BM77-BK77+BM80-BK80</f>
        <v>563</v>
      </c>
      <c r="BN68" s="50"/>
      <c r="BO68" s="170">
        <f t="shared" si="99"/>
        <v>12413</v>
      </c>
      <c r="BP68" s="167">
        <f>BP91+BP94</f>
        <v>0</v>
      </c>
      <c r="BQ68" s="172">
        <f>+BQ77-BM77+BQ80-BM80</f>
        <v>-998422</v>
      </c>
    </row>
    <row r="69" spans="1:69" x14ac:dyDescent="0.35">
      <c r="A69" s="44" t="s">
        <v>88</v>
      </c>
      <c r="B69" s="133"/>
      <c r="C69" s="131"/>
      <c r="D69" s="189">
        <f>D99+D102</f>
        <v>508.23</v>
      </c>
      <c r="E69" s="166">
        <f>+E85-C85+E88-C88</f>
        <v>510</v>
      </c>
      <c r="F69" s="167">
        <f>F99+F102</f>
        <v>390.26</v>
      </c>
      <c r="G69" s="166">
        <f>+G85-E85+G88-E88</f>
        <v>391</v>
      </c>
      <c r="H69" s="167">
        <f>H99+H102</f>
        <v>565.30999999999995</v>
      </c>
      <c r="I69" s="166">
        <f>+I85-G85+I88-G88</f>
        <v>566</v>
      </c>
      <c r="J69" s="167">
        <f>J99+J102</f>
        <v>538.78</v>
      </c>
      <c r="K69" s="166">
        <f>+K85-I85+K88-I88</f>
        <v>540</v>
      </c>
      <c r="L69" s="167">
        <f>L99+L102</f>
        <v>307.14</v>
      </c>
      <c r="M69" s="166">
        <f>+M85-K85+M88-K88</f>
        <v>307</v>
      </c>
      <c r="N69" s="167">
        <f>N99+N102</f>
        <v>489.9</v>
      </c>
      <c r="O69" s="166">
        <f>+O85-M85+O88-M88</f>
        <v>492</v>
      </c>
      <c r="P69" s="167">
        <f>P99+P102</f>
        <v>359.39</v>
      </c>
      <c r="Q69" s="166">
        <f>+Q85-O85+Q88-O88</f>
        <v>362</v>
      </c>
      <c r="R69" s="167">
        <f>R99+R102</f>
        <v>332.53999999999996</v>
      </c>
      <c r="S69" s="166">
        <f>+S85-Q85+S88-Q88</f>
        <v>334</v>
      </c>
      <c r="T69" s="167">
        <f>T99+T102</f>
        <v>346.97999999999996</v>
      </c>
      <c r="U69" s="166">
        <f>+U85-S85+U88-S88</f>
        <v>349</v>
      </c>
      <c r="V69" s="167">
        <f>V99+V102</f>
        <v>375.09000000000003</v>
      </c>
      <c r="W69" s="166">
        <f>+W85-U85+W88-U88</f>
        <v>376</v>
      </c>
      <c r="X69" s="167">
        <f>X99+X102</f>
        <v>541.23</v>
      </c>
      <c r="Y69" s="166">
        <f>+Y85-W85+Y88-W88</f>
        <v>543</v>
      </c>
      <c r="Z69" s="167">
        <f>Z99+Z102</f>
        <v>320.73</v>
      </c>
      <c r="AA69" s="166">
        <f>+AA85-Y85+AA88-Y88</f>
        <v>321</v>
      </c>
      <c r="AB69" s="167">
        <f>AB99+AB102</f>
        <v>0</v>
      </c>
      <c r="AC69" s="166">
        <f>+AC85-AA85+AC88-AA88</f>
        <v>523</v>
      </c>
      <c r="AD69" s="167">
        <f>AD99+AD102</f>
        <v>0</v>
      </c>
      <c r="AE69" s="166">
        <f>+AE85-AC85+AE88-AC88</f>
        <v>519</v>
      </c>
      <c r="AF69" s="167">
        <f>AF99+AF102</f>
        <v>0</v>
      </c>
      <c r="AG69" s="166">
        <f>+AG85-AE85+AG88-AE88</f>
        <v>473</v>
      </c>
      <c r="AH69" s="167">
        <f>AH99+AH102</f>
        <v>0</v>
      </c>
      <c r="AI69" s="166">
        <f>+AI85-AG85+AI88-AG88</f>
        <v>230</v>
      </c>
      <c r="AJ69" s="167">
        <f>AJ99+AJ102</f>
        <v>0</v>
      </c>
      <c r="AK69" s="166">
        <f>+AK85-AI85+AK88-AI88</f>
        <v>470</v>
      </c>
      <c r="AL69" s="167">
        <f>AL99+AL102</f>
        <v>0</v>
      </c>
      <c r="AM69" s="166">
        <f>+AM85-AK85+AM88-AK88</f>
        <v>385</v>
      </c>
      <c r="AN69" s="167">
        <f>AN99+AN102</f>
        <v>406.24</v>
      </c>
      <c r="AO69" s="166">
        <f>+AO85-AM85+AO88-AM88</f>
        <v>408</v>
      </c>
      <c r="AP69" s="167">
        <f>AP99+AP102</f>
        <v>290.51</v>
      </c>
      <c r="AQ69" s="166">
        <f>+AQ85-AO85+AQ88-AO88</f>
        <v>292</v>
      </c>
      <c r="AR69" s="167">
        <f>AR99+AR102</f>
        <v>591.6</v>
      </c>
      <c r="AS69" s="166">
        <f>+AS85-AQ85+AS88-AQ88</f>
        <v>594</v>
      </c>
      <c r="AT69" s="167">
        <f>AT99+AT102</f>
        <v>426.09000000000003</v>
      </c>
      <c r="AU69" s="166">
        <f>+AU85-AS85+AU88-AS88</f>
        <v>428</v>
      </c>
      <c r="AV69" s="167">
        <f>AV99+AV102</f>
        <v>318.16999999999996</v>
      </c>
      <c r="AW69" s="166">
        <f>+AW85-AU85+AW88-AU88</f>
        <v>320</v>
      </c>
      <c r="AX69" s="167">
        <f>AX99+AX102</f>
        <v>473.5</v>
      </c>
      <c r="AY69" s="166">
        <f>+AY85-AW85+AY88-AW88</f>
        <v>474</v>
      </c>
      <c r="AZ69" s="167">
        <f>AZ99+AZ102</f>
        <v>341.23</v>
      </c>
      <c r="BA69" s="166">
        <f>+BA85-AY85+BA88-AY88</f>
        <v>344</v>
      </c>
      <c r="BB69" s="167">
        <f>BB99+BB102</f>
        <v>0</v>
      </c>
      <c r="BC69" s="166">
        <f>+BC85-BA85+BC88-BA88</f>
        <v>243</v>
      </c>
      <c r="BD69" s="167">
        <f>BD99+BD102</f>
        <v>0</v>
      </c>
      <c r="BE69" s="166">
        <f>+BE85-BC85+BE88-BC88</f>
        <v>710</v>
      </c>
      <c r="BF69" s="167">
        <f>BF99+BF102</f>
        <v>0</v>
      </c>
      <c r="BG69" s="166">
        <f>+BG85-BE85+BG88-BE88</f>
        <v>286</v>
      </c>
      <c r="BH69" s="167">
        <f>BH99+BH102</f>
        <v>0</v>
      </c>
      <c r="BI69" s="166">
        <f>+BI85-BG85+BI88-BG88</f>
        <v>108</v>
      </c>
      <c r="BJ69" s="167">
        <f>BJ99+BJ102</f>
        <v>0</v>
      </c>
      <c r="BK69" s="166">
        <f>+BK85-BI85+BK88-BI88</f>
        <v>28</v>
      </c>
      <c r="BL69" s="167">
        <f>BL99+BL102</f>
        <v>0</v>
      </c>
      <c r="BM69" s="166">
        <f>+BM85-BK85+BM88-BK88</f>
        <v>329</v>
      </c>
      <c r="BN69" s="50"/>
      <c r="BO69" s="170">
        <f t="shared" si="99"/>
        <v>12255</v>
      </c>
      <c r="BP69" s="167">
        <f>BP99+BP102</f>
        <v>0</v>
      </c>
      <c r="BQ69" s="172">
        <f>+BQ85-BM85+BQ88-BM88</f>
        <v>998</v>
      </c>
    </row>
    <row r="70" spans="1:69" x14ac:dyDescent="0.35">
      <c r="A70" s="134" t="s">
        <v>89</v>
      </c>
      <c r="B70" s="133"/>
      <c r="C70" s="131"/>
      <c r="D70" s="189">
        <f>D93+D96</f>
        <v>289.16999999999996</v>
      </c>
      <c r="E70" s="166">
        <f>+E79-C79+E82-C82</f>
        <v>290</v>
      </c>
      <c r="F70" s="167">
        <f>F93+F96</f>
        <v>154.03</v>
      </c>
      <c r="G70" s="166">
        <f>+G79-E79+G82-E82</f>
        <v>153</v>
      </c>
      <c r="H70" s="167">
        <f>H93+H96</f>
        <v>180.99</v>
      </c>
      <c r="I70" s="166">
        <f>+I79-G79+I82-G82</f>
        <v>181</v>
      </c>
      <c r="J70" s="167">
        <f>J93+J96</f>
        <v>236.07999999999998</v>
      </c>
      <c r="K70" s="166">
        <f>+K79-I79+K82-I82</f>
        <v>236</v>
      </c>
      <c r="L70" s="167">
        <f>L93+L96</f>
        <v>271.73</v>
      </c>
      <c r="M70" s="166">
        <f>+M79-K79+M82-K82</f>
        <v>277</v>
      </c>
      <c r="N70" s="167">
        <f>N93+N96</f>
        <v>124.28999999999999</v>
      </c>
      <c r="O70" s="166">
        <f>+O79-M79+O82-M82</f>
        <v>120</v>
      </c>
      <c r="P70" s="167">
        <f>P93+P96</f>
        <v>109.03999999999999</v>
      </c>
      <c r="Q70" s="166">
        <f>+Q79-O79+Q82-O82</f>
        <v>108</v>
      </c>
      <c r="R70" s="167">
        <f>R93+R96</f>
        <v>137.32999999999998</v>
      </c>
      <c r="S70" s="166">
        <f>+S79-Q79+S82-Q82</f>
        <v>137</v>
      </c>
      <c r="T70" s="167">
        <f>T93+T96</f>
        <v>93.710000000000008</v>
      </c>
      <c r="U70" s="166">
        <f>+U79-S79+U82-S82</f>
        <v>94</v>
      </c>
      <c r="V70" s="167">
        <f>V93+V96</f>
        <v>165.85</v>
      </c>
      <c r="W70" s="166">
        <f>+W79-U79+W82-U82</f>
        <v>166</v>
      </c>
      <c r="X70" s="167">
        <f>X93+X96</f>
        <v>228.26</v>
      </c>
      <c r="Y70" s="166">
        <f>+Y79-W79+Y82-W82</f>
        <v>229</v>
      </c>
      <c r="Z70" s="167">
        <f>Z93+Z96</f>
        <v>90.47</v>
      </c>
      <c r="AA70" s="166">
        <f>+AA79-Y79+AA82-Y82</f>
        <v>90</v>
      </c>
      <c r="AB70" s="167">
        <f>AB93+AB96</f>
        <v>0</v>
      </c>
      <c r="AC70" s="166">
        <f>+AC79-AA79+AC82-AA82</f>
        <v>133</v>
      </c>
      <c r="AD70" s="167">
        <f>AD93+AD96</f>
        <v>0</v>
      </c>
      <c r="AE70" s="166">
        <f>+AE79-AC79+AE82-AC82</f>
        <v>127</v>
      </c>
      <c r="AF70" s="167">
        <f>AF93+AF96</f>
        <v>0</v>
      </c>
      <c r="AG70" s="166">
        <f>+AG79-AE79+AG82-AE82</f>
        <v>75</v>
      </c>
      <c r="AH70" s="167">
        <f>AH93+AH96</f>
        <v>0</v>
      </c>
      <c r="AI70" s="166">
        <f>+AI79-AG79+AI82-AG82</f>
        <v>105</v>
      </c>
      <c r="AJ70" s="167">
        <f>AJ93+AJ96</f>
        <v>0</v>
      </c>
      <c r="AK70" s="166">
        <f>+AK79-AI79+AK82-AI82</f>
        <v>239</v>
      </c>
      <c r="AL70" s="167">
        <f>AL93+AL96</f>
        <v>0</v>
      </c>
      <c r="AM70" s="166">
        <f>+AM79-AK79+AM82-AK82</f>
        <v>139</v>
      </c>
      <c r="AN70" s="167">
        <f>AN93+AN96</f>
        <v>142.41</v>
      </c>
      <c r="AO70" s="166">
        <f>+AO79-AM79+AO82-AM82</f>
        <v>143</v>
      </c>
      <c r="AP70" s="167">
        <f>AP93+AP96</f>
        <v>58.95</v>
      </c>
      <c r="AQ70" s="166">
        <f>+AQ79-AO79+AQ82-AO82</f>
        <v>58</v>
      </c>
      <c r="AR70" s="167">
        <f>AR93+AR96</f>
        <v>108.1</v>
      </c>
      <c r="AS70" s="166">
        <f>+AS79-AQ79+AS82-AQ82</f>
        <v>108</v>
      </c>
      <c r="AT70" s="167">
        <f>AT93+AT96</f>
        <v>53.96</v>
      </c>
      <c r="AU70" s="166">
        <f>+AU79-AS79+AU82-AS82</f>
        <v>55</v>
      </c>
      <c r="AV70" s="167">
        <f>AV93+AV96</f>
        <v>121.85000000000001</v>
      </c>
      <c r="AW70" s="166">
        <f>+AW79-AU79+AW82-AU82</f>
        <v>121</v>
      </c>
      <c r="AX70" s="167">
        <f>AX93+AX96</f>
        <v>128.46</v>
      </c>
      <c r="AY70" s="166">
        <f>+AY79-AW79+AY82-AW82</f>
        <v>129</v>
      </c>
      <c r="AZ70" s="167">
        <f>AZ93+AZ96</f>
        <v>269.25</v>
      </c>
      <c r="BA70" s="166">
        <f>+BA79-AY79+BA82-AY82</f>
        <v>269</v>
      </c>
      <c r="BB70" s="167">
        <f>BB93+BB96</f>
        <v>0</v>
      </c>
      <c r="BC70" s="166">
        <f>+BC79-BA79+BC82-BA82</f>
        <v>123</v>
      </c>
      <c r="BD70" s="167">
        <f>BD93+BD96</f>
        <v>0</v>
      </c>
      <c r="BE70" s="166">
        <f>+BE79-BC79+BE82-BC82</f>
        <v>152</v>
      </c>
      <c r="BF70" s="167">
        <f>BF93+BF96</f>
        <v>0</v>
      </c>
      <c r="BG70" s="166">
        <f>+BG79-BE79+BG82-BE82</f>
        <v>155</v>
      </c>
      <c r="BH70" s="167">
        <f>BH93+BH96</f>
        <v>0</v>
      </c>
      <c r="BI70" s="166">
        <f>+BI79-BG79+BI82-BG82</f>
        <v>136</v>
      </c>
      <c r="BJ70" s="167">
        <f>BJ93+BJ96</f>
        <v>0</v>
      </c>
      <c r="BK70" s="166">
        <f>+BK79-BI79+BK82-BI82</f>
        <v>133</v>
      </c>
      <c r="BL70" s="167">
        <f>BL93+BL96</f>
        <v>0</v>
      </c>
      <c r="BM70" s="166">
        <f>+BM79-BK79+BM82-BK82</f>
        <v>207</v>
      </c>
      <c r="BN70" s="50"/>
      <c r="BO70" s="170">
        <f t="shared" si="99"/>
        <v>4688</v>
      </c>
      <c r="BP70" s="167">
        <f>BP93+BP96</f>
        <v>0</v>
      </c>
      <c r="BQ70" s="172">
        <f>+BQ79-BM79+BQ82-BM82</f>
        <v>111</v>
      </c>
    </row>
    <row r="71" spans="1:69" x14ac:dyDescent="0.35">
      <c r="A71" s="135" t="s">
        <v>90</v>
      </c>
      <c r="B71" s="133"/>
      <c r="C71" s="131"/>
      <c r="D71" s="189">
        <f>+D97+D100</f>
        <v>0</v>
      </c>
      <c r="E71" s="166">
        <f>+E83-C83+E86-C86</f>
        <v>0</v>
      </c>
      <c r="F71" s="167">
        <f>+F97+F100</f>
        <v>8.8800000000000008</v>
      </c>
      <c r="G71" s="166">
        <f>+G83-E83+G86-E86</f>
        <v>9</v>
      </c>
      <c r="H71" s="167">
        <f>+H97+H100</f>
        <v>105.7</v>
      </c>
      <c r="I71" s="166">
        <f>+I83-G83+I86-G86</f>
        <v>106</v>
      </c>
      <c r="J71" s="167">
        <f>+J97+J100</f>
        <v>89.69</v>
      </c>
      <c r="K71" s="166">
        <f>+K83-I83+K86-I86</f>
        <v>90</v>
      </c>
      <c r="L71" s="167">
        <f>+L97+L100</f>
        <v>126.39</v>
      </c>
      <c r="M71" s="166">
        <f>+M83-K83+M86-K86</f>
        <v>126</v>
      </c>
      <c r="N71" s="167">
        <f>+N97+N100</f>
        <v>182.75</v>
      </c>
      <c r="O71" s="166">
        <f>+O83-M83+O86-M86</f>
        <v>143</v>
      </c>
      <c r="P71" s="167">
        <f>+P97+P100</f>
        <v>94.009999999999991</v>
      </c>
      <c r="Q71" s="166">
        <f>+Q83-O83+Q86-O86</f>
        <v>93</v>
      </c>
      <c r="R71" s="167">
        <f>+R97+R100</f>
        <v>170.56</v>
      </c>
      <c r="S71" s="166">
        <f>+S83-Q83+S86-Q86</f>
        <v>171</v>
      </c>
      <c r="T71" s="167">
        <f>+T97+T100</f>
        <v>57.04</v>
      </c>
      <c r="U71" s="166">
        <f>+U83-S83+U86-S86</f>
        <v>58</v>
      </c>
      <c r="V71" s="167">
        <f>+V97+V100</f>
        <v>55.069999999999993</v>
      </c>
      <c r="W71" s="166">
        <f>+W83-U83+W86-U86</f>
        <v>54</v>
      </c>
      <c r="X71" s="167">
        <f>+X97+X100</f>
        <v>156.91999999999999</v>
      </c>
      <c r="Y71" s="166">
        <f>+Y83-W83+Y86-W86</f>
        <v>158</v>
      </c>
      <c r="Z71" s="167">
        <f>+Z97+Z100</f>
        <v>179.69</v>
      </c>
      <c r="AA71" s="166">
        <f>+AA83-Y83+AA86-Y86</f>
        <v>179</v>
      </c>
      <c r="AB71" s="167">
        <f>+AB97+AB100</f>
        <v>0</v>
      </c>
      <c r="AC71" s="166">
        <f>+AC83-AA83+AC86-AA86</f>
        <v>154</v>
      </c>
      <c r="AD71" s="167">
        <f>+AD97+AD100</f>
        <v>0</v>
      </c>
      <c r="AE71" s="166">
        <f>+AE83-AC83+AE86-AC86</f>
        <v>220</v>
      </c>
      <c r="AF71" s="167">
        <f>+AF97+AF100</f>
        <v>0</v>
      </c>
      <c r="AG71" s="166">
        <f>+AG83-AE83+AG86-AE86</f>
        <v>130</v>
      </c>
      <c r="AH71" s="167">
        <f>+AH97+AH100</f>
        <v>0</v>
      </c>
      <c r="AI71" s="166">
        <f>+AI83-AG83+AI86-AG86</f>
        <v>119</v>
      </c>
      <c r="AJ71" s="167">
        <f>+AJ97+AJ100</f>
        <v>0</v>
      </c>
      <c r="AK71" s="166">
        <f>+AK83-AI83+AK86-AI86</f>
        <v>60</v>
      </c>
      <c r="AL71" s="167">
        <f>+AL97+AL100</f>
        <v>0</v>
      </c>
      <c r="AM71" s="166">
        <f>+AM83-AK83+AM86-AK86</f>
        <v>199</v>
      </c>
      <c r="AN71" s="167">
        <f>+AN97+AN100</f>
        <v>142.92000000000002</v>
      </c>
      <c r="AO71" s="166">
        <f>+AO83-AM83+AO86-AM86</f>
        <v>143</v>
      </c>
      <c r="AP71" s="167">
        <f>+AP97+AP100</f>
        <v>63.019999999999996</v>
      </c>
      <c r="AQ71" s="166">
        <f>+AQ83-AO83+AQ86-AO86</f>
        <v>62</v>
      </c>
      <c r="AR71" s="167">
        <f>+AR97+AR100</f>
        <v>118.42</v>
      </c>
      <c r="AS71" s="166">
        <f>+AS83-AQ83+AS86-AQ86</f>
        <v>119</v>
      </c>
      <c r="AT71" s="167">
        <f>+AT97+AT100</f>
        <v>195.67000000000002</v>
      </c>
      <c r="AU71" s="166">
        <f>+AU83-AS83+AU86-AS86</f>
        <v>196</v>
      </c>
      <c r="AV71" s="167">
        <f>+AV97+AV100</f>
        <v>103.38</v>
      </c>
      <c r="AW71" s="166">
        <f>+AW83-AU83+AW86-AU86</f>
        <v>103</v>
      </c>
      <c r="AX71" s="167">
        <f>+AX97+AX100</f>
        <v>103.53999999999999</v>
      </c>
      <c r="AY71" s="166">
        <f>+AY83-AW83+AY86-AW86</f>
        <v>103</v>
      </c>
      <c r="AZ71" s="167">
        <f>+AZ97+AZ100</f>
        <v>113.67999999999999</v>
      </c>
      <c r="BA71" s="166">
        <f>+BA83-AY83+BA86-AY86</f>
        <v>115</v>
      </c>
      <c r="BB71" s="167">
        <f>+BB97+BB100</f>
        <v>0</v>
      </c>
      <c r="BC71" s="166">
        <f>+BC83-BA83+BC86-BA86</f>
        <v>98</v>
      </c>
      <c r="BD71" s="167">
        <f>+BD97+BD100</f>
        <v>0</v>
      </c>
      <c r="BE71" s="166">
        <f>+BE83-BC83+BE86-BC86</f>
        <v>142</v>
      </c>
      <c r="BF71" s="167">
        <f>+BF97+BF100</f>
        <v>0</v>
      </c>
      <c r="BG71" s="166">
        <f>+BG83-BE83+BG86-BE86</f>
        <v>106</v>
      </c>
      <c r="BH71" s="167">
        <f>+BH97+BH100</f>
        <v>0</v>
      </c>
      <c r="BI71" s="166">
        <f>+BI83-BG83+BI86-BG86</f>
        <v>107</v>
      </c>
      <c r="BJ71" s="167">
        <f>+BJ97+BJ100</f>
        <v>0</v>
      </c>
      <c r="BK71" s="166">
        <f>+BK83-BI83+BK86-BI86</f>
        <v>193</v>
      </c>
      <c r="BL71" s="167">
        <f>+BL97+BL100</f>
        <v>0</v>
      </c>
      <c r="BM71" s="166">
        <f>+BM83-BK83+BM86-BK86</f>
        <v>285</v>
      </c>
      <c r="BN71" s="50"/>
      <c r="BO71" s="170">
        <f t="shared" si="99"/>
        <v>3841</v>
      </c>
      <c r="BP71" s="167">
        <f>+BP97+BP100</f>
        <v>0</v>
      </c>
      <c r="BQ71" s="172">
        <f>+BQ83-BM83+BQ86-BM86</f>
        <v>194</v>
      </c>
    </row>
    <row r="72" spans="1:69" x14ac:dyDescent="0.35">
      <c r="A72" s="136" t="s">
        <v>91</v>
      </c>
      <c r="B72" s="133"/>
      <c r="C72" s="131"/>
      <c r="D72" s="189">
        <f>+D92+D95+D98+D101</f>
        <v>720.64</v>
      </c>
      <c r="E72" s="166">
        <f>+E78-C78+E81-C81+E84-C84+E87-C87</f>
        <v>721</v>
      </c>
      <c r="F72" s="167">
        <f>+F92+F95+F98+F101</f>
        <v>381.70999999999992</v>
      </c>
      <c r="G72" s="166">
        <f>+G78-E78+G81-E81+G84-E84+G87-E87</f>
        <v>381</v>
      </c>
      <c r="H72" s="167">
        <f>+H92+H95+H98+H101</f>
        <v>852.93000000000006</v>
      </c>
      <c r="I72" s="166">
        <f>+I78-G78+I81-G81+I84-G84+I87-G87</f>
        <v>854</v>
      </c>
      <c r="J72" s="167">
        <f>+J92+J95+J98+J101</f>
        <v>658.15</v>
      </c>
      <c r="K72" s="166">
        <f>+K78-I78+K81-I81+K84-I84+K87-I87</f>
        <v>658</v>
      </c>
      <c r="L72" s="167">
        <f>+L92+L95+L98+L101</f>
        <v>746.06999999999994</v>
      </c>
      <c r="M72" s="166">
        <f>+M78-K78+M81-K81+M84-K84+M87-K87</f>
        <v>746</v>
      </c>
      <c r="N72" s="167">
        <f>+N92+N95+N98+N101</f>
        <v>646.64</v>
      </c>
      <c r="O72" s="166">
        <f>+O78-M78+O81-M81+O84-M84+O87-M87</f>
        <v>516</v>
      </c>
      <c r="P72" s="167">
        <f>+P92+P95+P98+P101</f>
        <v>873.68999999999994</v>
      </c>
      <c r="Q72" s="166">
        <f>+Q78-O78+Q81-O81+Q84-O84+Q87-O87</f>
        <v>538</v>
      </c>
      <c r="R72" s="167">
        <f>+R92+R95+R98+R101</f>
        <v>553.23</v>
      </c>
      <c r="S72" s="166">
        <f>+S78-Q78+S81-Q81+S84-Q84+S87-Q87</f>
        <v>373</v>
      </c>
      <c r="T72" s="167">
        <f>+T92+T95+T98+T101</f>
        <v>406.42999999999995</v>
      </c>
      <c r="U72" s="166">
        <f>+U78-S78+U81-S81+U84-S84+U87-S87</f>
        <v>227</v>
      </c>
      <c r="V72" s="167">
        <f>+V92+V95+V98+V101</f>
        <v>586.20000000000005</v>
      </c>
      <c r="W72" s="166">
        <f>+W78-U78+W81-U81+W84-U84+W87-U87</f>
        <v>520</v>
      </c>
      <c r="X72" s="167">
        <f>+X92+X95+X98+X101</f>
        <v>843.29</v>
      </c>
      <c r="Y72" s="166">
        <f>+Y78-W78+Y81-W81+Y84-W84+Y87-W87</f>
        <v>497</v>
      </c>
      <c r="Z72" s="167">
        <f>+Z92+Z95+Z98+Z101</f>
        <v>739.35</v>
      </c>
      <c r="AA72" s="166">
        <f>+AA78-Y78+AA81-Y81+AA84-Y84+AA87-Y87</f>
        <v>560</v>
      </c>
      <c r="AB72" s="167">
        <f>+AB92+AB95+AB98+AB101</f>
        <v>0</v>
      </c>
      <c r="AC72" s="166">
        <f>+AC78-AA78+AC81-AA81+AC84-AA84+AC87-AA87</f>
        <v>422</v>
      </c>
      <c r="AD72" s="167">
        <f>+AD92+AD95+AD98+AD101</f>
        <v>0</v>
      </c>
      <c r="AE72" s="166">
        <f>+AE78-AC78+AE81-AC81+AE84-AC84+AE87-AC87</f>
        <v>464</v>
      </c>
      <c r="AF72" s="167">
        <f>+AF92+AF95+AF98+AF101</f>
        <v>0</v>
      </c>
      <c r="AG72" s="166">
        <f>+AG78-AE78+AG81-AE81+AG84-AE84+AG87-AE87</f>
        <v>312</v>
      </c>
      <c r="AH72" s="167">
        <f>+AH92+AH95+AH98+AH101</f>
        <v>0</v>
      </c>
      <c r="AI72" s="166">
        <f>+AI78-AG78+AI81-AG81+AI84-AG84+AI87-AG87</f>
        <v>245</v>
      </c>
      <c r="AJ72" s="167">
        <f>+AJ92+AJ95+AJ98+AJ101</f>
        <v>0</v>
      </c>
      <c r="AK72" s="166">
        <f>+AK78-AI78+AK81-AI81+AK84-AI84+AK87-AI87</f>
        <v>646</v>
      </c>
      <c r="AL72" s="167">
        <f>+AL92+AL95+AL98+AL101</f>
        <v>0</v>
      </c>
      <c r="AM72" s="166">
        <f>+AM78-AK78+AM81-AK81+AM84-AK84+AM87-AK87</f>
        <v>556</v>
      </c>
      <c r="AN72" s="167">
        <f>+AN92+AN95+AN98+AN101</f>
        <v>479.77</v>
      </c>
      <c r="AO72" s="166">
        <f>+AO78-AM78+AO81-AM81+AO84-AM84+AO87-AM87</f>
        <v>478</v>
      </c>
      <c r="AP72" s="167">
        <f>+AP92+AP95+AP98+AP101</f>
        <v>696.99</v>
      </c>
      <c r="AQ72" s="166">
        <f>+AQ78-AO78+AQ81-AO81+AQ84-AO84+AQ87-AO87</f>
        <v>693</v>
      </c>
      <c r="AR72" s="167">
        <f>+AR92+AR95+AR98+AR101</f>
        <v>660</v>
      </c>
      <c r="AS72" s="166">
        <f>+AS78-AQ78+AS81-AQ81+AS84-AQ84+AS87-AQ87</f>
        <v>656</v>
      </c>
      <c r="AT72" s="167">
        <f>+AT92+AT95+AT98+AT101</f>
        <v>671.99</v>
      </c>
      <c r="AU72" s="166">
        <f>+AU78-AS78+AU81-AS81+AU84-AS84+AU87-AS87</f>
        <v>667</v>
      </c>
      <c r="AV72" s="167">
        <f>+AV92+AV95+AV98+AV101</f>
        <v>350.90999999999997</v>
      </c>
      <c r="AW72" s="166">
        <f>+AW78-AU78+AW81-AU81+AW84-AU84+AW87-AU87</f>
        <v>349</v>
      </c>
      <c r="AX72" s="167">
        <f>+AX92+AX95+AX98+AX101</f>
        <v>491.5</v>
      </c>
      <c r="AY72" s="166">
        <f>+AY78-AW78+AY81-AW81+AY84-AW84+AY87-AW87</f>
        <v>489</v>
      </c>
      <c r="AZ72" s="167">
        <f>+AZ92+AZ95+AZ98+AZ101</f>
        <v>699.17</v>
      </c>
      <c r="BA72" s="166">
        <f>+BA78-AY78+BA81-AY81+BA84-AY84+BA87-AY87</f>
        <v>694</v>
      </c>
      <c r="BB72" s="167">
        <f>+BB92+BB95+BB98+BB101</f>
        <v>0</v>
      </c>
      <c r="BC72" s="166">
        <f>+BC78-BA78+BC81-BA81+BC84-BA84+BC87-BA87</f>
        <v>661</v>
      </c>
      <c r="BD72" s="167">
        <f>+BD92+BD95+BD98+BD101</f>
        <v>0</v>
      </c>
      <c r="BE72" s="166">
        <f>+BE78-BC78+BE81-BC81+BE84-BC84+BE87-BC87</f>
        <v>752</v>
      </c>
      <c r="BF72" s="167">
        <f>+BF92+BF95+BF98+BF101</f>
        <v>0</v>
      </c>
      <c r="BG72" s="166">
        <f>+BG78-BE78+BG81-BE81+BG84-BE84+BG87-BE87</f>
        <v>1039</v>
      </c>
      <c r="BH72" s="167">
        <f>+BH92+BH95+BH98+BH101</f>
        <v>0</v>
      </c>
      <c r="BI72" s="166">
        <f>+BI78-BG78+BI81-BG81+BI84-BG84+BI87-BG87</f>
        <v>817</v>
      </c>
      <c r="BJ72" s="167">
        <f>+BJ92+BJ95+BJ98+BJ101</f>
        <v>0</v>
      </c>
      <c r="BK72" s="166">
        <f>+BK78-BI78+BK81-BI81+BK84-BI84+BK87-BI87</f>
        <v>360</v>
      </c>
      <c r="BL72" s="167">
        <f>+BL92+BL95+BL98+BL101</f>
        <v>0</v>
      </c>
      <c r="BM72" s="166">
        <f>+BM78-BK78+BM81-BK81+BM84-BK84+BM87-BK87</f>
        <v>676</v>
      </c>
      <c r="BN72" s="50"/>
      <c r="BO72" s="170">
        <f t="shared" si="99"/>
        <v>17567</v>
      </c>
      <c r="BP72" s="167">
        <f>+BP92+BP95+BP98+BP101</f>
        <v>0</v>
      </c>
      <c r="BQ72" s="172">
        <f>+BQ78-BM78+BQ81-BM81+BQ84-BM84+BQ87-BM87</f>
        <v>1026</v>
      </c>
    </row>
    <row r="73" spans="1:69" x14ac:dyDescent="0.35">
      <c r="A73" s="137"/>
      <c r="B73" s="138"/>
      <c r="C73" s="139"/>
      <c r="D73" s="189">
        <f t="shared" ref="D73:I73" si="100">SUM(D68:D72)</f>
        <v>1878.9099999999999</v>
      </c>
      <c r="E73" s="177">
        <f t="shared" si="100"/>
        <v>1882</v>
      </c>
      <c r="F73" s="167">
        <f t="shared" si="100"/>
        <v>1086.57</v>
      </c>
      <c r="G73" s="177">
        <f t="shared" si="100"/>
        <v>1086</v>
      </c>
      <c r="H73" s="167">
        <f t="shared" si="100"/>
        <v>2240.04</v>
      </c>
      <c r="I73" s="177">
        <f t="shared" si="100"/>
        <v>2242</v>
      </c>
      <c r="J73" s="167">
        <f t="shared" ref="J73:K73" si="101">SUM(J68:J72)</f>
        <v>2036.9</v>
      </c>
      <c r="K73" s="177">
        <f t="shared" si="101"/>
        <v>2038</v>
      </c>
      <c r="L73" s="167">
        <f t="shared" ref="L73:U73" si="102">SUM(L68:L72)</f>
        <v>1954.72</v>
      </c>
      <c r="M73" s="177">
        <f t="shared" si="102"/>
        <v>1960</v>
      </c>
      <c r="N73" s="167">
        <f t="shared" si="102"/>
        <v>1677.8600000000001</v>
      </c>
      <c r="O73" s="177">
        <f t="shared" si="102"/>
        <v>1505</v>
      </c>
      <c r="P73" s="167">
        <f t="shared" si="102"/>
        <v>1927.9</v>
      </c>
      <c r="Q73" s="177">
        <f t="shared" si="102"/>
        <v>1593</v>
      </c>
      <c r="R73" s="167">
        <f t="shared" si="102"/>
        <v>1638.8</v>
      </c>
      <c r="S73" s="177">
        <f t="shared" si="102"/>
        <v>1460</v>
      </c>
      <c r="T73" s="167">
        <f t="shared" si="102"/>
        <v>1156.33</v>
      </c>
      <c r="U73" s="177">
        <f t="shared" si="102"/>
        <v>980</v>
      </c>
      <c r="V73" s="167">
        <f t="shared" ref="V73:BQ73" si="103">SUM(V68:V72)</f>
        <v>1452.5900000000001</v>
      </c>
      <c r="W73" s="177">
        <f t="shared" si="103"/>
        <v>1386</v>
      </c>
      <c r="X73" s="167">
        <f t="shared" si="103"/>
        <v>1991.08</v>
      </c>
      <c r="Y73" s="177">
        <f t="shared" si="103"/>
        <v>1649</v>
      </c>
      <c r="Z73" s="167">
        <f t="shared" si="103"/>
        <v>1760.79</v>
      </c>
      <c r="AA73" s="177">
        <f t="shared" si="103"/>
        <v>1581</v>
      </c>
      <c r="AB73" s="167">
        <f t="shared" si="103"/>
        <v>0</v>
      </c>
      <c r="AC73" s="177">
        <f t="shared" si="103"/>
        <v>1710</v>
      </c>
      <c r="AD73" s="167">
        <f t="shared" si="103"/>
        <v>0</v>
      </c>
      <c r="AE73" s="177">
        <f t="shared" si="103"/>
        <v>1932</v>
      </c>
      <c r="AF73" s="167">
        <f t="shared" si="103"/>
        <v>0</v>
      </c>
      <c r="AG73" s="177">
        <f t="shared" si="103"/>
        <v>1233</v>
      </c>
      <c r="AH73" s="167">
        <f t="shared" si="103"/>
        <v>0</v>
      </c>
      <c r="AI73" s="177">
        <f t="shared" si="103"/>
        <v>962</v>
      </c>
      <c r="AJ73" s="167">
        <f t="shared" si="103"/>
        <v>0</v>
      </c>
      <c r="AK73" s="177">
        <f t="shared" si="103"/>
        <v>1852</v>
      </c>
      <c r="AL73" s="167">
        <f t="shared" si="103"/>
        <v>0</v>
      </c>
      <c r="AM73" s="177">
        <f t="shared" si="103"/>
        <v>1634</v>
      </c>
      <c r="AN73" s="167">
        <f t="shared" si="103"/>
        <v>1743.91</v>
      </c>
      <c r="AO73" s="177">
        <f t="shared" si="103"/>
        <v>1746</v>
      </c>
      <c r="AP73" s="167">
        <f t="shared" si="103"/>
        <v>1547.94</v>
      </c>
      <c r="AQ73" s="177">
        <f t="shared" si="103"/>
        <v>1543</v>
      </c>
      <c r="AR73" s="167">
        <f t="shared" si="103"/>
        <v>1997.9099999999999</v>
      </c>
      <c r="AS73" s="177">
        <f t="shared" si="103"/>
        <v>1997</v>
      </c>
      <c r="AT73" s="167">
        <f t="shared" si="103"/>
        <v>1598.8700000000001</v>
      </c>
      <c r="AU73" s="177">
        <f t="shared" si="103"/>
        <v>1597</v>
      </c>
      <c r="AV73" s="167">
        <f t="shared" si="103"/>
        <v>963.07999999999993</v>
      </c>
      <c r="AW73" s="177">
        <f t="shared" si="103"/>
        <v>962</v>
      </c>
      <c r="AX73" s="167">
        <f t="shared" si="103"/>
        <v>1402.85</v>
      </c>
      <c r="AY73" s="177">
        <f t="shared" si="103"/>
        <v>1400</v>
      </c>
      <c r="AZ73" s="167">
        <f t="shared" si="103"/>
        <v>2122.5700000000002</v>
      </c>
      <c r="BA73" s="177">
        <f t="shared" si="103"/>
        <v>2122</v>
      </c>
      <c r="BB73" s="167">
        <f t="shared" si="103"/>
        <v>0</v>
      </c>
      <c r="BC73" s="177">
        <f t="shared" si="103"/>
        <v>1480</v>
      </c>
      <c r="BD73" s="167">
        <f t="shared" si="103"/>
        <v>0</v>
      </c>
      <c r="BE73" s="177">
        <f t="shared" si="103"/>
        <v>2203</v>
      </c>
      <c r="BF73" s="167">
        <f t="shared" si="103"/>
        <v>0</v>
      </c>
      <c r="BG73" s="177">
        <f t="shared" si="103"/>
        <v>2220</v>
      </c>
      <c r="BH73" s="167">
        <f t="shared" si="103"/>
        <v>0</v>
      </c>
      <c r="BI73" s="177">
        <f>SUM(BI68:BI72)</f>
        <v>1641</v>
      </c>
      <c r="BJ73" s="167">
        <f t="shared" si="103"/>
        <v>0</v>
      </c>
      <c r="BK73" s="177">
        <f t="shared" si="103"/>
        <v>1108</v>
      </c>
      <c r="BL73" s="167">
        <f t="shared" si="103"/>
        <v>0</v>
      </c>
      <c r="BM73" s="177">
        <f t="shared" si="103"/>
        <v>2060</v>
      </c>
      <c r="BN73" s="92"/>
      <c r="BO73" s="170">
        <f t="shared" si="99"/>
        <v>50764</v>
      </c>
      <c r="BP73" s="167">
        <f t="shared" si="103"/>
        <v>0</v>
      </c>
      <c r="BQ73" s="179">
        <f t="shared" si="103"/>
        <v>-996093</v>
      </c>
    </row>
    <row r="74" spans="1:69" x14ac:dyDescent="0.35">
      <c r="A74" s="53" t="s">
        <v>30</v>
      </c>
      <c r="B74" s="138"/>
      <c r="C74" s="140">
        <v>58819.95</v>
      </c>
      <c r="D74" s="47"/>
      <c r="E74" s="48">
        <v>49879.6</v>
      </c>
      <c r="F74" s="49"/>
      <c r="G74" s="48">
        <v>28886</v>
      </c>
      <c r="H74" s="49"/>
      <c r="I74" s="48">
        <v>59542.75</v>
      </c>
      <c r="J74" s="49"/>
      <c r="K74" s="48">
        <v>54184.800000000003</v>
      </c>
      <c r="L74" s="49"/>
      <c r="M74" s="48">
        <v>52181.95</v>
      </c>
      <c r="N74" s="49"/>
      <c r="O74" s="48">
        <v>43858.85</v>
      </c>
      <c r="P74" s="49"/>
      <c r="Q74" s="48">
        <v>51641.3</v>
      </c>
      <c r="R74" s="49"/>
      <c r="S74" s="48">
        <v>44024.25</v>
      </c>
      <c r="T74" s="49"/>
      <c r="U74" s="48">
        <v>31215.15</v>
      </c>
      <c r="V74" s="49"/>
      <c r="W74" s="48">
        <v>38909.449999999997</v>
      </c>
      <c r="X74" s="49"/>
      <c r="Y74" s="48">
        <v>52982.85</v>
      </c>
      <c r="Z74" s="49"/>
      <c r="AA74" s="48">
        <v>47078.1</v>
      </c>
      <c r="AB74" s="49"/>
      <c r="AC74" s="48">
        <v>50913.2</v>
      </c>
      <c r="AD74" s="49"/>
      <c r="AE74" s="48">
        <v>58721.95</v>
      </c>
      <c r="AF74" s="49"/>
      <c r="AG74" s="48">
        <v>40566.5</v>
      </c>
      <c r="AH74" s="49"/>
      <c r="AI74" s="48">
        <v>28126.1</v>
      </c>
      <c r="AJ74" s="49"/>
      <c r="AK74" s="48">
        <v>52659.15</v>
      </c>
      <c r="AL74" s="49"/>
      <c r="AM74" s="48">
        <v>43876.95</v>
      </c>
      <c r="AN74" s="49"/>
      <c r="AO74" s="48">
        <v>47274.85</v>
      </c>
      <c r="AP74" s="49"/>
      <c r="AQ74" s="48">
        <v>41594.050000000003</v>
      </c>
      <c r="AR74" s="49"/>
      <c r="AS74" s="48">
        <v>54149.3</v>
      </c>
      <c r="AT74" s="49"/>
      <c r="AU74" s="48">
        <v>42734.2</v>
      </c>
      <c r="AV74" s="49"/>
      <c r="AW74" s="48">
        <v>25671.9</v>
      </c>
      <c r="AX74" s="49"/>
      <c r="AY74" s="48">
        <v>37731.050000000003</v>
      </c>
      <c r="AZ74" s="49"/>
      <c r="BA74" s="48">
        <v>57116.6</v>
      </c>
      <c r="BB74" s="49"/>
      <c r="BC74" s="48">
        <v>39536.949999999997</v>
      </c>
      <c r="BD74" s="49"/>
      <c r="BE74" s="48">
        <v>59444.75</v>
      </c>
      <c r="BF74" s="49"/>
      <c r="BG74" s="48">
        <v>70536.25</v>
      </c>
      <c r="BH74" s="49"/>
      <c r="BI74" s="48">
        <v>48678.6</v>
      </c>
      <c r="BJ74" s="49"/>
      <c r="BK74" s="48">
        <v>35987.050000000003</v>
      </c>
      <c r="BL74" s="49"/>
      <c r="BM74" s="48">
        <v>62264.6</v>
      </c>
      <c r="BN74" s="50"/>
      <c r="BO74" s="170">
        <f t="shared" si="99"/>
        <v>1451969.0500000003</v>
      </c>
      <c r="BP74" s="49"/>
      <c r="BQ74" s="88">
        <v>156265.25</v>
      </c>
    </row>
    <row r="75" spans="1:69" x14ac:dyDescent="0.35">
      <c r="A75" s="98" t="s">
        <v>31</v>
      </c>
      <c r="B75" s="138"/>
      <c r="C75" s="139">
        <v>1373.41</v>
      </c>
      <c r="D75" s="47"/>
      <c r="E75" s="177">
        <f>+E57-E74</f>
        <v>9660.9599999999991</v>
      </c>
      <c r="F75" s="49"/>
      <c r="G75" s="177">
        <f>+G57-G74</f>
        <v>6603.8600000000006</v>
      </c>
      <c r="H75" s="49"/>
      <c r="I75" s="177">
        <f>+I57-I74</f>
        <v>9585.9400000000023</v>
      </c>
      <c r="J75" s="49"/>
      <c r="K75" s="177">
        <f>+K57-K74</f>
        <v>10807.169999999998</v>
      </c>
      <c r="L75" s="49"/>
      <c r="M75" s="177">
        <f>+M57-M74</f>
        <v>9242.820000000007</v>
      </c>
      <c r="N75" s="49"/>
      <c r="O75" s="177">
        <f>+O57-O74</f>
        <v>9612.0400000000009</v>
      </c>
      <c r="P75" s="49"/>
      <c r="Q75" s="177">
        <f>+Q57-Q74</f>
        <v>11923.71</v>
      </c>
      <c r="R75" s="49"/>
      <c r="S75" s="177">
        <f>+S57-S74</f>
        <v>11776.900000000001</v>
      </c>
      <c r="T75" s="49"/>
      <c r="U75" s="177">
        <f>+U57-U74</f>
        <v>7473.7099999999991</v>
      </c>
      <c r="V75" s="49"/>
      <c r="W75" s="177">
        <f>+W57-W74</f>
        <v>8859.9100000000035</v>
      </c>
      <c r="X75" s="49"/>
      <c r="Y75" s="177">
        <f>+Y57-Y74</f>
        <v>7056.9700000000012</v>
      </c>
      <c r="Z75" s="49"/>
      <c r="AA75" s="177">
        <f>+AA57-AA74</f>
        <v>8641.14</v>
      </c>
      <c r="AB75" s="49"/>
      <c r="AC75" s="177">
        <f>+AC57-AC74</f>
        <v>9951.510000000002</v>
      </c>
      <c r="AD75" s="49"/>
      <c r="AE75" s="177">
        <f>+AE57-AE74</f>
        <v>10260.260000000009</v>
      </c>
      <c r="AF75" s="49"/>
      <c r="AG75" s="177">
        <f>+AG57-AG74</f>
        <v>9509.5599999999977</v>
      </c>
      <c r="AH75" s="49"/>
      <c r="AI75" s="177">
        <f>+AI57-AI74</f>
        <v>5819.760000000002</v>
      </c>
      <c r="AJ75" s="49"/>
      <c r="AK75" s="177">
        <f>+AK57-AK74</f>
        <v>9362.8499999999985</v>
      </c>
      <c r="AL75" s="49"/>
      <c r="AM75" s="177">
        <f>+AM57-AM74</f>
        <v>9158.68</v>
      </c>
      <c r="AN75" s="49"/>
      <c r="AO75" s="177">
        <f>+AO57-AO74</f>
        <v>9293.7700000000041</v>
      </c>
      <c r="AP75" s="49"/>
      <c r="AQ75" s="177">
        <f>+AQ57-AQ74</f>
        <v>9483.1299999999974</v>
      </c>
      <c r="AR75" s="49"/>
      <c r="AS75" s="177">
        <f>+AS57-AS74</f>
        <v>11931.970000000001</v>
      </c>
      <c r="AT75" s="49"/>
      <c r="AU75" s="177">
        <f>+AU57-AU74</f>
        <v>10245.470000000001</v>
      </c>
      <c r="AV75" s="49"/>
      <c r="AW75" s="177">
        <f>+AW57-AW74</f>
        <v>8014.5400000000009</v>
      </c>
      <c r="AX75" s="49"/>
      <c r="AY75" s="177">
        <f>+AY57-AY74</f>
        <v>8636.3699999999953</v>
      </c>
      <c r="AZ75" s="49"/>
      <c r="BA75" s="177">
        <f>+BA57-BA74</f>
        <v>8552.4399999999951</v>
      </c>
      <c r="BB75" s="49"/>
      <c r="BC75" s="177">
        <f>+BC57-BC74</f>
        <v>9634.9600000000064</v>
      </c>
      <c r="BD75" s="49"/>
      <c r="BE75" s="177">
        <f>+BE57-BE74</f>
        <v>10265.37000000001</v>
      </c>
      <c r="BF75" s="49"/>
      <c r="BG75" s="177">
        <f>+BG57-BG74</f>
        <v>14529.259999999995</v>
      </c>
      <c r="BH75" s="49"/>
      <c r="BI75" s="177">
        <f>+BI57-BI74</f>
        <v>10343</v>
      </c>
      <c r="BJ75" s="49"/>
      <c r="BK75" s="177">
        <f>+BK57-BK74</f>
        <v>9687.8999999999942</v>
      </c>
      <c r="BL75" s="49"/>
      <c r="BM75" s="177">
        <f>+BM57-BM74</f>
        <v>13972.349999999999</v>
      </c>
      <c r="BN75" s="92"/>
      <c r="BO75" s="170">
        <f t="shared" si="99"/>
        <v>299898.28000000003</v>
      </c>
      <c r="BP75" s="49"/>
      <c r="BQ75" s="179">
        <f>+BQ57-BQ74</f>
        <v>10473.010000000009</v>
      </c>
    </row>
    <row r="76" spans="1:69" ht="28.9" customHeight="1" x14ac:dyDescent="0.35">
      <c r="A76" s="74" t="s">
        <v>92</v>
      </c>
      <c r="B76" s="75"/>
      <c r="C76" s="141"/>
      <c r="D76" s="102"/>
      <c r="E76" s="142"/>
      <c r="F76" s="104"/>
      <c r="G76" s="142"/>
      <c r="H76" s="104"/>
      <c r="I76" s="142"/>
      <c r="J76" s="104"/>
      <c r="K76" s="142"/>
      <c r="L76" s="104"/>
      <c r="M76" s="142"/>
      <c r="N76" s="104"/>
      <c r="O76" s="142"/>
      <c r="P76" s="104"/>
      <c r="Q76" s="142"/>
      <c r="R76" s="104"/>
      <c r="S76" s="142"/>
      <c r="T76" s="104"/>
      <c r="U76" s="142"/>
      <c r="V76" s="104"/>
      <c r="W76" s="142"/>
      <c r="X76" s="104"/>
      <c r="Y76" s="142"/>
      <c r="Z76" s="104"/>
      <c r="AA76" s="142"/>
      <c r="AB76" s="104"/>
      <c r="AC76" s="142"/>
      <c r="AD76" s="104"/>
      <c r="AE76" s="142"/>
      <c r="AF76" s="104"/>
      <c r="AG76" s="142"/>
      <c r="AH76" s="104"/>
      <c r="AI76" s="142"/>
      <c r="AJ76" s="104"/>
      <c r="AK76" s="142"/>
      <c r="AL76" s="104"/>
      <c r="AM76" s="142"/>
      <c r="AN76" s="104"/>
      <c r="AO76" s="142"/>
      <c r="AP76" s="104"/>
      <c r="AQ76" s="142"/>
      <c r="AR76" s="104"/>
      <c r="AS76" s="142"/>
      <c r="AT76" s="104"/>
      <c r="AU76" s="142"/>
      <c r="AV76" s="104"/>
      <c r="AW76" s="142"/>
      <c r="AX76" s="104"/>
      <c r="AY76" s="142"/>
      <c r="AZ76" s="104"/>
      <c r="BA76" s="142"/>
      <c r="BB76" s="104"/>
      <c r="BC76" s="142"/>
      <c r="BD76" s="104"/>
      <c r="BE76" s="142"/>
      <c r="BF76" s="104"/>
      <c r="BG76" s="142"/>
      <c r="BH76" s="104"/>
      <c r="BI76" s="142"/>
      <c r="BJ76" s="104"/>
      <c r="BK76" s="142"/>
      <c r="BL76" s="104"/>
      <c r="BM76" s="142"/>
      <c r="BN76" s="105"/>
      <c r="BO76" s="106"/>
      <c r="BP76" s="104"/>
      <c r="BQ76" s="107"/>
    </row>
    <row r="77" spans="1:69" x14ac:dyDescent="0.35">
      <c r="A77" s="132" t="s">
        <v>75</v>
      </c>
      <c r="B77" s="54" t="s">
        <v>65</v>
      </c>
      <c r="C77" s="84">
        <v>994091</v>
      </c>
      <c r="D77" s="189">
        <f t="shared" ref="D77:D104" si="104">+E77-C77</f>
        <v>96</v>
      </c>
      <c r="E77" s="86">
        <v>994187</v>
      </c>
      <c r="F77" s="167">
        <f t="shared" ref="F77:F104" si="105">+G77-E77</f>
        <v>94</v>
      </c>
      <c r="G77" s="86">
        <v>994281</v>
      </c>
      <c r="H77" s="167">
        <f t="shared" ref="H77:H104" si="106">+I77-G77</f>
        <v>273</v>
      </c>
      <c r="I77" s="86">
        <v>994554</v>
      </c>
      <c r="J77" s="167">
        <f t="shared" ref="J77:J104" si="107">+K77-I77</f>
        <v>254</v>
      </c>
      <c r="K77" s="86">
        <v>994808</v>
      </c>
      <c r="L77" s="167">
        <f t="shared" ref="L77:L89" si="108">+M77-K77</f>
        <v>131</v>
      </c>
      <c r="M77" s="86">
        <v>994939</v>
      </c>
      <c r="N77" s="167">
        <f t="shared" ref="N77:N89" si="109">+O77-M77</f>
        <v>80</v>
      </c>
      <c r="O77" s="86">
        <v>995019</v>
      </c>
      <c r="P77" s="167">
        <f t="shared" ref="P77:P89" si="110">+Q77-O77</f>
        <v>256</v>
      </c>
      <c r="Q77" s="86">
        <v>995275</v>
      </c>
      <c r="R77" s="167">
        <f t="shared" ref="R77:R89" si="111">+S77-Q77</f>
        <v>134</v>
      </c>
      <c r="S77" s="86">
        <v>995409</v>
      </c>
      <c r="T77" s="167">
        <f t="shared" ref="T77:T89" si="112">+U77-S77</f>
        <v>91</v>
      </c>
      <c r="U77" s="86">
        <v>995500</v>
      </c>
      <c r="V77" s="167">
        <f t="shared" ref="V77:V89" si="113">+W77-U77</f>
        <v>225</v>
      </c>
      <c r="W77" s="86">
        <v>995725</v>
      </c>
      <c r="X77" s="167">
        <f t="shared" ref="X77:X89" si="114">+Y77-W77</f>
        <v>96</v>
      </c>
      <c r="Y77" s="86">
        <v>995821</v>
      </c>
      <c r="Z77" s="167">
        <f t="shared" ref="Z77:Z89" si="115">+AA77-Y77</f>
        <v>80</v>
      </c>
      <c r="AA77" s="86">
        <v>995901</v>
      </c>
      <c r="AB77" s="167">
        <f t="shared" ref="AB77:AB89" si="116">+AC77-AA77</f>
        <v>270</v>
      </c>
      <c r="AC77" s="86">
        <v>996171</v>
      </c>
      <c r="AD77" s="167">
        <f t="shared" ref="AD77:AD89" si="117">+AE77-AC77</f>
        <v>305</v>
      </c>
      <c r="AE77" s="86">
        <v>996476</v>
      </c>
      <c r="AF77" s="167">
        <f t="shared" ref="AF77:AF89" si="118">+AG77-AE77</f>
        <v>61</v>
      </c>
      <c r="AG77" s="86">
        <v>996537</v>
      </c>
      <c r="AH77" s="167">
        <f t="shared" ref="AH77:AH89" si="119">+AI77-AG77</f>
        <v>134</v>
      </c>
      <c r="AI77" s="86">
        <v>996671</v>
      </c>
      <c r="AJ77" s="167">
        <f t="shared" ref="AJ77:AJ89" si="120">+AK77-AI77</f>
        <v>162</v>
      </c>
      <c r="AK77" s="86">
        <v>996833</v>
      </c>
      <c r="AL77" s="167">
        <f t="shared" ref="AL77:AL89" si="121">+AM77-AK77</f>
        <v>128</v>
      </c>
      <c r="AM77" s="86">
        <v>996961</v>
      </c>
      <c r="AN77" s="167">
        <f t="shared" ref="AN77:AN89" si="122">+AO77-AM77</f>
        <v>287</v>
      </c>
      <c r="AO77" s="86">
        <v>997248</v>
      </c>
      <c r="AP77" s="167">
        <f t="shared" ref="AP77:AP89" si="123">+AQ77-AO77</f>
        <v>116</v>
      </c>
      <c r="AQ77" s="86">
        <v>997364</v>
      </c>
      <c r="AR77" s="167">
        <f t="shared" ref="AR77:AR89" si="124">+AS77-AQ77</f>
        <v>274</v>
      </c>
      <c r="AS77" s="86">
        <v>997638</v>
      </c>
      <c r="AT77" s="167">
        <f t="shared" ref="AT77:AT89" si="125">+AU77-AS77</f>
        <v>63</v>
      </c>
      <c r="AU77" s="86">
        <v>997701</v>
      </c>
      <c r="AV77" s="167">
        <f t="shared" ref="AV77:AV89" si="126">+AW77-AU77</f>
        <v>48</v>
      </c>
      <c r="AW77" s="86">
        <v>997749</v>
      </c>
      <c r="AX77" s="167">
        <f t="shared" ref="AX77:AX89" si="127">+AY77-AW77</f>
        <v>133</v>
      </c>
      <c r="AY77" s="86">
        <v>997882</v>
      </c>
      <c r="AZ77" s="167">
        <f t="shared" ref="AZ77:AZ89" si="128">+BA77-AY77</f>
        <v>140</v>
      </c>
      <c r="BA77" s="86">
        <v>998022</v>
      </c>
      <c r="BB77" s="167">
        <f t="shared" ref="BB77:BB89" si="129">+BC77-BA77</f>
        <v>211</v>
      </c>
      <c r="BC77" s="86">
        <v>998233</v>
      </c>
      <c r="BD77" s="167">
        <f t="shared" ref="BD77:BD89" si="130">+BE77-BC77</f>
        <v>169</v>
      </c>
      <c r="BE77" s="86">
        <v>998402</v>
      </c>
      <c r="BF77" s="167">
        <f t="shared" ref="BF77:BF89" si="131">+BG77-BE77</f>
        <v>389</v>
      </c>
      <c r="BG77" s="86">
        <v>998791</v>
      </c>
      <c r="BH77" s="167">
        <f t="shared" ref="BH77:BH89" si="132">+BI77-BG77</f>
        <v>262</v>
      </c>
      <c r="BI77" s="86">
        <v>999053</v>
      </c>
      <c r="BJ77" s="167">
        <f t="shared" ref="BJ77:BJ89" si="133">+BK77-BI77</f>
        <v>314</v>
      </c>
      <c r="BK77" s="86">
        <v>999367</v>
      </c>
      <c r="BL77" s="167">
        <f t="shared" ref="BL77:BL89" si="134">+BM77-BK77</f>
        <v>203</v>
      </c>
      <c r="BM77" s="86">
        <v>999570</v>
      </c>
      <c r="BN77" s="50"/>
      <c r="BO77" s="170">
        <f t="shared" ref="BO77:BO88" si="135">IF(COUNT(D77,F77,H77,J77,L77,N77,P77,R77,T77,V77,X77,Z77,AB77,AD77,AF77,AH77,AJ77,AL77,AN77,AP77,AR77,AT77,AV77,AX77,AZ77,BB77,BD77,BF77,BH77,BJ77,BL77)=0,"",SUM(D77,F77,H77,J77,L77,N77,P77,R77,T77,V77,X77,Z77,AB77,AD77,AF77,AH77,AJ77,AL77,AN77,AP77,AR77,AT77,AV77,AX77,AZ77,BB77,BD77,BF77,BH77,BJ77,BL77))</f>
        <v>5479</v>
      </c>
      <c r="BP77" s="193">
        <f>+BQ77-BM77</f>
        <v>-999433</v>
      </c>
      <c r="BQ77" s="143">
        <v>137</v>
      </c>
    </row>
    <row r="78" spans="1:69" x14ac:dyDescent="0.35">
      <c r="A78" s="136" t="s">
        <v>76</v>
      </c>
      <c r="B78" s="54" t="s">
        <v>66</v>
      </c>
      <c r="C78" s="84">
        <v>715944</v>
      </c>
      <c r="D78" s="189">
        <f t="shared" si="104"/>
        <v>181</v>
      </c>
      <c r="E78" s="86">
        <v>716125</v>
      </c>
      <c r="F78" s="167">
        <f t="shared" si="105"/>
        <v>141</v>
      </c>
      <c r="G78" s="86">
        <v>716266</v>
      </c>
      <c r="H78" s="167">
        <f t="shared" si="106"/>
        <v>191</v>
      </c>
      <c r="I78" s="86">
        <v>716457</v>
      </c>
      <c r="J78" s="167">
        <f t="shared" si="107"/>
        <v>125</v>
      </c>
      <c r="K78" s="86">
        <v>716582</v>
      </c>
      <c r="L78" s="167">
        <f t="shared" si="108"/>
        <v>273</v>
      </c>
      <c r="M78" s="86">
        <v>716855</v>
      </c>
      <c r="N78" s="167">
        <f t="shared" si="109"/>
        <v>36</v>
      </c>
      <c r="O78" s="86">
        <v>716891</v>
      </c>
      <c r="P78" s="167">
        <f t="shared" si="110"/>
        <v>0</v>
      </c>
      <c r="Q78" s="86">
        <v>716891</v>
      </c>
      <c r="R78" s="167">
        <f t="shared" si="111"/>
        <v>0</v>
      </c>
      <c r="S78" s="86">
        <v>716891</v>
      </c>
      <c r="T78" s="167">
        <f t="shared" si="112"/>
        <v>0</v>
      </c>
      <c r="U78" s="86">
        <v>716891</v>
      </c>
      <c r="V78" s="167">
        <f t="shared" si="113"/>
        <v>0</v>
      </c>
      <c r="W78" s="86">
        <v>716891</v>
      </c>
      <c r="X78" s="167">
        <f t="shared" si="114"/>
        <v>0</v>
      </c>
      <c r="Y78" s="86">
        <v>716891</v>
      </c>
      <c r="Z78" s="167">
        <f t="shared" si="115"/>
        <v>0</v>
      </c>
      <c r="AA78" s="86">
        <v>716891</v>
      </c>
      <c r="AB78" s="167">
        <f t="shared" si="116"/>
        <v>0</v>
      </c>
      <c r="AC78" s="86">
        <v>716891</v>
      </c>
      <c r="AD78" s="167">
        <f t="shared" si="117"/>
        <v>0</v>
      </c>
      <c r="AE78" s="86">
        <v>716891</v>
      </c>
      <c r="AF78" s="167">
        <f t="shared" si="118"/>
        <v>0</v>
      </c>
      <c r="AG78" s="86">
        <v>716891</v>
      </c>
      <c r="AH78" s="167">
        <f t="shared" si="119"/>
        <v>0</v>
      </c>
      <c r="AI78" s="86">
        <v>716891</v>
      </c>
      <c r="AJ78" s="167">
        <f t="shared" si="120"/>
        <v>176</v>
      </c>
      <c r="AK78" s="86">
        <v>717067</v>
      </c>
      <c r="AL78" s="167">
        <f t="shared" si="121"/>
        <v>147</v>
      </c>
      <c r="AM78" s="86">
        <v>717214</v>
      </c>
      <c r="AN78" s="167">
        <f t="shared" si="122"/>
        <v>142</v>
      </c>
      <c r="AO78" s="86">
        <v>717356</v>
      </c>
      <c r="AP78" s="167">
        <f t="shared" si="123"/>
        <v>144</v>
      </c>
      <c r="AQ78" s="86">
        <v>717500</v>
      </c>
      <c r="AR78" s="167">
        <f t="shared" si="124"/>
        <v>241</v>
      </c>
      <c r="AS78" s="86">
        <v>717741</v>
      </c>
      <c r="AT78" s="167">
        <f t="shared" si="125"/>
        <v>150</v>
      </c>
      <c r="AU78" s="86">
        <v>717891</v>
      </c>
      <c r="AV78" s="167">
        <f t="shared" si="126"/>
        <v>69</v>
      </c>
      <c r="AW78" s="86">
        <v>717960</v>
      </c>
      <c r="AX78" s="167">
        <f t="shared" si="127"/>
        <v>184</v>
      </c>
      <c r="AY78" s="86">
        <v>718144</v>
      </c>
      <c r="AZ78" s="167">
        <f t="shared" si="128"/>
        <v>120</v>
      </c>
      <c r="BA78" s="86">
        <v>718264</v>
      </c>
      <c r="BB78" s="167">
        <f t="shared" si="129"/>
        <v>137</v>
      </c>
      <c r="BC78" s="86">
        <v>718401</v>
      </c>
      <c r="BD78" s="167">
        <f t="shared" si="130"/>
        <v>310</v>
      </c>
      <c r="BE78" s="86">
        <v>718711</v>
      </c>
      <c r="BF78" s="167">
        <f t="shared" si="131"/>
        <v>220</v>
      </c>
      <c r="BG78" s="86">
        <v>718931</v>
      </c>
      <c r="BH78" s="167">
        <f t="shared" si="132"/>
        <v>179</v>
      </c>
      <c r="BI78" s="86">
        <v>719110</v>
      </c>
      <c r="BJ78" s="167">
        <f t="shared" si="133"/>
        <v>83</v>
      </c>
      <c r="BK78" s="86">
        <v>719193</v>
      </c>
      <c r="BL78" s="167">
        <f t="shared" si="134"/>
        <v>149</v>
      </c>
      <c r="BM78" s="86">
        <v>719342</v>
      </c>
      <c r="BN78" s="50"/>
      <c r="BO78" s="170">
        <f t="shared" si="135"/>
        <v>3398</v>
      </c>
      <c r="BP78" s="167">
        <f t="shared" ref="BP78:BP89" si="136">+BQ78-BM78</f>
        <v>268</v>
      </c>
      <c r="BQ78" s="88">
        <v>719610</v>
      </c>
    </row>
    <row r="79" spans="1:69" x14ac:dyDescent="0.35">
      <c r="A79" s="134" t="s">
        <v>77</v>
      </c>
      <c r="B79" s="54" t="s">
        <v>67</v>
      </c>
      <c r="C79" s="84">
        <v>829166</v>
      </c>
      <c r="D79" s="189">
        <f t="shared" si="104"/>
        <v>101</v>
      </c>
      <c r="E79" s="86">
        <v>829267</v>
      </c>
      <c r="F79" s="167">
        <f t="shared" si="105"/>
        <v>8</v>
      </c>
      <c r="G79" s="86">
        <v>829275</v>
      </c>
      <c r="H79" s="167">
        <f t="shared" si="106"/>
        <v>112</v>
      </c>
      <c r="I79" s="86">
        <v>829387</v>
      </c>
      <c r="J79" s="167">
        <f t="shared" si="107"/>
        <v>108</v>
      </c>
      <c r="K79" s="86">
        <v>829495</v>
      </c>
      <c r="L79" s="167">
        <f t="shared" si="108"/>
        <v>132</v>
      </c>
      <c r="M79" s="86">
        <v>829627</v>
      </c>
      <c r="N79" s="167">
        <f t="shared" si="109"/>
        <v>98</v>
      </c>
      <c r="O79" s="86">
        <v>829725</v>
      </c>
      <c r="P79" s="167">
        <f t="shared" si="110"/>
        <v>41</v>
      </c>
      <c r="Q79" s="86">
        <v>829766</v>
      </c>
      <c r="R79" s="167">
        <f t="shared" si="111"/>
        <v>84</v>
      </c>
      <c r="S79" s="86">
        <v>829850</v>
      </c>
      <c r="T79" s="167">
        <f t="shared" si="112"/>
        <v>36</v>
      </c>
      <c r="U79" s="86">
        <v>829886</v>
      </c>
      <c r="V79" s="167">
        <f t="shared" si="113"/>
        <v>114</v>
      </c>
      <c r="W79" s="86">
        <v>830000</v>
      </c>
      <c r="X79" s="167">
        <f t="shared" si="114"/>
        <v>211</v>
      </c>
      <c r="Y79" s="86">
        <v>830211</v>
      </c>
      <c r="Z79" s="167">
        <f t="shared" si="115"/>
        <v>53</v>
      </c>
      <c r="AA79" s="86">
        <v>830264</v>
      </c>
      <c r="AB79" s="167">
        <f t="shared" si="116"/>
        <v>100</v>
      </c>
      <c r="AC79" s="86">
        <v>830364</v>
      </c>
      <c r="AD79" s="167">
        <f t="shared" si="117"/>
        <v>54</v>
      </c>
      <c r="AE79" s="86">
        <v>830418</v>
      </c>
      <c r="AF79" s="167">
        <f t="shared" si="118"/>
        <v>21</v>
      </c>
      <c r="AG79" s="86">
        <v>830439</v>
      </c>
      <c r="AH79" s="167">
        <f t="shared" si="119"/>
        <v>20</v>
      </c>
      <c r="AI79" s="86">
        <v>830459</v>
      </c>
      <c r="AJ79" s="167">
        <f t="shared" si="120"/>
        <v>87</v>
      </c>
      <c r="AK79" s="86">
        <v>830546</v>
      </c>
      <c r="AL79" s="167">
        <f t="shared" si="121"/>
        <v>86</v>
      </c>
      <c r="AM79" s="86">
        <v>830632</v>
      </c>
      <c r="AN79" s="167">
        <f t="shared" si="122"/>
        <v>89</v>
      </c>
      <c r="AO79" s="86">
        <v>830721</v>
      </c>
      <c r="AP79" s="167">
        <f t="shared" si="123"/>
        <v>12</v>
      </c>
      <c r="AQ79" s="86">
        <v>830733</v>
      </c>
      <c r="AR79" s="167">
        <f t="shared" si="124"/>
        <v>25</v>
      </c>
      <c r="AS79" s="86">
        <v>830758</v>
      </c>
      <c r="AT79" s="167">
        <f t="shared" si="125"/>
        <v>28</v>
      </c>
      <c r="AU79" s="86">
        <v>830786</v>
      </c>
      <c r="AV79" s="167">
        <f t="shared" si="126"/>
        <v>106</v>
      </c>
      <c r="AW79" s="86">
        <v>830892</v>
      </c>
      <c r="AX79" s="167">
        <f t="shared" si="127"/>
        <v>81</v>
      </c>
      <c r="AY79" s="86">
        <v>830973</v>
      </c>
      <c r="AZ79" s="167">
        <f t="shared" si="128"/>
        <v>179</v>
      </c>
      <c r="BA79" s="86">
        <v>831152</v>
      </c>
      <c r="BB79" s="167">
        <f t="shared" si="129"/>
        <v>61</v>
      </c>
      <c r="BC79" s="86">
        <v>831213</v>
      </c>
      <c r="BD79" s="167">
        <f t="shared" si="130"/>
        <v>110</v>
      </c>
      <c r="BE79" s="86">
        <v>831323</v>
      </c>
      <c r="BF79" s="167">
        <f t="shared" si="131"/>
        <v>103</v>
      </c>
      <c r="BG79" s="86">
        <v>831426</v>
      </c>
      <c r="BH79" s="167">
        <f t="shared" si="132"/>
        <v>65</v>
      </c>
      <c r="BI79" s="86">
        <v>831491</v>
      </c>
      <c r="BJ79" s="167">
        <f t="shared" si="133"/>
        <v>54</v>
      </c>
      <c r="BK79" s="86">
        <v>831545</v>
      </c>
      <c r="BL79" s="167">
        <f t="shared" si="134"/>
        <v>54</v>
      </c>
      <c r="BM79" s="86">
        <v>831599</v>
      </c>
      <c r="BN79" s="50"/>
      <c r="BO79" s="170">
        <f t="shared" si="135"/>
        <v>2433</v>
      </c>
      <c r="BP79" s="167">
        <f t="shared" si="136"/>
        <v>31</v>
      </c>
      <c r="BQ79" s="88">
        <v>831630</v>
      </c>
    </row>
    <row r="80" spans="1:69" x14ac:dyDescent="0.35">
      <c r="A80" s="132" t="s">
        <v>78</v>
      </c>
      <c r="B80" s="54" t="s">
        <v>65</v>
      </c>
      <c r="C80" s="84">
        <v>16221</v>
      </c>
      <c r="D80" s="189">
        <f t="shared" si="104"/>
        <v>265</v>
      </c>
      <c r="E80" s="86">
        <v>16486</v>
      </c>
      <c r="F80" s="167">
        <f t="shared" si="105"/>
        <v>58</v>
      </c>
      <c r="G80" s="86">
        <v>16544</v>
      </c>
      <c r="H80" s="167">
        <f t="shared" si="106"/>
        <v>262</v>
      </c>
      <c r="I80" s="86">
        <v>16806</v>
      </c>
      <c r="J80" s="167">
        <f t="shared" si="107"/>
        <v>260</v>
      </c>
      <c r="K80" s="86">
        <v>17066</v>
      </c>
      <c r="L80" s="167">
        <f t="shared" si="108"/>
        <v>373</v>
      </c>
      <c r="M80" s="86">
        <v>17439</v>
      </c>
      <c r="N80" s="167">
        <f t="shared" si="109"/>
        <v>154</v>
      </c>
      <c r="O80" s="86">
        <v>17593</v>
      </c>
      <c r="P80" s="167">
        <f t="shared" si="110"/>
        <v>236</v>
      </c>
      <c r="Q80" s="86">
        <v>17829</v>
      </c>
      <c r="R80" s="167">
        <f t="shared" si="111"/>
        <v>311</v>
      </c>
      <c r="S80" s="86">
        <v>18140</v>
      </c>
      <c r="T80" s="167">
        <f t="shared" si="112"/>
        <v>161</v>
      </c>
      <c r="U80" s="86">
        <v>18301</v>
      </c>
      <c r="V80" s="167">
        <f t="shared" si="113"/>
        <v>45</v>
      </c>
      <c r="W80" s="86">
        <v>18346</v>
      </c>
      <c r="X80" s="167">
        <f t="shared" si="114"/>
        <v>126</v>
      </c>
      <c r="Y80" s="86">
        <v>18472</v>
      </c>
      <c r="Z80" s="167">
        <f t="shared" si="115"/>
        <v>351</v>
      </c>
      <c r="AA80" s="86">
        <v>18823</v>
      </c>
      <c r="AB80" s="167">
        <f t="shared" si="116"/>
        <v>208</v>
      </c>
      <c r="AC80" s="86">
        <v>19031</v>
      </c>
      <c r="AD80" s="167">
        <f t="shared" si="117"/>
        <v>297</v>
      </c>
      <c r="AE80" s="86">
        <v>19328</v>
      </c>
      <c r="AF80" s="167">
        <f t="shared" si="118"/>
        <v>182</v>
      </c>
      <c r="AG80" s="86">
        <v>19510</v>
      </c>
      <c r="AH80" s="167">
        <f t="shared" si="119"/>
        <v>129</v>
      </c>
      <c r="AI80" s="86">
        <v>19639</v>
      </c>
      <c r="AJ80" s="167">
        <f t="shared" si="120"/>
        <v>275</v>
      </c>
      <c r="AK80" s="86">
        <v>19914</v>
      </c>
      <c r="AL80" s="167">
        <f t="shared" si="121"/>
        <v>227</v>
      </c>
      <c r="AM80" s="86">
        <v>20141</v>
      </c>
      <c r="AN80" s="167">
        <f t="shared" si="122"/>
        <v>287</v>
      </c>
      <c r="AO80" s="86">
        <v>20428</v>
      </c>
      <c r="AP80" s="167">
        <f t="shared" si="123"/>
        <v>322</v>
      </c>
      <c r="AQ80" s="86">
        <v>20750</v>
      </c>
      <c r="AR80" s="167">
        <f t="shared" si="124"/>
        <v>246</v>
      </c>
      <c r="AS80" s="86">
        <v>20996</v>
      </c>
      <c r="AT80" s="167">
        <f t="shared" si="125"/>
        <v>188</v>
      </c>
      <c r="AU80" s="86">
        <v>21184</v>
      </c>
      <c r="AV80" s="167">
        <f t="shared" si="126"/>
        <v>21</v>
      </c>
      <c r="AW80" s="86">
        <v>21205</v>
      </c>
      <c r="AX80" s="167">
        <f t="shared" si="127"/>
        <v>72</v>
      </c>
      <c r="AY80" s="86">
        <v>21277</v>
      </c>
      <c r="AZ80" s="167">
        <f t="shared" si="128"/>
        <v>560</v>
      </c>
      <c r="BA80" s="86">
        <v>21837</v>
      </c>
      <c r="BB80" s="167">
        <f t="shared" si="129"/>
        <v>144</v>
      </c>
      <c r="BC80" s="86">
        <v>21981</v>
      </c>
      <c r="BD80" s="167">
        <f t="shared" si="130"/>
        <v>278</v>
      </c>
      <c r="BE80" s="86">
        <v>22259</v>
      </c>
      <c r="BF80" s="167">
        <f t="shared" si="131"/>
        <v>245</v>
      </c>
      <c r="BG80" s="86">
        <v>22504</v>
      </c>
      <c r="BH80" s="167">
        <f t="shared" si="132"/>
        <v>211</v>
      </c>
      <c r="BI80" s="86">
        <v>22715</v>
      </c>
      <c r="BJ80" s="167">
        <f t="shared" si="133"/>
        <v>80</v>
      </c>
      <c r="BK80" s="86">
        <v>22795</v>
      </c>
      <c r="BL80" s="167">
        <f t="shared" si="134"/>
        <v>360</v>
      </c>
      <c r="BM80" s="86">
        <v>23155</v>
      </c>
      <c r="BN80" s="50"/>
      <c r="BO80" s="170">
        <f t="shared" si="135"/>
        <v>6934</v>
      </c>
      <c r="BP80" s="167">
        <f t="shared" si="136"/>
        <v>1011</v>
      </c>
      <c r="BQ80" s="88">
        <v>24166</v>
      </c>
    </row>
    <row r="81" spans="1:69" x14ac:dyDescent="0.35">
      <c r="A81" s="136" t="s">
        <v>79</v>
      </c>
      <c r="B81" s="54" t="s">
        <v>66</v>
      </c>
      <c r="C81" s="84">
        <v>737209</v>
      </c>
      <c r="D81" s="189">
        <f t="shared" si="104"/>
        <v>153</v>
      </c>
      <c r="E81" s="86">
        <v>737362</v>
      </c>
      <c r="F81" s="167">
        <f t="shared" si="105"/>
        <v>115</v>
      </c>
      <c r="G81" s="86">
        <v>737477</v>
      </c>
      <c r="H81" s="167">
        <f t="shared" si="106"/>
        <v>198</v>
      </c>
      <c r="I81" s="86">
        <v>737675</v>
      </c>
      <c r="J81" s="167">
        <f t="shared" si="107"/>
        <v>228</v>
      </c>
      <c r="K81" s="86">
        <v>737903</v>
      </c>
      <c r="L81" s="167">
        <f t="shared" si="108"/>
        <v>164</v>
      </c>
      <c r="M81" s="86">
        <v>738067</v>
      </c>
      <c r="N81" s="167">
        <f t="shared" si="109"/>
        <v>204</v>
      </c>
      <c r="O81" s="86">
        <v>738271</v>
      </c>
      <c r="P81" s="167">
        <f t="shared" si="110"/>
        <v>248</v>
      </c>
      <c r="Q81" s="86">
        <v>738519</v>
      </c>
      <c r="R81" s="167">
        <f t="shared" si="111"/>
        <v>148</v>
      </c>
      <c r="S81" s="86">
        <v>738667</v>
      </c>
      <c r="T81" s="167">
        <f t="shared" si="112"/>
        <v>80</v>
      </c>
      <c r="U81" s="86">
        <v>738747</v>
      </c>
      <c r="V81" s="167">
        <f t="shared" si="113"/>
        <v>103</v>
      </c>
      <c r="W81" s="86">
        <v>738850</v>
      </c>
      <c r="X81" s="167">
        <f t="shared" si="114"/>
        <v>168</v>
      </c>
      <c r="Y81" s="86">
        <v>739018</v>
      </c>
      <c r="Z81" s="167">
        <f t="shared" si="115"/>
        <v>244</v>
      </c>
      <c r="AA81" s="86">
        <v>739262</v>
      </c>
      <c r="AB81" s="167">
        <f t="shared" si="116"/>
        <v>135</v>
      </c>
      <c r="AC81" s="86">
        <v>739397</v>
      </c>
      <c r="AD81" s="167">
        <f t="shared" si="117"/>
        <v>146</v>
      </c>
      <c r="AE81" s="86">
        <v>739543</v>
      </c>
      <c r="AF81" s="167">
        <f t="shared" si="118"/>
        <v>94</v>
      </c>
      <c r="AG81" s="86">
        <v>739637</v>
      </c>
      <c r="AH81" s="167">
        <f t="shared" si="119"/>
        <v>165</v>
      </c>
      <c r="AI81" s="86">
        <v>739802</v>
      </c>
      <c r="AJ81" s="167">
        <f t="shared" si="120"/>
        <v>261</v>
      </c>
      <c r="AK81" s="86">
        <v>740063</v>
      </c>
      <c r="AL81" s="167">
        <f t="shared" si="121"/>
        <v>121</v>
      </c>
      <c r="AM81" s="86">
        <v>740184</v>
      </c>
      <c r="AN81" s="167">
        <f t="shared" si="122"/>
        <v>159</v>
      </c>
      <c r="AO81" s="86">
        <v>740343</v>
      </c>
      <c r="AP81" s="167">
        <f t="shared" si="123"/>
        <v>190</v>
      </c>
      <c r="AQ81" s="86">
        <v>740533</v>
      </c>
      <c r="AR81" s="167">
        <f t="shared" si="124"/>
        <v>173</v>
      </c>
      <c r="AS81" s="86">
        <v>740706</v>
      </c>
      <c r="AT81" s="167">
        <f t="shared" si="125"/>
        <v>161</v>
      </c>
      <c r="AU81" s="86">
        <v>740867</v>
      </c>
      <c r="AV81" s="167">
        <f t="shared" si="126"/>
        <v>182</v>
      </c>
      <c r="AW81" s="86">
        <v>741049</v>
      </c>
      <c r="AX81" s="167">
        <f t="shared" si="127"/>
        <v>124</v>
      </c>
      <c r="AY81" s="86">
        <v>741173</v>
      </c>
      <c r="AZ81" s="167">
        <f t="shared" si="128"/>
        <v>239</v>
      </c>
      <c r="BA81" s="86">
        <v>741412</v>
      </c>
      <c r="BB81" s="167">
        <f t="shared" si="129"/>
        <v>191</v>
      </c>
      <c r="BC81" s="86">
        <v>741603</v>
      </c>
      <c r="BD81" s="167">
        <f t="shared" si="130"/>
        <v>243</v>
      </c>
      <c r="BE81" s="86">
        <v>741846</v>
      </c>
      <c r="BF81" s="167">
        <f t="shared" si="131"/>
        <v>334</v>
      </c>
      <c r="BG81" s="86">
        <v>742180</v>
      </c>
      <c r="BH81" s="167">
        <f t="shared" si="132"/>
        <v>160</v>
      </c>
      <c r="BI81" s="86">
        <v>742340</v>
      </c>
      <c r="BJ81" s="167">
        <f t="shared" si="133"/>
        <v>132</v>
      </c>
      <c r="BK81" s="86">
        <v>742472</v>
      </c>
      <c r="BL81" s="167">
        <f t="shared" si="134"/>
        <v>173</v>
      </c>
      <c r="BM81" s="86">
        <v>742645</v>
      </c>
      <c r="BN81" s="50"/>
      <c r="BO81" s="170">
        <f t="shared" si="135"/>
        <v>5436</v>
      </c>
      <c r="BP81" s="167">
        <f t="shared" si="136"/>
        <v>311</v>
      </c>
      <c r="BQ81" s="88">
        <v>742956</v>
      </c>
    </row>
    <row r="82" spans="1:69" x14ac:dyDescent="0.35">
      <c r="A82" s="134" t="s">
        <v>80</v>
      </c>
      <c r="B82" s="54" t="s">
        <v>67</v>
      </c>
      <c r="C82" s="84">
        <v>737272</v>
      </c>
      <c r="D82" s="189">
        <f t="shared" si="104"/>
        <v>189</v>
      </c>
      <c r="E82" s="86">
        <v>737461</v>
      </c>
      <c r="F82" s="167">
        <f t="shared" si="105"/>
        <v>145</v>
      </c>
      <c r="G82" s="86">
        <v>737606</v>
      </c>
      <c r="H82" s="167">
        <f t="shared" si="106"/>
        <v>69</v>
      </c>
      <c r="I82" s="86">
        <v>737675</v>
      </c>
      <c r="J82" s="167">
        <f t="shared" si="107"/>
        <v>128</v>
      </c>
      <c r="K82" s="86">
        <v>737803</v>
      </c>
      <c r="L82" s="167">
        <f t="shared" si="108"/>
        <v>145</v>
      </c>
      <c r="M82" s="86">
        <v>737948</v>
      </c>
      <c r="N82" s="167">
        <f t="shared" si="109"/>
        <v>22</v>
      </c>
      <c r="O82" s="86">
        <v>737970</v>
      </c>
      <c r="P82" s="167">
        <f t="shared" si="110"/>
        <v>67</v>
      </c>
      <c r="Q82" s="86">
        <v>738037</v>
      </c>
      <c r="R82" s="167">
        <f t="shared" si="111"/>
        <v>53</v>
      </c>
      <c r="S82" s="86">
        <v>738090</v>
      </c>
      <c r="T82" s="167">
        <f t="shared" si="112"/>
        <v>58</v>
      </c>
      <c r="U82" s="86">
        <v>738148</v>
      </c>
      <c r="V82" s="167">
        <f t="shared" si="113"/>
        <v>52</v>
      </c>
      <c r="W82" s="86">
        <v>738200</v>
      </c>
      <c r="X82" s="167">
        <f t="shared" si="114"/>
        <v>18</v>
      </c>
      <c r="Y82" s="86">
        <v>738218</v>
      </c>
      <c r="Z82" s="167">
        <f t="shared" si="115"/>
        <v>37</v>
      </c>
      <c r="AA82" s="86">
        <v>738255</v>
      </c>
      <c r="AB82" s="167">
        <f t="shared" si="116"/>
        <v>33</v>
      </c>
      <c r="AC82" s="86">
        <v>738288</v>
      </c>
      <c r="AD82" s="167">
        <f t="shared" si="117"/>
        <v>73</v>
      </c>
      <c r="AE82" s="86">
        <v>738361</v>
      </c>
      <c r="AF82" s="167">
        <f t="shared" si="118"/>
        <v>54</v>
      </c>
      <c r="AG82" s="86">
        <v>738415</v>
      </c>
      <c r="AH82" s="167">
        <f t="shared" si="119"/>
        <v>85</v>
      </c>
      <c r="AI82" s="86">
        <v>738500</v>
      </c>
      <c r="AJ82" s="167">
        <f t="shared" si="120"/>
        <v>152</v>
      </c>
      <c r="AK82" s="86">
        <v>738652</v>
      </c>
      <c r="AL82" s="167">
        <f t="shared" si="121"/>
        <v>53</v>
      </c>
      <c r="AM82" s="86">
        <v>738705</v>
      </c>
      <c r="AN82" s="167">
        <f t="shared" si="122"/>
        <v>54</v>
      </c>
      <c r="AO82" s="86">
        <v>738759</v>
      </c>
      <c r="AP82" s="167">
        <f t="shared" si="123"/>
        <v>46</v>
      </c>
      <c r="AQ82" s="86">
        <v>738805</v>
      </c>
      <c r="AR82" s="167">
        <f t="shared" si="124"/>
        <v>83</v>
      </c>
      <c r="AS82" s="86">
        <v>738888</v>
      </c>
      <c r="AT82" s="167">
        <f t="shared" si="125"/>
        <v>27</v>
      </c>
      <c r="AU82" s="86">
        <v>738915</v>
      </c>
      <c r="AV82" s="167">
        <f t="shared" si="126"/>
        <v>15</v>
      </c>
      <c r="AW82" s="86">
        <v>738930</v>
      </c>
      <c r="AX82" s="167">
        <f t="shared" si="127"/>
        <v>48</v>
      </c>
      <c r="AY82" s="86">
        <v>738978</v>
      </c>
      <c r="AZ82" s="167">
        <f t="shared" si="128"/>
        <v>90</v>
      </c>
      <c r="BA82" s="86">
        <v>739068</v>
      </c>
      <c r="BB82" s="167">
        <f t="shared" si="129"/>
        <v>62</v>
      </c>
      <c r="BC82" s="86">
        <v>739130</v>
      </c>
      <c r="BD82" s="167">
        <f t="shared" si="130"/>
        <v>42</v>
      </c>
      <c r="BE82" s="86">
        <v>739172</v>
      </c>
      <c r="BF82" s="167">
        <f t="shared" si="131"/>
        <v>52</v>
      </c>
      <c r="BG82" s="86">
        <v>739224</v>
      </c>
      <c r="BH82" s="167">
        <f t="shared" si="132"/>
        <v>71</v>
      </c>
      <c r="BI82" s="86">
        <v>739295</v>
      </c>
      <c r="BJ82" s="167">
        <f t="shared" si="133"/>
        <v>79</v>
      </c>
      <c r="BK82" s="86">
        <v>739374</v>
      </c>
      <c r="BL82" s="167">
        <f t="shared" si="134"/>
        <v>153</v>
      </c>
      <c r="BM82" s="86">
        <v>739527</v>
      </c>
      <c r="BN82" s="50"/>
      <c r="BO82" s="170">
        <f t="shared" si="135"/>
        <v>2255</v>
      </c>
      <c r="BP82" s="167">
        <f t="shared" si="136"/>
        <v>80</v>
      </c>
      <c r="BQ82" s="88">
        <v>739607</v>
      </c>
    </row>
    <row r="83" spans="1:69" x14ac:dyDescent="0.35">
      <c r="A83" s="135" t="s">
        <v>81</v>
      </c>
      <c r="B83" s="54" t="s">
        <v>67</v>
      </c>
      <c r="C83" s="84">
        <v>230</v>
      </c>
      <c r="D83" s="189">
        <f t="shared" si="104"/>
        <v>0</v>
      </c>
      <c r="E83" s="86">
        <v>230</v>
      </c>
      <c r="F83" s="167">
        <f t="shared" si="105"/>
        <v>0</v>
      </c>
      <c r="G83" s="86">
        <v>230</v>
      </c>
      <c r="H83" s="167">
        <f t="shared" si="106"/>
        <v>54</v>
      </c>
      <c r="I83" s="86">
        <v>284</v>
      </c>
      <c r="J83" s="167">
        <f t="shared" si="107"/>
        <v>47</v>
      </c>
      <c r="K83" s="86">
        <v>331</v>
      </c>
      <c r="L83" s="167">
        <f t="shared" si="108"/>
        <v>49</v>
      </c>
      <c r="M83" s="86">
        <v>380</v>
      </c>
      <c r="N83" s="167">
        <f t="shared" si="109"/>
        <v>28</v>
      </c>
      <c r="O83" s="86">
        <v>408</v>
      </c>
      <c r="P83" s="167">
        <f t="shared" si="110"/>
        <v>50</v>
      </c>
      <c r="Q83" s="86">
        <v>458</v>
      </c>
      <c r="R83" s="167">
        <f t="shared" si="111"/>
        <v>171</v>
      </c>
      <c r="S83" s="86">
        <v>629</v>
      </c>
      <c r="T83" s="167">
        <f t="shared" si="112"/>
        <v>26</v>
      </c>
      <c r="U83" s="86">
        <v>655</v>
      </c>
      <c r="V83" s="167">
        <f t="shared" si="113"/>
        <v>17</v>
      </c>
      <c r="W83" s="86">
        <v>672</v>
      </c>
      <c r="X83" s="167">
        <f t="shared" si="114"/>
        <v>101</v>
      </c>
      <c r="Y83" s="86">
        <v>773</v>
      </c>
      <c r="Z83" s="167">
        <f t="shared" si="115"/>
        <v>63</v>
      </c>
      <c r="AA83" s="86">
        <v>836</v>
      </c>
      <c r="AB83" s="167">
        <f t="shared" si="116"/>
        <v>66</v>
      </c>
      <c r="AC83" s="86">
        <v>902</v>
      </c>
      <c r="AD83" s="167">
        <f t="shared" si="117"/>
        <v>100</v>
      </c>
      <c r="AE83" s="86">
        <v>1002</v>
      </c>
      <c r="AF83" s="167">
        <f t="shared" si="118"/>
        <v>109</v>
      </c>
      <c r="AG83" s="86">
        <v>1111</v>
      </c>
      <c r="AH83" s="167">
        <f t="shared" si="119"/>
        <v>6</v>
      </c>
      <c r="AI83" s="86">
        <v>1117</v>
      </c>
      <c r="AJ83" s="167">
        <f t="shared" si="120"/>
        <v>28</v>
      </c>
      <c r="AK83" s="86">
        <v>1145</v>
      </c>
      <c r="AL83" s="167">
        <f t="shared" si="121"/>
        <v>133</v>
      </c>
      <c r="AM83" s="86">
        <v>1278</v>
      </c>
      <c r="AN83" s="167">
        <f t="shared" si="122"/>
        <v>87</v>
      </c>
      <c r="AO83" s="86">
        <v>1365</v>
      </c>
      <c r="AP83" s="167">
        <f t="shared" si="123"/>
        <v>17</v>
      </c>
      <c r="AQ83" s="86">
        <v>1382</v>
      </c>
      <c r="AR83" s="167">
        <f t="shared" si="124"/>
        <v>39</v>
      </c>
      <c r="AS83" s="86">
        <v>1421</v>
      </c>
      <c r="AT83" s="167">
        <f t="shared" si="125"/>
        <v>122</v>
      </c>
      <c r="AU83" s="86">
        <v>1543</v>
      </c>
      <c r="AV83" s="167">
        <f t="shared" si="126"/>
        <v>50</v>
      </c>
      <c r="AW83" s="86">
        <v>1593</v>
      </c>
      <c r="AX83" s="167">
        <f t="shared" si="127"/>
        <v>35</v>
      </c>
      <c r="AY83" s="86">
        <v>1628</v>
      </c>
      <c r="AZ83" s="167">
        <f t="shared" si="128"/>
        <v>50</v>
      </c>
      <c r="BA83" s="86">
        <v>1678</v>
      </c>
      <c r="BB83" s="167">
        <f t="shared" si="129"/>
        <v>45</v>
      </c>
      <c r="BC83" s="86">
        <v>1723</v>
      </c>
      <c r="BD83" s="167">
        <f t="shared" si="130"/>
        <v>87</v>
      </c>
      <c r="BE83" s="86">
        <v>1810</v>
      </c>
      <c r="BF83" s="167">
        <f t="shared" si="131"/>
        <v>23</v>
      </c>
      <c r="BG83" s="86">
        <v>1833</v>
      </c>
      <c r="BH83" s="167">
        <f t="shared" si="132"/>
        <v>63</v>
      </c>
      <c r="BI83" s="86">
        <v>1896</v>
      </c>
      <c r="BJ83" s="167">
        <f t="shared" si="133"/>
        <v>140</v>
      </c>
      <c r="BK83" s="86">
        <v>2036</v>
      </c>
      <c r="BL83" s="167">
        <f t="shared" si="134"/>
        <v>99</v>
      </c>
      <c r="BM83" s="86">
        <v>2135</v>
      </c>
      <c r="BN83" s="50"/>
      <c r="BO83" s="170">
        <f t="shared" si="135"/>
        <v>1905</v>
      </c>
      <c r="BP83" s="167">
        <f t="shared" si="136"/>
        <v>75</v>
      </c>
      <c r="BQ83" s="88">
        <v>2210</v>
      </c>
    </row>
    <row r="84" spans="1:69" x14ac:dyDescent="0.35">
      <c r="A84" s="136" t="s">
        <v>82</v>
      </c>
      <c r="B84" s="54" t="s">
        <v>66</v>
      </c>
      <c r="C84" s="84">
        <v>80449</v>
      </c>
      <c r="D84" s="189">
        <f t="shared" si="104"/>
        <v>218</v>
      </c>
      <c r="E84" s="86">
        <v>80667</v>
      </c>
      <c r="F84" s="167">
        <f t="shared" si="105"/>
        <v>84</v>
      </c>
      <c r="G84" s="86">
        <v>80751</v>
      </c>
      <c r="H84" s="167">
        <f t="shared" si="106"/>
        <v>288</v>
      </c>
      <c r="I84" s="86">
        <v>81039</v>
      </c>
      <c r="J84" s="167">
        <f t="shared" si="107"/>
        <v>64</v>
      </c>
      <c r="K84" s="86">
        <v>81103</v>
      </c>
      <c r="L84" s="167">
        <f t="shared" si="108"/>
        <v>97</v>
      </c>
      <c r="M84" s="86">
        <v>81200</v>
      </c>
      <c r="N84" s="167">
        <f t="shared" si="109"/>
        <v>149</v>
      </c>
      <c r="O84" s="86">
        <v>81349</v>
      </c>
      <c r="P84" s="167">
        <f t="shared" si="110"/>
        <v>93</v>
      </c>
      <c r="Q84" s="86">
        <v>81442</v>
      </c>
      <c r="R84" s="167">
        <f t="shared" si="111"/>
        <v>116</v>
      </c>
      <c r="S84" s="86">
        <v>81558</v>
      </c>
      <c r="T84" s="167">
        <f t="shared" si="112"/>
        <v>94</v>
      </c>
      <c r="U84" s="86">
        <v>81652</v>
      </c>
      <c r="V84" s="167">
        <f t="shared" si="113"/>
        <v>243</v>
      </c>
      <c r="W84" s="86">
        <v>81895</v>
      </c>
      <c r="X84" s="167">
        <f t="shared" si="114"/>
        <v>245</v>
      </c>
      <c r="Y84" s="86">
        <v>82140</v>
      </c>
      <c r="Z84" s="167">
        <f t="shared" si="115"/>
        <v>141</v>
      </c>
      <c r="AA84" s="86">
        <v>82281</v>
      </c>
      <c r="AB84" s="167">
        <f t="shared" si="116"/>
        <v>132</v>
      </c>
      <c r="AC84" s="86">
        <v>82413</v>
      </c>
      <c r="AD84" s="167">
        <f t="shared" si="117"/>
        <v>178</v>
      </c>
      <c r="AE84" s="86">
        <v>82591</v>
      </c>
      <c r="AF84" s="167">
        <f t="shared" si="118"/>
        <v>94</v>
      </c>
      <c r="AG84" s="86">
        <v>82685</v>
      </c>
      <c r="AH84" s="167">
        <f t="shared" si="119"/>
        <v>26</v>
      </c>
      <c r="AI84" s="86">
        <v>82711</v>
      </c>
      <c r="AJ84" s="167">
        <f t="shared" si="120"/>
        <v>62</v>
      </c>
      <c r="AK84" s="86">
        <v>82773</v>
      </c>
      <c r="AL84" s="167">
        <f t="shared" si="121"/>
        <v>103</v>
      </c>
      <c r="AM84" s="86">
        <v>82876</v>
      </c>
      <c r="AN84" s="167">
        <f t="shared" si="122"/>
        <v>80</v>
      </c>
      <c r="AO84" s="86">
        <v>82956</v>
      </c>
      <c r="AP84" s="167">
        <f t="shared" si="123"/>
        <v>162</v>
      </c>
      <c r="AQ84" s="86">
        <v>83118</v>
      </c>
      <c r="AR84" s="167">
        <f t="shared" si="124"/>
        <v>122</v>
      </c>
      <c r="AS84" s="86">
        <v>83240</v>
      </c>
      <c r="AT84" s="167">
        <f t="shared" si="125"/>
        <v>129</v>
      </c>
      <c r="AU84" s="86">
        <v>83369</v>
      </c>
      <c r="AV84" s="167">
        <f t="shared" si="126"/>
        <v>36</v>
      </c>
      <c r="AW84" s="86">
        <v>83405</v>
      </c>
      <c r="AX84" s="167">
        <f t="shared" si="127"/>
        <v>58</v>
      </c>
      <c r="AY84" s="86">
        <v>83463</v>
      </c>
      <c r="AZ84" s="167">
        <f t="shared" si="128"/>
        <v>143</v>
      </c>
      <c r="BA84" s="86">
        <v>83606</v>
      </c>
      <c r="BB84" s="167">
        <f t="shared" si="129"/>
        <v>69</v>
      </c>
      <c r="BC84" s="86">
        <v>83675</v>
      </c>
      <c r="BD84" s="167">
        <f t="shared" si="130"/>
        <v>0</v>
      </c>
      <c r="BE84" s="86">
        <v>83675</v>
      </c>
      <c r="BF84" s="167">
        <f t="shared" si="131"/>
        <v>243</v>
      </c>
      <c r="BG84" s="86">
        <v>83918</v>
      </c>
      <c r="BH84" s="167">
        <f t="shared" si="132"/>
        <v>238</v>
      </c>
      <c r="BI84" s="86">
        <v>84156</v>
      </c>
      <c r="BJ84" s="167">
        <f t="shared" si="133"/>
        <v>84</v>
      </c>
      <c r="BK84" s="86">
        <v>84240</v>
      </c>
      <c r="BL84" s="167">
        <f t="shared" si="134"/>
        <v>120</v>
      </c>
      <c r="BM84" s="86">
        <v>84360</v>
      </c>
      <c r="BN84" s="50"/>
      <c r="BO84" s="170">
        <f t="shared" si="135"/>
        <v>3911</v>
      </c>
      <c r="BP84" s="167">
        <f t="shared" si="136"/>
        <v>171</v>
      </c>
      <c r="BQ84" s="88">
        <v>84531</v>
      </c>
    </row>
    <row r="85" spans="1:69" x14ac:dyDescent="0.35">
      <c r="A85" s="44" t="s">
        <v>83</v>
      </c>
      <c r="B85" s="54" t="s">
        <v>65</v>
      </c>
      <c r="C85" s="84">
        <v>92307</v>
      </c>
      <c r="D85" s="189">
        <f t="shared" si="104"/>
        <v>212</v>
      </c>
      <c r="E85" s="86">
        <v>92519</v>
      </c>
      <c r="F85" s="167">
        <f t="shared" si="105"/>
        <v>90</v>
      </c>
      <c r="G85" s="86">
        <v>92609</v>
      </c>
      <c r="H85" s="167">
        <f t="shared" si="106"/>
        <v>306</v>
      </c>
      <c r="I85" s="86">
        <v>92915</v>
      </c>
      <c r="J85" s="167">
        <f t="shared" si="107"/>
        <v>263</v>
      </c>
      <c r="K85" s="86">
        <v>93178</v>
      </c>
      <c r="L85" s="167">
        <f t="shared" si="108"/>
        <v>187</v>
      </c>
      <c r="M85" s="86">
        <v>93365</v>
      </c>
      <c r="N85" s="167">
        <f t="shared" si="109"/>
        <v>309</v>
      </c>
      <c r="O85" s="86">
        <v>93674</v>
      </c>
      <c r="P85" s="167">
        <f t="shared" si="110"/>
        <v>171</v>
      </c>
      <c r="Q85" s="86">
        <v>93845</v>
      </c>
      <c r="R85" s="167">
        <f t="shared" si="111"/>
        <v>68</v>
      </c>
      <c r="S85" s="86">
        <v>93913</v>
      </c>
      <c r="T85" s="167">
        <f t="shared" si="112"/>
        <v>91</v>
      </c>
      <c r="U85" s="86">
        <v>94004</v>
      </c>
      <c r="V85" s="167">
        <f t="shared" si="113"/>
        <v>224</v>
      </c>
      <c r="W85" s="86">
        <v>94228</v>
      </c>
      <c r="X85" s="167">
        <f t="shared" si="114"/>
        <v>354</v>
      </c>
      <c r="Y85" s="86">
        <v>94582</v>
      </c>
      <c r="Z85" s="167">
        <f t="shared" si="115"/>
        <v>200</v>
      </c>
      <c r="AA85" s="86">
        <v>94782</v>
      </c>
      <c r="AB85" s="167">
        <f t="shared" si="116"/>
        <v>331</v>
      </c>
      <c r="AC85" s="86">
        <v>95113</v>
      </c>
      <c r="AD85" s="167">
        <f t="shared" si="117"/>
        <v>139</v>
      </c>
      <c r="AE85" s="86">
        <v>95252</v>
      </c>
      <c r="AF85" s="167">
        <f t="shared" si="118"/>
        <v>231</v>
      </c>
      <c r="AG85" s="86">
        <v>95483</v>
      </c>
      <c r="AH85" s="167">
        <f t="shared" si="119"/>
        <v>21</v>
      </c>
      <c r="AI85" s="86">
        <v>95504</v>
      </c>
      <c r="AJ85" s="167">
        <f t="shared" si="120"/>
        <v>232</v>
      </c>
      <c r="AK85" s="86">
        <v>95736</v>
      </c>
      <c r="AL85" s="167">
        <f t="shared" si="121"/>
        <v>170</v>
      </c>
      <c r="AM85" s="86">
        <v>95906</v>
      </c>
      <c r="AN85" s="167">
        <f t="shared" si="122"/>
        <v>207</v>
      </c>
      <c r="AO85" s="86">
        <v>96113</v>
      </c>
      <c r="AP85" s="167">
        <f t="shared" si="123"/>
        <v>151</v>
      </c>
      <c r="AQ85" s="86">
        <v>96264</v>
      </c>
      <c r="AR85" s="167">
        <f t="shared" si="124"/>
        <v>351</v>
      </c>
      <c r="AS85" s="86">
        <v>96615</v>
      </c>
      <c r="AT85" s="167">
        <f t="shared" si="125"/>
        <v>105</v>
      </c>
      <c r="AU85" s="86">
        <v>96720</v>
      </c>
      <c r="AV85" s="167">
        <f t="shared" si="126"/>
        <v>171</v>
      </c>
      <c r="AW85" s="86">
        <v>96891</v>
      </c>
      <c r="AX85" s="167">
        <f t="shared" si="127"/>
        <v>312</v>
      </c>
      <c r="AY85" s="86">
        <v>97203</v>
      </c>
      <c r="AZ85" s="167">
        <f t="shared" si="128"/>
        <v>180</v>
      </c>
      <c r="BA85" s="86">
        <v>97383</v>
      </c>
      <c r="BB85" s="167">
        <f t="shared" si="129"/>
        <v>65</v>
      </c>
      <c r="BC85" s="86">
        <v>97448</v>
      </c>
      <c r="BD85" s="167">
        <f t="shared" si="130"/>
        <v>370</v>
      </c>
      <c r="BE85" s="86">
        <v>97818</v>
      </c>
      <c r="BF85" s="167">
        <f t="shared" si="131"/>
        <v>200</v>
      </c>
      <c r="BG85" s="86">
        <v>98018</v>
      </c>
      <c r="BH85" s="167">
        <f t="shared" si="132"/>
        <v>108</v>
      </c>
      <c r="BI85" s="86">
        <v>98126</v>
      </c>
      <c r="BJ85" s="167">
        <f t="shared" si="133"/>
        <v>28</v>
      </c>
      <c r="BK85" s="86">
        <v>98154</v>
      </c>
      <c r="BL85" s="167">
        <f t="shared" si="134"/>
        <v>329</v>
      </c>
      <c r="BM85" s="86">
        <v>98483</v>
      </c>
      <c r="BN85" s="50"/>
      <c r="BO85" s="170">
        <f t="shared" si="135"/>
        <v>6176</v>
      </c>
      <c r="BP85" s="167">
        <f t="shared" si="136"/>
        <v>998</v>
      </c>
      <c r="BQ85" s="88">
        <v>99481</v>
      </c>
    </row>
    <row r="86" spans="1:69" x14ac:dyDescent="0.35">
      <c r="A86" s="135" t="s">
        <v>84</v>
      </c>
      <c r="B86" s="54" t="s">
        <v>67</v>
      </c>
      <c r="C86" s="84">
        <v>65602</v>
      </c>
      <c r="D86" s="189">
        <f t="shared" si="104"/>
        <v>0</v>
      </c>
      <c r="E86" s="86">
        <v>65602</v>
      </c>
      <c r="F86" s="167">
        <f t="shared" si="105"/>
        <v>9</v>
      </c>
      <c r="G86" s="86">
        <v>65611</v>
      </c>
      <c r="H86" s="167">
        <f t="shared" si="106"/>
        <v>52</v>
      </c>
      <c r="I86" s="86">
        <v>65663</v>
      </c>
      <c r="J86" s="167">
        <f t="shared" si="107"/>
        <v>43</v>
      </c>
      <c r="K86" s="86">
        <v>65706</v>
      </c>
      <c r="L86" s="167">
        <f t="shared" si="108"/>
        <v>77</v>
      </c>
      <c r="M86" s="86">
        <v>65783</v>
      </c>
      <c r="N86" s="167">
        <f t="shared" si="109"/>
        <v>115</v>
      </c>
      <c r="O86" s="86">
        <v>65898</v>
      </c>
      <c r="P86" s="167">
        <f t="shared" si="110"/>
        <v>43</v>
      </c>
      <c r="Q86" s="86">
        <v>65941</v>
      </c>
      <c r="R86" s="167">
        <f t="shared" si="111"/>
        <v>0</v>
      </c>
      <c r="S86" s="86">
        <v>65941</v>
      </c>
      <c r="T86" s="167">
        <f t="shared" si="112"/>
        <v>32</v>
      </c>
      <c r="U86" s="86">
        <v>65973</v>
      </c>
      <c r="V86" s="167">
        <f t="shared" si="113"/>
        <v>37</v>
      </c>
      <c r="W86" s="86">
        <v>66010</v>
      </c>
      <c r="X86" s="167">
        <f t="shared" si="114"/>
        <v>57</v>
      </c>
      <c r="Y86" s="86">
        <v>66067</v>
      </c>
      <c r="Z86" s="167">
        <f t="shared" si="115"/>
        <v>116</v>
      </c>
      <c r="AA86" s="86">
        <v>66183</v>
      </c>
      <c r="AB86" s="167">
        <f t="shared" si="116"/>
        <v>88</v>
      </c>
      <c r="AC86" s="86">
        <v>66271</v>
      </c>
      <c r="AD86" s="167">
        <f t="shared" si="117"/>
        <v>120</v>
      </c>
      <c r="AE86" s="86">
        <v>66391</v>
      </c>
      <c r="AF86" s="167">
        <f t="shared" si="118"/>
        <v>21</v>
      </c>
      <c r="AG86" s="86">
        <v>66412</v>
      </c>
      <c r="AH86" s="167">
        <f t="shared" si="119"/>
        <v>113</v>
      </c>
      <c r="AI86" s="86">
        <v>66525</v>
      </c>
      <c r="AJ86" s="167">
        <f t="shared" si="120"/>
        <v>32</v>
      </c>
      <c r="AK86" s="86">
        <v>66557</v>
      </c>
      <c r="AL86" s="167">
        <f t="shared" si="121"/>
        <v>66</v>
      </c>
      <c r="AM86" s="86">
        <v>66623</v>
      </c>
      <c r="AN86" s="167">
        <f t="shared" si="122"/>
        <v>56</v>
      </c>
      <c r="AO86" s="86">
        <v>66679</v>
      </c>
      <c r="AP86" s="167">
        <f t="shared" si="123"/>
        <v>45</v>
      </c>
      <c r="AQ86" s="86">
        <v>66724</v>
      </c>
      <c r="AR86" s="167">
        <f t="shared" si="124"/>
        <v>80</v>
      </c>
      <c r="AS86" s="86">
        <v>66804</v>
      </c>
      <c r="AT86" s="167">
        <f t="shared" si="125"/>
        <v>74</v>
      </c>
      <c r="AU86" s="86">
        <v>66878</v>
      </c>
      <c r="AV86" s="167">
        <f t="shared" si="126"/>
        <v>53</v>
      </c>
      <c r="AW86" s="86">
        <v>66931</v>
      </c>
      <c r="AX86" s="167">
        <f t="shared" si="127"/>
        <v>68</v>
      </c>
      <c r="AY86" s="86">
        <v>66999</v>
      </c>
      <c r="AZ86" s="167">
        <f t="shared" si="128"/>
        <v>65</v>
      </c>
      <c r="BA86" s="86">
        <v>67064</v>
      </c>
      <c r="BB86" s="167">
        <f t="shared" si="129"/>
        <v>53</v>
      </c>
      <c r="BC86" s="86">
        <v>67117</v>
      </c>
      <c r="BD86" s="167">
        <f t="shared" si="130"/>
        <v>55</v>
      </c>
      <c r="BE86" s="86">
        <v>67172</v>
      </c>
      <c r="BF86" s="167">
        <f t="shared" si="131"/>
        <v>83</v>
      </c>
      <c r="BG86" s="86">
        <v>67255</v>
      </c>
      <c r="BH86" s="167">
        <f t="shared" si="132"/>
        <v>44</v>
      </c>
      <c r="BI86" s="86">
        <v>67299</v>
      </c>
      <c r="BJ86" s="167">
        <f t="shared" si="133"/>
        <v>53</v>
      </c>
      <c r="BK86" s="86">
        <v>67352</v>
      </c>
      <c r="BL86" s="167">
        <f t="shared" si="134"/>
        <v>186</v>
      </c>
      <c r="BM86" s="86">
        <v>67538</v>
      </c>
      <c r="BN86" s="50"/>
      <c r="BO86" s="170">
        <f t="shared" si="135"/>
        <v>1936</v>
      </c>
      <c r="BP86" s="167">
        <f t="shared" si="136"/>
        <v>119</v>
      </c>
      <c r="BQ86" s="88">
        <v>67657</v>
      </c>
    </row>
    <row r="87" spans="1:69" x14ac:dyDescent="0.35">
      <c r="A87" s="136" t="s">
        <v>85</v>
      </c>
      <c r="B87" s="54" t="s">
        <v>66</v>
      </c>
      <c r="C87" s="84">
        <v>6734</v>
      </c>
      <c r="D87" s="189">
        <f t="shared" si="104"/>
        <v>169</v>
      </c>
      <c r="E87" s="86">
        <v>6903</v>
      </c>
      <c r="F87" s="167">
        <f t="shared" si="105"/>
        <v>41</v>
      </c>
      <c r="G87" s="86">
        <v>6944</v>
      </c>
      <c r="H87" s="167">
        <f t="shared" si="106"/>
        <v>177</v>
      </c>
      <c r="I87" s="86">
        <v>7121</v>
      </c>
      <c r="J87" s="167">
        <f t="shared" si="107"/>
        <v>241</v>
      </c>
      <c r="K87" s="86">
        <v>7362</v>
      </c>
      <c r="L87" s="167">
        <f t="shared" si="108"/>
        <v>212</v>
      </c>
      <c r="M87" s="86">
        <v>7574</v>
      </c>
      <c r="N87" s="167">
        <f t="shared" si="109"/>
        <v>127</v>
      </c>
      <c r="O87" s="86">
        <v>7701</v>
      </c>
      <c r="P87" s="167">
        <f t="shared" si="110"/>
        <v>197</v>
      </c>
      <c r="Q87" s="86">
        <v>7898</v>
      </c>
      <c r="R87" s="167">
        <f t="shared" si="111"/>
        <v>109</v>
      </c>
      <c r="S87" s="86">
        <v>8007</v>
      </c>
      <c r="T87" s="167">
        <f t="shared" si="112"/>
        <v>53</v>
      </c>
      <c r="U87" s="86">
        <v>8060</v>
      </c>
      <c r="V87" s="167">
        <f t="shared" si="113"/>
        <v>174</v>
      </c>
      <c r="W87" s="86">
        <v>8234</v>
      </c>
      <c r="X87" s="167">
        <f t="shared" si="114"/>
        <v>84</v>
      </c>
      <c r="Y87" s="86">
        <v>8318</v>
      </c>
      <c r="Z87" s="167">
        <f t="shared" si="115"/>
        <v>175</v>
      </c>
      <c r="AA87" s="86">
        <v>8493</v>
      </c>
      <c r="AB87" s="167">
        <f t="shared" si="116"/>
        <v>155</v>
      </c>
      <c r="AC87" s="86">
        <v>8648</v>
      </c>
      <c r="AD87" s="167">
        <f t="shared" si="117"/>
        <v>140</v>
      </c>
      <c r="AE87" s="86">
        <v>8788</v>
      </c>
      <c r="AF87" s="167">
        <f t="shared" si="118"/>
        <v>124</v>
      </c>
      <c r="AG87" s="86">
        <v>8912</v>
      </c>
      <c r="AH87" s="167">
        <f t="shared" si="119"/>
        <v>54</v>
      </c>
      <c r="AI87" s="86">
        <v>8966</v>
      </c>
      <c r="AJ87" s="167">
        <f t="shared" si="120"/>
        <v>147</v>
      </c>
      <c r="AK87" s="86">
        <v>9113</v>
      </c>
      <c r="AL87" s="167">
        <f t="shared" si="121"/>
        <v>185</v>
      </c>
      <c r="AM87" s="86">
        <v>9298</v>
      </c>
      <c r="AN87" s="167">
        <f t="shared" si="122"/>
        <v>97</v>
      </c>
      <c r="AO87" s="86">
        <v>9395</v>
      </c>
      <c r="AP87" s="167">
        <f t="shared" si="123"/>
        <v>197</v>
      </c>
      <c r="AQ87" s="86">
        <v>9592</v>
      </c>
      <c r="AR87" s="167">
        <f t="shared" si="124"/>
        <v>120</v>
      </c>
      <c r="AS87" s="86">
        <v>9712</v>
      </c>
      <c r="AT87" s="167">
        <f t="shared" si="125"/>
        <v>227</v>
      </c>
      <c r="AU87" s="86">
        <v>9939</v>
      </c>
      <c r="AV87" s="167">
        <f t="shared" si="126"/>
        <v>62</v>
      </c>
      <c r="AW87" s="86">
        <v>10001</v>
      </c>
      <c r="AX87" s="167">
        <f t="shared" si="127"/>
        <v>123</v>
      </c>
      <c r="AY87" s="86">
        <v>10124</v>
      </c>
      <c r="AZ87" s="167">
        <f t="shared" si="128"/>
        <v>192</v>
      </c>
      <c r="BA87" s="86">
        <v>10316</v>
      </c>
      <c r="BB87" s="167">
        <f t="shared" si="129"/>
        <v>264</v>
      </c>
      <c r="BC87" s="86">
        <v>10580</v>
      </c>
      <c r="BD87" s="167">
        <f t="shared" si="130"/>
        <v>199</v>
      </c>
      <c r="BE87" s="86">
        <v>10779</v>
      </c>
      <c r="BF87" s="167">
        <f t="shared" si="131"/>
        <v>242</v>
      </c>
      <c r="BG87" s="86">
        <v>11021</v>
      </c>
      <c r="BH87" s="167">
        <f t="shared" si="132"/>
        <v>240</v>
      </c>
      <c r="BI87" s="86">
        <v>11261</v>
      </c>
      <c r="BJ87" s="167">
        <f t="shared" si="133"/>
        <v>61</v>
      </c>
      <c r="BK87" s="86">
        <v>11322</v>
      </c>
      <c r="BL87" s="167">
        <f t="shared" si="134"/>
        <v>234</v>
      </c>
      <c r="BM87" s="86">
        <v>11556</v>
      </c>
      <c r="BN87" s="50"/>
      <c r="BO87" s="170">
        <f t="shared" si="135"/>
        <v>4822</v>
      </c>
      <c r="BP87" s="167">
        <f t="shared" si="136"/>
        <v>276</v>
      </c>
      <c r="BQ87" s="88">
        <v>11832</v>
      </c>
    </row>
    <row r="88" spans="1:69" x14ac:dyDescent="0.35">
      <c r="A88" s="44" t="s">
        <v>86</v>
      </c>
      <c r="B88" s="54" t="s">
        <v>65</v>
      </c>
      <c r="C88" s="84">
        <v>16896</v>
      </c>
      <c r="D88" s="189">
        <f t="shared" si="104"/>
        <v>298</v>
      </c>
      <c r="E88" s="86">
        <v>17194</v>
      </c>
      <c r="F88" s="167">
        <f t="shared" si="105"/>
        <v>301</v>
      </c>
      <c r="G88" s="86">
        <v>17495</v>
      </c>
      <c r="H88" s="167">
        <f t="shared" si="106"/>
        <v>260</v>
      </c>
      <c r="I88" s="86">
        <v>17755</v>
      </c>
      <c r="J88" s="167">
        <f t="shared" si="107"/>
        <v>277</v>
      </c>
      <c r="K88" s="86">
        <v>18032</v>
      </c>
      <c r="L88" s="167">
        <f t="shared" si="108"/>
        <v>120</v>
      </c>
      <c r="M88" s="86">
        <v>18152</v>
      </c>
      <c r="N88" s="167">
        <f t="shared" si="109"/>
        <v>183</v>
      </c>
      <c r="O88" s="86">
        <v>18335</v>
      </c>
      <c r="P88" s="167">
        <f t="shared" si="110"/>
        <v>191</v>
      </c>
      <c r="Q88" s="86">
        <v>18526</v>
      </c>
      <c r="R88" s="167">
        <f t="shared" si="111"/>
        <v>266</v>
      </c>
      <c r="S88" s="86">
        <v>18792</v>
      </c>
      <c r="T88" s="167">
        <f t="shared" si="112"/>
        <v>258</v>
      </c>
      <c r="U88" s="86">
        <v>19050</v>
      </c>
      <c r="V88" s="167">
        <f t="shared" si="113"/>
        <v>152</v>
      </c>
      <c r="W88" s="86">
        <v>19202</v>
      </c>
      <c r="X88" s="167">
        <f t="shared" si="114"/>
        <v>189</v>
      </c>
      <c r="Y88" s="86">
        <v>19391</v>
      </c>
      <c r="Z88" s="167">
        <f t="shared" si="115"/>
        <v>121</v>
      </c>
      <c r="AA88" s="86">
        <v>19512</v>
      </c>
      <c r="AB88" s="167">
        <f t="shared" si="116"/>
        <v>192</v>
      </c>
      <c r="AC88" s="86">
        <v>19704</v>
      </c>
      <c r="AD88" s="167">
        <f t="shared" si="117"/>
        <v>380</v>
      </c>
      <c r="AE88" s="86">
        <v>20084</v>
      </c>
      <c r="AF88" s="167">
        <f t="shared" si="118"/>
        <v>242</v>
      </c>
      <c r="AG88" s="86">
        <v>20326</v>
      </c>
      <c r="AH88" s="167">
        <f t="shared" si="119"/>
        <v>209</v>
      </c>
      <c r="AI88" s="86">
        <v>20535</v>
      </c>
      <c r="AJ88" s="167">
        <f t="shared" si="120"/>
        <v>238</v>
      </c>
      <c r="AK88" s="86">
        <v>20773</v>
      </c>
      <c r="AL88" s="167">
        <f t="shared" si="121"/>
        <v>215</v>
      </c>
      <c r="AM88" s="86">
        <v>20988</v>
      </c>
      <c r="AN88" s="167">
        <f t="shared" si="122"/>
        <v>201</v>
      </c>
      <c r="AO88" s="86">
        <v>21189</v>
      </c>
      <c r="AP88" s="167">
        <f t="shared" si="123"/>
        <v>141</v>
      </c>
      <c r="AQ88" s="86">
        <v>21330</v>
      </c>
      <c r="AR88" s="167">
        <f t="shared" si="124"/>
        <v>243</v>
      </c>
      <c r="AS88" s="86">
        <v>21573</v>
      </c>
      <c r="AT88" s="167">
        <f t="shared" si="125"/>
        <v>323</v>
      </c>
      <c r="AU88" s="86">
        <v>21896</v>
      </c>
      <c r="AV88" s="167">
        <f t="shared" si="126"/>
        <v>149</v>
      </c>
      <c r="AW88" s="86">
        <v>22045</v>
      </c>
      <c r="AX88" s="167">
        <f t="shared" si="127"/>
        <v>162</v>
      </c>
      <c r="AY88" s="86">
        <v>22207</v>
      </c>
      <c r="AZ88" s="167">
        <f t="shared" si="128"/>
        <v>164</v>
      </c>
      <c r="BA88" s="86">
        <v>22371</v>
      </c>
      <c r="BB88" s="167">
        <f t="shared" si="129"/>
        <v>178</v>
      </c>
      <c r="BC88" s="86">
        <v>22549</v>
      </c>
      <c r="BD88" s="167">
        <f t="shared" si="130"/>
        <v>340</v>
      </c>
      <c r="BE88" s="86">
        <v>22889</v>
      </c>
      <c r="BF88" s="167">
        <f t="shared" si="131"/>
        <v>86</v>
      </c>
      <c r="BG88" s="86">
        <v>22975</v>
      </c>
      <c r="BH88" s="167">
        <f t="shared" si="132"/>
        <v>0</v>
      </c>
      <c r="BI88" s="86">
        <v>22975</v>
      </c>
      <c r="BJ88" s="167">
        <f t="shared" si="133"/>
        <v>0</v>
      </c>
      <c r="BK88" s="86">
        <v>22975</v>
      </c>
      <c r="BL88" s="167">
        <f t="shared" si="134"/>
        <v>0</v>
      </c>
      <c r="BM88" s="86">
        <v>22975</v>
      </c>
      <c r="BN88" s="50"/>
      <c r="BO88" s="170">
        <f t="shared" si="135"/>
        <v>6079</v>
      </c>
      <c r="BP88" s="167">
        <f t="shared" si="136"/>
        <v>0</v>
      </c>
      <c r="BQ88" s="88">
        <v>22975</v>
      </c>
    </row>
    <row r="89" spans="1:69" x14ac:dyDescent="0.35">
      <c r="A89" s="53"/>
      <c r="B89" s="54"/>
      <c r="C89" s="144"/>
      <c r="D89" s="192">
        <f t="shared" si="104"/>
        <v>0</v>
      </c>
      <c r="E89" s="145"/>
      <c r="F89" s="173">
        <f t="shared" si="105"/>
        <v>0</v>
      </c>
      <c r="G89" s="145"/>
      <c r="H89" s="173">
        <f t="shared" si="106"/>
        <v>0</v>
      </c>
      <c r="I89" s="145"/>
      <c r="J89" s="173">
        <f t="shared" si="107"/>
        <v>0</v>
      </c>
      <c r="K89" s="145"/>
      <c r="L89" s="173">
        <f t="shared" si="108"/>
        <v>0</v>
      </c>
      <c r="M89" s="145"/>
      <c r="N89" s="173">
        <f t="shared" si="109"/>
        <v>0</v>
      </c>
      <c r="O89" s="145"/>
      <c r="P89" s="173">
        <f t="shared" si="110"/>
        <v>0</v>
      </c>
      <c r="Q89" s="145"/>
      <c r="R89" s="173">
        <f t="shared" si="111"/>
        <v>0</v>
      </c>
      <c r="S89" s="145"/>
      <c r="T89" s="173">
        <f t="shared" si="112"/>
        <v>0</v>
      </c>
      <c r="U89" s="145"/>
      <c r="V89" s="173">
        <f t="shared" si="113"/>
        <v>0</v>
      </c>
      <c r="W89" s="145"/>
      <c r="X89" s="173">
        <f t="shared" si="114"/>
        <v>0</v>
      </c>
      <c r="Y89" s="145"/>
      <c r="Z89" s="173">
        <f t="shared" si="115"/>
        <v>0</v>
      </c>
      <c r="AA89" s="145"/>
      <c r="AB89" s="173">
        <f t="shared" si="116"/>
        <v>0</v>
      </c>
      <c r="AC89" s="145"/>
      <c r="AD89" s="173">
        <f t="shared" si="117"/>
        <v>0</v>
      </c>
      <c r="AE89" s="145"/>
      <c r="AF89" s="173">
        <f t="shared" si="118"/>
        <v>0</v>
      </c>
      <c r="AG89" s="145"/>
      <c r="AH89" s="173">
        <f t="shared" si="119"/>
        <v>0</v>
      </c>
      <c r="AI89" s="145"/>
      <c r="AJ89" s="173">
        <f t="shared" si="120"/>
        <v>0</v>
      </c>
      <c r="AK89" s="145"/>
      <c r="AL89" s="173">
        <f t="shared" si="121"/>
        <v>0</v>
      </c>
      <c r="AM89" s="145"/>
      <c r="AN89" s="173">
        <f t="shared" si="122"/>
        <v>0</v>
      </c>
      <c r="AO89" s="145"/>
      <c r="AP89" s="173">
        <f t="shared" si="123"/>
        <v>0</v>
      </c>
      <c r="AQ89" s="145"/>
      <c r="AR89" s="173">
        <f t="shared" si="124"/>
        <v>0</v>
      </c>
      <c r="AS89" s="145"/>
      <c r="AT89" s="173">
        <f t="shared" si="125"/>
        <v>0</v>
      </c>
      <c r="AU89" s="145"/>
      <c r="AV89" s="173">
        <f t="shared" si="126"/>
        <v>0</v>
      </c>
      <c r="AW89" s="145"/>
      <c r="AX89" s="173">
        <f t="shared" si="127"/>
        <v>0</v>
      </c>
      <c r="AY89" s="145"/>
      <c r="AZ89" s="173">
        <f t="shared" si="128"/>
        <v>0</v>
      </c>
      <c r="BA89" s="145"/>
      <c r="BB89" s="173">
        <f t="shared" si="129"/>
        <v>0</v>
      </c>
      <c r="BC89" s="145"/>
      <c r="BD89" s="173">
        <f t="shared" si="130"/>
        <v>0</v>
      </c>
      <c r="BE89" s="145"/>
      <c r="BF89" s="173">
        <f t="shared" si="131"/>
        <v>0</v>
      </c>
      <c r="BG89" s="145"/>
      <c r="BH89" s="173">
        <f t="shared" si="132"/>
        <v>0</v>
      </c>
      <c r="BI89" s="145"/>
      <c r="BJ89" s="173">
        <f t="shared" si="133"/>
        <v>0</v>
      </c>
      <c r="BK89" s="145"/>
      <c r="BL89" s="173">
        <f t="shared" si="134"/>
        <v>0</v>
      </c>
      <c r="BM89" s="145"/>
      <c r="BN89" s="50"/>
      <c r="BO89" s="51"/>
      <c r="BP89" s="173">
        <f t="shared" si="136"/>
        <v>0</v>
      </c>
      <c r="BQ89" s="88"/>
    </row>
    <row r="90" spans="1:69" x14ac:dyDescent="0.35">
      <c r="A90" s="74" t="s">
        <v>93</v>
      </c>
      <c r="B90" s="75"/>
      <c r="C90" s="141"/>
      <c r="D90" s="102"/>
      <c r="E90" s="142"/>
      <c r="F90" s="104"/>
      <c r="G90" s="142"/>
      <c r="H90" s="104"/>
      <c r="I90" s="142"/>
      <c r="J90" s="104"/>
      <c r="K90" s="142"/>
      <c r="L90" s="104"/>
      <c r="M90" s="142"/>
      <c r="N90" s="104"/>
      <c r="O90" s="142"/>
      <c r="P90" s="104"/>
      <c r="Q90" s="142"/>
      <c r="R90" s="104"/>
      <c r="S90" s="142"/>
      <c r="T90" s="104"/>
      <c r="U90" s="142"/>
      <c r="V90" s="104"/>
      <c r="W90" s="142"/>
      <c r="X90" s="104"/>
      <c r="Y90" s="142"/>
      <c r="Z90" s="104"/>
      <c r="AA90" s="142"/>
      <c r="AB90" s="104"/>
      <c r="AC90" s="142"/>
      <c r="AD90" s="104"/>
      <c r="AE90" s="142"/>
      <c r="AF90" s="104"/>
      <c r="AG90" s="142"/>
      <c r="AH90" s="104"/>
      <c r="AI90" s="142"/>
      <c r="AJ90" s="104"/>
      <c r="AK90" s="142"/>
      <c r="AL90" s="104"/>
      <c r="AM90" s="142"/>
      <c r="AN90" s="104"/>
      <c r="AO90" s="142"/>
      <c r="AP90" s="104"/>
      <c r="AQ90" s="142"/>
      <c r="AR90" s="104"/>
      <c r="AS90" s="142"/>
      <c r="AT90" s="104"/>
      <c r="AU90" s="142"/>
      <c r="AV90" s="104"/>
      <c r="AW90" s="142"/>
      <c r="AX90" s="104"/>
      <c r="AY90" s="142"/>
      <c r="AZ90" s="104"/>
      <c r="BA90" s="142"/>
      <c r="BB90" s="104"/>
      <c r="BC90" s="142"/>
      <c r="BD90" s="104"/>
      <c r="BE90" s="142"/>
      <c r="BF90" s="104"/>
      <c r="BG90" s="142"/>
      <c r="BH90" s="104"/>
      <c r="BI90" s="142"/>
      <c r="BJ90" s="104"/>
      <c r="BK90" s="142"/>
      <c r="BL90" s="104"/>
      <c r="BM90" s="142"/>
      <c r="BN90" s="105"/>
      <c r="BO90" s="106"/>
      <c r="BP90" s="104"/>
      <c r="BQ90" s="107"/>
    </row>
    <row r="91" spans="1:69" x14ac:dyDescent="0.35">
      <c r="A91" s="132" t="s">
        <v>75</v>
      </c>
      <c r="B91" s="54" t="s">
        <v>65</v>
      </c>
      <c r="C91" s="144"/>
      <c r="D91" s="146">
        <v>95.96</v>
      </c>
      <c r="E91" s="166">
        <f>+D91-D77</f>
        <v>-4.0000000000006253E-2</v>
      </c>
      <c r="F91" s="147">
        <v>93.81</v>
      </c>
      <c r="G91" s="166">
        <f>+F91-F77</f>
        <v>-0.18999999999999773</v>
      </c>
      <c r="H91" s="147">
        <v>272.83999999999997</v>
      </c>
      <c r="I91" s="166">
        <f>+H91-H77</f>
        <v>-0.16000000000002501</v>
      </c>
      <c r="J91" s="147">
        <v>254.35</v>
      </c>
      <c r="K91" s="166">
        <f>+J91-J77</f>
        <v>0.34999999999999432</v>
      </c>
      <c r="L91" s="147">
        <v>130.6</v>
      </c>
      <c r="M91" s="166">
        <f>+L91-L77</f>
        <v>-0.40000000000000568</v>
      </c>
      <c r="N91" s="147">
        <v>79.760000000000005</v>
      </c>
      <c r="O91" s="166">
        <f>+N91-N77</f>
        <v>-0.23999999999999488</v>
      </c>
      <c r="P91" s="147">
        <v>256.02</v>
      </c>
      <c r="Q91" s="166">
        <f>+P91-P77</f>
        <v>1.999999999998181E-2</v>
      </c>
      <c r="R91" s="147">
        <v>134.04</v>
      </c>
      <c r="S91" s="166">
        <f>+R91-R77</f>
        <v>3.9999999999992042E-2</v>
      </c>
      <c r="T91" s="147">
        <v>90.93</v>
      </c>
      <c r="U91" s="166">
        <f>+T91-T77</f>
        <v>-6.9999999999993179E-2</v>
      </c>
      <c r="V91" s="147">
        <v>225.58</v>
      </c>
      <c r="W91" s="166">
        <f>+V91-V77</f>
        <v>0.58000000000001251</v>
      </c>
      <c r="X91" s="147">
        <v>96.1</v>
      </c>
      <c r="Y91" s="166">
        <f>+X91-X77</f>
        <v>9.9999999999994316E-2</v>
      </c>
      <c r="Z91" s="147">
        <v>79.37</v>
      </c>
      <c r="AA91" s="166">
        <f>+Z91-Z77</f>
        <v>-0.62999999999999545</v>
      </c>
      <c r="AB91" s="147"/>
      <c r="AC91" s="166">
        <f>+AB91-AB77</f>
        <v>-270</v>
      </c>
      <c r="AD91" s="147"/>
      <c r="AE91" s="166">
        <f>+AD91-AD77</f>
        <v>-305</v>
      </c>
      <c r="AF91" s="147"/>
      <c r="AG91" s="166">
        <f>+AF91-AF77</f>
        <v>-61</v>
      </c>
      <c r="AH91" s="147"/>
      <c r="AI91" s="166">
        <f>+AH91-AH77</f>
        <v>-134</v>
      </c>
      <c r="AJ91" s="147"/>
      <c r="AK91" s="166">
        <f>+AJ91-AJ77</f>
        <v>-162</v>
      </c>
      <c r="AL91" s="147"/>
      <c r="AM91" s="166">
        <f>+AL91-AL77</f>
        <v>-128</v>
      </c>
      <c r="AN91" s="147">
        <v>286.33999999999997</v>
      </c>
      <c r="AO91" s="166">
        <f>+AN91-AN77</f>
        <v>-0.66000000000002501</v>
      </c>
      <c r="AP91" s="147">
        <v>116.08</v>
      </c>
      <c r="AQ91" s="166">
        <f>+AP91-AP77</f>
        <v>7.9999999999998295E-2</v>
      </c>
      <c r="AR91" s="147">
        <v>274.25</v>
      </c>
      <c r="AS91" s="166">
        <f>+AR91-AR77</f>
        <v>0.25</v>
      </c>
      <c r="AT91" s="147">
        <v>63.04</v>
      </c>
      <c r="AU91" s="166">
        <f>+AT91-AT77</f>
        <v>3.9999999999999147E-2</v>
      </c>
      <c r="AV91" s="147">
        <v>47.61</v>
      </c>
      <c r="AW91" s="166">
        <f>+AV91-AV77</f>
        <v>-0.39000000000000057</v>
      </c>
      <c r="AX91" s="147">
        <v>133.69999999999999</v>
      </c>
      <c r="AY91" s="166">
        <f>+AX91-AX77</f>
        <v>0.69999999999998863</v>
      </c>
      <c r="AZ91" s="147">
        <v>139.33000000000001</v>
      </c>
      <c r="BA91" s="166">
        <f>+AZ91-AZ77</f>
        <v>-0.66999999999998749</v>
      </c>
      <c r="BB91" s="147"/>
      <c r="BC91" s="166">
        <f>+BB91-BB77</f>
        <v>-211</v>
      </c>
      <c r="BD91" s="147"/>
      <c r="BE91" s="166">
        <f>+BD91-BD77</f>
        <v>-169</v>
      </c>
      <c r="BF91" s="147"/>
      <c r="BG91" s="166">
        <f>+BF91-BF77</f>
        <v>-389</v>
      </c>
      <c r="BH91" s="147"/>
      <c r="BI91" s="166">
        <f>+BH91-BH77</f>
        <v>-262</v>
      </c>
      <c r="BJ91" s="147"/>
      <c r="BK91" s="166">
        <f>+BJ91-BJ77</f>
        <v>-314</v>
      </c>
      <c r="BL91" s="147"/>
      <c r="BM91" s="166">
        <f>+BL91-BL77</f>
        <v>-203</v>
      </c>
      <c r="BN91" s="50"/>
      <c r="BO91" s="170">
        <f t="shared" ref="BO91:BO103" si="137">IF(COUNT(E91,G91,I91,K91,M91,O91,Q91,S91,U91,W91,Y91,AA91,AC91,AE91,AG91,AI91,AK91,AM91,AO91,AQ91,AS91,AU91,AW91,AY91,BA91,BC91,BE91,BG91,BI91,BK91,BM91)=0,"",SUM(E91,G91,I91,K91,M91,O91,Q91,S91,U91,W91,Y91,AA91,AC91,AE91,AG91,AI91,AK91,AM91,AO91,AQ91,AS91,AU91,AW91,AY91,BA91,BC91,BE91,BG91,BI91,BK91,BM91))</f>
        <v>-2609.2900000000004</v>
      </c>
      <c r="BP91" s="87"/>
      <c r="BQ91" s="172">
        <f>+BP91-BP77</f>
        <v>999433</v>
      </c>
    </row>
    <row r="92" spans="1:69" x14ac:dyDescent="0.35">
      <c r="A92" s="136"/>
      <c r="B92" s="54" t="s">
        <v>66</v>
      </c>
      <c r="C92" s="144"/>
      <c r="D92" s="146">
        <v>180.83</v>
      </c>
      <c r="E92" s="166">
        <f t="shared" ref="E92:K102" si="138">+D92-D78</f>
        <v>-0.16999999999998749</v>
      </c>
      <c r="F92" s="147">
        <v>140.47</v>
      </c>
      <c r="G92" s="166">
        <f t="shared" si="138"/>
        <v>-0.53000000000000114</v>
      </c>
      <c r="H92" s="147">
        <v>191.02</v>
      </c>
      <c r="I92" s="166">
        <f t="shared" si="138"/>
        <v>2.0000000000010232E-2</v>
      </c>
      <c r="J92" s="147">
        <v>125.04</v>
      </c>
      <c r="K92" s="166">
        <f t="shared" si="138"/>
        <v>4.0000000000006253E-2</v>
      </c>
      <c r="L92" s="147">
        <v>273.8</v>
      </c>
      <c r="M92" s="166">
        <f t="shared" ref="M92:M102" si="139">+L92-L78</f>
        <v>0.80000000000001137</v>
      </c>
      <c r="N92" s="147">
        <v>165.21</v>
      </c>
      <c r="O92" s="166">
        <f t="shared" ref="O92:O102" si="140">+N92-N78</f>
        <v>129.21</v>
      </c>
      <c r="P92" s="147">
        <v>336.21</v>
      </c>
      <c r="Q92" s="166">
        <f t="shared" ref="Q92:Q102" si="141">+P92-P78</f>
        <v>336.21</v>
      </c>
      <c r="R92" s="147">
        <v>180.94</v>
      </c>
      <c r="S92" s="166">
        <f t="shared" ref="S92:S102" si="142">+R92-R78</f>
        <v>180.94</v>
      </c>
      <c r="T92" s="147">
        <v>180.91</v>
      </c>
      <c r="U92" s="166">
        <f t="shared" ref="U92:U102" si="143">+T92-T78</f>
        <v>180.91</v>
      </c>
      <c r="V92" s="147">
        <v>64.53</v>
      </c>
      <c r="W92" s="166">
        <f t="shared" ref="W92:W102" si="144">+V92-V78</f>
        <v>64.53</v>
      </c>
      <c r="X92" s="147">
        <v>339.99</v>
      </c>
      <c r="Y92" s="166">
        <f t="shared" ref="Y92:Y102" si="145">+X92-X78</f>
        <v>339.99</v>
      </c>
      <c r="Z92" s="147">
        <v>185.9</v>
      </c>
      <c r="AA92" s="166">
        <f t="shared" ref="AA92:AA102" si="146">+Z92-Z78</f>
        <v>185.9</v>
      </c>
      <c r="AB92" s="147"/>
      <c r="AC92" s="166">
        <f t="shared" ref="AC92:AC102" si="147">+AB92-AB78</f>
        <v>0</v>
      </c>
      <c r="AD92" s="147"/>
      <c r="AE92" s="166">
        <f t="shared" ref="AE92:AE102" si="148">+AD92-AD78</f>
        <v>0</v>
      </c>
      <c r="AF92" s="147"/>
      <c r="AG92" s="166">
        <f t="shared" ref="AG92:AG102" si="149">+AF92-AF78</f>
        <v>0</v>
      </c>
      <c r="AH92" s="147"/>
      <c r="AI92" s="166">
        <f t="shared" ref="AI92:AI102" si="150">+AH92-AH78</f>
        <v>0</v>
      </c>
      <c r="AJ92" s="147"/>
      <c r="AK92" s="166">
        <f t="shared" ref="AK92:AK102" si="151">+AJ92-AJ78</f>
        <v>-176</v>
      </c>
      <c r="AL92" s="147"/>
      <c r="AM92" s="166">
        <f t="shared" ref="AM92:AM102" si="152">+AL92-AL78</f>
        <v>-147</v>
      </c>
      <c r="AN92" s="147">
        <v>141.94999999999999</v>
      </c>
      <c r="AO92" s="166">
        <f t="shared" ref="AO92:AO102" si="153">+AN92-AN78</f>
        <v>-5.0000000000011369E-2</v>
      </c>
      <c r="AP92" s="147">
        <v>144.26</v>
      </c>
      <c r="AQ92" s="166">
        <f t="shared" ref="AQ92:AQ102" si="154">+AP92-AP78</f>
        <v>0.25999999999999091</v>
      </c>
      <c r="AR92" s="147">
        <v>240.75</v>
      </c>
      <c r="AS92" s="166">
        <f t="shared" ref="AS92:AS102" si="155">+AR92-AR78</f>
        <v>-0.25</v>
      </c>
      <c r="AT92" s="147">
        <v>150.38999999999999</v>
      </c>
      <c r="AU92" s="166">
        <f t="shared" ref="AU92:AU102" si="156">+AT92-AT78</f>
        <v>0.38999999999998636</v>
      </c>
      <c r="AV92" s="147">
        <v>68.7</v>
      </c>
      <c r="AW92" s="166">
        <f t="shared" ref="AW92:AW102" si="157">+AV92-AV78</f>
        <v>-0.29999999999999716</v>
      </c>
      <c r="AX92" s="147">
        <v>184.26</v>
      </c>
      <c r="AY92" s="166">
        <f t="shared" ref="AY92:AY102" si="158">+AX92-AX78</f>
        <v>0.25999999999999091</v>
      </c>
      <c r="AZ92" s="147">
        <v>119.87</v>
      </c>
      <c r="BA92" s="166">
        <f t="shared" ref="BA92:BA102" si="159">+AZ92-AZ78</f>
        <v>-0.12999999999999545</v>
      </c>
      <c r="BB92" s="147"/>
      <c r="BC92" s="166">
        <f t="shared" ref="BC92:BC102" si="160">+BB92-BB78</f>
        <v>-137</v>
      </c>
      <c r="BD92" s="147"/>
      <c r="BE92" s="166">
        <f t="shared" ref="BE92:BE102" si="161">+BD92-BD78</f>
        <v>-310</v>
      </c>
      <c r="BF92" s="147"/>
      <c r="BG92" s="166">
        <f t="shared" ref="BG92:BG102" si="162">+BF92-BF78</f>
        <v>-220</v>
      </c>
      <c r="BH92" s="147"/>
      <c r="BI92" s="166">
        <f t="shared" ref="BI92:BI102" si="163">+BH92-BH78</f>
        <v>-179</v>
      </c>
      <c r="BJ92" s="147"/>
      <c r="BK92" s="166">
        <f t="shared" ref="BK92:BK102" si="164">+BJ92-BJ78</f>
        <v>-83</v>
      </c>
      <c r="BL92" s="147"/>
      <c r="BM92" s="166">
        <f t="shared" ref="BM92:BM102" si="165">+BL92-BL78</f>
        <v>-149</v>
      </c>
      <c r="BN92" s="50"/>
      <c r="BO92" s="170">
        <f t="shared" si="137"/>
        <v>17.029999999999745</v>
      </c>
      <c r="BP92" s="87"/>
      <c r="BQ92" s="172">
        <f t="shared" ref="BQ92:BQ102" si="166">+BP92-BP78</f>
        <v>-268</v>
      </c>
    </row>
    <row r="93" spans="1:69" x14ac:dyDescent="0.35">
      <c r="A93" s="134" t="s">
        <v>77</v>
      </c>
      <c r="B93" s="54" t="s">
        <v>67</v>
      </c>
      <c r="C93" s="144"/>
      <c r="D93" s="146">
        <v>100.25</v>
      </c>
      <c r="E93" s="166">
        <f t="shared" si="138"/>
        <v>-0.75</v>
      </c>
      <c r="F93" s="147">
        <v>8.49</v>
      </c>
      <c r="G93" s="166">
        <f t="shared" si="138"/>
        <v>0.49000000000000021</v>
      </c>
      <c r="H93" s="147">
        <v>111.82</v>
      </c>
      <c r="I93" s="166">
        <f t="shared" si="138"/>
        <v>-0.18000000000000682</v>
      </c>
      <c r="J93" s="147">
        <v>108.49</v>
      </c>
      <c r="K93" s="166">
        <f t="shared" si="138"/>
        <v>0.48999999999999488</v>
      </c>
      <c r="L93" s="147">
        <v>127.19</v>
      </c>
      <c r="M93" s="166">
        <f t="shared" si="139"/>
        <v>-4.8100000000000023</v>
      </c>
      <c r="N93" s="147">
        <v>102.27</v>
      </c>
      <c r="O93" s="166">
        <f t="shared" si="140"/>
        <v>4.269999999999996</v>
      </c>
      <c r="P93" s="147">
        <v>41.3</v>
      </c>
      <c r="Q93" s="166">
        <f t="shared" si="141"/>
        <v>0.29999999999999716</v>
      </c>
      <c r="R93" s="147">
        <v>84.22</v>
      </c>
      <c r="S93" s="166">
        <f t="shared" si="142"/>
        <v>0.21999999999999886</v>
      </c>
      <c r="T93" s="147">
        <v>35.79</v>
      </c>
      <c r="U93" s="166">
        <f t="shared" si="143"/>
        <v>-0.21000000000000085</v>
      </c>
      <c r="V93" s="147">
        <v>114.1</v>
      </c>
      <c r="W93" s="166">
        <f t="shared" si="144"/>
        <v>9.9999999999994316E-2</v>
      </c>
      <c r="X93" s="147">
        <v>210.56</v>
      </c>
      <c r="Y93" s="166">
        <f t="shared" si="145"/>
        <v>-0.43999999999999773</v>
      </c>
      <c r="Z93" s="147">
        <v>53.11</v>
      </c>
      <c r="AA93" s="166">
        <f t="shared" si="146"/>
        <v>0.10999999999999943</v>
      </c>
      <c r="AB93" s="147"/>
      <c r="AC93" s="166">
        <f t="shared" si="147"/>
        <v>-100</v>
      </c>
      <c r="AD93" s="147"/>
      <c r="AE93" s="166">
        <f t="shared" si="148"/>
        <v>-54</v>
      </c>
      <c r="AF93" s="147"/>
      <c r="AG93" s="166">
        <f t="shared" si="149"/>
        <v>-21</v>
      </c>
      <c r="AH93" s="147"/>
      <c r="AI93" s="166">
        <f t="shared" si="150"/>
        <v>-20</v>
      </c>
      <c r="AJ93" s="147"/>
      <c r="AK93" s="166">
        <f t="shared" si="151"/>
        <v>-87</v>
      </c>
      <c r="AL93" s="147"/>
      <c r="AM93" s="166">
        <f t="shared" si="152"/>
        <v>-86</v>
      </c>
      <c r="AN93" s="147">
        <v>89.3</v>
      </c>
      <c r="AO93" s="48"/>
      <c r="AP93" s="147">
        <v>12.59</v>
      </c>
      <c r="AQ93" s="166">
        <f t="shared" si="154"/>
        <v>0.58999999999999986</v>
      </c>
      <c r="AR93" s="147">
        <v>24.65</v>
      </c>
      <c r="AS93" s="166">
        <f t="shared" si="155"/>
        <v>-0.35000000000000142</v>
      </c>
      <c r="AT93" s="147">
        <v>27.61</v>
      </c>
      <c r="AU93" s="166">
        <f t="shared" si="156"/>
        <v>-0.39000000000000057</v>
      </c>
      <c r="AV93" s="147">
        <v>106.12</v>
      </c>
      <c r="AW93" s="166">
        <f t="shared" si="157"/>
        <v>0.12000000000000455</v>
      </c>
      <c r="AX93" s="147">
        <v>81.260000000000005</v>
      </c>
      <c r="AY93" s="166">
        <f t="shared" si="158"/>
        <v>0.26000000000000512</v>
      </c>
      <c r="AZ93" s="147">
        <v>178.6</v>
      </c>
      <c r="BA93" s="166">
        <f t="shared" si="159"/>
        <v>-0.40000000000000568</v>
      </c>
      <c r="BB93" s="147"/>
      <c r="BC93" s="166">
        <f t="shared" si="160"/>
        <v>-61</v>
      </c>
      <c r="BD93" s="147"/>
      <c r="BE93" s="166">
        <f t="shared" si="161"/>
        <v>-110</v>
      </c>
      <c r="BF93" s="147"/>
      <c r="BG93" s="166">
        <f t="shared" si="162"/>
        <v>-103</v>
      </c>
      <c r="BH93" s="147"/>
      <c r="BI93" s="166">
        <f t="shared" si="163"/>
        <v>-65</v>
      </c>
      <c r="BJ93" s="147"/>
      <c r="BK93" s="166">
        <f t="shared" si="164"/>
        <v>-54</v>
      </c>
      <c r="BL93" s="147"/>
      <c r="BM93" s="166">
        <f t="shared" si="165"/>
        <v>-54</v>
      </c>
      <c r="BN93" s="50"/>
      <c r="BO93" s="170">
        <f t="shared" si="137"/>
        <v>-815.58</v>
      </c>
      <c r="BP93" s="87"/>
      <c r="BQ93" s="172">
        <f t="shared" si="166"/>
        <v>-31</v>
      </c>
    </row>
    <row r="94" spans="1:69" x14ac:dyDescent="0.35">
      <c r="A94" s="132" t="s">
        <v>78</v>
      </c>
      <c r="B94" s="54" t="s">
        <v>65</v>
      </c>
      <c r="C94" s="144"/>
      <c r="D94" s="146">
        <v>264.91000000000003</v>
      </c>
      <c r="E94" s="166">
        <f t="shared" si="138"/>
        <v>-8.9999999999974989E-2</v>
      </c>
      <c r="F94" s="147">
        <v>57.88</v>
      </c>
      <c r="G94" s="166">
        <f t="shared" si="138"/>
        <v>-0.11999999999999744</v>
      </c>
      <c r="H94" s="147">
        <v>262.27</v>
      </c>
      <c r="I94" s="166">
        <f t="shared" si="138"/>
        <v>0.26999999999998181</v>
      </c>
      <c r="J94" s="147">
        <v>259.85000000000002</v>
      </c>
      <c r="K94" s="166">
        <f t="shared" si="138"/>
        <v>-0.14999999999997726</v>
      </c>
      <c r="L94" s="147">
        <v>372.79</v>
      </c>
      <c r="M94" s="166">
        <f t="shared" si="139"/>
        <v>-0.20999999999997954</v>
      </c>
      <c r="N94" s="147">
        <v>154.52000000000001</v>
      </c>
      <c r="O94" s="166">
        <f t="shared" si="140"/>
        <v>0.52000000000001023</v>
      </c>
      <c r="P94" s="147">
        <v>235.75</v>
      </c>
      <c r="Q94" s="166">
        <f t="shared" si="141"/>
        <v>-0.25</v>
      </c>
      <c r="R94" s="147">
        <v>311.10000000000002</v>
      </c>
      <c r="S94" s="166">
        <f t="shared" si="142"/>
        <v>0.10000000000002274</v>
      </c>
      <c r="T94" s="147">
        <v>161.24</v>
      </c>
      <c r="U94" s="166">
        <f t="shared" si="143"/>
        <v>0.24000000000000909</v>
      </c>
      <c r="V94" s="147">
        <v>44.8</v>
      </c>
      <c r="W94" s="166">
        <f t="shared" si="144"/>
        <v>-0.20000000000000284</v>
      </c>
      <c r="X94" s="147">
        <v>125.28</v>
      </c>
      <c r="Y94" s="166">
        <f t="shared" si="145"/>
        <v>-0.71999999999999886</v>
      </c>
      <c r="Z94" s="147">
        <v>351.18</v>
      </c>
      <c r="AA94" s="166">
        <f t="shared" si="146"/>
        <v>0.18000000000000682</v>
      </c>
      <c r="AB94" s="147"/>
      <c r="AC94" s="166">
        <f t="shared" si="147"/>
        <v>-208</v>
      </c>
      <c r="AD94" s="147"/>
      <c r="AE94" s="166">
        <f t="shared" si="148"/>
        <v>-297</v>
      </c>
      <c r="AF94" s="147"/>
      <c r="AG94" s="166">
        <f t="shared" si="149"/>
        <v>-182</v>
      </c>
      <c r="AH94" s="147"/>
      <c r="AI94" s="166">
        <f t="shared" si="150"/>
        <v>-129</v>
      </c>
      <c r="AJ94" s="147"/>
      <c r="AK94" s="166">
        <f t="shared" si="151"/>
        <v>-275</v>
      </c>
      <c r="AL94" s="147"/>
      <c r="AM94" s="166">
        <f t="shared" si="152"/>
        <v>-227</v>
      </c>
      <c r="AN94" s="147">
        <v>286.23</v>
      </c>
      <c r="AO94" s="166">
        <f t="shared" si="153"/>
        <v>-0.76999999999998181</v>
      </c>
      <c r="AP94" s="147">
        <v>322.39</v>
      </c>
      <c r="AQ94" s="166">
        <f t="shared" si="154"/>
        <v>0.38999999999998636</v>
      </c>
      <c r="AR94" s="147">
        <v>245.54</v>
      </c>
      <c r="AS94" s="166">
        <f t="shared" si="155"/>
        <v>-0.46000000000000796</v>
      </c>
      <c r="AT94" s="147">
        <v>188.12</v>
      </c>
      <c r="AU94" s="166">
        <f t="shared" si="156"/>
        <v>0.12000000000000455</v>
      </c>
      <c r="AV94" s="147">
        <v>21.16</v>
      </c>
      <c r="AW94" s="166">
        <f t="shared" si="157"/>
        <v>0.16000000000000014</v>
      </c>
      <c r="AX94" s="147">
        <v>72.150000000000006</v>
      </c>
      <c r="AY94" s="166">
        <f t="shared" si="158"/>
        <v>0.15000000000000568</v>
      </c>
      <c r="AZ94" s="147">
        <v>559.91</v>
      </c>
      <c r="BA94" s="166">
        <f t="shared" si="159"/>
        <v>-9.0000000000031832E-2</v>
      </c>
      <c r="BB94" s="147"/>
      <c r="BC94" s="166">
        <f t="shared" si="160"/>
        <v>-144</v>
      </c>
      <c r="BD94" s="147"/>
      <c r="BE94" s="166">
        <f t="shared" si="161"/>
        <v>-278</v>
      </c>
      <c r="BF94" s="147"/>
      <c r="BG94" s="166">
        <f t="shared" si="162"/>
        <v>-245</v>
      </c>
      <c r="BH94" s="147"/>
      <c r="BI94" s="166">
        <f t="shared" si="163"/>
        <v>-211</v>
      </c>
      <c r="BJ94" s="147"/>
      <c r="BK94" s="166">
        <f t="shared" si="164"/>
        <v>-80</v>
      </c>
      <c r="BL94" s="147"/>
      <c r="BM94" s="166">
        <f t="shared" si="165"/>
        <v>-360</v>
      </c>
      <c r="BN94" s="50"/>
      <c r="BO94" s="170">
        <f t="shared" si="137"/>
        <v>-2636.93</v>
      </c>
      <c r="BP94" s="87"/>
      <c r="BQ94" s="172">
        <f t="shared" si="166"/>
        <v>-1011</v>
      </c>
    </row>
    <row r="95" spans="1:69" x14ac:dyDescent="0.35">
      <c r="A95" s="136"/>
      <c r="B95" s="54" t="s">
        <v>66</v>
      </c>
      <c r="C95" s="144"/>
      <c r="D95" s="146">
        <v>152.88</v>
      </c>
      <c r="E95" s="166">
        <f t="shared" si="138"/>
        <v>-0.12000000000000455</v>
      </c>
      <c r="F95" s="147">
        <v>115.55</v>
      </c>
      <c r="G95" s="166">
        <f t="shared" si="138"/>
        <v>0.54999999999999716</v>
      </c>
      <c r="H95" s="147">
        <v>197.53</v>
      </c>
      <c r="I95" s="166">
        <f t="shared" si="138"/>
        <v>-0.46999999999999886</v>
      </c>
      <c r="J95" s="147">
        <v>227.78</v>
      </c>
      <c r="K95" s="166">
        <f t="shared" si="138"/>
        <v>-0.21999999999999886</v>
      </c>
      <c r="L95" s="147">
        <v>163.92</v>
      </c>
      <c r="M95" s="166">
        <f t="shared" si="139"/>
        <v>-8.0000000000012506E-2</v>
      </c>
      <c r="N95" s="147">
        <v>204.04</v>
      </c>
      <c r="O95" s="166">
        <f t="shared" si="140"/>
        <v>3.9999999999992042E-2</v>
      </c>
      <c r="P95" s="147">
        <v>248.21</v>
      </c>
      <c r="Q95" s="166">
        <f t="shared" si="141"/>
        <v>0.21000000000000796</v>
      </c>
      <c r="R95" s="147">
        <v>148.25</v>
      </c>
      <c r="S95" s="166">
        <f t="shared" si="142"/>
        <v>0.25</v>
      </c>
      <c r="T95" s="147">
        <v>77.739999999999995</v>
      </c>
      <c r="U95" s="166">
        <f t="shared" si="143"/>
        <v>-2.2600000000000051</v>
      </c>
      <c r="V95" s="147">
        <v>104.74</v>
      </c>
      <c r="W95" s="166">
        <f t="shared" si="144"/>
        <v>1.7399999999999949</v>
      </c>
      <c r="X95" s="147">
        <v>168.48</v>
      </c>
      <c r="Y95" s="166">
        <f t="shared" si="145"/>
        <v>0.47999999999998977</v>
      </c>
      <c r="Z95" s="147">
        <v>243.41</v>
      </c>
      <c r="AA95" s="166">
        <f t="shared" si="146"/>
        <v>-0.59000000000000341</v>
      </c>
      <c r="AB95" s="147"/>
      <c r="AC95" s="166">
        <f t="shared" si="147"/>
        <v>-135</v>
      </c>
      <c r="AD95" s="147"/>
      <c r="AE95" s="166">
        <f t="shared" si="148"/>
        <v>-146</v>
      </c>
      <c r="AF95" s="147"/>
      <c r="AG95" s="166">
        <f t="shared" si="149"/>
        <v>-94</v>
      </c>
      <c r="AH95" s="147"/>
      <c r="AI95" s="166">
        <f t="shared" si="150"/>
        <v>-165</v>
      </c>
      <c r="AJ95" s="147"/>
      <c r="AK95" s="166">
        <f t="shared" si="151"/>
        <v>-261</v>
      </c>
      <c r="AL95" s="147"/>
      <c r="AM95" s="166">
        <f t="shared" si="152"/>
        <v>-121</v>
      </c>
      <c r="AN95" s="147">
        <v>159.12</v>
      </c>
      <c r="AO95" s="166">
        <f t="shared" si="153"/>
        <v>0.12000000000000455</v>
      </c>
      <c r="AP95" s="147">
        <v>189.86</v>
      </c>
      <c r="AQ95" s="166">
        <f t="shared" si="154"/>
        <v>-0.13999999999998636</v>
      </c>
      <c r="AR95" s="147">
        <v>173.14</v>
      </c>
      <c r="AS95" s="166">
        <f t="shared" si="155"/>
        <v>0.13999999999998636</v>
      </c>
      <c r="AT95" s="147">
        <v>161.22</v>
      </c>
      <c r="AU95" s="166">
        <f t="shared" si="156"/>
        <v>0.21999999999999886</v>
      </c>
      <c r="AV95" s="147">
        <v>182.13</v>
      </c>
      <c r="AW95" s="166">
        <f t="shared" si="157"/>
        <v>0.12999999999999545</v>
      </c>
      <c r="AX95" s="147">
        <v>123.92</v>
      </c>
      <c r="AY95" s="166">
        <f t="shared" si="158"/>
        <v>-7.9999999999998295E-2</v>
      </c>
      <c r="AZ95" s="147">
        <v>238.51</v>
      </c>
      <c r="BA95" s="166">
        <f t="shared" si="159"/>
        <v>-0.49000000000000909</v>
      </c>
      <c r="BB95" s="147"/>
      <c r="BC95" s="166">
        <f t="shared" si="160"/>
        <v>-191</v>
      </c>
      <c r="BD95" s="147"/>
      <c r="BE95" s="166">
        <f t="shared" si="161"/>
        <v>-243</v>
      </c>
      <c r="BF95" s="147"/>
      <c r="BG95" s="166">
        <f t="shared" si="162"/>
        <v>-334</v>
      </c>
      <c r="BH95" s="147"/>
      <c r="BI95" s="166">
        <f t="shared" si="163"/>
        <v>-160</v>
      </c>
      <c r="BJ95" s="147"/>
      <c r="BK95" s="166">
        <f t="shared" si="164"/>
        <v>-132</v>
      </c>
      <c r="BL95" s="147"/>
      <c r="BM95" s="166">
        <f t="shared" si="165"/>
        <v>-173</v>
      </c>
      <c r="BN95" s="50"/>
      <c r="BO95" s="170">
        <f t="shared" si="137"/>
        <v>-2155.5700000000002</v>
      </c>
      <c r="BP95" s="87"/>
      <c r="BQ95" s="172">
        <f t="shared" si="166"/>
        <v>-311</v>
      </c>
    </row>
    <row r="96" spans="1:69" x14ac:dyDescent="0.35">
      <c r="A96" s="134" t="s">
        <v>80</v>
      </c>
      <c r="B96" s="54" t="s">
        <v>67</v>
      </c>
      <c r="C96" s="144"/>
      <c r="D96" s="146">
        <v>188.92</v>
      </c>
      <c r="E96" s="166">
        <f t="shared" si="138"/>
        <v>-8.0000000000012506E-2</v>
      </c>
      <c r="F96" s="147">
        <v>145.54</v>
      </c>
      <c r="G96" s="166">
        <f t="shared" si="138"/>
        <v>0.53999999999999204</v>
      </c>
      <c r="H96" s="147">
        <v>69.17</v>
      </c>
      <c r="I96" s="166">
        <f t="shared" si="138"/>
        <v>0.17000000000000171</v>
      </c>
      <c r="J96" s="147">
        <v>127.59</v>
      </c>
      <c r="K96" s="166">
        <f t="shared" si="138"/>
        <v>-0.40999999999999659</v>
      </c>
      <c r="L96" s="147">
        <v>144.54</v>
      </c>
      <c r="M96" s="166">
        <f t="shared" si="139"/>
        <v>-0.46000000000000796</v>
      </c>
      <c r="N96" s="147">
        <v>22.02</v>
      </c>
      <c r="O96" s="166">
        <f t="shared" si="140"/>
        <v>1.9999999999999574E-2</v>
      </c>
      <c r="P96" s="147">
        <v>67.739999999999995</v>
      </c>
      <c r="Q96" s="166">
        <f t="shared" si="141"/>
        <v>0.73999999999999488</v>
      </c>
      <c r="R96" s="147">
        <v>53.11</v>
      </c>
      <c r="S96" s="166">
        <f t="shared" si="142"/>
        <v>0.10999999999999943</v>
      </c>
      <c r="T96" s="147">
        <v>57.92</v>
      </c>
      <c r="U96" s="166">
        <f t="shared" si="143"/>
        <v>-7.9999999999998295E-2</v>
      </c>
      <c r="V96" s="147">
        <v>51.75</v>
      </c>
      <c r="W96" s="166">
        <f t="shared" si="144"/>
        <v>-0.25</v>
      </c>
      <c r="X96" s="147">
        <v>17.7</v>
      </c>
      <c r="Y96" s="166">
        <f t="shared" si="145"/>
        <v>-0.30000000000000071</v>
      </c>
      <c r="Z96" s="147">
        <v>37.36</v>
      </c>
      <c r="AA96" s="166">
        <f t="shared" si="146"/>
        <v>0.35999999999999943</v>
      </c>
      <c r="AB96" s="147"/>
      <c r="AC96" s="166">
        <f t="shared" si="147"/>
        <v>-33</v>
      </c>
      <c r="AD96" s="147"/>
      <c r="AE96" s="166">
        <f t="shared" si="148"/>
        <v>-73</v>
      </c>
      <c r="AF96" s="147"/>
      <c r="AG96" s="166">
        <f t="shared" si="149"/>
        <v>-54</v>
      </c>
      <c r="AH96" s="147"/>
      <c r="AI96" s="166">
        <f t="shared" si="150"/>
        <v>-85</v>
      </c>
      <c r="AJ96" s="147"/>
      <c r="AK96" s="166">
        <f t="shared" si="151"/>
        <v>-152</v>
      </c>
      <c r="AL96" s="147"/>
      <c r="AM96" s="166">
        <f t="shared" si="152"/>
        <v>-53</v>
      </c>
      <c r="AN96" s="147">
        <v>53.11</v>
      </c>
      <c r="AO96" s="166">
        <f t="shared" si="153"/>
        <v>-0.89000000000000057</v>
      </c>
      <c r="AP96" s="147">
        <v>46.36</v>
      </c>
      <c r="AQ96" s="166">
        <f t="shared" si="154"/>
        <v>0.35999999999999943</v>
      </c>
      <c r="AR96" s="147">
        <v>83.45</v>
      </c>
      <c r="AS96" s="166">
        <f t="shared" si="155"/>
        <v>0.45000000000000284</v>
      </c>
      <c r="AT96" s="147">
        <v>26.35</v>
      </c>
      <c r="AU96" s="166">
        <f t="shared" si="156"/>
        <v>-0.64999999999999858</v>
      </c>
      <c r="AV96" s="147">
        <v>15.73</v>
      </c>
      <c r="AW96" s="166">
        <f t="shared" si="157"/>
        <v>0.73000000000000043</v>
      </c>
      <c r="AX96" s="147">
        <v>47.2</v>
      </c>
      <c r="AY96" s="166">
        <f t="shared" si="158"/>
        <v>-0.79999999999999716</v>
      </c>
      <c r="AZ96" s="147">
        <v>90.65</v>
      </c>
      <c r="BA96" s="166">
        <f t="shared" si="159"/>
        <v>0.65000000000000568</v>
      </c>
      <c r="BB96" s="147"/>
      <c r="BC96" s="166">
        <f t="shared" si="160"/>
        <v>-62</v>
      </c>
      <c r="BD96" s="147"/>
      <c r="BE96" s="166">
        <f t="shared" si="161"/>
        <v>-42</v>
      </c>
      <c r="BF96" s="147"/>
      <c r="BG96" s="166">
        <f t="shared" si="162"/>
        <v>-52</v>
      </c>
      <c r="BH96" s="147"/>
      <c r="BI96" s="166">
        <f t="shared" si="163"/>
        <v>-71</v>
      </c>
      <c r="BJ96" s="147"/>
      <c r="BK96" s="166">
        <f t="shared" si="164"/>
        <v>-79</v>
      </c>
      <c r="BL96" s="147"/>
      <c r="BM96" s="166">
        <f t="shared" si="165"/>
        <v>-153</v>
      </c>
      <c r="BN96" s="50"/>
      <c r="BO96" s="170">
        <f t="shared" si="137"/>
        <v>-908.79</v>
      </c>
      <c r="BP96" s="87"/>
      <c r="BQ96" s="172">
        <f t="shared" si="166"/>
        <v>-80</v>
      </c>
    </row>
    <row r="97" spans="1:76" x14ac:dyDescent="0.35">
      <c r="A97" s="135"/>
      <c r="B97" s="54" t="s">
        <v>67</v>
      </c>
      <c r="C97" s="144"/>
      <c r="D97" s="146"/>
      <c r="E97" s="166">
        <f t="shared" si="138"/>
        <v>0</v>
      </c>
      <c r="F97" s="147"/>
      <c r="G97" s="166">
        <f t="shared" si="138"/>
        <v>0</v>
      </c>
      <c r="H97" s="147">
        <v>53.95</v>
      </c>
      <c r="I97" s="166">
        <f t="shared" si="138"/>
        <v>-4.9999999999997158E-2</v>
      </c>
      <c r="J97" s="147">
        <v>47.27</v>
      </c>
      <c r="K97" s="166">
        <f t="shared" si="138"/>
        <v>0.27000000000000313</v>
      </c>
      <c r="L97" s="147">
        <v>49.17</v>
      </c>
      <c r="M97" s="166">
        <f t="shared" si="139"/>
        <v>0.17000000000000171</v>
      </c>
      <c r="N97" s="147">
        <v>27.55</v>
      </c>
      <c r="O97" s="166">
        <f t="shared" si="140"/>
        <v>-0.44999999999999929</v>
      </c>
      <c r="P97" s="147">
        <v>50.75</v>
      </c>
      <c r="Q97" s="166">
        <f t="shared" si="141"/>
        <v>0.75</v>
      </c>
      <c r="R97" s="147">
        <v>170.56</v>
      </c>
      <c r="S97" s="166">
        <f t="shared" si="142"/>
        <v>-0.43999999999999773</v>
      </c>
      <c r="T97" s="147">
        <v>25.57</v>
      </c>
      <c r="U97" s="166">
        <f t="shared" si="143"/>
        <v>-0.42999999999999972</v>
      </c>
      <c r="V97" s="147">
        <v>17.7</v>
      </c>
      <c r="W97" s="166">
        <f t="shared" si="144"/>
        <v>0.69999999999999929</v>
      </c>
      <c r="X97" s="147">
        <v>100.49</v>
      </c>
      <c r="Y97" s="166">
        <f t="shared" si="145"/>
        <v>-0.51000000000000512</v>
      </c>
      <c r="Z97" s="147">
        <v>63.15</v>
      </c>
      <c r="AA97" s="166">
        <f t="shared" si="146"/>
        <v>0.14999999999999858</v>
      </c>
      <c r="AB97" s="147"/>
      <c r="AC97" s="166">
        <f t="shared" si="147"/>
        <v>-66</v>
      </c>
      <c r="AD97" s="147"/>
      <c r="AE97" s="166">
        <f t="shared" si="148"/>
        <v>-100</v>
      </c>
      <c r="AF97" s="147"/>
      <c r="AG97" s="166">
        <f t="shared" si="149"/>
        <v>-109</v>
      </c>
      <c r="AH97" s="147"/>
      <c r="AI97" s="166">
        <f t="shared" si="150"/>
        <v>-6</v>
      </c>
      <c r="AJ97" s="147"/>
      <c r="AK97" s="166">
        <f t="shared" si="151"/>
        <v>-28</v>
      </c>
      <c r="AL97" s="147"/>
      <c r="AM97" s="166">
        <f t="shared" si="152"/>
        <v>-133</v>
      </c>
      <c r="AN97" s="147">
        <v>86.84</v>
      </c>
      <c r="AO97" s="166">
        <f t="shared" si="153"/>
        <v>-0.15999999999999659</v>
      </c>
      <c r="AP97" s="147">
        <v>17.7</v>
      </c>
      <c r="AQ97" s="166">
        <f t="shared" si="154"/>
        <v>0.69999999999999929</v>
      </c>
      <c r="AR97" s="147">
        <v>38.31</v>
      </c>
      <c r="AS97" s="166">
        <f t="shared" si="155"/>
        <v>-0.68999999999999773</v>
      </c>
      <c r="AT97" s="147">
        <v>122.11</v>
      </c>
      <c r="AU97" s="166">
        <f t="shared" si="156"/>
        <v>0.10999999999999943</v>
      </c>
      <c r="AV97" s="147">
        <v>50.28</v>
      </c>
      <c r="AW97" s="166">
        <f t="shared" si="157"/>
        <v>0.28000000000000114</v>
      </c>
      <c r="AX97" s="147">
        <v>35.4</v>
      </c>
      <c r="AY97" s="166">
        <f t="shared" si="158"/>
        <v>0.39999999999999858</v>
      </c>
      <c r="AZ97" s="147">
        <v>49.16</v>
      </c>
      <c r="BA97" s="166">
        <f t="shared" si="159"/>
        <v>-0.84000000000000341</v>
      </c>
      <c r="BB97" s="147"/>
      <c r="BC97" s="166">
        <f t="shared" si="160"/>
        <v>-45</v>
      </c>
      <c r="BD97" s="147"/>
      <c r="BE97" s="166">
        <f t="shared" si="161"/>
        <v>-87</v>
      </c>
      <c r="BF97" s="147"/>
      <c r="BG97" s="166">
        <f t="shared" si="162"/>
        <v>-23</v>
      </c>
      <c r="BH97" s="147"/>
      <c r="BI97" s="166">
        <f t="shared" si="163"/>
        <v>-63</v>
      </c>
      <c r="BJ97" s="147"/>
      <c r="BK97" s="166">
        <f t="shared" si="164"/>
        <v>-140</v>
      </c>
      <c r="BL97" s="147"/>
      <c r="BM97" s="166">
        <f t="shared" si="165"/>
        <v>-99</v>
      </c>
      <c r="BN97" s="50"/>
      <c r="BO97" s="170">
        <f t="shared" si="137"/>
        <v>-899.04000000000008</v>
      </c>
      <c r="BP97" s="87"/>
      <c r="BQ97" s="172">
        <f t="shared" si="166"/>
        <v>-75</v>
      </c>
    </row>
    <row r="98" spans="1:76" x14ac:dyDescent="0.35">
      <c r="A98" s="136" t="s">
        <v>82</v>
      </c>
      <c r="B98" s="54" t="s">
        <v>66</v>
      </c>
      <c r="C98" s="144"/>
      <c r="D98" s="146">
        <v>218.39</v>
      </c>
      <c r="E98" s="166">
        <f t="shared" si="138"/>
        <v>0.38999999999998636</v>
      </c>
      <c r="F98" s="147">
        <v>83.91</v>
      </c>
      <c r="G98" s="166">
        <f t="shared" si="138"/>
        <v>-9.0000000000003411E-2</v>
      </c>
      <c r="H98" s="147">
        <v>288.54000000000002</v>
      </c>
      <c r="I98" s="166">
        <f t="shared" si="138"/>
        <v>0.54000000000002046</v>
      </c>
      <c r="J98" s="147">
        <v>64.38</v>
      </c>
      <c r="K98" s="166">
        <f t="shared" si="138"/>
        <v>0.37999999999999545</v>
      </c>
      <c r="L98" s="147">
        <v>96.57</v>
      </c>
      <c r="M98" s="166">
        <f t="shared" si="139"/>
        <v>-0.43000000000000682</v>
      </c>
      <c r="N98" s="147">
        <v>150.5</v>
      </c>
      <c r="O98" s="166">
        <f t="shared" si="140"/>
        <v>1.5</v>
      </c>
      <c r="P98" s="147">
        <v>93</v>
      </c>
      <c r="Q98" s="166">
        <f t="shared" si="141"/>
        <v>0</v>
      </c>
      <c r="R98" s="147">
        <v>115.73</v>
      </c>
      <c r="S98" s="166">
        <f t="shared" si="142"/>
        <v>-0.26999999999999602</v>
      </c>
      <c r="T98" s="147">
        <v>95</v>
      </c>
      <c r="U98" s="166">
        <f t="shared" si="143"/>
        <v>1</v>
      </c>
      <c r="V98" s="147">
        <v>243.31</v>
      </c>
      <c r="W98" s="166">
        <f t="shared" si="144"/>
        <v>0.31000000000000227</v>
      </c>
      <c r="X98" s="147">
        <v>251.15</v>
      </c>
      <c r="Y98" s="166">
        <f t="shared" si="145"/>
        <v>6.1500000000000057</v>
      </c>
      <c r="Z98" s="147">
        <v>134.82</v>
      </c>
      <c r="AA98" s="166">
        <f t="shared" si="146"/>
        <v>-6.1800000000000068</v>
      </c>
      <c r="AB98" s="147"/>
      <c r="AC98" s="166">
        <f t="shared" si="147"/>
        <v>-132</v>
      </c>
      <c r="AD98" s="147"/>
      <c r="AE98" s="166">
        <f t="shared" si="148"/>
        <v>-178</v>
      </c>
      <c r="AF98" s="147"/>
      <c r="AG98" s="166">
        <f t="shared" si="149"/>
        <v>-94</v>
      </c>
      <c r="AH98" s="147"/>
      <c r="AI98" s="166">
        <f t="shared" si="150"/>
        <v>-26</v>
      </c>
      <c r="AJ98" s="147"/>
      <c r="AK98" s="166">
        <f t="shared" si="151"/>
        <v>-62</v>
      </c>
      <c r="AL98" s="147"/>
      <c r="AM98" s="166">
        <f t="shared" si="152"/>
        <v>-103</v>
      </c>
      <c r="AN98" s="147">
        <v>82.88</v>
      </c>
      <c r="AO98" s="166">
        <f t="shared" si="153"/>
        <v>2.8799999999999955</v>
      </c>
      <c r="AP98" s="147">
        <v>165.51</v>
      </c>
      <c r="AQ98" s="166">
        <f t="shared" si="154"/>
        <v>3.5099999999999909</v>
      </c>
      <c r="AR98" s="147">
        <v>126.53</v>
      </c>
      <c r="AS98" s="166">
        <f t="shared" si="155"/>
        <v>4.5300000000000011</v>
      </c>
      <c r="AT98" s="147">
        <v>133.24</v>
      </c>
      <c r="AU98" s="166">
        <f t="shared" si="156"/>
        <v>4.2400000000000091</v>
      </c>
      <c r="AV98" s="147">
        <v>38.700000000000003</v>
      </c>
      <c r="AW98" s="166">
        <f t="shared" si="157"/>
        <v>2.7000000000000028</v>
      </c>
      <c r="AX98" s="147">
        <v>60.23</v>
      </c>
      <c r="AY98" s="166">
        <f t="shared" si="158"/>
        <v>2.2299999999999969</v>
      </c>
      <c r="AZ98" s="147">
        <v>148.94999999999999</v>
      </c>
      <c r="BA98" s="166">
        <f t="shared" si="159"/>
        <v>5.9499999999999886</v>
      </c>
      <c r="BB98" s="147"/>
      <c r="BC98" s="166">
        <f t="shared" si="160"/>
        <v>-69</v>
      </c>
      <c r="BD98" s="147"/>
      <c r="BE98" s="166">
        <f t="shared" si="161"/>
        <v>0</v>
      </c>
      <c r="BF98" s="147"/>
      <c r="BG98" s="166">
        <f t="shared" si="162"/>
        <v>-243</v>
      </c>
      <c r="BH98" s="147"/>
      <c r="BI98" s="166">
        <f t="shared" si="163"/>
        <v>-238</v>
      </c>
      <c r="BJ98" s="147"/>
      <c r="BK98" s="166">
        <f t="shared" si="164"/>
        <v>-84</v>
      </c>
      <c r="BL98" s="147"/>
      <c r="BM98" s="166">
        <f t="shared" si="165"/>
        <v>-120</v>
      </c>
      <c r="BN98" s="50"/>
      <c r="BO98" s="170">
        <f t="shared" si="137"/>
        <v>-1319.66</v>
      </c>
      <c r="BP98" s="87"/>
      <c r="BQ98" s="172">
        <f t="shared" si="166"/>
        <v>-171</v>
      </c>
    </row>
    <row r="99" spans="1:76" x14ac:dyDescent="0.35">
      <c r="A99" s="44"/>
      <c r="B99" s="54" t="s">
        <v>65</v>
      </c>
      <c r="C99" s="144"/>
      <c r="D99" s="146">
        <v>211.5</v>
      </c>
      <c r="E99" s="166">
        <f t="shared" si="138"/>
        <v>-0.5</v>
      </c>
      <c r="F99" s="147">
        <v>90.82</v>
      </c>
      <c r="G99" s="166">
        <f t="shared" si="138"/>
        <v>0.81999999999999318</v>
      </c>
      <c r="H99" s="147">
        <v>306</v>
      </c>
      <c r="I99" s="166">
        <f t="shared" si="138"/>
        <v>0</v>
      </c>
      <c r="J99" s="147">
        <v>262.38</v>
      </c>
      <c r="K99" s="166">
        <f t="shared" si="138"/>
        <v>-0.62000000000000455</v>
      </c>
      <c r="L99" s="147">
        <v>187.29</v>
      </c>
      <c r="M99" s="166">
        <f t="shared" si="139"/>
        <v>0.28999999999999204</v>
      </c>
      <c r="N99" s="147">
        <v>309.19</v>
      </c>
      <c r="O99" s="166">
        <f t="shared" si="140"/>
        <v>0.18999999999999773</v>
      </c>
      <c r="P99" s="147">
        <v>170.68</v>
      </c>
      <c r="Q99" s="166">
        <f t="shared" si="141"/>
        <v>-0.31999999999999318</v>
      </c>
      <c r="R99" s="147">
        <v>67.709999999999994</v>
      </c>
      <c r="S99" s="166">
        <f t="shared" si="142"/>
        <v>-0.29000000000000625</v>
      </c>
      <c r="T99" s="147">
        <v>90.83</v>
      </c>
      <c r="U99" s="166">
        <f t="shared" si="143"/>
        <v>-0.17000000000000171</v>
      </c>
      <c r="V99" s="147">
        <v>224.12</v>
      </c>
      <c r="W99" s="166">
        <f t="shared" si="144"/>
        <v>0.12000000000000455</v>
      </c>
      <c r="X99" s="147">
        <v>354.7</v>
      </c>
      <c r="Y99" s="166">
        <f t="shared" si="145"/>
        <v>0.69999999999998863</v>
      </c>
      <c r="Z99" s="147">
        <v>199.59</v>
      </c>
      <c r="AA99" s="166">
        <f t="shared" si="146"/>
        <v>-0.40999999999999659</v>
      </c>
      <c r="AB99" s="147"/>
      <c r="AC99" s="166">
        <f t="shared" si="147"/>
        <v>-331</v>
      </c>
      <c r="AD99" s="147"/>
      <c r="AE99" s="166">
        <f t="shared" si="148"/>
        <v>-139</v>
      </c>
      <c r="AF99" s="147"/>
      <c r="AG99" s="166">
        <f t="shared" si="149"/>
        <v>-231</v>
      </c>
      <c r="AH99" s="147"/>
      <c r="AI99" s="166">
        <f t="shared" si="150"/>
        <v>-21</v>
      </c>
      <c r="AJ99" s="147"/>
      <c r="AK99" s="166">
        <f t="shared" si="151"/>
        <v>-232</v>
      </c>
      <c r="AL99" s="147"/>
      <c r="AM99" s="166">
        <f t="shared" si="152"/>
        <v>-170</v>
      </c>
      <c r="AN99" s="147">
        <v>206.56</v>
      </c>
      <c r="AO99" s="166">
        <f t="shared" si="153"/>
        <v>-0.43999999999999773</v>
      </c>
      <c r="AP99" s="147">
        <v>151.51</v>
      </c>
      <c r="AQ99" s="166">
        <f t="shared" si="154"/>
        <v>0.50999999999999091</v>
      </c>
      <c r="AR99" s="147">
        <v>350.25</v>
      </c>
      <c r="AS99" s="166">
        <f t="shared" si="155"/>
        <v>-0.75</v>
      </c>
      <c r="AT99" s="147">
        <v>104.97</v>
      </c>
      <c r="AU99" s="166">
        <f t="shared" si="156"/>
        <v>-3.0000000000001137E-2</v>
      </c>
      <c r="AV99" s="147">
        <v>171.07</v>
      </c>
      <c r="AW99" s="166">
        <f t="shared" si="157"/>
        <v>6.9999999999993179E-2</v>
      </c>
      <c r="AX99" s="147">
        <v>312.69</v>
      </c>
      <c r="AY99" s="166">
        <f t="shared" si="158"/>
        <v>0.68999999999999773</v>
      </c>
      <c r="AZ99" s="147">
        <v>179.69</v>
      </c>
      <c r="BA99" s="166">
        <f t="shared" si="159"/>
        <v>-0.31000000000000227</v>
      </c>
      <c r="BB99" s="147"/>
      <c r="BC99" s="166">
        <f t="shared" si="160"/>
        <v>-65</v>
      </c>
      <c r="BD99" s="147"/>
      <c r="BE99" s="166">
        <f t="shared" si="161"/>
        <v>-370</v>
      </c>
      <c r="BF99" s="147"/>
      <c r="BG99" s="166">
        <f t="shared" si="162"/>
        <v>-200</v>
      </c>
      <c r="BH99" s="147"/>
      <c r="BI99" s="166">
        <f t="shared" si="163"/>
        <v>-108</v>
      </c>
      <c r="BJ99" s="147"/>
      <c r="BK99" s="166">
        <f t="shared" si="164"/>
        <v>-28</v>
      </c>
      <c r="BL99" s="147"/>
      <c r="BM99" s="166">
        <f t="shared" si="165"/>
        <v>-329</v>
      </c>
      <c r="BN99" s="50"/>
      <c r="BO99" s="170">
        <f t="shared" si="137"/>
        <v>-2224.4499999999998</v>
      </c>
      <c r="BP99" s="87"/>
      <c r="BQ99" s="172">
        <f t="shared" si="166"/>
        <v>-998</v>
      </c>
    </row>
    <row r="100" spans="1:76" x14ac:dyDescent="0.35">
      <c r="A100" s="135" t="s">
        <v>84</v>
      </c>
      <c r="B100" s="54" t="s">
        <v>67</v>
      </c>
      <c r="C100" s="144"/>
      <c r="D100" s="146"/>
      <c r="E100" s="166">
        <f t="shared" si="138"/>
        <v>0</v>
      </c>
      <c r="F100" s="147">
        <v>8.8800000000000008</v>
      </c>
      <c r="G100" s="166">
        <f t="shared" si="138"/>
        <v>-0.11999999999999922</v>
      </c>
      <c r="H100" s="147">
        <v>51.75</v>
      </c>
      <c r="I100" s="166">
        <f t="shared" si="138"/>
        <v>-0.25</v>
      </c>
      <c r="J100" s="147">
        <v>42.42</v>
      </c>
      <c r="K100" s="166">
        <f t="shared" si="138"/>
        <v>-0.57999999999999829</v>
      </c>
      <c r="L100" s="147">
        <v>77.22</v>
      </c>
      <c r="M100" s="166">
        <f t="shared" si="139"/>
        <v>0.21999999999999886</v>
      </c>
      <c r="N100" s="147">
        <v>155.19999999999999</v>
      </c>
      <c r="O100" s="166">
        <f t="shared" si="140"/>
        <v>40.199999999999989</v>
      </c>
      <c r="P100" s="147">
        <v>43.26</v>
      </c>
      <c r="Q100" s="166">
        <f t="shared" si="141"/>
        <v>0.25999999999999801</v>
      </c>
      <c r="R100" s="147"/>
      <c r="S100" s="166">
        <f t="shared" si="142"/>
        <v>0</v>
      </c>
      <c r="T100" s="147">
        <v>31.47</v>
      </c>
      <c r="U100" s="166">
        <f t="shared" si="143"/>
        <v>-0.53000000000000114</v>
      </c>
      <c r="V100" s="147">
        <v>37.369999999999997</v>
      </c>
      <c r="W100" s="166">
        <f t="shared" si="144"/>
        <v>0.36999999999999744</v>
      </c>
      <c r="X100" s="147">
        <v>56.43</v>
      </c>
      <c r="Y100" s="166">
        <f t="shared" si="145"/>
        <v>-0.57000000000000028</v>
      </c>
      <c r="Z100" s="147">
        <v>116.54</v>
      </c>
      <c r="AA100" s="166">
        <f t="shared" si="146"/>
        <v>0.54000000000000625</v>
      </c>
      <c r="AB100" s="147"/>
      <c r="AC100" s="166">
        <f t="shared" si="147"/>
        <v>-88</v>
      </c>
      <c r="AD100" s="147"/>
      <c r="AE100" s="166">
        <f t="shared" si="148"/>
        <v>-120</v>
      </c>
      <c r="AF100" s="147"/>
      <c r="AG100" s="166">
        <f t="shared" si="149"/>
        <v>-21</v>
      </c>
      <c r="AH100" s="147"/>
      <c r="AI100" s="166">
        <f t="shared" si="150"/>
        <v>-113</v>
      </c>
      <c r="AJ100" s="147"/>
      <c r="AK100" s="166">
        <f t="shared" si="151"/>
        <v>-32</v>
      </c>
      <c r="AL100" s="147"/>
      <c r="AM100" s="166">
        <f t="shared" si="152"/>
        <v>-66</v>
      </c>
      <c r="AN100" s="147">
        <v>56.08</v>
      </c>
      <c r="AO100" s="166">
        <f t="shared" si="153"/>
        <v>7.9999999999998295E-2</v>
      </c>
      <c r="AP100" s="147">
        <v>45.32</v>
      </c>
      <c r="AQ100" s="166">
        <f t="shared" si="154"/>
        <v>0.32000000000000028</v>
      </c>
      <c r="AR100" s="147">
        <v>80.11</v>
      </c>
      <c r="AS100" s="166">
        <f t="shared" si="155"/>
        <v>0.10999999999999943</v>
      </c>
      <c r="AT100" s="147">
        <v>73.56</v>
      </c>
      <c r="AU100" s="166">
        <f t="shared" si="156"/>
        <v>-0.43999999999999773</v>
      </c>
      <c r="AV100" s="147">
        <v>53.1</v>
      </c>
      <c r="AW100" s="166">
        <f t="shared" si="157"/>
        <v>0.10000000000000142</v>
      </c>
      <c r="AX100" s="147">
        <v>68.14</v>
      </c>
      <c r="AY100" s="166">
        <f t="shared" si="158"/>
        <v>0.14000000000000057</v>
      </c>
      <c r="AZ100" s="147">
        <v>64.52</v>
      </c>
      <c r="BA100" s="166">
        <f t="shared" si="159"/>
        <v>-0.48000000000000398</v>
      </c>
      <c r="BB100" s="147"/>
      <c r="BC100" s="166">
        <f t="shared" si="160"/>
        <v>-53</v>
      </c>
      <c r="BD100" s="147"/>
      <c r="BE100" s="166">
        <f t="shared" si="161"/>
        <v>-55</v>
      </c>
      <c r="BF100" s="147"/>
      <c r="BG100" s="166">
        <f t="shared" si="162"/>
        <v>-83</v>
      </c>
      <c r="BH100" s="147"/>
      <c r="BI100" s="166">
        <f t="shared" si="163"/>
        <v>-44</v>
      </c>
      <c r="BJ100" s="147"/>
      <c r="BK100" s="166">
        <f t="shared" si="164"/>
        <v>-53</v>
      </c>
      <c r="BL100" s="147"/>
      <c r="BM100" s="166">
        <f t="shared" si="165"/>
        <v>-186</v>
      </c>
      <c r="BN100" s="50"/>
      <c r="BO100" s="170">
        <f t="shared" si="137"/>
        <v>-874.63000000000011</v>
      </c>
      <c r="BP100" s="87"/>
      <c r="BQ100" s="172">
        <f t="shared" si="166"/>
        <v>-119</v>
      </c>
    </row>
    <row r="101" spans="1:76" x14ac:dyDescent="0.35">
      <c r="A101" s="136" t="s">
        <v>85</v>
      </c>
      <c r="B101" s="54" t="s">
        <v>66</v>
      </c>
      <c r="C101" s="144"/>
      <c r="D101" s="146">
        <v>168.54</v>
      </c>
      <c r="E101" s="166">
        <f t="shared" si="138"/>
        <v>-0.46000000000000796</v>
      </c>
      <c r="F101" s="147">
        <v>41.78</v>
      </c>
      <c r="G101" s="166">
        <f t="shared" si="138"/>
        <v>0.78000000000000114</v>
      </c>
      <c r="H101" s="147">
        <v>175.84</v>
      </c>
      <c r="I101" s="166">
        <f t="shared" si="138"/>
        <v>-1.1599999999999966</v>
      </c>
      <c r="J101" s="147">
        <v>240.95</v>
      </c>
      <c r="K101" s="166">
        <f t="shared" si="138"/>
        <v>-5.0000000000011369E-2</v>
      </c>
      <c r="L101" s="147">
        <v>211.78</v>
      </c>
      <c r="M101" s="166">
        <f t="shared" si="139"/>
        <v>-0.21999999999999886</v>
      </c>
      <c r="N101" s="147">
        <v>126.89</v>
      </c>
      <c r="O101" s="166">
        <f t="shared" si="140"/>
        <v>-0.10999999999999943</v>
      </c>
      <c r="P101" s="147">
        <v>196.27</v>
      </c>
      <c r="Q101" s="166">
        <f t="shared" si="141"/>
        <v>-0.72999999999998977</v>
      </c>
      <c r="R101" s="147">
        <v>108.31</v>
      </c>
      <c r="S101" s="166">
        <f t="shared" si="142"/>
        <v>-0.68999999999999773</v>
      </c>
      <c r="T101" s="147">
        <v>52.78</v>
      </c>
      <c r="U101" s="166">
        <f t="shared" si="143"/>
        <v>-0.21999999999999886</v>
      </c>
      <c r="V101" s="147">
        <v>173.62</v>
      </c>
      <c r="W101" s="166">
        <f t="shared" si="144"/>
        <v>-0.37999999999999545</v>
      </c>
      <c r="X101" s="147">
        <v>83.67</v>
      </c>
      <c r="Y101" s="166">
        <f t="shared" si="145"/>
        <v>-0.32999999999999829</v>
      </c>
      <c r="Z101" s="147">
        <v>175.22</v>
      </c>
      <c r="AA101" s="166">
        <f t="shared" si="146"/>
        <v>0.21999999999999886</v>
      </c>
      <c r="AB101" s="147"/>
      <c r="AC101" s="166">
        <f t="shared" si="147"/>
        <v>-155</v>
      </c>
      <c r="AD101" s="147"/>
      <c r="AE101" s="166">
        <f t="shared" si="148"/>
        <v>-140</v>
      </c>
      <c r="AF101" s="147"/>
      <c r="AG101" s="166">
        <f t="shared" si="149"/>
        <v>-124</v>
      </c>
      <c r="AH101" s="147"/>
      <c r="AI101" s="166">
        <f t="shared" si="150"/>
        <v>-54</v>
      </c>
      <c r="AJ101" s="147"/>
      <c r="AK101" s="166">
        <f t="shared" si="151"/>
        <v>-147</v>
      </c>
      <c r="AL101" s="147"/>
      <c r="AM101" s="166">
        <f t="shared" si="152"/>
        <v>-185</v>
      </c>
      <c r="AN101" s="147">
        <v>95.82</v>
      </c>
      <c r="AO101" s="166">
        <f t="shared" si="153"/>
        <v>-1.1800000000000068</v>
      </c>
      <c r="AP101" s="147">
        <v>197.36</v>
      </c>
      <c r="AQ101" s="166">
        <f t="shared" si="154"/>
        <v>0.36000000000001364</v>
      </c>
      <c r="AR101" s="147">
        <v>119.58</v>
      </c>
      <c r="AS101" s="166">
        <f t="shared" si="155"/>
        <v>-0.42000000000000171</v>
      </c>
      <c r="AT101" s="147">
        <v>227.14</v>
      </c>
      <c r="AU101" s="166">
        <f t="shared" si="156"/>
        <v>0.13999999999998636</v>
      </c>
      <c r="AV101" s="147">
        <v>61.38</v>
      </c>
      <c r="AW101" s="166">
        <f t="shared" si="157"/>
        <v>-0.61999999999999744</v>
      </c>
      <c r="AX101" s="147">
        <v>123.09</v>
      </c>
      <c r="AY101" s="166">
        <f t="shared" si="158"/>
        <v>9.0000000000003411E-2</v>
      </c>
      <c r="AZ101" s="147">
        <v>191.84</v>
      </c>
      <c r="BA101" s="166">
        <f t="shared" si="159"/>
        <v>-0.15999999999999659</v>
      </c>
      <c r="BB101" s="147"/>
      <c r="BC101" s="166">
        <f t="shared" si="160"/>
        <v>-264</v>
      </c>
      <c r="BD101" s="147"/>
      <c r="BE101" s="166">
        <f t="shared" si="161"/>
        <v>-199</v>
      </c>
      <c r="BF101" s="147"/>
      <c r="BG101" s="166">
        <f t="shared" si="162"/>
        <v>-242</v>
      </c>
      <c r="BH101" s="147"/>
      <c r="BI101" s="166">
        <f t="shared" si="163"/>
        <v>-240</v>
      </c>
      <c r="BJ101" s="147"/>
      <c r="BK101" s="166">
        <f t="shared" si="164"/>
        <v>-61</v>
      </c>
      <c r="BL101" s="147"/>
      <c r="BM101" s="166">
        <f t="shared" si="165"/>
        <v>-234</v>
      </c>
      <c r="BN101" s="50"/>
      <c r="BO101" s="170">
        <f t="shared" si="137"/>
        <v>-2050.14</v>
      </c>
      <c r="BP101" s="87"/>
      <c r="BQ101" s="172">
        <f t="shared" si="166"/>
        <v>-276</v>
      </c>
    </row>
    <row r="102" spans="1:76" x14ac:dyDescent="0.35">
      <c r="A102" s="44" t="s">
        <v>86</v>
      </c>
      <c r="B102" s="54" t="s">
        <v>65</v>
      </c>
      <c r="C102" s="144"/>
      <c r="D102" s="146">
        <v>296.73</v>
      </c>
      <c r="E102" s="166">
        <f t="shared" si="138"/>
        <v>-1.2699999999999818</v>
      </c>
      <c r="F102" s="147">
        <v>299.44</v>
      </c>
      <c r="G102" s="166">
        <f t="shared" si="138"/>
        <v>-1.5600000000000023</v>
      </c>
      <c r="H102" s="147">
        <v>259.31</v>
      </c>
      <c r="I102" s="166">
        <f t="shared" si="138"/>
        <v>-0.68999999999999773</v>
      </c>
      <c r="J102" s="147">
        <v>276.39999999999998</v>
      </c>
      <c r="K102" s="166">
        <f t="shared" si="138"/>
        <v>-0.60000000000002274</v>
      </c>
      <c r="L102" s="147">
        <v>119.85</v>
      </c>
      <c r="M102" s="166">
        <f t="shared" si="139"/>
        <v>-0.15000000000000568</v>
      </c>
      <c r="N102" s="147">
        <v>180.71</v>
      </c>
      <c r="O102" s="166">
        <f t="shared" si="140"/>
        <v>-2.289999999999992</v>
      </c>
      <c r="P102" s="147">
        <v>188.71</v>
      </c>
      <c r="Q102" s="166">
        <f t="shared" si="141"/>
        <v>-2.289999999999992</v>
      </c>
      <c r="R102" s="147">
        <v>264.83</v>
      </c>
      <c r="S102" s="166">
        <f t="shared" si="142"/>
        <v>-1.1700000000000159</v>
      </c>
      <c r="T102" s="147">
        <v>256.14999999999998</v>
      </c>
      <c r="U102" s="166">
        <f t="shared" si="143"/>
        <v>-1.8500000000000227</v>
      </c>
      <c r="V102" s="147">
        <v>150.97</v>
      </c>
      <c r="W102" s="166">
        <f t="shared" si="144"/>
        <v>-1.0300000000000011</v>
      </c>
      <c r="X102" s="147">
        <v>186.53</v>
      </c>
      <c r="Y102" s="166">
        <f t="shared" si="145"/>
        <v>-2.4699999999999989</v>
      </c>
      <c r="Z102" s="147">
        <v>121.14</v>
      </c>
      <c r="AA102" s="166">
        <f t="shared" si="146"/>
        <v>0.14000000000000057</v>
      </c>
      <c r="AB102" s="147"/>
      <c r="AC102" s="166">
        <f t="shared" si="147"/>
        <v>-192</v>
      </c>
      <c r="AD102" s="147"/>
      <c r="AE102" s="166">
        <f t="shared" si="148"/>
        <v>-380</v>
      </c>
      <c r="AF102" s="147"/>
      <c r="AG102" s="166">
        <f t="shared" si="149"/>
        <v>-242</v>
      </c>
      <c r="AH102" s="147"/>
      <c r="AI102" s="166">
        <f t="shared" si="150"/>
        <v>-209</v>
      </c>
      <c r="AJ102" s="147"/>
      <c r="AK102" s="166">
        <f t="shared" si="151"/>
        <v>-238</v>
      </c>
      <c r="AL102" s="147"/>
      <c r="AM102" s="166">
        <f t="shared" si="152"/>
        <v>-215</v>
      </c>
      <c r="AN102" s="147">
        <v>199.68</v>
      </c>
      <c r="AO102" s="166">
        <f t="shared" si="153"/>
        <v>-1.3199999999999932</v>
      </c>
      <c r="AP102" s="147">
        <v>139</v>
      </c>
      <c r="AQ102" s="166">
        <f t="shared" si="154"/>
        <v>-2</v>
      </c>
      <c r="AR102" s="147">
        <v>241.35</v>
      </c>
      <c r="AS102" s="166">
        <f t="shared" si="155"/>
        <v>-1.6500000000000057</v>
      </c>
      <c r="AT102" s="147">
        <v>321.12</v>
      </c>
      <c r="AU102" s="166">
        <f t="shared" si="156"/>
        <v>-1.8799999999999955</v>
      </c>
      <c r="AV102" s="147">
        <v>147.1</v>
      </c>
      <c r="AW102" s="166">
        <f t="shared" si="157"/>
        <v>-1.9000000000000057</v>
      </c>
      <c r="AX102" s="147">
        <v>160.81</v>
      </c>
      <c r="AY102" s="166">
        <f t="shared" si="158"/>
        <v>-1.1899999999999977</v>
      </c>
      <c r="AZ102" s="147">
        <v>161.54</v>
      </c>
      <c r="BA102" s="166">
        <f t="shared" si="159"/>
        <v>-2.460000000000008</v>
      </c>
      <c r="BB102" s="147"/>
      <c r="BC102" s="166">
        <f t="shared" si="160"/>
        <v>-178</v>
      </c>
      <c r="BD102" s="147"/>
      <c r="BE102" s="166">
        <f t="shared" si="161"/>
        <v>-340</v>
      </c>
      <c r="BF102" s="147"/>
      <c r="BG102" s="166">
        <f t="shared" si="162"/>
        <v>-86</v>
      </c>
      <c r="BH102" s="147"/>
      <c r="BI102" s="166">
        <f t="shared" si="163"/>
        <v>0</v>
      </c>
      <c r="BJ102" s="147"/>
      <c r="BK102" s="166">
        <f t="shared" si="164"/>
        <v>0</v>
      </c>
      <c r="BL102" s="147"/>
      <c r="BM102" s="166">
        <f t="shared" si="165"/>
        <v>0</v>
      </c>
      <c r="BN102" s="50"/>
      <c r="BO102" s="170">
        <f t="shared" si="137"/>
        <v>-2107.63</v>
      </c>
      <c r="BP102" s="87"/>
      <c r="BQ102" s="172">
        <f t="shared" si="166"/>
        <v>0</v>
      </c>
    </row>
    <row r="103" spans="1:76" x14ac:dyDescent="0.35">
      <c r="A103" s="53"/>
      <c r="B103" s="54"/>
      <c r="C103" s="144"/>
      <c r="D103" s="189">
        <f>SUM(D91:D102)</f>
        <v>1878.9099999999999</v>
      </c>
      <c r="E103" s="166">
        <f t="shared" ref="E103:BQ103" si="167">SUM(E91:E102)</f>
        <v>-3.0899999999999892</v>
      </c>
      <c r="F103" s="167">
        <f t="shared" si="167"/>
        <v>1086.57</v>
      </c>
      <c r="G103" s="166">
        <f t="shared" si="167"/>
        <v>0.56999999999998252</v>
      </c>
      <c r="H103" s="167">
        <f t="shared" si="167"/>
        <v>2240.04</v>
      </c>
      <c r="I103" s="166">
        <f t="shared" si="167"/>
        <v>-1.960000000000008</v>
      </c>
      <c r="J103" s="167">
        <f t="shared" si="167"/>
        <v>2036.9</v>
      </c>
      <c r="K103" s="166">
        <f t="shared" si="167"/>
        <v>-1.1000000000000156</v>
      </c>
      <c r="L103" s="167">
        <f t="shared" si="167"/>
        <v>1954.7199999999998</v>
      </c>
      <c r="M103" s="166">
        <f t="shared" si="167"/>
        <v>-5.2800000000000153</v>
      </c>
      <c r="N103" s="167">
        <f t="shared" si="167"/>
        <v>1677.8600000000001</v>
      </c>
      <c r="O103" s="166">
        <f t="shared" si="167"/>
        <v>172.86000000000004</v>
      </c>
      <c r="P103" s="167">
        <f t="shared" si="167"/>
        <v>1927.9</v>
      </c>
      <c r="Q103" s="166">
        <f t="shared" si="167"/>
        <v>334.90000000000009</v>
      </c>
      <c r="R103" s="167">
        <f t="shared" si="167"/>
        <v>1638.8</v>
      </c>
      <c r="S103" s="166">
        <f t="shared" si="167"/>
        <v>178.8</v>
      </c>
      <c r="T103" s="167">
        <f t="shared" si="167"/>
        <v>1156.33</v>
      </c>
      <c r="U103" s="166">
        <f t="shared" si="167"/>
        <v>176.32999999999998</v>
      </c>
      <c r="V103" s="167">
        <f t="shared" si="167"/>
        <v>1452.59</v>
      </c>
      <c r="W103" s="166">
        <f t="shared" si="167"/>
        <v>66.59</v>
      </c>
      <c r="X103" s="167">
        <f t="shared" si="167"/>
        <v>1991.0800000000004</v>
      </c>
      <c r="Y103" s="166">
        <f t="shared" si="167"/>
        <v>342.08000000000015</v>
      </c>
      <c r="Z103" s="167">
        <f t="shared" si="167"/>
        <v>1760.79</v>
      </c>
      <c r="AA103" s="166">
        <f t="shared" si="167"/>
        <v>179.79000000000002</v>
      </c>
      <c r="AB103" s="167">
        <f t="shared" si="167"/>
        <v>0</v>
      </c>
      <c r="AC103" s="166">
        <f t="shared" si="167"/>
        <v>-1710</v>
      </c>
      <c r="AD103" s="167">
        <f t="shared" si="167"/>
        <v>0</v>
      </c>
      <c r="AE103" s="166">
        <f t="shared" si="167"/>
        <v>-1932</v>
      </c>
      <c r="AF103" s="167">
        <f t="shared" si="167"/>
        <v>0</v>
      </c>
      <c r="AG103" s="166">
        <f t="shared" si="167"/>
        <v>-1233</v>
      </c>
      <c r="AH103" s="167">
        <f t="shared" si="167"/>
        <v>0</v>
      </c>
      <c r="AI103" s="166">
        <f t="shared" si="167"/>
        <v>-962</v>
      </c>
      <c r="AJ103" s="167">
        <f t="shared" si="167"/>
        <v>0</v>
      </c>
      <c r="AK103" s="166">
        <f t="shared" si="167"/>
        <v>-1852</v>
      </c>
      <c r="AL103" s="167">
        <f t="shared" si="167"/>
        <v>0</v>
      </c>
      <c r="AM103" s="166">
        <f t="shared" si="167"/>
        <v>-1634</v>
      </c>
      <c r="AN103" s="167">
        <f t="shared" si="167"/>
        <v>1743.9099999999999</v>
      </c>
      <c r="AO103" s="166">
        <f t="shared" si="167"/>
        <v>-2.3900000000000148</v>
      </c>
      <c r="AP103" s="167">
        <f t="shared" si="167"/>
        <v>1547.94</v>
      </c>
      <c r="AQ103" s="194">
        <f t="shared" si="167"/>
        <v>4.9399999999999835</v>
      </c>
      <c r="AR103" s="167">
        <f t="shared" si="167"/>
        <v>1997.9099999999996</v>
      </c>
      <c r="AS103" s="166">
        <f t="shared" si="167"/>
        <v>0.90999999999997527</v>
      </c>
      <c r="AT103" s="167">
        <f t="shared" si="167"/>
        <v>1598.87</v>
      </c>
      <c r="AU103" s="166">
        <f t="shared" si="167"/>
        <v>1.8699999999999903</v>
      </c>
      <c r="AV103" s="167">
        <f t="shared" si="167"/>
        <v>963.08</v>
      </c>
      <c r="AW103" s="166">
        <f t="shared" si="167"/>
        <v>1.0799999999999983</v>
      </c>
      <c r="AX103" s="167">
        <f t="shared" si="167"/>
        <v>1402.85</v>
      </c>
      <c r="AY103" s="166">
        <f t="shared" si="167"/>
        <v>2.8499999999999943</v>
      </c>
      <c r="AZ103" s="167">
        <f t="shared" si="167"/>
        <v>2122.5700000000002</v>
      </c>
      <c r="BA103" s="166">
        <f t="shared" si="167"/>
        <v>0.56999999999995055</v>
      </c>
      <c r="BB103" s="167">
        <f t="shared" si="167"/>
        <v>0</v>
      </c>
      <c r="BC103" s="166">
        <f t="shared" si="167"/>
        <v>-1480</v>
      </c>
      <c r="BD103" s="167">
        <f t="shared" si="167"/>
        <v>0</v>
      </c>
      <c r="BE103" s="166">
        <f t="shared" si="167"/>
        <v>-2203</v>
      </c>
      <c r="BF103" s="167">
        <f t="shared" si="167"/>
        <v>0</v>
      </c>
      <c r="BG103" s="166">
        <f t="shared" si="167"/>
        <v>-2220</v>
      </c>
      <c r="BH103" s="167">
        <f t="shared" si="167"/>
        <v>0</v>
      </c>
      <c r="BI103" s="166">
        <f t="shared" si="167"/>
        <v>-1641</v>
      </c>
      <c r="BJ103" s="167">
        <f t="shared" si="167"/>
        <v>0</v>
      </c>
      <c r="BK103" s="166">
        <f t="shared" si="167"/>
        <v>-1108</v>
      </c>
      <c r="BL103" s="167">
        <f t="shared" si="167"/>
        <v>0</v>
      </c>
      <c r="BM103" s="166">
        <f t="shared" si="167"/>
        <v>-2060</v>
      </c>
      <c r="BN103" s="50"/>
      <c r="BO103" s="170">
        <f t="shared" si="137"/>
        <v>-18584.68</v>
      </c>
      <c r="BP103" s="173">
        <f t="shared" si="167"/>
        <v>0</v>
      </c>
      <c r="BQ103" s="172">
        <f t="shared" si="167"/>
        <v>996093</v>
      </c>
    </row>
    <row r="104" spans="1:76" x14ac:dyDescent="0.35">
      <c r="A104" s="53"/>
      <c r="B104" s="54"/>
      <c r="C104" s="144"/>
      <c r="D104" s="189">
        <f t="shared" si="104"/>
        <v>0</v>
      </c>
      <c r="E104" s="48"/>
      <c r="F104" s="167">
        <f t="shared" si="105"/>
        <v>0</v>
      </c>
      <c r="G104" s="48"/>
      <c r="H104" s="167">
        <f t="shared" si="106"/>
        <v>0</v>
      </c>
      <c r="I104" s="48"/>
      <c r="J104" s="167">
        <f t="shared" si="107"/>
        <v>0</v>
      </c>
      <c r="K104" s="48"/>
      <c r="L104" s="167">
        <f t="shared" ref="L104" si="168">+M104-K104</f>
        <v>0</v>
      </c>
      <c r="M104" s="48"/>
      <c r="N104" s="167">
        <f t="shared" ref="N104" si="169">+O104-M104</f>
        <v>0</v>
      </c>
      <c r="O104" s="48"/>
      <c r="P104" s="167">
        <f t="shared" ref="P104" si="170">+Q104-O104</f>
        <v>0</v>
      </c>
      <c r="Q104" s="48"/>
      <c r="R104" s="167">
        <f t="shared" ref="R104" si="171">+S104-Q104</f>
        <v>0</v>
      </c>
      <c r="S104" s="48"/>
      <c r="T104" s="167">
        <f t="shared" ref="T104" si="172">+U104-S104</f>
        <v>0</v>
      </c>
      <c r="U104" s="48"/>
      <c r="V104" s="167">
        <f t="shared" ref="V104" si="173">+W104-U104</f>
        <v>0</v>
      </c>
      <c r="W104" s="48"/>
      <c r="X104" s="167">
        <f t="shared" ref="X104" si="174">+Y104-W104</f>
        <v>0</v>
      </c>
      <c r="Y104" s="48"/>
      <c r="Z104" s="167">
        <f t="shared" ref="Z104" si="175">+AA104-Y104</f>
        <v>0</v>
      </c>
      <c r="AA104" s="48"/>
      <c r="AB104" s="167">
        <f t="shared" ref="AB104" si="176">+AC104-AA104</f>
        <v>0</v>
      </c>
      <c r="AC104" s="48"/>
      <c r="AD104" s="167">
        <f t="shared" ref="AD104" si="177">+AE104-AC104</f>
        <v>0</v>
      </c>
      <c r="AE104" s="48"/>
      <c r="AF104" s="167">
        <f t="shared" ref="AF104" si="178">+AG104-AE104</f>
        <v>0</v>
      </c>
      <c r="AG104" s="48"/>
      <c r="AH104" s="167">
        <f t="shared" ref="AH104" si="179">+AI104-AG104</f>
        <v>0</v>
      </c>
      <c r="AI104" s="48"/>
      <c r="AJ104" s="167">
        <f t="shared" ref="AJ104" si="180">+AK104-AI104</f>
        <v>0</v>
      </c>
      <c r="AK104" s="48"/>
      <c r="AL104" s="167">
        <f t="shared" ref="AL104" si="181">+AM104-AK104</f>
        <v>0</v>
      </c>
      <c r="AM104" s="48"/>
      <c r="AN104" s="167">
        <f t="shared" ref="AN104" si="182">+AO104-AM104</f>
        <v>0</v>
      </c>
      <c r="AO104" s="48"/>
      <c r="AP104" s="167">
        <f t="shared" ref="AP104" si="183">+AQ104-AO104</f>
        <v>0</v>
      </c>
      <c r="AQ104" s="48"/>
      <c r="AR104" s="167">
        <f t="shared" ref="AR104" si="184">+AS104-AQ104</f>
        <v>0</v>
      </c>
      <c r="AS104" s="48"/>
      <c r="AT104" s="167">
        <f t="shared" ref="AT104" si="185">+AU104-AS104</f>
        <v>0</v>
      </c>
      <c r="AU104" s="48"/>
      <c r="AV104" s="167">
        <f t="shared" ref="AV104" si="186">+AW104-AU104</f>
        <v>0</v>
      </c>
      <c r="AW104" s="48"/>
      <c r="AX104" s="167">
        <f t="shared" ref="AX104" si="187">+AY104-AW104</f>
        <v>0</v>
      </c>
      <c r="AY104" s="48"/>
      <c r="AZ104" s="167">
        <f t="shared" ref="AZ104" si="188">+BA104-AY104</f>
        <v>0</v>
      </c>
      <c r="BA104" s="48"/>
      <c r="BB104" s="167">
        <f t="shared" ref="BB104" si="189">+BC104-BA104</f>
        <v>0</v>
      </c>
      <c r="BC104" s="48"/>
      <c r="BD104" s="167">
        <f t="shared" ref="BD104" si="190">+BE104-BC104</f>
        <v>0</v>
      </c>
      <c r="BE104" s="48"/>
      <c r="BF104" s="167">
        <f t="shared" ref="BF104" si="191">+BG104-BE104</f>
        <v>0</v>
      </c>
      <c r="BG104" s="48"/>
      <c r="BH104" s="167">
        <f t="shared" ref="BH104" si="192">+BI104-BG104</f>
        <v>0</v>
      </c>
      <c r="BI104" s="48"/>
      <c r="BJ104" s="167">
        <f t="shared" ref="BJ104" si="193">+BK104-BI104</f>
        <v>0</v>
      </c>
      <c r="BK104" s="48"/>
      <c r="BL104" s="167">
        <f t="shared" ref="BL104" si="194">+BM104-BK104</f>
        <v>0</v>
      </c>
      <c r="BM104" s="48"/>
      <c r="BN104" s="50"/>
      <c r="BO104" s="51"/>
      <c r="BP104" s="173">
        <f t="shared" ref="BP104" si="195">+BQ104-BM104</f>
        <v>0</v>
      </c>
      <c r="BQ104" s="52"/>
    </row>
    <row r="105" spans="1:76" x14ac:dyDescent="0.35">
      <c r="A105" s="74"/>
      <c r="B105" s="75"/>
      <c r="C105" s="76"/>
      <c r="D105" s="77"/>
      <c r="E105" s="148"/>
      <c r="F105" s="79"/>
      <c r="G105" s="148"/>
      <c r="H105" s="79"/>
      <c r="I105" s="148"/>
      <c r="J105" s="79"/>
      <c r="K105" s="148"/>
      <c r="L105" s="79"/>
      <c r="M105" s="148"/>
      <c r="N105" s="79"/>
      <c r="O105" s="148"/>
      <c r="P105" s="79"/>
      <c r="Q105" s="148"/>
      <c r="R105" s="79"/>
      <c r="S105" s="148"/>
      <c r="T105" s="79"/>
      <c r="U105" s="148"/>
      <c r="V105" s="79"/>
      <c r="W105" s="148"/>
      <c r="X105" s="79"/>
      <c r="Y105" s="148"/>
      <c r="Z105" s="79"/>
      <c r="AA105" s="148"/>
      <c r="AB105" s="79"/>
      <c r="AC105" s="148"/>
      <c r="AD105" s="79"/>
      <c r="AE105" s="148"/>
      <c r="AF105" s="79"/>
      <c r="AG105" s="148"/>
      <c r="AH105" s="79"/>
      <c r="AI105" s="148"/>
      <c r="AJ105" s="79"/>
      <c r="AK105" s="148"/>
      <c r="AL105" s="79"/>
      <c r="AM105" s="148"/>
      <c r="AN105" s="79"/>
      <c r="AO105" s="148"/>
      <c r="AP105" s="79"/>
      <c r="AQ105" s="148"/>
      <c r="AR105" s="79"/>
      <c r="AS105" s="148"/>
      <c r="AT105" s="79"/>
      <c r="AU105" s="148"/>
      <c r="AV105" s="79"/>
      <c r="AW105" s="148"/>
      <c r="AX105" s="79"/>
      <c r="AY105" s="148"/>
      <c r="AZ105" s="79"/>
      <c r="BA105" s="148"/>
      <c r="BB105" s="79"/>
      <c r="BC105" s="148"/>
      <c r="BD105" s="79"/>
      <c r="BE105" s="148"/>
      <c r="BF105" s="79"/>
      <c r="BG105" s="148"/>
      <c r="BH105" s="79"/>
      <c r="BI105" s="148"/>
      <c r="BJ105" s="79"/>
      <c r="BK105" s="148"/>
      <c r="BL105" s="79"/>
      <c r="BM105" s="148"/>
      <c r="BN105" s="80"/>
      <c r="BO105" s="81"/>
      <c r="BP105" s="79"/>
      <c r="BQ105" s="82"/>
    </row>
    <row r="106" spans="1:76" x14ac:dyDescent="0.35">
      <c r="A106" s="53" t="s">
        <v>32</v>
      </c>
      <c r="B106" s="54"/>
      <c r="C106" s="67"/>
      <c r="D106" s="68"/>
      <c r="E106" s="69"/>
      <c r="F106" s="70"/>
      <c r="G106" s="69"/>
      <c r="H106" s="70"/>
      <c r="I106" s="69"/>
      <c r="J106" s="70"/>
      <c r="K106" s="69"/>
      <c r="L106" s="70"/>
      <c r="M106" s="69"/>
      <c r="N106" s="70"/>
      <c r="O106" s="69">
        <v>4000</v>
      </c>
      <c r="P106" s="70"/>
      <c r="Q106" s="69"/>
      <c r="R106" s="70"/>
      <c r="S106" s="69"/>
      <c r="T106" s="70"/>
      <c r="U106" s="69"/>
      <c r="V106" s="70"/>
      <c r="W106" s="69"/>
      <c r="X106" s="70"/>
      <c r="Y106" s="69">
        <v>6953</v>
      </c>
      <c r="Z106" s="70"/>
      <c r="AA106" s="69"/>
      <c r="AB106" s="70"/>
      <c r="AC106" s="69"/>
      <c r="AD106" s="70"/>
      <c r="AE106" s="69">
        <v>2002</v>
      </c>
      <c r="AF106" s="70"/>
      <c r="AG106" s="69"/>
      <c r="AH106" s="70"/>
      <c r="AI106" s="69"/>
      <c r="AJ106" s="70"/>
      <c r="AK106" s="69"/>
      <c r="AL106" s="70"/>
      <c r="AM106" s="69"/>
      <c r="AN106" s="70"/>
      <c r="AO106" s="69"/>
      <c r="AP106" s="70"/>
      <c r="AQ106" s="69">
        <v>2000</v>
      </c>
      <c r="AR106" s="70"/>
      <c r="AS106" s="69"/>
      <c r="AT106" s="70"/>
      <c r="AU106" s="69"/>
      <c r="AV106" s="70"/>
      <c r="AW106" s="69"/>
      <c r="AX106" s="70"/>
      <c r="AY106" s="69"/>
      <c r="AZ106" s="70"/>
      <c r="BA106" s="69"/>
      <c r="BB106" s="70"/>
      <c r="BC106" s="69"/>
      <c r="BD106" s="70"/>
      <c r="BE106" s="69"/>
      <c r="BF106" s="70"/>
      <c r="BG106" s="69"/>
      <c r="BH106" s="70"/>
      <c r="BI106" s="69"/>
      <c r="BJ106" s="70"/>
      <c r="BK106" s="69"/>
      <c r="BL106" s="70"/>
      <c r="BM106" s="69"/>
      <c r="BN106" s="71"/>
      <c r="BO106" s="182">
        <f t="shared" ref="BO106:BO120" si="196">IF(COUNT(E106,G106,I106,K106,M106,O106,Q106,S106,U106,W106,Y106,AA106,AC106,AE106,AG106,AI106,AK106,AM106,AO106,AQ106,AS106,AU106,AW106,AY106,BA106,BC106,BE106,BG106,BI106,BK106,BM106)=0,"",SUM(E106,G106,I106,K106,M106,O106,Q106,S106,U106,W106,Y106,AA106,AC106,AE106,AG106,AI106,AK106,AM106,AO106,AQ106,AS106,AU106,AW106,AY106,BA106,BC106,BE106,BG106,BI106,BK106,BM106))</f>
        <v>14955</v>
      </c>
      <c r="BP106" s="70"/>
      <c r="BQ106" s="73"/>
    </row>
    <row r="107" spans="1:76" x14ac:dyDescent="0.35">
      <c r="A107" s="53" t="s">
        <v>33</v>
      </c>
      <c r="B107" s="54"/>
      <c r="C107" s="67"/>
      <c r="D107" s="68"/>
      <c r="E107" s="69"/>
      <c r="F107" s="70"/>
      <c r="G107" s="69">
        <v>1027</v>
      </c>
      <c r="H107" s="70"/>
      <c r="I107" s="69"/>
      <c r="J107" s="70"/>
      <c r="K107" s="69"/>
      <c r="L107" s="70"/>
      <c r="M107" s="69"/>
      <c r="N107" s="70"/>
      <c r="O107" s="69"/>
      <c r="P107" s="70"/>
      <c r="Q107" s="69">
        <v>1502</v>
      </c>
      <c r="R107" s="70"/>
      <c r="S107" s="69"/>
      <c r="T107" s="70"/>
      <c r="U107" s="69"/>
      <c r="V107" s="70"/>
      <c r="W107" s="69"/>
      <c r="X107" s="70"/>
      <c r="Y107" s="69"/>
      <c r="Z107" s="70"/>
      <c r="AA107" s="69"/>
      <c r="AB107" s="70"/>
      <c r="AC107" s="69"/>
      <c r="AD107" s="70"/>
      <c r="AE107" s="69">
        <v>1002</v>
      </c>
      <c r="AF107" s="70"/>
      <c r="AG107" s="69"/>
      <c r="AH107" s="70"/>
      <c r="AI107" s="69"/>
      <c r="AJ107" s="70"/>
      <c r="AK107" s="69"/>
      <c r="AL107" s="70"/>
      <c r="AM107" s="69"/>
      <c r="AN107" s="70"/>
      <c r="AO107" s="69"/>
      <c r="AP107" s="70"/>
      <c r="AQ107" s="69">
        <v>1000</v>
      </c>
      <c r="AR107" s="70"/>
      <c r="AS107" s="69"/>
      <c r="AT107" s="70"/>
      <c r="AU107" s="69"/>
      <c r="AV107" s="70"/>
      <c r="AW107" s="69"/>
      <c r="AX107" s="70"/>
      <c r="AY107" s="69"/>
      <c r="AZ107" s="70"/>
      <c r="BA107" s="69"/>
      <c r="BB107" s="70"/>
      <c r="BC107" s="69"/>
      <c r="BD107" s="70"/>
      <c r="BE107" s="69"/>
      <c r="BF107" s="70"/>
      <c r="BG107" s="69"/>
      <c r="BH107" s="70"/>
      <c r="BI107" s="69"/>
      <c r="BJ107" s="70"/>
      <c r="BK107" s="69"/>
      <c r="BL107" s="70"/>
      <c r="BM107" s="69"/>
      <c r="BN107" s="71"/>
      <c r="BO107" s="182">
        <f t="shared" si="196"/>
        <v>4531</v>
      </c>
      <c r="BP107" s="70"/>
      <c r="BQ107" s="73"/>
    </row>
    <row r="108" spans="1:76" x14ac:dyDescent="0.35">
      <c r="A108" s="53" t="s">
        <v>33</v>
      </c>
      <c r="B108" s="54"/>
      <c r="C108" s="67"/>
      <c r="D108" s="68"/>
      <c r="E108" s="69"/>
      <c r="F108" s="70"/>
      <c r="G108" s="69">
        <v>979</v>
      </c>
      <c r="H108" s="70"/>
      <c r="I108" s="69"/>
      <c r="J108" s="70"/>
      <c r="K108" s="69"/>
      <c r="L108" s="70"/>
      <c r="M108" s="69"/>
      <c r="N108" s="70"/>
      <c r="O108" s="69"/>
      <c r="P108" s="70"/>
      <c r="Q108" s="69">
        <v>1501</v>
      </c>
      <c r="R108" s="70"/>
      <c r="S108" s="69"/>
      <c r="T108" s="70"/>
      <c r="U108" s="69"/>
      <c r="V108" s="70"/>
      <c r="W108" s="69"/>
      <c r="X108" s="70"/>
      <c r="Y108" s="69"/>
      <c r="Z108" s="70"/>
      <c r="AA108" s="69"/>
      <c r="AB108" s="70"/>
      <c r="AC108" s="69"/>
      <c r="AD108" s="70"/>
      <c r="AE108" s="69">
        <v>1032</v>
      </c>
      <c r="AF108" s="70"/>
      <c r="AG108" s="69"/>
      <c r="AH108" s="70"/>
      <c r="AI108" s="69"/>
      <c r="AJ108" s="70"/>
      <c r="AK108" s="69"/>
      <c r="AL108" s="70"/>
      <c r="AM108" s="69"/>
      <c r="AN108" s="70"/>
      <c r="AO108" s="69"/>
      <c r="AP108" s="70"/>
      <c r="AQ108" s="69">
        <v>1000</v>
      </c>
      <c r="AR108" s="70"/>
      <c r="AS108" s="69"/>
      <c r="AT108" s="70"/>
      <c r="AU108" s="69"/>
      <c r="AV108" s="70"/>
      <c r="AW108" s="69"/>
      <c r="AX108" s="70"/>
      <c r="AY108" s="69"/>
      <c r="AZ108" s="70"/>
      <c r="BA108" s="69"/>
      <c r="BB108" s="70"/>
      <c r="BC108" s="69"/>
      <c r="BD108" s="70"/>
      <c r="BE108" s="69"/>
      <c r="BF108" s="70"/>
      <c r="BG108" s="69"/>
      <c r="BH108" s="70"/>
      <c r="BI108" s="69"/>
      <c r="BJ108" s="70"/>
      <c r="BK108" s="69"/>
      <c r="BL108" s="70"/>
      <c r="BM108" s="69"/>
      <c r="BN108" s="71"/>
      <c r="BO108" s="182">
        <f t="shared" si="196"/>
        <v>4512</v>
      </c>
      <c r="BP108" s="70"/>
      <c r="BQ108" s="73"/>
    </row>
    <row r="109" spans="1:76" x14ac:dyDescent="0.35">
      <c r="A109" s="53" t="s">
        <v>34</v>
      </c>
      <c r="B109" s="54"/>
      <c r="C109" s="67"/>
      <c r="D109" s="68"/>
      <c r="E109" s="69"/>
      <c r="F109" s="70"/>
      <c r="G109" s="69"/>
      <c r="H109" s="70"/>
      <c r="I109" s="69"/>
      <c r="J109" s="70"/>
      <c r="K109" s="69">
        <v>5500</v>
      </c>
      <c r="L109" s="70"/>
      <c r="M109" s="69"/>
      <c r="N109" s="70"/>
      <c r="O109" s="69"/>
      <c r="P109" s="70"/>
      <c r="Q109" s="69"/>
      <c r="R109" s="70"/>
      <c r="S109" s="69"/>
      <c r="T109" s="70"/>
      <c r="U109" s="69"/>
      <c r="V109" s="70"/>
      <c r="W109" s="69"/>
      <c r="X109" s="70"/>
      <c r="Y109" s="69"/>
      <c r="Z109" s="70"/>
      <c r="AA109" s="69"/>
      <c r="AB109" s="70"/>
      <c r="AC109" s="69"/>
      <c r="AD109" s="70"/>
      <c r="AE109" s="69">
        <v>1002</v>
      </c>
      <c r="AF109" s="70"/>
      <c r="AG109" s="69"/>
      <c r="AH109" s="70"/>
      <c r="AI109" s="69"/>
      <c r="AJ109" s="70"/>
      <c r="AK109" s="69"/>
      <c r="AL109" s="70"/>
      <c r="AM109" s="69"/>
      <c r="AN109" s="70"/>
      <c r="AO109" s="69"/>
      <c r="AP109" s="70"/>
      <c r="AQ109" s="69">
        <v>3000</v>
      </c>
      <c r="AR109" s="70"/>
      <c r="AS109" s="69"/>
      <c r="AT109" s="70"/>
      <c r="AU109" s="69"/>
      <c r="AV109" s="70"/>
      <c r="AW109" s="69"/>
      <c r="AX109" s="70"/>
      <c r="AY109" s="69"/>
      <c r="AZ109" s="70"/>
      <c r="BA109" s="69"/>
      <c r="BB109" s="70"/>
      <c r="BC109" s="69"/>
      <c r="BD109" s="70"/>
      <c r="BE109" s="69"/>
      <c r="BF109" s="70"/>
      <c r="BG109" s="69"/>
      <c r="BH109" s="70"/>
      <c r="BI109" s="69"/>
      <c r="BJ109" s="70"/>
      <c r="BK109" s="69"/>
      <c r="BL109" s="70"/>
      <c r="BM109" s="69"/>
      <c r="BN109" s="71"/>
      <c r="BO109" s="182">
        <f t="shared" si="196"/>
        <v>9502</v>
      </c>
      <c r="BP109" s="70"/>
      <c r="BQ109" s="73">
        <v>5000</v>
      </c>
    </row>
    <row r="110" spans="1:76" x14ac:dyDescent="0.35">
      <c r="A110" s="53" t="s">
        <v>34</v>
      </c>
      <c r="B110" s="54"/>
      <c r="C110" s="67"/>
      <c r="D110" s="68"/>
      <c r="E110" s="69"/>
      <c r="F110" s="70"/>
      <c r="G110" s="69"/>
      <c r="H110" s="70"/>
      <c r="I110" s="69"/>
      <c r="J110" s="70"/>
      <c r="K110" s="69">
        <v>5500</v>
      </c>
      <c r="L110" s="70"/>
      <c r="M110" s="69"/>
      <c r="N110" s="70"/>
      <c r="O110" s="69"/>
      <c r="P110" s="70"/>
      <c r="Q110" s="69"/>
      <c r="R110" s="70"/>
      <c r="S110" s="69"/>
      <c r="T110" s="70"/>
      <c r="U110" s="69"/>
      <c r="V110" s="70"/>
      <c r="W110" s="69"/>
      <c r="X110" s="70"/>
      <c r="Y110" s="69"/>
      <c r="Z110" s="70"/>
      <c r="AA110" s="69"/>
      <c r="AB110" s="70"/>
      <c r="AC110" s="69"/>
      <c r="AD110" s="70"/>
      <c r="AE110" s="69">
        <v>2026</v>
      </c>
      <c r="AF110" s="70"/>
      <c r="AG110" s="69"/>
      <c r="AH110" s="70"/>
      <c r="AI110" s="69"/>
      <c r="AJ110" s="70"/>
      <c r="AK110" s="69"/>
      <c r="AL110" s="70"/>
      <c r="AM110" s="69"/>
      <c r="AN110" s="70"/>
      <c r="AO110" s="69"/>
      <c r="AP110" s="70"/>
      <c r="AQ110" s="69">
        <v>1000</v>
      </c>
      <c r="AR110" s="70"/>
      <c r="AS110" s="69"/>
      <c r="AT110" s="70"/>
      <c r="AU110" s="69"/>
      <c r="AV110" s="70"/>
      <c r="AW110" s="69"/>
      <c r="AX110" s="70"/>
      <c r="AY110" s="69"/>
      <c r="AZ110" s="70"/>
      <c r="BA110" s="69"/>
      <c r="BB110" s="70"/>
      <c r="BC110" s="69"/>
      <c r="BD110" s="70"/>
      <c r="BE110" s="69"/>
      <c r="BF110" s="70"/>
      <c r="BG110" s="69"/>
      <c r="BH110" s="70"/>
      <c r="BI110" s="69"/>
      <c r="BJ110" s="70"/>
      <c r="BK110" s="69"/>
      <c r="BL110" s="70"/>
      <c r="BM110" s="69"/>
      <c r="BN110" s="71"/>
      <c r="BO110" s="182">
        <f t="shared" si="196"/>
        <v>8526</v>
      </c>
      <c r="BP110" s="70"/>
      <c r="BQ110" s="73">
        <v>5967</v>
      </c>
    </row>
    <row r="111" spans="1:76" s="6" customFormat="1" x14ac:dyDescent="0.35">
      <c r="A111" s="149" t="s">
        <v>71</v>
      </c>
      <c r="B111" s="150"/>
      <c r="C111" s="67"/>
      <c r="D111" s="151"/>
      <c r="E111" s="69"/>
      <c r="F111" s="152"/>
      <c r="G111" s="69"/>
      <c r="H111" s="152"/>
      <c r="I111" s="69"/>
      <c r="J111" s="152"/>
      <c r="K111" s="69"/>
      <c r="L111" s="152"/>
      <c r="M111" s="69"/>
      <c r="N111" s="152"/>
      <c r="O111" s="69"/>
      <c r="P111" s="152"/>
      <c r="Q111" s="69"/>
      <c r="R111" s="152"/>
      <c r="S111" s="69"/>
      <c r="T111" s="152"/>
      <c r="U111" s="69"/>
      <c r="V111" s="152"/>
      <c r="W111" s="69"/>
      <c r="X111" s="152"/>
      <c r="Y111" s="69"/>
      <c r="Z111" s="152"/>
      <c r="AA111" s="69"/>
      <c r="AB111" s="152"/>
      <c r="AC111" s="69"/>
      <c r="AD111" s="152"/>
      <c r="AE111" s="69"/>
      <c r="AF111" s="152"/>
      <c r="AG111" s="69"/>
      <c r="AH111" s="152"/>
      <c r="AI111" s="69"/>
      <c r="AJ111" s="152"/>
      <c r="AK111" s="69"/>
      <c r="AL111" s="152"/>
      <c r="AM111" s="69"/>
      <c r="AN111" s="152"/>
      <c r="AO111" s="69"/>
      <c r="AP111" s="152"/>
      <c r="AQ111" s="69"/>
      <c r="AR111" s="152"/>
      <c r="AS111" s="69">
        <v>8558.58</v>
      </c>
      <c r="AT111" s="152"/>
      <c r="AU111" s="69"/>
      <c r="AV111" s="152"/>
      <c r="AW111" s="69"/>
      <c r="AX111" s="152"/>
      <c r="AY111" s="69"/>
      <c r="AZ111" s="152"/>
      <c r="BA111" s="69"/>
      <c r="BB111" s="152"/>
      <c r="BC111" s="69"/>
      <c r="BD111" s="152"/>
      <c r="BE111" s="69"/>
      <c r="BF111" s="152"/>
      <c r="BG111" s="69"/>
      <c r="BH111" s="152"/>
      <c r="BI111" s="69"/>
      <c r="BJ111" s="152"/>
      <c r="BK111" s="69"/>
      <c r="BL111" s="152"/>
      <c r="BM111" s="69"/>
      <c r="BN111" s="71"/>
      <c r="BO111" s="182">
        <f t="shared" si="196"/>
        <v>8558.58</v>
      </c>
      <c r="BP111" s="152"/>
      <c r="BQ111" s="73"/>
      <c r="BR111"/>
      <c r="BS111"/>
      <c r="BT111"/>
      <c r="BU111"/>
      <c r="BV111"/>
      <c r="BW111"/>
      <c r="BX111"/>
    </row>
    <row r="112" spans="1:76" x14ac:dyDescent="0.35">
      <c r="A112" s="53" t="s">
        <v>72</v>
      </c>
      <c r="B112" s="54"/>
      <c r="C112" s="67"/>
      <c r="D112" s="68"/>
      <c r="E112" s="69">
        <v>0</v>
      </c>
      <c r="F112" s="70"/>
      <c r="G112" s="69"/>
      <c r="H112" s="70"/>
      <c r="I112" s="69">
        <v>35.909999999999997</v>
      </c>
      <c r="J112" s="70"/>
      <c r="K112" s="69"/>
      <c r="L112" s="70"/>
      <c r="M112" s="69"/>
      <c r="N112" s="70"/>
      <c r="O112" s="69"/>
      <c r="P112" s="70"/>
      <c r="Q112" s="69"/>
      <c r="R112" s="70"/>
      <c r="S112" s="69"/>
      <c r="T112" s="70"/>
      <c r="U112" s="69"/>
      <c r="V112" s="70"/>
      <c r="W112" s="69"/>
      <c r="X112" s="70"/>
      <c r="Y112" s="69"/>
      <c r="Z112" s="70"/>
      <c r="AA112" s="69"/>
      <c r="AB112" s="70"/>
      <c r="AC112" s="69"/>
      <c r="AD112" s="70"/>
      <c r="AE112" s="69"/>
      <c r="AF112" s="70"/>
      <c r="AG112" s="69"/>
      <c r="AH112" s="70"/>
      <c r="AI112" s="69"/>
      <c r="AJ112" s="70"/>
      <c r="AK112" s="69"/>
      <c r="AL112" s="70"/>
      <c r="AM112" s="69"/>
      <c r="AN112" s="70"/>
      <c r="AO112" s="69"/>
      <c r="AP112" s="70"/>
      <c r="AQ112" s="69"/>
      <c r="AR112" s="70"/>
      <c r="AS112" s="69">
        <v>26.87</v>
      </c>
      <c r="AT112" s="70"/>
      <c r="AU112" s="69"/>
      <c r="AV112" s="70"/>
      <c r="AW112" s="69"/>
      <c r="AX112" s="70"/>
      <c r="AY112" s="69"/>
      <c r="AZ112" s="70"/>
      <c r="BA112" s="69"/>
      <c r="BB112" s="70"/>
      <c r="BC112" s="69"/>
      <c r="BD112" s="70"/>
      <c r="BE112" s="69"/>
      <c r="BF112" s="70"/>
      <c r="BG112" s="69"/>
      <c r="BH112" s="70"/>
      <c r="BI112" s="69"/>
      <c r="BJ112" s="70"/>
      <c r="BK112" s="69"/>
      <c r="BL112" s="70"/>
      <c r="BM112" s="69"/>
      <c r="BN112" s="71"/>
      <c r="BO112" s="182">
        <f t="shared" si="196"/>
        <v>62.78</v>
      </c>
      <c r="BP112" s="70"/>
      <c r="BQ112" s="73"/>
    </row>
    <row r="113" spans="1:69" x14ac:dyDescent="0.35">
      <c r="A113" s="53" t="s">
        <v>73</v>
      </c>
      <c r="B113" s="54"/>
      <c r="C113" s="67"/>
      <c r="D113" s="68">
        <v>0</v>
      </c>
      <c r="E113" s="69"/>
      <c r="F113" s="70"/>
      <c r="G113" s="69"/>
      <c r="H113" s="70"/>
      <c r="I113" s="69">
        <v>10.83</v>
      </c>
      <c r="J113" s="70"/>
      <c r="K113" s="69"/>
      <c r="L113" s="70"/>
      <c r="M113" s="69"/>
      <c r="N113" s="70"/>
      <c r="O113" s="69"/>
      <c r="P113" s="70"/>
      <c r="Q113" s="69"/>
      <c r="R113" s="70"/>
      <c r="S113" s="69"/>
      <c r="T113" s="70"/>
      <c r="U113" s="69"/>
      <c r="V113" s="70"/>
      <c r="W113" s="69"/>
      <c r="X113" s="70"/>
      <c r="Y113" s="69"/>
      <c r="Z113" s="70"/>
      <c r="AA113" s="69"/>
      <c r="AB113" s="70"/>
      <c r="AC113" s="69"/>
      <c r="AD113" s="70"/>
      <c r="AE113" s="69"/>
      <c r="AF113" s="70"/>
      <c r="AG113" s="69"/>
      <c r="AH113" s="70"/>
      <c r="AI113" s="69"/>
      <c r="AJ113" s="70"/>
      <c r="AK113" s="69"/>
      <c r="AL113" s="70"/>
      <c r="AM113" s="69"/>
      <c r="AN113" s="70"/>
      <c r="AO113" s="69"/>
      <c r="AP113" s="70"/>
      <c r="AQ113" s="69"/>
      <c r="AR113" s="70"/>
      <c r="AS113" s="69">
        <v>10.27</v>
      </c>
      <c r="AT113" s="70"/>
      <c r="AU113" s="69"/>
      <c r="AV113" s="70"/>
      <c r="AW113" s="69"/>
      <c r="AX113" s="70"/>
      <c r="AY113" s="69"/>
      <c r="AZ113" s="70"/>
      <c r="BA113" s="69"/>
      <c r="BB113" s="70"/>
      <c r="BC113" s="69"/>
      <c r="BD113" s="70"/>
      <c r="BE113" s="69"/>
      <c r="BF113" s="70"/>
      <c r="BG113" s="69"/>
      <c r="BH113" s="70"/>
      <c r="BI113" s="69"/>
      <c r="BJ113" s="70"/>
      <c r="BK113" s="69"/>
      <c r="BL113" s="70"/>
      <c r="BM113" s="69"/>
      <c r="BN113" s="71"/>
      <c r="BO113" s="182">
        <f t="shared" si="196"/>
        <v>21.1</v>
      </c>
      <c r="BP113" s="70"/>
      <c r="BQ113" s="73"/>
    </row>
    <row r="114" spans="1:69" x14ac:dyDescent="0.35">
      <c r="A114" s="53" t="s">
        <v>70</v>
      </c>
      <c r="B114" s="54"/>
      <c r="C114" s="67"/>
      <c r="D114" s="68"/>
      <c r="E114" s="69"/>
      <c r="F114" s="70"/>
      <c r="G114" s="69"/>
      <c r="H114" s="70"/>
      <c r="I114" s="69"/>
      <c r="J114" s="70"/>
      <c r="K114" s="69"/>
      <c r="L114" s="70"/>
      <c r="M114" s="69"/>
      <c r="N114" s="70"/>
      <c r="O114" s="69"/>
      <c r="P114" s="70"/>
      <c r="Q114" s="69"/>
      <c r="R114" s="70"/>
      <c r="S114" s="69"/>
      <c r="T114" s="70"/>
      <c r="U114" s="69"/>
      <c r="V114" s="70"/>
      <c r="W114" s="69"/>
      <c r="X114" s="70"/>
      <c r="Y114" s="69"/>
      <c r="Z114" s="70"/>
      <c r="AA114" s="69"/>
      <c r="AB114" s="70"/>
      <c r="AC114" s="69"/>
      <c r="AD114" s="70"/>
      <c r="AE114" s="69"/>
      <c r="AF114" s="70"/>
      <c r="AG114" s="69"/>
      <c r="AH114" s="70"/>
      <c r="AI114" s="69"/>
      <c r="AJ114" s="70"/>
      <c r="AK114" s="69"/>
      <c r="AL114" s="70"/>
      <c r="AM114" s="69"/>
      <c r="AN114" s="70"/>
      <c r="AO114" s="69"/>
      <c r="AP114" s="70"/>
      <c r="AQ114" s="69"/>
      <c r="AR114" s="70"/>
      <c r="AS114" s="69"/>
      <c r="AT114" s="70"/>
      <c r="AU114" s="69"/>
      <c r="AV114" s="70"/>
      <c r="AW114" s="69"/>
      <c r="AX114" s="70"/>
      <c r="AY114" s="69"/>
      <c r="AZ114" s="70"/>
      <c r="BA114" s="69"/>
      <c r="BB114" s="70"/>
      <c r="BC114" s="69"/>
      <c r="BD114" s="70"/>
      <c r="BE114" s="69"/>
      <c r="BF114" s="70"/>
      <c r="BG114" s="69"/>
      <c r="BH114" s="70"/>
      <c r="BI114" s="69"/>
      <c r="BJ114" s="70"/>
      <c r="BK114" s="69"/>
      <c r="BL114" s="70"/>
      <c r="BM114" s="69"/>
      <c r="BN114" s="71"/>
      <c r="BO114" s="182" t="str">
        <f t="shared" si="196"/>
        <v/>
      </c>
      <c r="BP114" s="70"/>
      <c r="BQ114" s="73"/>
    </row>
    <row r="115" spans="1:69" x14ac:dyDescent="0.35">
      <c r="A115" s="53" t="s">
        <v>27</v>
      </c>
      <c r="B115" s="54"/>
      <c r="C115" s="67"/>
      <c r="D115" s="68"/>
      <c r="E115" s="69"/>
      <c r="F115" s="70"/>
      <c r="G115" s="69"/>
      <c r="H115" s="70"/>
      <c r="I115" s="69"/>
      <c r="J115" s="70"/>
      <c r="K115" s="69"/>
      <c r="L115" s="70"/>
      <c r="M115" s="69"/>
      <c r="N115" s="70"/>
      <c r="O115" s="69"/>
      <c r="P115" s="70"/>
      <c r="Q115" s="69"/>
      <c r="R115" s="70"/>
      <c r="S115" s="69"/>
      <c r="T115" s="70"/>
      <c r="U115" s="69"/>
      <c r="V115" s="70"/>
      <c r="W115" s="69"/>
      <c r="X115" s="70"/>
      <c r="Y115" s="69"/>
      <c r="Z115" s="70"/>
      <c r="AA115" s="69"/>
      <c r="AB115" s="70"/>
      <c r="AC115" s="69"/>
      <c r="AD115" s="70"/>
      <c r="AE115" s="69"/>
      <c r="AF115" s="70"/>
      <c r="AG115" s="69"/>
      <c r="AH115" s="70"/>
      <c r="AI115" s="69"/>
      <c r="AJ115" s="70"/>
      <c r="AK115" s="69"/>
      <c r="AL115" s="70"/>
      <c r="AM115" s="69"/>
      <c r="AN115" s="70"/>
      <c r="AO115" s="69"/>
      <c r="AP115" s="70"/>
      <c r="AQ115" s="69"/>
      <c r="AR115" s="70"/>
      <c r="AS115" s="69"/>
      <c r="AT115" s="70"/>
      <c r="AU115" s="69"/>
      <c r="AV115" s="70"/>
      <c r="AW115" s="69"/>
      <c r="AX115" s="70"/>
      <c r="AY115" s="69"/>
      <c r="AZ115" s="70"/>
      <c r="BA115" s="69"/>
      <c r="BB115" s="70"/>
      <c r="BC115" s="69"/>
      <c r="BD115" s="70"/>
      <c r="BE115" s="69"/>
      <c r="BF115" s="70"/>
      <c r="BG115" s="69"/>
      <c r="BH115" s="70"/>
      <c r="BI115" s="69"/>
      <c r="BJ115" s="70"/>
      <c r="BK115" s="69"/>
      <c r="BL115" s="70"/>
      <c r="BM115" s="69"/>
      <c r="BN115" s="71"/>
      <c r="BO115" s="182" t="str">
        <f t="shared" si="196"/>
        <v/>
      </c>
      <c r="BP115" s="70"/>
      <c r="BQ115" s="73"/>
    </row>
    <row r="116" spans="1:69" x14ac:dyDescent="0.35">
      <c r="A116" s="53" t="s">
        <v>28</v>
      </c>
      <c r="B116" s="54"/>
      <c r="C116" s="67"/>
      <c r="D116" s="68"/>
      <c r="E116" s="69"/>
      <c r="F116" s="70"/>
      <c r="G116" s="69"/>
      <c r="H116" s="70"/>
      <c r="I116" s="69"/>
      <c r="J116" s="70"/>
      <c r="K116" s="69"/>
      <c r="L116" s="70"/>
      <c r="M116" s="69"/>
      <c r="N116" s="70"/>
      <c r="O116" s="69"/>
      <c r="P116" s="70"/>
      <c r="Q116" s="69"/>
      <c r="R116" s="70"/>
      <c r="S116" s="69"/>
      <c r="T116" s="70"/>
      <c r="U116" s="69"/>
      <c r="V116" s="70"/>
      <c r="W116" s="69"/>
      <c r="X116" s="70"/>
      <c r="Y116" s="69"/>
      <c r="Z116" s="70"/>
      <c r="AA116" s="69"/>
      <c r="AB116" s="70"/>
      <c r="AC116" s="69"/>
      <c r="AD116" s="70"/>
      <c r="AE116" s="69"/>
      <c r="AF116" s="70"/>
      <c r="AG116" s="69"/>
      <c r="AH116" s="70"/>
      <c r="AI116" s="69"/>
      <c r="AJ116" s="70"/>
      <c r="AK116" s="69"/>
      <c r="AL116" s="70"/>
      <c r="AM116" s="69"/>
      <c r="AN116" s="70"/>
      <c r="AO116" s="69"/>
      <c r="AP116" s="70"/>
      <c r="AQ116" s="69"/>
      <c r="AR116" s="70"/>
      <c r="AS116" s="69"/>
      <c r="AT116" s="70"/>
      <c r="AU116" s="69"/>
      <c r="AV116" s="70"/>
      <c r="AW116" s="69"/>
      <c r="AX116" s="70"/>
      <c r="AY116" s="69"/>
      <c r="AZ116" s="70"/>
      <c r="BA116" s="69"/>
      <c r="BB116" s="70"/>
      <c r="BC116" s="69"/>
      <c r="BD116" s="70"/>
      <c r="BE116" s="69"/>
      <c r="BF116" s="70"/>
      <c r="BG116" s="69"/>
      <c r="BH116" s="70"/>
      <c r="BI116" s="69"/>
      <c r="BJ116" s="70"/>
      <c r="BK116" s="69"/>
      <c r="BL116" s="70"/>
      <c r="BM116" s="69"/>
      <c r="BN116" s="71"/>
      <c r="BO116" s="182" t="str">
        <f t="shared" si="196"/>
        <v/>
      </c>
      <c r="BP116" s="70"/>
      <c r="BQ116" s="73"/>
    </row>
    <row r="117" spans="1:69" x14ac:dyDescent="0.35">
      <c r="A117" s="53" t="s">
        <v>29</v>
      </c>
      <c r="B117" s="54"/>
      <c r="C117" s="67"/>
      <c r="D117" s="68"/>
      <c r="E117" s="69"/>
      <c r="F117" s="70"/>
      <c r="G117" s="69"/>
      <c r="H117" s="70"/>
      <c r="I117" s="69"/>
      <c r="J117" s="70"/>
      <c r="K117" s="69"/>
      <c r="L117" s="70"/>
      <c r="M117" s="69"/>
      <c r="N117" s="70"/>
      <c r="O117" s="69"/>
      <c r="P117" s="70"/>
      <c r="Q117" s="69"/>
      <c r="R117" s="70"/>
      <c r="S117" s="69"/>
      <c r="T117" s="70"/>
      <c r="U117" s="69"/>
      <c r="V117" s="70"/>
      <c r="W117" s="69"/>
      <c r="X117" s="70"/>
      <c r="Y117" s="69"/>
      <c r="Z117" s="70"/>
      <c r="AA117" s="69"/>
      <c r="AB117" s="70"/>
      <c r="AC117" s="69"/>
      <c r="AD117" s="70"/>
      <c r="AE117" s="69"/>
      <c r="AF117" s="70"/>
      <c r="AG117" s="69"/>
      <c r="AH117" s="70"/>
      <c r="AI117" s="69"/>
      <c r="AJ117" s="70"/>
      <c r="AK117" s="69"/>
      <c r="AL117" s="70"/>
      <c r="AM117" s="69"/>
      <c r="AN117" s="70"/>
      <c r="AO117" s="69"/>
      <c r="AP117" s="70"/>
      <c r="AQ117" s="69"/>
      <c r="AR117" s="70"/>
      <c r="AS117" s="69"/>
      <c r="AT117" s="70"/>
      <c r="AU117" s="69"/>
      <c r="AV117" s="70"/>
      <c r="AW117" s="69"/>
      <c r="AX117" s="70"/>
      <c r="AY117" s="69"/>
      <c r="AZ117" s="70"/>
      <c r="BA117" s="69"/>
      <c r="BB117" s="70"/>
      <c r="BC117" s="69"/>
      <c r="BD117" s="70"/>
      <c r="BE117" s="69"/>
      <c r="BF117" s="70"/>
      <c r="BG117" s="69"/>
      <c r="BH117" s="70"/>
      <c r="BI117" s="69"/>
      <c r="BJ117" s="70"/>
      <c r="BK117" s="69"/>
      <c r="BL117" s="70"/>
      <c r="BM117" s="69"/>
      <c r="BN117" s="71"/>
      <c r="BO117" s="182" t="str">
        <f t="shared" si="196"/>
        <v/>
      </c>
      <c r="BP117" s="70"/>
      <c r="BQ117" s="73"/>
    </row>
    <row r="118" spans="1:69" x14ac:dyDescent="0.35">
      <c r="A118" s="74"/>
      <c r="B118" s="75"/>
      <c r="C118" s="153"/>
      <c r="D118" s="77"/>
      <c r="E118" s="78"/>
      <c r="F118" s="79"/>
      <c r="G118" s="78"/>
      <c r="H118" s="79"/>
      <c r="I118" s="78"/>
      <c r="J118" s="79"/>
      <c r="K118" s="78"/>
      <c r="L118" s="79"/>
      <c r="M118" s="78"/>
      <c r="N118" s="79"/>
      <c r="O118" s="78"/>
      <c r="P118" s="79"/>
      <c r="Q118" s="78"/>
      <c r="R118" s="79"/>
      <c r="S118" s="78"/>
      <c r="T118" s="79"/>
      <c r="U118" s="78"/>
      <c r="V118" s="79"/>
      <c r="W118" s="78"/>
      <c r="X118" s="79"/>
      <c r="Y118" s="78"/>
      <c r="Z118" s="79"/>
      <c r="AA118" s="78"/>
      <c r="AB118" s="79"/>
      <c r="AC118" s="78"/>
      <c r="AD118" s="79"/>
      <c r="AE118" s="78"/>
      <c r="AF118" s="79"/>
      <c r="AG118" s="78"/>
      <c r="AH118" s="79"/>
      <c r="AI118" s="78"/>
      <c r="AJ118" s="79"/>
      <c r="AK118" s="78"/>
      <c r="AL118" s="79"/>
      <c r="AM118" s="78"/>
      <c r="AN118" s="79"/>
      <c r="AO118" s="78"/>
      <c r="AP118" s="79"/>
      <c r="AQ118" s="78"/>
      <c r="AR118" s="79"/>
      <c r="AS118" s="78"/>
      <c r="AT118" s="79"/>
      <c r="AU118" s="78"/>
      <c r="AV118" s="79"/>
      <c r="AW118" s="78"/>
      <c r="AX118" s="79"/>
      <c r="AY118" s="78"/>
      <c r="AZ118" s="79"/>
      <c r="BA118" s="78"/>
      <c r="BB118" s="79"/>
      <c r="BC118" s="78"/>
      <c r="BD118" s="79"/>
      <c r="BE118" s="78"/>
      <c r="BF118" s="79"/>
      <c r="BG118" s="78"/>
      <c r="BH118" s="79"/>
      <c r="BI118" s="78"/>
      <c r="BJ118" s="79"/>
      <c r="BK118" s="78"/>
      <c r="BL118" s="79"/>
      <c r="BM118" s="78"/>
      <c r="BN118" s="80"/>
      <c r="BO118" s="195" t="str">
        <f t="shared" si="196"/>
        <v/>
      </c>
      <c r="BP118" s="79"/>
      <c r="BQ118" s="82"/>
    </row>
    <row r="119" spans="1:69" x14ac:dyDescent="0.35">
      <c r="A119" s="53" t="s">
        <v>55</v>
      </c>
      <c r="B119" s="54"/>
      <c r="C119" s="67"/>
      <c r="D119" s="68"/>
      <c r="E119" s="69"/>
      <c r="F119" s="70"/>
      <c r="G119" s="69"/>
      <c r="H119" s="70"/>
      <c r="I119" s="69"/>
      <c r="J119" s="70"/>
      <c r="K119" s="69"/>
      <c r="L119" s="70"/>
      <c r="M119" s="69"/>
      <c r="N119" s="70"/>
      <c r="O119" s="69"/>
      <c r="P119" s="70"/>
      <c r="Q119" s="69"/>
      <c r="R119" s="70"/>
      <c r="S119" s="69"/>
      <c r="T119" s="70"/>
      <c r="U119" s="69"/>
      <c r="V119" s="70"/>
      <c r="W119" s="69"/>
      <c r="X119" s="70"/>
      <c r="Y119" s="69"/>
      <c r="Z119" s="70"/>
      <c r="AA119" s="69"/>
      <c r="AB119" s="70"/>
      <c r="AC119" s="69"/>
      <c r="AD119" s="70"/>
      <c r="AE119" s="69"/>
      <c r="AF119" s="70"/>
      <c r="AG119" s="69"/>
      <c r="AH119" s="70"/>
      <c r="AI119" s="69"/>
      <c r="AJ119" s="70"/>
      <c r="AK119" s="69"/>
      <c r="AL119" s="70"/>
      <c r="AM119" s="69"/>
      <c r="AN119" s="70"/>
      <c r="AO119" s="69"/>
      <c r="AP119" s="70"/>
      <c r="AQ119" s="69"/>
      <c r="AR119" s="70"/>
      <c r="AS119" s="69"/>
      <c r="AT119" s="70"/>
      <c r="AU119" s="69"/>
      <c r="AV119" s="70"/>
      <c r="AW119" s="69"/>
      <c r="AX119" s="70"/>
      <c r="AY119" s="69"/>
      <c r="AZ119" s="70"/>
      <c r="BA119" s="69"/>
      <c r="BB119" s="70"/>
      <c r="BC119" s="69"/>
      <c r="BD119" s="70"/>
      <c r="BE119" s="69"/>
      <c r="BF119" s="70"/>
      <c r="BG119" s="69"/>
      <c r="BH119" s="70"/>
      <c r="BI119" s="69"/>
      <c r="BJ119" s="70"/>
      <c r="BK119" s="69"/>
      <c r="BL119" s="70"/>
      <c r="BM119" s="69"/>
      <c r="BN119" s="71"/>
      <c r="BO119" s="182" t="str">
        <f t="shared" si="196"/>
        <v/>
      </c>
      <c r="BP119" s="70"/>
      <c r="BQ119" s="73"/>
    </row>
    <row r="120" spans="1:69" ht="15" thickBot="1" x14ac:dyDescent="0.4">
      <c r="A120" s="154" t="s">
        <v>56</v>
      </c>
      <c r="B120" s="155"/>
      <c r="C120" s="156"/>
      <c r="D120" s="157"/>
      <c r="E120" s="158"/>
      <c r="F120" s="159"/>
      <c r="G120" s="158"/>
      <c r="H120" s="159"/>
      <c r="I120" s="158"/>
      <c r="J120" s="159"/>
      <c r="K120" s="158"/>
      <c r="L120" s="159"/>
      <c r="M120" s="158"/>
      <c r="N120" s="159"/>
      <c r="O120" s="158"/>
      <c r="P120" s="159"/>
      <c r="Q120" s="158"/>
      <c r="R120" s="159"/>
      <c r="S120" s="158"/>
      <c r="T120" s="159"/>
      <c r="U120" s="158"/>
      <c r="V120" s="159"/>
      <c r="W120" s="158"/>
      <c r="X120" s="159"/>
      <c r="Y120" s="158"/>
      <c r="Z120" s="159"/>
      <c r="AA120" s="158"/>
      <c r="AB120" s="159"/>
      <c r="AC120" s="158"/>
      <c r="AD120" s="159"/>
      <c r="AE120" s="158"/>
      <c r="AF120" s="159"/>
      <c r="AG120" s="158"/>
      <c r="AH120" s="159"/>
      <c r="AI120" s="158"/>
      <c r="AJ120" s="159"/>
      <c r="AK120" s="158"/>
      <c r="AL120" s="159"/>
      <c r="AM120" s="158"/>
      <c r="AN120" s="159"/>
      <c r="AO120" s="158"/>
      <c r="AP120" s="159"/>
      <c r="AQ120" s="158"/>
      <c r="AR120" s="159"/>
      <c r="AS120" s="158"/>
      <c r="AT120" s="159"/>
      <c r="AU120" s="158"/>
      <c r="AV120" s="159"/>
      <c r="AW120" s="158"/>
      <c r="AX120" s="159"/>
      <c r="AY120" s="158"/>
      <c r="AZ120" s="159"/>
      <c r="BA120" s="158"/>
      <c r="BB120" s="159"/>
      <c r="BC120" s="158"/>
      <c r="BD120" s="159"/>
      <c r="BE120" s="158"/>
      <c r="BF120" s="159"/>
      <c r="BG120" s="158"/>
      <c r="BH120" s="159"/>
      <c r="BI120" s="158"/>
      <c r="BJ120" s="159"/>
      <c r="BK120" s="158"/>
      <c r="BL120" s="159"/>
      <c r="BM120" s="158"/>
      <c r="BN120" s="160"/>
      <c r="BO120" s="196" t="str">
        <f t="shared" si="196"/>
        <v/>
      </c>
      <c r="BP120" s="159"/>
      <c r="BQ120" s="161"/>
    </row>
    <row r="121" spans="1:69" x14ac:dyDescent="0.35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  <c r="AK121" s="162"/>
      <c r="AL121" s="162"/>
      <c r="AM121" s="162"/>
      <c r="AN121" s="162"/>
      <c r="AO121" s="162"/>
      <c r="AP121" s="162"/>
      <c r="AQ121" s="162"/>
      <c r="AR121" s="162"/>
      <c r="AS121" s="162"/>
      <c r="AT121" s="162"/>
      <c r="AU121" s="162"/>
      <c r="AV121" s="162"/>
      <c r="AW121" s="162"/>
      <c r="AX121" s="162"/>
      <c r="AY121" s="162"/>
      <c r="AZ121" s="162"/>
      <c r="BA121" s="162"/>
      <c r="BB121" s="162"/>
      <c r="BC121" s="162"/>
      <c r="BD121" s="162"/>
      <c r="BE121" s="162"/>
      <c r="BF121" s="162"/>
      <c r="BG121" s="162"/>
      <c r="BH121" s="162"/>
      <c r="BI121" s="162"/>
      <c r="BJ121" s="162"/>
      <c r="BK121" s="162"/>
      <c r="BL121" s="162"/>
      <c r="BM121" s="162"/>
      <c r="BN121" s="162"/>
      <c r="BO121" s="162"/>
      <c r="BP121" s="162"/>
      <c r="BQ121" s="162"/>
    </row>
    <row r="122" spans="1:69" x14ac:dyDescent="0.35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  <c r="AK122" s="162"/>
      <c r="AL122" s="162"/>
      <c r="AM122" s="162"/>
      <c r="AN122" s="162"/>
      <c r="AO122" s="162"/>
      <c r="AP122" s="162"/>
      <c r="AQ122" s="162"/>
      <c r="AR122" s="162"/>
      <c r="AS122" s="162"/>
      <c r="AT122" s="162"/>
      <c r="AU122" s="162"/>
      <c r="AV122" s="162"/>
      <c r="AW122" s="162"/>
      <c r="AX122" s="162"/>
      <c r="AY122" s="162"/>
      <c r="AZ122" s="162"/>
      <c r="BA122" s="162"/>
      <c r="BB122" s="162"/>
      <c r="BC122" s="162"/>
      <c r="BD122" s="162"/>
      <c r="BE122" s="162"/>
      <c r="BF122" s="162"/>
      <c r="BG122" s="162"/>
      <c r="BH122" s="162"/>
      <c r="BI122" s="162"/>
      <c r="BJ122" s="162"/>
      <c r="BK122" s="162"/>
      <c r="BL122" s="162"/>
      <c r="BM122" s="162"/>
      <c r="BN122" s="162"/>
      <c r="BO122" s="162"/>
      <c r="BP122" s="162"/>
      <c r="BQ122" s="162"/>
    </row>
    <row r="123" spans="1:69" x14ac:dyDescent="0.35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  <c r="AK123" s="162"/>
      <c r="AL123" s="162"/>
      <c r="AM123" s="162"/>
      <c r="AN123" s="162"/>
      <c r="AO123" s="162"/>
      <c r="AP123" s="162"/>
      <c r="AQ123" s="162"/>
      <c r="AR123" s="162"/>
      <c r="AS123" s="162"/>
      <c r="AT123" s="162"/>
      <c r="AU123" s="162"/>
      <c r="AV123" s="162"/>
      <c r="AW123" s="162"/>
      <c r="AX123" s="162"/>
      <c r="AY123" s="162"/>
      <c r="AZ123" s="162"/>
      <c r="BA123" s="162"/>
      <c r="BB123" s="162"/>
      <c r="BC123" s="162"/>
      <c r="BD123" s="162"/>
      <c r="BE123" s="162"/>
      <c r="BF123" s="162"/>
      <c r="BG123" s="162"/>
      <c r="BH123" s="162"/>
      <c r="BI123" s="162"/>
      <c r="BJ123" s="162"/>
      <c r="BK123" s="162"/>
      <c r="BL123" s="162"/>
      <c r="BM123" s="162"/>
      <c r="BN123" s="162"/>
      <c r="BO123" s="162"/>
      <c r="BP123" s="162"/>
      <c r="BQ123" s="162"/>
    </row>
    <row r="124" spans="1:69" x14ac:dyDescent="0.35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  <c r="AK124" s="162"/>
      <c r="AL124" s="162"/>
      <c r="AM124" s="162"/>
      <c r="AN124" s="162"/>
      <c r="AO124" s="162"/>
      <c r="AP124" s="162"/>
      <c r="AQ124" s="162"/>
      <c r="AR124" s="162"/>
      <c r="AS124" s="162"/>
      <c r="AT124" s="162"/>
      <c r="AU124" s="162"/>
      <c r="AV124" s="162"/>
      <c r="AW124" s="162"/>
      <c r="AX124" s="162"/>
      <c r="AY124" s="162"/>
      <c r="AZ124" s="162"/>
      <c r="BA124" s="162"/>
      <c r="BB124" s="162"/>
      <c r="BC124" s="162"/>
      <c r="BD124" s="162"/>
      <c r="BE124" s="162"/>
      <c r="BF124" s="162"/>
      <c r="BG124" s="162"/>
      <c r="BH124" s="162"/>
      <c r="BI124" s="162"/>
      <c r="BJ124" s="162"/>
      <c r="BK124" s="162"/>
      <c r="BL124" s="162"/>
      <c r="BM124" s="162"/>
      <c r="BN124" s="162"/>
      <c r="BO124" s="162"/>
      <c r="BP124" s="162"/>
      <c r="BQ124" s="162"/>
    </row>
    <row r="125" spans="1:69" x14ac:dyDescent="0.35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  <c r="AK125" s="162"/>
      <c r="AL125" s="162"/>
      <c r="AM125" s="162"/>
      <c r="AN125" s="162"/>
      <c r="AO125" s="162"/>
      <c r="AP125" s="162"/>
      <c r="AQ125" s="162"/>
      <c r="AR125" s="162"/>
      <c r="AS125" s="162"/>
      <c r="AT125" s="162"/>
      <c r="AU125" s="162"/>
      <c r="AV125" s="162"/>
      <c r="AW125" s="162"/>
      <c r="AX125" s="162"/>
      <c r="AY125" s="162"/>
      <c r="AZ125" s="162"/>
      <c r="BA125" s="162"/>
      <c r="BB125" s="162"/>
      <c r="BC125" s="162"/>
      <c r="BD125" s="162"/>
      <c r="BE125" s="162"/>
      <c r="BF125" s="162"/>
      <c r="BG125" s="162"/>
      <c r="BH125" s="162"/>
      <c r="BI125" s="162"/>
      <c r="BJ125" s="162"/>
      <c r="BK125" s="162"/>
      <c r="BL125" s="162"/>
      <c r="BM125" s="162"/>
      <c r="BN125" s="162"/>
      <c r="BO125" s="162"/>
      <c r="BP125" s="162"/>
      <c r="BQ125" s="162"/>
    </row>
    <row r="126" spans="1:69" x14ac:dyDescent="0.35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  <c r="AK126" s="162"/>
      <c r="AL126" s="162"/>
      <c r="AM126" s="162"/>
      <c r="AN126" s="162"/>
      <c r="AO126" s="162"/>
      <c r="AP126" s="162"/>
      <c r="AQ126" s="162"/>
      <c r="AR126" s="162"/>
      <c r="AS126" s="162"/>
      <c r="AT126" s="162"/>
      <c r="AU126" s="162"/>
      <c r="AV126" s="162"/>
      <c r="AW126" s="162"/>
      <c r="AX126" s="162"/>
      <c r="AY126" s="162"/>
      <c r="AZ126" s="162"/>
      <c r="BA126" s="162"/>
      <c r="BB126" s="162"/>
      <c r="BC126" s="162"/>
      <c r="BD126" s="162"/>
      <c r="BE126" s="162"/>
      <c r="BF126" s="162"/>
      <c r="BG126" s="162"/>
      <c r="BH126" s="162"/>
      <c r="BI126" s="162"/>
      <c r="BJ126" s="162"/>
      <c r="BK126" s="162"/>
      <c r="BL126" s="162"/>
      <c r="BM126" s="162"/>
      <c r="BN126" s="162"/>
      <c r="BO126" s="162"/>
      <c r="BP126" s="162"/>
      <c r="BQ126" s="162"/>
    </row>
    <row r="127" spans="1:69" x14ac:dyDescent="0.35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  <c r="AK127" s="162"/>
      <c r="AL127" s="162"/>
      <c r="AM127" s="162"/>
      <c r="AN127" s="162"/>
      <c r="AO127" s="162"/>
      <c r="AP127" s="162"/>
      <c r="AQ127" s="162"/>
      <c r="AR127" s="162"/>
      <c r="AS127" s="162"/>
      <c r="AT127" s="162"/>
      <c r="AU127" s="162"/>
      <c r="AV127" s="162"/>
      <c r="AW127" s="162"/>
      <c r="AX127" s="162"/>
      <c r="AY127" s="162"/>
      <c r="AZ127" s="162"/>
      <c r="BA127" s="162"/>
      <c r="BB127" s="162"/>
      <c r="BC127" s="162"/>
      <c r="BD127" s="162"/>
      <c r="BE127" s="162"/>
      <c r="BF127" s="162"/>
      <c r="BG127" s="162"/>
      <c r="BH127" s="162"/>
      <c r="BI127" s="162"/>
      <c r="BJ127" s="162"/>
      <c r="BK127" s="162"/>
      <c r="BL127" s="162"/>
      <c r="BM127" s="162"/>
      <c r="BN127" s="162"/>
      <c r="BO127" s="162"/>
      <c r="BP127" s="162"/>
      <c r="BQ127" s="162"/>
    </row>
    <row r="128" spans="1:69" x14ac:dyDescent="0.35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  <c r="AK128" s="162"/>
      <c r="AL128" s="162"/>
      <c r="AM128" s="162"/>
      <c r="AN128" s="162"/>
      <c r="AO128" s="162"/>
      <c r="AP128" s="162"/>
      <c r="AQ128" s="162"/>
      <c r="AR128" s="162"/>
      <c r="AS128" s="162"/>
      <c r="AT128" s="162"/>
      <c r="AU128" s="162"/>
      <c r="AV128" s="162"/>
      <c r="AW128" s="162"/>
      <c r="AX128" s="162"/>
      <c r="AY128" s="162"/>
      <c r="AZ128" s="162"/>
      <c r="BA128" s="162"/>
      <c r="BB128" s="162"/>
      <c r="BC128" s="162"/>
      <c r="BD128" s="162"/>
      <c r="BE128" s="162"/>
      <c r="BF128" s="162"/>
      <c r="BG128" s="162"/>
      <c r="BH128" s="162"/>
      <c r="BI128" s="162"/>
      <c r="BJ128" s="162"/>
      <c r="BK128" s="162"/>
      <c r="BL128" s="162"/>
      <c r="BM128" s="162"/>
      <c r="BN128" s="162"/>
      <c r="BO128" s="162"/>
      <c r="BP128" s="162"/>
      <c r="BQ128" s="162"/>
    </row>
    <row r="129" spans="1:69" x14ac:dyDescent="0.35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  <c r="AK129" s="162"/>
      <c r="AL129" s="162"/>
      <c r="AM129" s="162"/>
      <c r="AN129" s="162"/>
      <c r="AO129" s="162"/>
      <c r="AP129" s="162"/>
      <c r="AQ129" s="162"/>
      <c r="AR129" s="162"/>
      <c r="AS129" s="162"/>
      <c r="AT129" s="162"/>
      <c r="AU129" s="162"/>
      <c r="AV129" s="162"/>
      <c r="AW129" s="162"/>
      <c r="AX129" s="162"/>
      <c r="AY129" s="162"/>
      <c r="AZ129" s="162"/>
      <c r="BA129" s="162"/>
      <c r="BB129" s="162"/>
      <c r="BC129" s="162"/>
      <c r="BD129" s="162"/>
      <c r="BE129" s="162"/>
      <c r="BF129" s="162"/>
      <c r="BG129" s="162"/>
      <c r="BH129" s="162"/>
      <c r="BI129" s="162"/>
      <c r="BJ129" s="162"/>
      <c r="BK129" s="162"/>
      <c r="BL129" s="162"/>
      <c r="BM129" s="162"/>
      <c r="BN129" s="162"/>
      <c r="BO129" s="162"/>
      <c r="BP129" s="162"/>
      <c r="BQ129" s="162"/>
    </row>
    <row r="130" spans="1:69" x14ac:dyDescent="0.35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  <c r="AK130" s="162"/>
      <c r="AL130" s="162"/>
      <c r="AM130" s="162"/>
      <c r="AN130" s="162"/>
      <c r="AO130" s="162"/>
      <c r="AP130" s="162"/>
      <c r="AQ130" s="162"/>
      <c r="AR130" s="162"/>
      <c r="AS130" s="162"/>
      <c r="AT130" s="162"/>
      <c r="AU130" s="162"/>
      <c r="AV130" s="162"/>
      <c r="AW130" s="162"/>
      <c r="AX130" s="162"/>
      <c r="AY130" s="162"/>
      <c r="AZ130" s="162"/>
      <c r="BA130" s="162"/>
      <c r="BB130" s="162"/>
      <c r="BC130" s="162"/>
      <c r="BD130" s="162"/>
      <c r="BE130" s="162"/>
      <c r="BF130" s="162"/>
      <c r="BG130" s="162"/>
      <c r="BH130" s="162"/>
      <c r="BI130" s="162"/>
      <c r="BJ130" s="162"/>
      <c r="BK130" s="162"/>
      <c r="BL130" s="162"/>
      <c r="BM130" s="162"/>
      <c r="BN130" s="162"/>
      <c r="BO130" s="162"/>
      <c r="BP130" s="162"/>
      <c r="BQ130" s="162"/>
    </row>
    <row r="131" spans="1:69" x14ac:dyDescent="0.35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  <c r="AK131" s="162"/>
      <c r="AL131" s="162"/>
      <c r="AM131" s="162"/>
      <c r="AN131" s="162"/>
      <c r="AO131" s="162"/>
      <c r="AP131" s="162"/>
      <c r="AQ131" s="162"/>
      <c r="AR131" s="162"/>
      <c r="AS131" s="162"/>
      <c r="AT131" s="162"/>
      <c r="AU131" s="162"/>
      <c r="AV131" s="162"/>
      <c r="AW131" s="162"/>
      <c r="AX131" s="162"/>
      <c r="AY131" s="162"/>
      <c r="AZ131" s="162"/>
      <c r="BA131" s="162"/>
      <c r="BB131" s="162"/>
      <c r="BC131" s="162"/>
      <c r="BD131" s="162"/>
      <c r="BE131" s="162"/>
      <c r="BF131" s="162"/>
      <c r="BG131" s="162"/>
      <c r="BH131" s="162"/>
      <c r="BI131" s="162"/>
      <c r="BJ131" s="162"/>
      <c r="BK131" s="162"/>
      <c r="BL131" s="162"/>
      <c r="BM131" s="162"/>
      <c r="BN131" s="162"/>
      <c r="BO131" s="162"/>
      <c r="BP131" s="162"/>
      <c r="BQ131" s="162"/>
    </row>
    <row r="132" spans="1:69" x14ac:dyDescent="0.35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  <c r="AK132" s="162"/>
      <c r="AL132" s="162"/>
      <c r="AM132" s="162"/>
      <c r="AN132" s="162"/>
      <c r="AO132" s="162"/>
      <c r="AP132" s="162"/>
      <c r="AQ132" s="162"/>
      <c r="AR132" s="162"/>
      <c r="AS132" s="162"/>
      <c r="AT132" s="162"/>
      <c r="AU132" s="162"/>
      <c r="AV132" s="162"/>
      <c r="AW132" s="162"/>
      <c r="AX132" s="162"/>
      <c r="AY132" s="162"/>
      <c r="AZ132" s="162"/>
      <c r="BA132" s="162"/>
      <c r="BB132" s="162"/>
      <c r="BC132" s="162"/>
      <c r="BD132" s="162"/>
      <c r="BE132" s="162"/>
      <c r="BF132" s="162"/>
      <c r="BG132" s="162"/>
      <c r="BH132" s="162"/>
      <c r="BI132" s="162"/>
      <c r="BJ132" s="162"/>
      <c r="BK132" s="162"/>
      <c r="BL132" s="162"/>
      <c r="BM132" s="162"/>
      <c r="BN132" s="162"/>
      <c r="BO132" s="162"/>
      <c r="BP132" s="162"/>
      <c r="BQ132" s="162"/>
    </row>
    <row r="133" spans="1:69" x14ac:dyDescent="0.35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  <c r="AK133" s="162"/>
      <c r="AL133" s="162"/>
      <c r="AM133" s="162"/>
      <c r="AN133" s="162"/>
      <c r="AO133" s="162"/>
      <c r="AP133" s="162"/>
      <c r="AQ133" s="162"/>
      <c r="AR133" s="162"/>
      <c r="AS133" s="162"/>
      <c r="AT133" s="162"/>
      <c r="AU133" s="162"/>
      <c r="AV133" s="162"/>
      <c r="AW133" s="162"/>
      <c r="AX133" s="162"/>
      <c r="AY133" s="162"/>
      <c r="AZ133" s="162"/>
      <c r="BA133" s="162"/>
      <c r="BB133" s="162"/>
      <c r="BC133" s="162"/>
      <c r="BD133" s="162"/>
      <c r="BE133" s="162"/>
      <c r="BF133" s="162"/>
      <c r="BG133" s="162"/>
      <c r="BH133" s="162"/>
      <c r="BI133" s="162"/>
      <c r="BJ133" s="162"/>
      <c r="BK133" s="162"/>
      <c r="BL133" s="162"/>
      <c r="BM133" s="162"/>
      <c r="BN133" s="162"/>
      <c r="BO133" s="162"/>
      <c r="BP133" s="162"/>
      <c r="BQ133" s="162"/>
    </row>
    <row r="134" spans="1:69" x14ac:dyDescent="0.35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  <c r="AK134" s="162"/>
      <c r="AL134" s="162"/>
      <c r="AM134" s="162"/>
      <c r="AN134" s="162"/>
      <c r="AO134" s="162"/>
      <c r="AP134" s="162"/>
      <c r="AQ134" s="162"/>
      <c r="AR134" s="162"/>
      <c r="AS134" s="162"/>
      <c r="AT134" s="162"/>
      <c r="AU134" s="162"/>
      <c r="AV134" s="162"/>
      <c r="AW134" s="162"/>
      <c r="AX134" s="162"/>
      <c r="AY134" s="162"/>
      <c r="AZ134" s="162"/>
      <c r="BA134" s="162"/>
      <c r="BB134" s="162"/>
      <c r="BC134" s="162"/>
      <c r="BD134" s="162"/>
      <c r="BE134" s="162"/>
      <c r="BF134" s="162"/>
      <c r="BG134" s="162"/>
      <c r="BH134" s="162"/>
      <c r="BI134" s="162"/>
      <c r="BJ134" s="162"/>
      <c r="BK134" s="162"/>
      <c r="BL134" s="162"/>
      <c r="BM134" s="162"/>
      <c r="BN134" s="162"/>
      <c r="BO134" s="162"/>
      <c r="BP134" s="162"/>
      <c r="BQ134" s="162"/>
    </row>
    <row r="135" spans="1:69" x14ac:dyDescent="0.35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  <c r="AM135" s="162"/>
      <c r="AN135" s="162"/>
      <c r="AO135" s="162"/>
      <c r="AP135" s="162"/>
      <c r="AQ135" s="162"/>
      <c r="AR135" s="162"/>
      <c r="AS135" s="162"/>
      <c r="AT135" s="163"/>
      <c r="AU135" s="163"/>
      <c r="AV135" s="162"/>
      <c r="AW135" s="163"/>
      <c r="AX135" s="162"/>
      <c r="AY135" s="162"/>
      <c r="AZ135" s="162"/>
      <c r="BA135" s="163"/>
      <c r="BB135" s="162"/>
      <c r="BC135" s="162"/>
      <c r="BD135" s="162"/>
      <c r="BE135" s="162"/>
      <c r="BF135" s="162"/>
      <c r="BG135" s="162"/>
      <c r="BH135" s="162"/>
      <c r="BI135" s="162"/>
      <c r="BJ135" s="162"/>
      <c r="BK135" s="162"/>
      <c r="BL135" s="162"/>
      <c r="BM135" s="162"/>
      <c r="BN135" s="162"/>
      <c r="BO135" s="162"/>
      <c r="BP135" s="162"/>
      <c r="BQ135" s="162"/>
    </row>
    <row r="136" spans="1:69" x14ac:dyDescent="0.35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  <c r="AK136" s="162"/>
      <c r="AL136" s="162"/>
      <c r="AM136" s="162"/>
      <c r="AN136" s="162"/>
      <c r="AO136" s="162"/>
      <c r="AP136" s="162"/>
      <c r="AQ136" s="162"/>
      <c r="AR136" s="162"/>
      <c r="AS136" s="162"/>
      <c r="AT136" s="163"/>
      <c r="AU136" s="163"/>
      <c r="AV136" s="162"/>
      <c r="AW136" s="163"/>
      <c r="AX136" s="162"/>
      <c r="AY136" s="162"/>
      <c r="AZ136" s="162"/>
      <c r="BA136" s="163"/>
      <c r="BB136" s="162"/>
      <c r="BC136" s="162"/>
      <c r="BD136" s="162"/>
      <c r="BE136" s="162"/>
      <c r="BF136" s="162"/>
      <c r="BG136" s="162"/>
      <c r="BH136" s="162"/>
      <c r="BI136" s="162"/>
      <c r="BJ136" s="162"/>
      <c r="BK136" s="162"/>
      <c r="BL136" s="162"/>
      <c r="BM136" s="162"/>
      <c r="BN136" s="162"/>
      <c r="BO136" s="162"/>
      <c r="BP136" s="162"/>
      <c r="BQ136" s="162"/>
    </row>
    <row r="137" spans="1:69" x14ac:dyDescent="0.35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  <c r="AK137" s="162"/>
      <c r="AL137" s="162"/>
      <c r="AM137" s="162"/>
      <c r="AN137" s="162"/>
      <c r="AO137" s="162"/>
      <c r="AP137" s="162"/>
      <c r="AQ137" s="162"/>
      <c r="AR137" s="162"/>
      <c r="AS137" s="162"/>
      <c r="AT137" s="163"/>
      <c r="AU137" s="163"/>
      <c r="AV137" s="162"/>
      <c r="AW137" s="163"/>
      <c r="AX137" s="162"/>
      <c r="AY137" s="162"/>
      <c r="AZ137" s="162"/>
      <c r="BA137" s="163"/>
      <c r="BB137" s="162"/>
      <c r="BC137" s="162"/>
      <c r="BD137" s="162"/>
      <c r="BE137" s="162"/>
      <c r="BF137" s="162"/>
      <c r="BG137" s="162"/>
      <c r="BH137" s="162"/>
      <c r="BI137" s="162"/>
      <c r="BJ137" s="162"/>
      <c r="BK137" s="162"/>
      <c r="BL137" s="162"/>
      <c r="BM137" s="162"/>
      <c r="BN137" s="162"/>
      <c r="BO137" s="162"/>
      <c r="BP137" s="162"/>
      <c r="BQ137" s="162"/>
    </row>
    <row r="138" spans="1:69" x14ac:dyDescent="0.35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  <c r="AK138" s="162"/>
      <c r="AL138" s="162"/>
      <c r="AM138" s="162"/>
      <c r="AN138" s="162"/>
      <c r="AO138" s="162"/>
      <c r="AP138" s="162"/>
      <c r="AQ138" s="162"/>
      <c r="AR138" s="162"/>
      <c r="AS138" s="162"/>
      <c r="AT138" s="163"/>
      <c r="AU138" s="163"/>
      <c r="AV138" s="162"/>
      <c r="AW138" s="163"/>
      <c r="AX138" s="162"/>
      <c r="AY138" s="162"/>
      <c r="AZ138" s="162"/>
      <c r="BA138" s="163"/>
      <c r="BB138" s="162"/>
      <c r="BC138" s="162"/>
      <c r="BD138" s="162"/>
      <c r="BE138" s="162"/>
      <c r="BF138" s="162"/>
      <c r="BG138" s="162"/>
      <c r="BH138" s="162"/>
      <c r="BI138" s="162"/>
      <c r="BJ138" s="162"/>
      <c r="BK138" s="162"/>
      <c r="BL138" s="162"/>
      <c r="BM138" s="162"/>
      <c r="BN138" s="162"/>
      <c r="BO138" s="162"/>
      <c r="BP138" s="162"/>
      <c r="BQ138" s="162"/>
    </row>
    <row r="139" spans="1:69" x14ac:dyDescent="0.35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  <c r="AK139" s="162"/>
      <c r="AL139" s="162"/>
      <c r="AM139" s="162"/>
      <c r="AN139" s="162"/>
      <c r="AO139" s="162"/>
      <c r="AP139" s="162"/>
      <c r="AQ139" s="162"/>
      <c r="AR139" s="162"/>
      <c r="AS139" s="162"/>
      <c r="AT139" s="163"/>
      <c r="AU139" s="163"/>
      <c r="AV139" s="162"/>
      <c r="AW139" s="163"/>
      <c r="AX139" s="162"/>
      <c r="AY139" s="162"/>
      <c r="AZ139" s="162"/>
      <c r="BA139" s="163"/>
      <c r="BB139" s="162"/>
      <c r="BC139" s="162"/>
      <c r="BD139" s="162"/>
      <c r="BE139" s="162"/>
      <c r="BF139" s="162"/>
      <c r="BG139" s="162"/>
      <c r="BH139" s="162"/>
      <c r="BI139" s="162"/>
      <c r="BJ139" s="162"/>
      <c r="BK139" s="162"/>
      <c r="BL139" s="162"/>
      <c r="BM139" s="162"/>
      <c r="BN139" s="162"/>
      <c r="BO139" s="162"/>
      <c r="BP139" s="162"/>
      <c r="BQ139" s="162"/>
    </row>
    <row r="140" spans="1:69" x14ac:dyDescent="0.35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>
        <v>315234</v>
      </c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  <c r="AK140" s="162"/>
      <c r="AL140" s="162"/>
      <c r="AM140" s="162"/>
      <c r="AN140" s="162"/>
      <c r="AO140" s="162"/>
      <c r="AP140" s="162"/>
      <c r="AQ140" s="162"/>
      <c r="AR140" s="162"/>
      <c r="AS140" s="162"/>
      <c r="AT140" s="163"/>
      <c r="AU140" s="163"/>
      <c r="AV140" s="162"/>
      <c r="AW140" s="163"/>
      <c r="AX140" s="162"/>
      <c r="AY140" s="162"/>
      <c r="AZ140" s="162"/>
      <c r="BA140" s="163"/>
      <c r="BB140" s="162"/>
      <c r="BC140" s="162"/>
      <c r="BD140" s="162"/>
      <c r="BE140" s="162"/>
      <c r="BF140" s="162"/>
      <c r="BG140" s="162"/>
      <c r="BH140" s="162"/>
      <c r="BI140" s="162"/>
      <c r="BJ140" s="162"/>
      <c r="BK140" s="162"/>
      <c r="BL140" s="162"/>
      <c r="BM140" s="162"/>
      <c r="BN140" s="162"/>
      <c r="BO140" s="162"/>
      <c r="BP140" s="162"/>
      <c r="BQ140" s="162"/>
    </row>
  </sheetData>
  <sheetProtection sheet="1" objects="1" scenarios="1"/>
  <mergeCells count="100">
    <mergeCell ref="A1:BQ1"/>
    <mergeCell ref="A2:BQ2"/>
    <mergeCell ref="BN5:BO5"/>
    <mergeCell ref="BN6:BO6"/>
    <mergeCell ref="N5:O5"/>
    <mergeCell ref="P5:Q5"/>
    <mergeCell ref="R5:S5"/>
    <mergeCell ref="T5:U5"/>
    <mergeCell ref="D6:E6"/>
    <mergeCell ref="F6:G6"/>
    <mergeCell ref="H6:I6"/>
    <mergeCell ref="J6:K6"/>
    <mergeCell ref="L6:M6"/>
    <mergeCell ref="N6:O6"/>
    <mergeCell ref="P6:Q6"/>
    <mergeCell ref="R6:S6"/>
    <mergeCell ref="AB5:AC5"/>
    <mergeCell ref="AD5:AE5"/>
    <mergeCell ref="T6:U6"/>
    <mergeCell ref="D5:E5"/>
    <mergeCell ref="F5:G5"/>
    <mergeCell ref="H5:I5"/>
    <mergeCell ref="J5:K5"/>
    <mergeCell ref="L5:M5"/>
    <mergeCell ref="V6:W6"/>
    <mergeCell ref="X6:Y6"/>
    <mergeCell ref="V5:W5"/>
    <mergeCell ref="X5:Y5"/>
    <mergeCell ref="Z5:AA5"/>
    <mergeCell ref="BP12:BQ12"/>
    <mergeCell ref="AN5:AO5"/>
    <mergeCell ref="AP5:AQ5"/>
    <mergeCell ref="AR5:AS5"/>
    <mergeCell ref="AN6:AO6"/>
    <mergeCell ref="AP6:AQ6"/>
    <mergeCell ref="AR6:AS6"/>
    <mergeCell ref="AZ6:BA6"/>
    <mergeCell ref="BB6:BC6"/>
    <mergeCell ref="BD6:BE6"/>
    <mergeCell ref="BF6:BG6"/>
    <mergeCell ref="BH6:BI6"/>
    <mergeCell ref="BD5:BE5"/>
    <mergeCell ref="BB5:BC5"/>
    <mergeCell ref="AZ5:BA5"/>
    <mergeCell ref="BF5:BG5"/>
    <mergeCell ref="BJ12:BK12"/>
    <mergeCell ref="BL12:BM12"/>
    <mergeCell ref="AV12:AW12"/>
    <mergeCell ref="AX12:AY12"/>
    <mergeCell ref="AZ12:BA12"/>
    <mergeCell ref="BB12:BC12"/>
    <mergeCell ref="BD12:BE12"/>
    <mergeCell ref="BF12:BG12"/>
    <mergeCell ref="AJ12:AK12"/>
    <mergeCell ref="AL12:AM12"/>
    <mergeCell ref="AN12:AO12"/>
    <mergeCell ref="BH12:BI12"/>
    <mergeCell ref="Z6:AA6"/>
    <mergeCell ref="AB6:AC6"/>
    <mergeCell ref="AD6:AE6"/>
    <mergeCell ref="AT12:AU12"/>
    <mergeCell ref="AP12:AQ12"/>
    <mergeCell ref="AR12:AS12"/>
    <mergeCell ref="AF6:AG6"/>
    <mergeCell ref="AH6:AI6"/>
    <mergeCell ref="AJ6:AK6"/>
    <mergeCell ref="AL6:AM6"/>
    <mergeCell ref="D12:E12"/>
    <mergeCell ref="H12:I12"/>
    <mergeCell ref="J12:K12"/>
    <mergeCell ref="L12:M12"/>
    <mergeCell ref="N12:O12"/>
    <mergeCell ref="F12:G12"/>
    <mergeCell ref="P12:Q12"/>
    <mergeCell ref="AX5:AY5"/>
    <mergeCell ref="AT5:AU5"/>
    <mergeCell ref="AV5:AW5"/>
    <mergeCell ref="AT6:AU6"/>
    <mergeCell ref="AV6:AW6"/>
    <mergeCell ref="AD12:AE12"/>
    <mergeCell ref="AF12:AG12"/>
    <mergeCell ref="AH12:AI12"/>
    <mergeCell ref="AX6:AY6"/>
    <mergeCell ref="R12:S12"/>
    <mergeCell ref="T12:U12"/>
    <mergeCell ref="V12:W12"/>
    <mergeCell ref="X12:Y12"/>
    <mergeCell ref="Z12:AA12"/>
    <mergeCell ref="AB12:AC12"/>
    <mergeCell ref="BJ5:BK5"/>
    <mergeCell ref="BL5:BM5"/>
    <mergeCell ref="BP5:BQ5"/>
    <mergeCell ref="BJ6:BK6"/>
    <mergeCell ref="BL6:BM6"/>
    <mergeCell ref="BP6:BQ6"/>
    <mergeCell ref="BH5:BI5"/>
    <mergeCell ref="AF5:AG5"/>
    <mergeCell ref="AH5:AI5"/>
    <mergeCell ref="AJ5:AK5"/>
    <mergeCell ref="AL5:AM5"/>
  </mergeCells>
  <phoneticPr fontId="2" type="noConversion"/>
  <conditionalFormatting sqref="D77:BL88">
    <cfRule type="cellIs" dxfId="129" priority="9" operator="lessThan">
      <formula>0</formula>
    </cfRule>
  </conditionalFormatting>
  <conditionalFormatting sqref="D7:BM11 BP7:BQ104 BO7:BO120">
    <cfRule type="cellIs" dxfId="128" priority="1" operator="lessThan">
      <formula>0</formula>
    </cfRule>
  </conditionalFormatting>
  <conditionalFormatting sqref="D22:BM22">
    <cfRule type="cellIs" dxfId="127" priority="2" operator="lessThan">
      <formula>0</formula>
    </cfRule>
  </conditionalFormatting>
  <conditionalFormatting sqref="D30:BM31">
    <cfRule type="cellIs" dxfId="126" priority="3" operator="lessThan">
      <formula>0</formula>
    </cfRule>
  </conditionalFormatting>
  <conditionalFormatting sqref="D42:BM42">
    <cfRule type="cellIs" dxfId="125" priority="4" operator="lessThan">
      <formula>0</formula>
    </cfRule>
  </conditionalFormatting>
  <conditionalFormatting sqref="D49:BM50">
    <cfRule type="cellIs" dxfId="124" priority="5" operator="lessThan">
      <formula>0</formula>
    </cfRule>
  </conditionalFormatting>
  <conditionalFormatting sqref="D54:BM54">
    <cfRule type="cellIs" dxfId="123" priority="6" operator="lessThan">
      <formula>0</formula>
    </cfRule>
  </conditionalFormatting>
  <conditionalFormatting sqref="D57:BM59">
    <cfRule type="cellIs" dxfId="122" priority="7" operator="lessThan">
      <formula>0</formula>
    </cfRule>
  </conditionalFormatting>
  <conditionalFormatting sqref="D61:BM75">
    <cfRule type="cellIs" dxfId="121" priority="8" operator="lessThan">
      <formula>0</formula>
    </cfRule>
  </conditionalFormatting>
  <conditionalFormatting sqref="E91:BM104">
    <cfRule type="cellIs" dxfId="120" priority="10" operator="lessThan">
      <formula>0</formula>
    </cfRule>
  </conditionalFormatting>
  <pageMargins left="0.25" right="0.25" top="0.75" bottom="0.75" header="0.3" footer="0.3"/>
  <pageSetup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98A8-5DF4-473F-9BA4-B1E699641307}">
  <sheetPr>
    <pageSetUpPr fitToPage="1"/>
  </sheetPr>
  <dimension ref="A1:BX134"/>
  <sheetViews>
    <sheetView tabSelected="1" zoomScaleNormal="100" workbookViewId="0">
      <pane xSplit="1" ySplit="6" topLeftCell="T114" activePane="bottomRight" state="frozen"/>
      <selection pane="topRight" activeCell="B1" sqref="B1"/>
      <selection pane="bottomLeft" activeCell="A7" sqref="A7"/>
      <selection pane="bottomRight" activeCell="T60" sqref="T60"/>
    </sheetView>
  </sheetViews>
  <sheetFormatPr defaultRowHeight="14.5" x14ac:dyDescent="0.35"/>
  <cols>
    <col min="1" max="1" width="28.54296875" customWidth="1"/>
    <col min="2" max="2" width="15.26953125" customWidth="1"/>
    <col min="3" max="3" width="18.1796875" customWidth="1"/>
    <col min="4" max="45" width="11.81640625" customWidth="1"/>
    <col min="46" max="47" width="11.81640625" style="3" customWidth="1"/>
    <col min="48" max="48" width="11.81640625" customWidth="1"/>
    <col min="49" max="49" width="11.81640625" style="3" customWidth="1"/>
    <col min="50" max="52" width="11.81640625" customWidth="1"/>
    <col min="53" max="53" width="11.81640625" style="3" customWidth="1"/>
    <col min="54" max="65" width="11.81640625" customWidth="1"/>
    <col min="66" max="69" width="15.54296875" customWidth="1"/>
    <col min="70" max="70" width="12.7265625" customWidth="1"/>
    <col min="71" max="71" width="11.1796875" bestFit="1" customWidth="1"/>
    <col min="72" max="72" width="14.81640625" customWidth="1"/>
    <col min="73" max="73" width="8.81640625" customWidth="1"/>
    <col min="74" max="74" width="11.26953125" customWidth="1"/>
    <col min="75" max="75" width="9.26953125" bestFit="1" customWidth="1"/>
    <col min="76" max="76" width="13.453125" customWidth="1"/>
  </cols>
  <sheetData>
    <row r="1" spans="1:76" ht="14" customHeight="1" x14ac:dyDescent="0.35">
      <c r="A1" s="232" t="str">
        <f>"TEXAN FILLING STATION — "&amp;UPPER(TEXT(B3,"MMMM YYYY"))&amp;" DAILY CONTROL"</f>
        <v>TEXAN FILLING STATION — SEPTEMBER 2026 DAILY CONTROL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  <c r="BL1" s="233"/>
      <c r="BM1" s="233"/>
      <c r="BN1" s="233"/>
      <c r="BO1" s="233"/>
      <c r="BP1" s="233"/>
      <c r="BQ1" s="233"/>
    </row>
    <row r="2" spans="1:76" ht="24" customHeight="1" x14ac:dyDescent="0.35">
      <c r="A2" s="234" t="s">
        <v>108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  <c r="BP2" s="234"/>
      <c r="BQ2" s="234"/>
    </row>
    <row r="3" spans="1:76" ht="12" customHeight="1" x14ac:dyDescent="0.35">
      <c r="A3" s="26" t="s">
        <v>109</v>
      </c>
      <c r="B3" s="27">
        <v>46266</v>
      </c>
      <c r="C3" s="28" t="s">
        <v>110</v>
      </c>
      <c r="D3" s="28" t="s">
        <v>111</v>
      </c>
      <c r="E3" s="29" t="s">
        <v>112</v>
      </c>
      <c r="F3" s="30" t="s">
        <v>113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2"/>
      <c r="AU3" s="32"/>
      <c r="AV3" s="31"/>
      <c r="AW3" s="32"/>
      <c r="AX3" s="31"/>
      <c r="AY3" s="31"/>
      <c r="AZ3" s="31"/>
      <c r="BA3" s="32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</row>
    <row r="4" spans="1:76" ht="6.5" customHeight="1" thickBot="1" x14ac:dyDescent="0.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2"/>
      <c r="AU4" s="32"/>
      <c r="AV4" s="31"/>
      <c r="AW4" s="32"/>
      <c r="AX4" s="31"/>
      <c r="AY4" s="31"/>
      <c r="AZ4" s="31"/>
      <c r="BA4" s="32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</row>
    <row r="5" spans="1:76" ht="12" customHeight="1" x14ac:dyDescent="0.35">
      <c r="A5" s="164">
        <f>68*0.1</f>
        <v>6.8000000000000007</v>
      </c>
      <c r="B5" s="33"/>
      <c r="C5" s="34" t="s">
        <v>116</v>
      </c>
      <c r="D5" s="235" t="str">
        <f>IF(D6="","",UPPER(TEXT(D6,"dddd")))</f>
        <v>TUESDAY</v>
      </c>
      <c r="E5" s="229"/>
      <c r="F5" s="228" t="str">
        <f>IF(F6="","",UPPER(TEXT(F6,"dddd")))</f>
        <v>WEDNESDAY</v>
      </c>
      <c r="G5" s="229"/>
      <c r="H5" s="228" t="str">
        <f>IF(H6="","",UPPER(TEXT(H6,"dddd")))</f>
        <v>THURSDAY</v>
      </c>
      <c r="I5" s="229"/>
      <c r="J5" s="228" t="str">
        <f>IF(J6="","",UPPER(TEXT(J6,"dddd")))</f>
        <v>FRIDAY</v>
      </c>
      <c r="K5" s="229"/>
      <c r="L5" s="228" t="str">
        <f>IF(L6="","",UPPER(TEXT(L6,"dddd")))</f>
        <v>SATURDAY</v>
      </c>
      <c r="M5" s="229"/>
      <c r="N5" s="228" t="str">
        <f>IF(N6="","",UPPER(TEXT(N6,"dddd")))</f>
        <v>SUNDAY</v>
      </c>
      <c r="O5" s="229"/>
      <c r="P5" s="228" t="str">
        <f>IF(P6="","",UPPER(TEXT(P6,"dddd")))</f>
        <v>MONDAY</v>
      </c>
      <c r="Q5" s="229"/>
      <c r="R5" s="228" t="str">
        <f>IF(R6="","",UPPER(TEXT(R6,"dddd")))</f>
        <v>TUESDAY</v>
      </c>
      <c r="S5" s="229"/>
      <c r="T5" s="228" t="str">
        <f>IF(T6="","",UPPER(TEXT(T6,"dddd")))</f>
        <v>WEDNESDAY</v>
      </c>
      <c r="U5" s="229"/>
      <c r="V5" s="228" t="str">
        <f>IF(V6="","",UPPER(TEXT(V6,"dddd")))</f>
        <v>THURSDAY</v>
      </c>
      <c r="W5" s="229"/>
      <c r="X5" s="228" t="str">
        <f>IF(X6="","",UPPER(TEXT(X6,"dddd")))</f>
        <v>FRIDAY</v>
      </c>
      <c r="Y5" s="229"/>
      <c r="Z5" s="228" t="str">
        <f>IF(Z6="","",UPPER(TEXT(Z6,"dddd")))</f>
        <v>SATURDAY</v>
      </c>
      <c r="AA5" s="229"/>
      <c r="AB5" s="228" t="str">
        <f>IF(AB6="","",UPPER(TEXT(AB6,"dddd")))</f>
        <v>SUNDAY</v>
      </c>
      <c r="AC5" s="229"/>
      <c r="AD5" s="228" t="str">
        <f>IF(AD6="","",UPPER(TEXT(AD6,"dddd")))</f>
        <v>MONDAY</v>
      </c>
      <c r="AE5" s="229"/>
      <c r="AF5" s="228" t="str">
        <f>IF(AF6="","",UPPER(TEXT(AF6,"dddd")))</f>
        <v>TUESDAY</v>
      </c>
      <c r="AG5" s="229"/>
      <c r="AH5" s="228" t="str">
        <f>IF(AH6="","",UPPER(TEXT(AH6,"dddd")))</f>
        <v>WEDNESDAY</v>
      </c>
      <c r="AI5" s="229"/>
      <c r="AJ5" s="228" t="str">
        <f>IF(AJ6="","",UPPER(TEXT(AJ6,"dddd")))</f>
        <v>THURSDAY</v>
      </c>
      <c r="AK5" s="229"/>
      <c r="AL5" s="228" t="str">
        <f>IF(AL6="","",UPPER(TEXT(AL6,"dddd")))</f>
        <v>FRIDAY</v>
      </c>
      <c r="AM5" s="229"/>
      <c r="AN5" s="228" t="str">
        <f>IF(AN6="","",UPPER(TEXT(AN6,"dddd")))</f>
        <v>SATURDAY</v>
      </c>
      <c r="AO5" s="229"/>
      <c r="AP5" s="228" t="str">
        <f>IF(AP6="","",UPPER(TEXT(AP6,"dddd")))</f>
        <v>SUNDAY</v>
      </c>
      <c r="AQ5" s="229"/>
      <c r="AR5" s="228" t="str">
        <f>IF(AR6="","",UPPER(TEXT(AR6,"dddd")))</f>
        <v>MONDAY</v>
      </c>
      <c r="AS5" s="229"/>
      <c r="AT5" s="228" t="str">
        <f>IF(AT6="","",UPPER(TEXT(AT6,"dddd")))</f>
        <v>TUESDAY</v>
      </c>
      <c r="AU5" s="229"/>
      <c r="AV5" s="228" t="str">
        <f>IF(AV6="","",UPPER(TEXT(AV6,"dddd")))</f>
        <v>WEDNESDAY</v>
      </c>
      <c r="AW5" s="229"/>
      <c r="AX5" s="228" t="str">
        <f>IF(AX6="","",UPPER(TEXT(AX6,"dddd")))</f>
        <v>THURSDAY</v>
      </c>
      <c r="AY5" s="229"/>
      <c r="AZ5" s="228" t="str">
        <f>IF(AZ6="","",UPPER(TEXT(AZ6,"dddd")))</f>
        <v>FRIDAY</v>
      </c>
      <c r="BA5" s="229"/>
      <c r="BB5" s="228" t="str">
        <f>IF(BB6="","",UPPER(TEXT(BB6,"dddd")))</f>
        <v>SATURDAY</v>
      </c>
      <c r="BC5" s="229"/>
      <c r="BD5" s="228" t="str">
        <f>IF(BD6="","",UPPER(TEXT(BD6,"dddd")))</f>
        <v>SUNDAY</v>
      </c>
      <c r="BE5" s="229"/>
      <c r="BF5" s="228" t="str">
        <f>IF(BF6="","",UPPER(TEXT(BF6,"dddd")))</f>
        <v>MONDAY</v>
      </c>
      <c r="BG5" s="229"/>
      <c r="BH5" s="228" t="str">
        <f>IF(BH6="","",UPPER(TEXT(BH6,"dddd")))</f>
        <v>TUESDAY</v>
      </c>
      <c r="BI5" s="229"/>
      <c r="BJ5" s="228" t="str">
        <f>IF(BJ6="","",UPPER(TEXT(BJ6,"dddd")))</f>
        <v>WEDNESDAY</v>
      </c>
      <c r="BK5" s="229"/>
      <c r="BL5" s="228" t="str">
        <f>IF(BL6="","",UPPER(TEXT(BL6,"dddd")))</f>
        <v/>
      </c>
      <c r="BM5" s="229"/>
      <c r="BN5" s="230" t="s">
        <v>114</v>
      </c>
      <c r="BO5" s="231"/>
      <c r="BP5" s="225" t="s">
        <v>118</v>
      </c>
      <c r="BQ5" s="226"/>
    </row>
    <row r="6" spans="1:76" x14ac:dyDescent="0.35">
      <c r="A6" s="35"/>
      <c r="B6" s="36"/>
      <c r="C6" s="37" t="s">
        <v>117</v>
      </c>
      <c r="D6" s="227">
        <f>IF($B$3="","",IF(MONTH($B$3+0)=MONTH($B$3),$B$3+0,""))</f>
        <v>46266</v>
      </c>
      <c r="E6" s="222"/>
      <c r="F6" s="220">
        <f>IF($B$3="","",IF(MONTH($B$3+1)=MONTH($B$3),$B$3+1,""))</f>
        <v>46267</v>
      </c>
      <c r="G6" s="222"/>
      <c r="H6" s="220">
        <f>IF($B$3="","",IF(MONTH($B$3+2)=MONTH($B$3),$B$3+2,""))</f>
        <v>46268</v>
      </c>
      <c r="I6" s="222"/>
      <c r="J6" s="220">
        <f>IF($B$3="","",IF(MONTH($B$3+3)=MONTH($B$3),$B$3+3,""))</f>
        <v>46269</v>
      </c>
      <c r="K6" s="222"/>
      <c r="L6" s="220">
        <f>IF($B$3="","",IF(MONTH($B$3+4)=MONTH($B$3),$B$3+4,""))</f>
        <v>46270</v>
      </c>
      <c r="M6" s="222"/>
      <c r="N6" s="220">
        <f>IF($B$3="","",IF(MONTH($B$3+5)=MONTH($B$3),$B$3+5,""))</f>
        <v>46271</v>
      </c>
      <c r="O6" s="222"/>
      <c r="P6" s="220">
        <f>IF($B$3="","",IF(MONTH($B$3+6)=MONTH($B$3),$B$3+6,""))</f>
        <v>46272</v>
      </c>
      <c r="Q6" s="222"/>
      <c r="R6" s="220">
        <f>IF($B$3="","",IF(MONTH($B$3+7)=MONTH($B$3),$B$3+7,""))</f>
        <v>46273</v>
      </c>
      <c r="S6" s="222"/>
      <c r="T6" s="220">
        <f>IF($B$3="","",IF(MONTH($B$3+8)=MONTH($B$3),$B$3+8,""))</f>
        <v>46274</v>
      </c>
      <c r="U6" s="222"/>
      <c r="V6" s="220">
        <f>IF($B$3="","",IF(MONTH($B$3+9)=MONTH($B$3),$B$3+9,""))</f>
        <v>46275</v>
      </c>
      <c r="W6" s="222"/>
      <c r="X6" s="220">
        <f>IF($B$3="","",IF(MONTH($B$3+10)=MONTH($B$3),$B$3+10,""))</f>
        <v>46276</v>
      </c>
      <c r="Y6" s="222"/>
      <c r="Z6" s="220">
        <f>IF($B$3="","",IF(MONTH($B$3+11)=MONTH($B$3),$B$3+11,""))</f>
        <v>46277</v>
      </c>
      <c r="AA6" s="222"/>
      <c r="AB6" s="220">
        <f>IF($B$3="","",IF(MONTH($B$3+12)=MONTH($B$3),$B$3+12,""))</f>
        <v>46278</v>
      </c>
      <c r="AC6" s="222"/>
      <c r="AD6" s="220">
        <f>IF($B$3="","",IF(MONTH($B$3+13)=MONTH($B$3),$B$3+13,""))</f>
        <v>46279</v>
      </c>
      <c r="AE6" s="222"/>
      <c r="AF6" s="220">
        <f>IF($B$3="","",IF(MONTH($B$3+14)=MONTH($B$3),$B$3+14,""))</f>
        <v>46280</v>
      </c>
      <c r="AG6" s="222"/>
      <c r="AH6" s="220">
        <f>IF($B$3="","",IF(MONTH($B$3+15)=MONTH($B$3),$B$3+15,""))</f>
        <v>46281</v>
      </c>
      <c r="AI6" s="222"/>
      <c r="AJ6" s="220">
        <f>IF($B$3="","",IF(MONTH($B$3+16)=MONTH($B$3),$B$3+16,""))</f>
        <v>46282</v>
      </c>
      <c r="AK6" s="222"/>
      <c r="AL6" s="220">
        <f>IF($B$3="","",IF(MONTH($B$3+17)=MONTH($B$3),$B$3+17,""))</f>
        <v>46283</v>
      </c>
      <c r="AM6" s="222"/>
      <c r="AN6" s="220">
        <f>IF($B$3="","",IF(MONTH($B$3+18)=MONTH($B$3),$B$3+18,""))</f>
        <v>46284</v>
      </c>
      <c r="AO6" s="222"/>
      <c r="AP6" s="220">
        <f>IF($B$3="","",IF(MONTH($B$3+19)=MONTH($B$3),$B$3+19,""))</f>
        <v>46285</v>
      </c>
      <c r="AQ6" s="222"/>
      <c r="AR6" s="220">
        <f>IF($B$3="","",IF(MONTH($B$3+20)=MONTH($B$3),$B$3+20,""))</f>
        <v>46286</v>
      </c>
      <c r="AS6" s="222"/>
      <c r="AT6" s="220">
        <f>IF($B$3="","",IF(MONTH($B$3+21)=MONTH($B$3),$B$3+21,""))</f>
        <v>46287</v>
      </c>
      <c r="AU6" s="222"/>
      <c r="AV6" s="220">
        <f>IF($B$3="","",IF(MONTH($B$3+22)=MONTH($B$3),$B$3+22,""))</f>
        <v>46288</v>
      </c>
      <c r="AW6" s="222"/>
      <c r="AX6" s="220">
        <f>IF($B$3="","",IF(MONTH($B$3+23)=MONTH($B$3),$B$3+23,""))</f>
        <v>46289</v>
      </c>
      <c r="AY6" s="222"/>
      <c r="AZ6" s="220">
        <f>IF($B$3="","",IF(MONTH($B$3+24)=MONTH($B$3),$B$3+24,""))</f>
        <v>46290</v>
      </c>
      <c r="BA6" s="222"/>
      <c r="BB6" s="220">
        <f>IF($B$3="","",IF(MONTH($B$3+25)=MONTH($B$3),$B$3+25,""))</f>
        <v>46291</v>
      </c>
      <c r="BC6" s="222"/>
      <c r="BD6" s="220">
        <f>IF($B$3="","",IF(MONTH($B$3+26)=MONTH($B$3),$B$3+26,""))</f>
        <v>46292</v>
      </c>
      <c r="BE6" s="222"/>
      <c r="BF6" s="220">
        <f>IF($B$3="","",IF(MONTH($B$3+27)=MONTH($B$3),$B$3+27,""))</f>
        <v>46293</v>
      </c>
      <c r="BG6" s="222"/>
      <c r="BH6" s="220">
        <f>IF($B$3="","",IF(MONTH($B$3+28)=MONTH($B$3),$B$3+28,""))</f>
        <v>46294</v>
      </c>
      <c r="BI6" s="222"/>
      <c r="BJ6" s="220">
        <f>IF($B$3="","",IF(MONTH($B$3+29)=MONTH($B$3),$B$3+29,""))</f>
        <v>46295</v>
      </c>
      <c r="BK6" s="222"/>
      <c r="BL6" s="220" t="str">
        <f>IF($B$3="","",IF(MONTH($B$3+30)=MONTH($B$3),$B$3+30,""))</f>
        <v/>
      </c>
      <c r="BM6" s="222"/>
      <c r="BN6" s="223" t="s">
        <v>115</v>
      </c>
      <c r="BO6" s="224"/>
      <c r="BP6" s="220">
        <f>IF($B$3="","",EOMONTH($B$3,0)+1)</f>
        <v>46296</v>
      </c>
      <c r="BQ6" s="221"/>
    </row>
    <row r="7" spans="1:76" x14ac:dyDescent="0.35">
      <c r="A7" s="38" t="s">
        <v>20</v>
      </c>
      <c r="B7" s="39"/>
      <c r="C7" s="40"/>
      <c r="D7" s="41"/>
      <c r="E7" s="165">
        <f>E59</f>
        <v>0</v>
      </c>
      <c r="F7" s="42"/>
      <c r="G7" s="165">
        <f>G59</f>
        <v>0</v>
      </c>
      <c r="H7" s="42"/>
      <c r="I7" s="165">
        <f>I59</f>
        <v>4</v>
      </c>
      <c r="J7" s="42"/>
      <c r="K7" s="165">
        <f>K59</f>
        <v>0</v>
      </c>
      <c r="L7" s="42"/>
      <c r="M7" s="165">
        <f>M59</f>
        <v>0</v>
      </c>
      <c r="N7" s="42"/>
      <c r="O7" s="165">
        <f>O59</f>
        <v>0</v>
      </c>
      <c r="P7" s="42"/>
      <c r="Q7" s="165">
        <f>Q59</f>
        <v>-200</v>
      </c>
      <c r="R7" s="42"/>
      <c r="S7" s="165">
        <f>S59</f>
        <v>-50</v>
      </c>
      <c r="T7" s="42"/>
      <c r="U7" s="165">
        <f>U59</f>
        <v>0</v>
      </c>
      <c r="V7" s="42"/>
      <c r="W7" s="165">
        <f>W59</f>
        <v>67</v>
      </c>
      <c r="X7" s="42"/>
      <c r="Y7" s="165">
        <f>Y59</f>
        <v>-30</v>
      </c>
      <c r="Z7" s="42"/>
      <c r="AA7" s="165">
        <f>AA59</f>
        <v>-12</v>
      </c>
      <c r="AB7" s="42"/>
      <c r="AC7" s="165">
        <f>AC59</f>
        <v>0</v>
      </c>
      <c r="AD7" s="42"/>
      <c r="AE7" s="165">
        <f>AE59</f>
        <v>0</v>
      </c>
      <c r="AF7" s="42"/>
      <c r="AG7" s="165">
        <f>AG59</f>
        <v>0</v>
      </c>
      <c r="AH7" s="42"/>
      <c r="AI7" s="165">
        <f>AI59</f>
        <v>0</v>
      </c>
      <c r="AJ7" s="42"/>
      <c r="AK7" s="165">
        <f>AK59</f>
        <v>0</v>
      </c>
      <c r="AL7" s="42"/>
      <c r="AM7" s="165">
        <f>AM59</f>
        <v>0</v>
      </c>
      <c r="AN7" s="42"/>
      <c r="AO7" s="165">
        <f>AO59</f>
        <v>0</v>
      </c>
      <c r="AP7" s="42"/>
      <c r="AQ7" s="165">
        <f>AQ59</f>
        <v>0</v>
      </c>
      <c r="AR7" s="42"/>
      <c r="AS7" s="165">
        <f>AS59</f>
        <v>0</v>
      </c>
      <c r="AT7" s="42"/>
      <c r="AU7" s="165">
        <f>AU59</f>
        <v>0</v>
      </c>
      <c r="AV7" s="42"/>
      <c r="AW7" s="165">
        <f>AW59</f>
        <v>0</v>
      </c>
      <c r="AX7" s="42"/>
      <c r="AY7" s="165">
        <f>AY59</f>
        <v>0</v>
      </c>
      <c r="AZ7" s="42"/>
      <c r="BA7" s="165">
        <f>BA59</f>
        <v>0</v>
      </c>
      <c r="BB7" s="42"/>
      <c r="BC7" s="165">
        <f>BC59</f>
        <v>0</v>
      </c>
      <c r="BD7" s="42"/>
      <c r="BE7" s="165">
        <f>BE59</f>
        <v>0</v>
      </c>
      <c r="BF7" s="42"/>
      <c r="BG7" s="165">
        <f>BG59</f>
        <v>0</v>
      </c>
      <c r="BH7" s="42"/>
      <c r="BI7" s="165">
        <f>BI59</f>
        <v>0</v>
      </c>
      <c r="BJ7" s="42"/>
      <c r="BK7" s="165">
        <f>BK59</f>
        <v>0</v>
      </c>
      <c r="BL7" s="42"/>
      <c r="BM7" s="165">
        <f>BM59</f>
        <v>0</v>
      </c>
      <c r="BN7" s="43"/>
      <c r="BO7" s="169">
        <f>IF(COUNT(E7,G7,I7,K7,M7,O7,Q7,S7,U7,W7,Y7,AA7,AC7,AE7,AG7,AI7,AK7,AM7,AO7,AQ7,AS7,AU7,AW7,AY7,BA7,BC7,BE7,BG7,BI7,BK7,BM7)=0,"",SUM(E7,G7,I7,K7,M7,O7,Q7,S7,U7,W7,Y7,AA7,AC7,AE7,AG7,AI7,AK7,AM7,AO7,AQ7,AS7,AU7,AW7,AY7,BA7,BC7,BE7,BG7,BI7,BK7,BM7))</f>
        <v>-221</v>
      </c>
      <c r="BP7" s="42"/>
      <c r="BQ7" s="171">
        <f>BQ59</f>
        <v>0</v>
      </c>
    </row>
    <row r="8" spans="1:76" x14ac:dyDescent="0.35">
      <c r="A8" s="38" t="s">
        <v>49</v>
      </c>
      <c r="B8" s="39"/>
      <c r="C8" s="40"/>
      <c r="D8" s="41"/>
      <c r="E8" s="165">
        <f>E58</f>
        <v>51.760000000009313</v>
      </c>
      <c r="F8" s="42"/>
      <c r="G8" s="165">
        <f>G58</f>
        <v>0</v>
      </c>
      <c r="H8" s="42"/>
      <c r="I8" s="165">
        <f>I58</f>
        <v>1.6299999999901047</v>
      </c>
      <c r="J8" s="42"/>
      <c r="K8" s="165">
        <f>K58</f>
        <v>209.7100000000064</v>
      </c>
      <c r="L8" s="42"/>
      <c r="M8" s="165">
        <f>M58</f>
        <v>-1.8500000000058208</v>
      </c>
      <c r="N8" s="42"/>
      <c r="O8" s="165">
        <f>O58</f>
        <v>-13.099999999998545</v>
      </c>
      <c r="P8" s="42"/>
      <c r="Q8" s="165">
        <f>Q58</f>
        <v>229.09999999999854</v>
      </c>
      <c r="R8" s="42"/>
      <c r="S8" s="165">
        <f>S58</f>
        <v>2362.0699999999997</v>
      </c>
      <c r="T8" s="42"/>
      <c r="U8" s="165">
        <f>U58</f>
        <v>1794.9700000000012</v>
      </c>
      <c r="V8" s="42"/>
      <c r="W8" s="165">
        <f>W58</f>
        <v>3060.8099999999977</v>
      </c>
      <c r="X8" s="42"/>
      <c r="Y8" s="165">
        <f>Y58</f>
        <v>3489.3600000000151</v>
      </c>
      <c r="Z8" s="42"/>
      <c r="AA8" s="165">
        <f>AA58</f>
        <v>36.650000000001455</v>
      </c>
      <c r="AB8" s="42"/>
      <c r="AC8" s="165">
        <f>AC58</f>
        <v>9.8499999999985448</v>
      </c>
      <c r="AD8" s="42"/>
      <c r="AE8" s="165">
        <f>AE58</f>
        <v>0</v>
      </c>
      <c r="AF8" s="42"/>
      <c r="AG8" s="165">
        <f>AG58</f>
        <v>0</v>
      </c>
      <c r="AH8" s="42"/>
      <c r="AI8" s="165">
        <f>AI58</f>
        <v>0</v>
      </c>
      <c r="AJ8" s="42"/>
      <c r="AK8" s="165">
        <f>AK58</f>
        <v>0</v>
      </c>
      <c r="AL8" s="42"/>
      <c r="AM8" s="165">
        <f>AM58</f>
        <v>0</v>
      </c>
      <c r="AN8" s="42"/>
      <c r="AO8" s="165">
        <f>AO58</f>
        <v>0</v>
      </c>
      <c r="AP8" s="42"/>
      <c r="AQ8" s="165">
        <f>AQ58</f>
        <v>0</v>
      </c>
      <c r="AR8" s="42"/>
      <c r="AS8" s="165">
        <f>AS58</f>
        <v>0</v>
      </c>
      <c r="AT8" s="42"/>
      <c r="AU8" s="168">
        <f>AU58</f>
        <v>0</v>
      </c>
      <c r="AV8" s="42"/>
      <c r="AW8" s="165">
        <f>AW58</f>
        <v>0</v>
      </c>
      <c r="AX8" s="42"/>
      <c r="AY8" s="165">
        <f>AY58</f>
        <v>0</v>
      </c>
      <c r="AZ8" s="42"/>
      <c r="BA8" s="165">
        <f>BA58</f>
        <v>0</v>
      </c>
      <c r="BB8" s="42"/>
      <c r="BC8" s="165">
        <f>BC58</f>
        <v>0</v>
      </c>
      <c r="BD8" s="42"/>
      <c r="BE8" s="165">
        <f>BE58</f>
        <v>0</v>
      </c>
      <c r="BF8" s="42"/>
      <c r="BG8" s="165">
        <f>BG58</f>
        <v>0</v>
      </c>
      <c r="BH8" s="42"/>
      <c r="BI8" s="165">
        <f>BI58</f>
        <v>0</v>
      </c>
      <c r="BJ8" s="42"/>
      <c r="BK8" s="165">
        <f>BK58</f>
        <v>0</v>
      </c>
      <c r="BL8" s="42"/>
      <c r="BM8" s="165">
        <f>BM58</f>
        <v>0</v>
      </c>
      <c r="BN8" s="43"/>
      <c r="BO8" s="169">
        <f>IF(COUNT(E8,G8,I8,K8,M8,O8,Q8,S8,U8,W8,Y8,AA8,AC8,AE8,AG8,AI8,AK8,AM8,AO8,AQ8,AS8,AU8,AW8,AY8,BA8,BC8,BE8,BG8,BI8,BK8,BM8)=0,"",SUM(E8,G8,I8,K8,M8,O8,Q8,S8,U8,W8,Y8,AA8,AC8,AE8,AG8,AI8,AK8,AM8,AO8,AQ8,AS8,AU8,AW8,AY8,BA8,BC8,BE8,BG8,BI8,BK8,BM8))</f>
        <v>11230.960000000014</v>
      </c>
      <c r="BP8" s="42"/>
      <c r="BQ8" s="171">
        <f>BQ58</f>
        <v>0</v>
      </c>
    </row>
    <row r="9" spans="1:76" x14ac:dyDescent="0.35">
      <c r="A9" s="38" t="s">
        <v>50</v>
      </c>
      <c r="B9" s="39"/>
      <c r="C9" s="40"/>
      <c r="D9" s="41"/>
      <c r="E9" s="165">
        <f>E61</f>
        <v>-1002160</v>
      </c>
      <c r="F9" s="42"/>
      <c r="G9" s="165">
        <f>G61</f>
        <v>-213</v>
      </c>
      <c r="H9" s="42"/>
      <c r="I9" s="165">
        <f>I61</f>
        <v>363</v>
      </c>
      <c r="J9" s="42"/>
      <c r="K9" s="165">
        <f>K61</f>
        <v>-102</v>
      </c>
      <c r="L9" s="42"/>
      <c r="M9" s="165">
        <f>M61</f>
        <v>-7</v>
      </c>
      <c r="N9" s="42"/>
      <c r="O9" s="165">
        <f>O61</f>
        <v>-56</v>
      </c>
      <c r="P9" s="42"/>
      <c r="Q9" s="165">
        <f>Q61</f>
        <v>307</v>
      </c>
      <c r="R9" s="42"/>
      <c r="S9" s="165">
        <f>S61</f>
        <v>-36</v>
      </c>
      <c r="T9" s="42"/>
      <c r="U9" s="165">
        <f>U61</f>
        <v>-89</v>
      </c>
      <c r="V9" s="42"/>
      <c r="W9" s="165">
        <f>W61</f>
        <v>229</v>
      </c>
      <c r="X9" s="42"/>
      <c r="Y9" s="165">
        <f>Y61</f>
        <v>-574</v>
      </c>
      <c r="Z9" s="42"/>
      <c r="AA9" s="165">
        <f>AA61</f>
        <v>-211</v>
      </c>
      <c r="AB9" s="42"/>
      <c r="AC9" s="165">
        <f>AC61</f>
        <v>106</v>
      </c>
      <c r="AD9" s="42"/>
      <c r="AE9" s="165">
        <f>AE61</f>
        <v>257</v>
      </c>
      <c r="AF9" s="42"/>
      <c r="AG9" s="165">
        <f>AG61</f>
        <v>152</v>
      </c>
      <c r="AH9" s="42"/>
      <c r="AI9" s="165">
        <f>AI61</f>
        <v>-3383118</v>
      </c>
      <c r="AJ9" s="42"/>
      <c r="AK9" s="165">
        <f>AK61</f>
        <v>0</v>
      </c>
      <c r="AL9" s="42"/>
      <c r="AM9" s="165">
        <f>AM61</f>
        <v>0</v>
      </c>
      <c r="AN9" s="42"/>
      <c r="AO9" s="165">
        <f>AO61</f>
        <v>0</v>
      </c>
      <c r="AP9" s="42"/>
      <c r="AQ9" s="165">
        <f>AQ61</f>
        <v>0</v>
      </c>
      <c r="AR9" s="42"/>
      <c r="AS9" s="165">
        <f>AS61</f>
        <v>0</v>
      </c>
      <c r="AT9" s="42"/>
      <c r="AU9" s="165">
        <f>AU61</f>
        <v>0</v>
      </c>
      <c r="AV9" s="42"/>
      <c r="AW9" s="165">
        <f>AW61</f>
        <v>0</v>
      </c>
      <c r="AX9" s="42"/>
      <c r="AY9" s="165">
        <f>AY61</f>
        <v>0</v>
      </c>
      <c r="AZ9" s="42"/>
      <c r="BA9" s="165">
        <f>BA61</f>
        <v>0</v>
      </c>
      <c r="BB9" s="42"/>
      <c r="BC9" s="165">
        <f>BC61</f>
        <v>0</v>
      </c>
      <c r="BD9" s="42"/>
      <c r="BE9" s="165">
        <f>BE61</f>
        <v>0</v>
      </c>
      <c r="BF9" s="42"/>
      <c r="BG9" s="165">
        <f>BG61</f>
        <v>0</v>
      </c>
      <c r="BH9" s="42"/>
      <c r="BI9" s="165">
        <f>BI61</f>
        <v>0</v>
      </c>
      <c r="BJ9" s="42"/>
      <c r="BK9" s="165">
        <f>BK61</f>
        <v>0</v>
      </c>
      <c r="BL9" s="42"/>
      <c r="BM9" s="165">
        <f>BM61</f>
        <v>0</v>
      </c>
      <c r="BN9" s="43"/>
      <c r="BO9" s="169">
        <f>IF(COUNT(E9,G9,I9,K9,M9,O9,Q9,S9,U9,W9,Y9,AA9,AC9,AE9,AG9,AI9,AK9,AM9,AO9,AQ9,AS9,AU9,AW9,AY9,BA9,BC9,BE9,BG9,BI9,BK9,BM9)=0,"",SUM(E9,G9,I9,K9,M9,O9,Q9,S9,U9,W9,Y9,AA9,AC9,AE9,AG9,AI9,AK9,AM9,AO9,AQ9,AS9,AU9,AW9,AY9,BA9,BC9,BE9,BG9,BI9,BK9,BM9))</f>
        <v>-4385152</v>
      </c>
      <c r="BP9" s="42"/>
      <c r="BQ9" s="171" t="e">
        <f>BQ61</f>
        <v>#VALUE!</v>
      </c>
    </row>
    <row r="10" spans="1:76" s="2" customFormat="1" x14ac:dyDescent="0.35">
      <c r="A10" s="44" t="s">
        <v>47</v>
      </c>
      <c r="B10" s="45"/>
      <c r="C10" s="46">
        <v>1413.73</v>
      </c>
      <c r="D10" s="47"/>
      <c r="E10" s="166">
        <f>E73</f>
        <v>-996093</v>
      </c>
      <c r="F10" s="49"/>
      <c r="G10" s="166">
        <f t="shared" ref="G10:BQ10" si="0">G73</f>
        <v>1687</v>
      </c>
      <c r="H10" s="49"/>
      <c r="I10" s="166">
        <f t="shared" si="0"/>
        <v>1963</v>
      </c>
      <c r="J10" s="49"/>
      <c r="K10" s="166">
        <f t="shared" si="0"/>
        <v>1598</v>
      </c>
      <c r="L10" s="49"/>
      <c r="M10" s="166">
        <f t="shared" si="0"/>
        <v>2093</v>
      </c>
      <c r="N10" s="49"/>
      <c r="O10" s="166">
        <f t="shared" si="0"/>
        <v>1044</v>
      </c>
      <c r="P10" s="49"/>
      <c r="Q10" s="166">
        <f t="shared" si="0"/>
        <v>1807</v>
      </c>
      <c r="R10" s="49"/>
      <c r="S10" s="166">
        <f t="shared" si="0"/>
        <v>1564</v>
      </c>
      <c r="T10" s="49"/>
      <c r="U10" s="166">
        <f t="shared" si="0"/>
        <v>1511</v>
      </c>
      <c r="V10" s="49"/>
      <c r="W10" s="166">
        <f t="shared" si="0"/>
        <v>1529</v>
      </c>
      <c r="X10" s="49"/>
      <c r="Y10" s="166">
        <f t="shared" si="0"/>
        <v>2126</v>
      </c>
      <c r="Z10" s="49"/>
      <c r="AA10" s="166">
        <f t="shared" si="0"/>
        <v>1489</v>
      </c>
      <c r="AB10" s="49"/>
      <c r="AC10" s="166">
        <f t="shared" si="0"/>
        <v>906</v>
      </c>
      <c r="AD10" s="49"/>
      <c r="AE10" s="166">
        <f t="shared" si="0"/>
        <v>2457</v>
      </c>
      <c r="AF10" s="49"/>
      <c r="AG10" s="166">
        <f t="shared" si="0"/>
        <v>2052</v>
      </c>
      <c r="AH10" s="49"/>
      <c r="AI10" s="166">
        <f t="shared" si="0"/>
        <v>-3370618</v>
      </c>
      <c r="AJ10" s="49"/>
      <c r="AK10" s="166">
        <f t="shared" si="0"/>
        <v>0</v>
      </c>
      <c r="AL10" s="49"/>
      <c r="AM10" s="166">
        <f t="shared" si="0"/>
        <v>0</v>
      </c>
      <c r="AN10" s="49"/>
      <c r="AO10" s="166">
        <f t="shared" si="0"/>
        <v>0</v>
      </c>
      <c r="AP10" s="49"/>
      <c r="AQ10" s="166">
        <f t="shared" si="0"/>
        <v>0</v>
      </c>
      <c r="AR10" s="49"/>
      <c r="AS10" s="166">
        <f t="shared" si="0"/>
        <v>0</v>
      </c>
      <c r="AT10" s="49"/>
      <c r="AU10" s="166">
        <f t="shared" si="0"/>
        <v>0</v>
      </c>
      <c r="AV10" s="49"/>
      <c r="AW10" s="166">
        <f t="shared" si="0"/>
        <v>0</v>
      </c>
      <c r="AX10" s="49"/>
      <c r="AY10" s="166">
        <f t="shared" si="0"/>
        <v>0</v>
      </c>
      <c r="AZ10" s="49"/>
      <c r="BA10" s="166">
        <f t="shared" si="0"/>
        <v>0</v>
      </c>
      <c r="BB10" s="49"/>
      <c r="BC10" s="166">
        <f t="shared" si="0"/>
        <v>0</v>
      </c>
      <c r="BD10" s="49"/>
      <c r="BE10" s="166">
        <f t="shared" si="0"/>
        <v>0</v>
      </c>
      <c r="BF10" s="49"/>
      <c r="BG10" s="166">
        <f t="shared" si="0"/>
        <v>0</v>
      </c>
      <c r="BH10" s="49"/>
      <c r="BI10" s="166">
        <f t="shared" si="0"/>
        <v>0</v>
      </c>
      <c r="BJ10" s="49"/>
      <c r="BK10" s="166">
        <f t="shared" si="0"/>
        <v>0</v>
      </c>
      <c r="BL10" s="49"/>
      <c r="BM10" s="166">
        <f t="shared" si="0"/>
        <v>0</v>
      </c>
      <c r="BN10" s="50"/>
      <c r="BO10" s="170">
        <f>IF(COUNT(E10,G10,I10,K10,M10,O10,Q10,S10,U10,W10,Y10,AA10,AC10,AE10,AG10,AI10,AK10,AM10,AO10,AQ10,AS10,AU10,AW10,AY10,BA10,BC10,BE10,BG10,BI10,BK10,BM10)=0,"",SUM(E10,G10,I10,K10,M10,O10,Q10,S10,U10,W10,Y10,AA10,AC10,AE10,AG10,AI10,AK10,AM10,AO10,AQ10,AS10,AU10,AW10,AY10,BA10,BC10,BE10,BG10,BI10,BK10,BM10))</f>
        <v>-4342885</v>
      </c>
      <c r="BP10" s="49"/>
      <c r="BQ10" s="172" t="e">
        <f t="shared" si="0"/>
        <v>#VALUE!</v>
      </c>
      <c r="BR10"/>
      <c r="BS10"/>
      <c r="BT10"/>
      <c r="BU10"/>
      <c r="BV10"/>
      <c r="BW10"/>
      <c r="BX10"/>
    </row>
    <row r="11" spans="1:76" s="2" customFormat="1" x14ac:dyDescent="0.35">
      <c r="A11" s="44" t="s">
        <v>48</v>
      </c>
      <c r="B11" s="45"/>
      <c r="C11" s="46">
        <v>5252.8</v>
      </c>
      <c r="D11" s="47"/>
      <c r="E11" s="166">
        <f>E75+E56</f>
        <v>10405.21000000001</v>
      </c>
      <c r="F11" s="49"/>
      <c r="G11" s="166">
        <f>G75+G56</f>
        <v>0</v>
      </c>
      <c r="H11" s="49"/>
      <c r="I11" s="166">
        <f>I75+I56</f>
        <v>12339.070000000007</v>
      </c>
      <c r="J11" s="49"/>
      <c r="K11" s="166">
        <f>K75+K56</f>
        <v>15072.729999999998</v>
      </c>
      <c r="L11" s="49"/>
      <c r="M11" s="166">
        <f>M75+M56</f>
        <v>10246.489999999998</v>
      </c>
      <c r="N11" s="49"/>
      <c r="O11" s="166">
        <f>O75+O56</f>
        <v>5683.7000000000007</v>
      </c>
      <c r="P11" s="49"/>
      <c r="Q11" s="166">
        <f>Q75+Q56</f>
        <v>9604.6900000000023</v>
      </c>
      <c r="R11" s="49"/>
      <c r="S11" s="166">
        <f>S75+S56</f>
        <v>9346.1999999999971</v>
      </c>
      <c r="T11" s="49"/>
      <c r="U11" s="166">
        <f>U75+U56</f>
        <v>7354.0899999999965</v>
      </c>
      <c r="V11" s="49"/>
      <c r="W11" s="166">
        <f>W75+W56</f>
        <v>11171.150000000001</v>
      </c>
      <c r="X11" s="167">
        <f t="shared" ref="X11:AL11" si="1">X75</f>
        <v>0</v>
      </c>
      <c r="Y11" s="166">
        <f>Y75+Y56</f>
        <v>14212.39</v>
      </c>
      <c r="Z11" s="167">
        <f t="shared" si="1"/>
        <v>0</v>
      </c>
      <c r="AA11" s="166">
        <f>AA75+AA56</f>
        <v>10953.700000000004</v>
      </c>
      <c r="AB11" s="167">
        <f t="shared" si="1"/>
        <v>0</v>
      </c>
      <c r="AC11" s="166">
        <f>AC75+AC56</f>
        <v>35575.300000000003</v>
      </c>
      <c r="AD11" s="167">
        <f t="shared" si="1"/>
        <v>0</v>
      </c>
      <c r="AE11" s="166">
        <f>AE75+AE56</f>
        <v>0</v>
      </c>
      <c r="AF11" s="167">
        <f t="shared" si="1"/>
        <v>0</v>
      </c>
      <c r="AG11" s="166">
        <f>AG75+AG56</f>
        <v>0</v>
      </c>
      <c r="AH11" s="167">
        <f t="shared" si="1"/>
        <v>0</v>
      </c>
      <c r="AI11" s="166">
        <f>AI75+AI56</f>
        <v>0</v>
      </c>
      <c r="AJ11" s="167">
        <f t="shared" si="1"/>
        <v>0</v>
      </c>
      <c r="AK11" s="166">
        <f>AK75+AK56</f>
        <v>0</v>
      </c>
      <c r="AL11" s="167">
        <f t="shared" si="1"/>
        <v>0</v>
      </c>
      <c r="AM11" s="166">
        <f>AM75+AM56</f>
        <v>0</v>
      </c>
      <c r="AN11" s="49"/>
      <c r="AO11" s="166">
        <f>AO75+AO56</f>
        <v>0</v>
      </c>
      <c r="AP11" s="49"/>
      <c r="AQ11" s="166">
        <f>AQ75+AQ56</f>
        <v>0</v>
      </c>
      <c r="AR11" s="49"/>
      <c r="AS11" s="166">
        <f>AS75+AS56</f>
        <v>0</v>
      </c>
      <c r="AT11" s="49"/>
      <c r="AU11" s="166">
        <f>AU75+AU56</f>
        <v>0</v>
      </c>
      <c r="AV11" s="49"/>
      <c r="AW11" s="166">
        <f>AW75+AW56</f>
        <v>0</v>
      </c>
      <c r="AX11" s="49"/>
      <c r="AY11" s="166">
        <f>AY75+AY56</f>
        <v>0</v>
      </c>
      <c r="AZ11" s="49"/>
      <c r="BA11" s="166">
        <f>BA75+BA56</f>
        <v>0</v>
      </c>
      <c r="BB11" s="49"/>
      <c r="BC11" s="166">
        <f>BC75+BC56</f>
        <v>0</v>
      </c>
      <c r="BD11" s="49"/>
      <c r="BE11" s="166">
        <f>BE75+BE56</f>
        <v>0</v>
      </c>
      <c r="BF11" s="49"/>
      <c r="BG11" s="166">
        <f>BG75+BG56</f>
        <v>0</v>
      </c>
      <c r="BH11" s="49"/>
      <c r="BI11" s="166">
        <f>BI75+BI56</f>
        <v>0</v>
      </c>
      <c r="BJ11" s="49"/>
      <c r="BK11" s="166">
        <f>BK75+BK56</f>
        <v>0</v>
      </c>
      <c r="BL11" s="49"/>
      <c r="BM11" s="166">
        <f>BM75+BM56</f>
        <v>0</v>
      </c>
      <c r="BN11" s="50"/>
      <c r="BO11" s="170">
        <f>IF(COUNT(E11,G11,I11,K11,M11,O11,Q11,S11,U11,W11,Y11,AA11,AC11,AE11,AG11,AI11,AK11,AM11,AO11,AQ11,AS11,AU11,AW11,AY11,BA11,BC11,BE11,BG11,BI11,BK11,BM11)=0,"",SUM(E11,G11,I11,K11,M11,O11,Q11,S11,U11,W11,Y11,AA11,AC11,AE11,AG11,AI11,AK11,AM11,AO11,AQ11,AS11,AU11,AW11,AY11,BA11,BC11,BE11,BG11,BI11,BK11,BM11))</f>
        <v>151964.72000000003</v>
      </c>
      <c r="BP11" s="49"/>
      <c r="BQ11" s="172" t="e">
        <f>BQ75+BQ56</f>
        <v>#VALUE!</v>
      </c>
      <c r="BR11"/>
      <c r="BS11"/>
      <c r="BT11"/>
      <c r="BU11"/>
      <c r="BV11"/>
      <c r="BW11"/>
      <c r="BX11"/>
    </row>
    <row r="12" spans="1:76" ht="13.5" customHeight="1" x14ac:dyDescent="0.35">
      <c r="A12" s="53"/>
      <c r="B12" s="54"/>
      <c r="C12" s="55"/>
      <c r="D12" s="219"/>
      <c r="E12" s="217"/>
      <c r="F12" s="216"/>
      <c r="G12" s="217"/>
      <c r="H12" s="216"/>
      <c r="I12" s="217"/>
      <c r="J12" s="216"/>
      <c r="K12" s="217"/>
      <c r="L12" s="216"/>
      <c r="M12" s="217"/>
      <c r="N12" s="216"/>
      <c r="O12" s="217"/>
      <c r="P12" s="216"/>
      <c r="Q12" s="217"/>
      <c r="R12" s="216"/>
      <c r="S12" s="217"/>
      <c r="T12" s="216"/>
      <c r="U12" s="217"/>
      <c r="V12" s="216"/>
      <c r="W12" s="217"/>
      <c r="X12" s="216"/>
      <c r="Y12" s="217"/>
      <c r="Z12" s="216"/>
      <c r="AA12" s="217"/>
      <c r="AB12" s="216"/>
      <c r="AC12" s="217"/>
      <c r="AD12" s="216"/>
      <c r="AE12" s="217"/>
      <c r="AF12" s="216"/>
      <c r="AG12" s="217"/>
      <c r="AH12" s="216"/>
      <c r="AI12" s="217"/>
      <c r="AJ12" s="216"/>
      <c r="AK12" s="217"/>
      <c r="AL12" s="216"/>
      <c r="AM12" s="217"/>
      <c r="AN12" s="216"/>
      <c r="AO12" s="217"/>
      <c r="AP12" s="216"/>
      <c r="AQ12" s="217"/>
      <c r="AR12" s="216"/>
      <c r="AS12" s="217"/>
      <c r="AT12" s="216"/>
      <c r="AU12" s="217"/>
      <c r="AV12" s="216"/>
      <c r="AW12" s="217"/>
      <c r="AX12" s="216"/>
      <c r="AY12" s="217"/>
      <c r="AZ12" s="216"/>
      <c r="BA12" s="217"/>
      <c r="BB12" s="216"/>
      <c r="BC12" s="217"/>
      <c r="BD12" s="216"/>
      <c r="BE12" s="217"/>
      <c r="BF12" s="216"/>
      <c r="BG12" s="217"/>
      <c r="BH12" s="216"/>
      <c r="BI12" s="217"/>
      <c r="BJ12" s="216"/>
      <c r="BK12" s="217"/>
      <c r="BL12" s="216"/>
      <c r="BM12" s="217"/>
      <c r="BN12" s="56"/>
      <c r="BO12" s="57"/>
      <c r="BP12" s="216"/>
      <c r="BQ12" s="218"/>
    </row>
    <row r="13" spans="1:76" x14ac:dyDescent="0.35">
      <c r="A13" s="58" t="s">
        <v>39</v>
      </c>
      <c r="B13" s="59"/>
      <c r="C13" s="205">
        <f>IF('August 2026 Log'!BM13="","",'August 2026 Log'!BM13)</f>
        <v>0.79166666666666663</v>
      </c>
      <c r="D13" s="61" t="s">
        <v>52</v>
      </c>
      <c r="E13" s="62">
        <v>46284</v>
      </c>
      <c r="F13" s="63" t="s">
        <v>52</v>
      </c>
      <c r="G13" s="62"/>
      <c r="H13" s="63" t="s">
        <v>52</v>
      </c>
      <c r="I13" s="62">
        <v>46268</v>
      </c>
      <c r="J13" s="63" t="s">
        <v>52</v>
      </c>
      <c r="K13" s="62">
        <v>0.79166666666666663</v>
      </c>
      <c r="L13" s="63" t="s">
        <v>52</v>
      </c>
      <c r="M13" s="62">
        <v>0.79166666666666663</v>
      </c>
      <c r="N13" s="63" t="s">
        <v>52</v>
      </c>
      <c r="O13" s="62">
        <v>0.79166666666666663</v>
      </c>
      <c r="P13" s="63" t="s">
        <v>52</v>
      </c>
      <c r="Q13" s="62">
        <v>0.99998842592592596</v>
      </c>
      <c r="R13" s="63" t="s">
        <v>52</v>
      </c>
      <c r="S13" s="62">
        <v>0.79166666666666663</v>
      </c>
      <c r="T13" s="63" t="s">
        <v>52</v>
      </c>
      <c r="U13" s="62">
        <v>0.79166666666666663</v>
      </c>
      <c r="V13" s="63" t="s">
        <v>52</v>
      </c>
      <c r="W13" s="62">
        <v>98.332638888888894</v>
      </c>
      <c r="X13" s="63" t="s">
        <v>52</v>
      </c>
      <c r="Y13" s="62">
        <v>0.99998842592592596</v>
      </c>
      <c r="Z13" s="63" t="s">
        <v>52</v>
      </c>
      <c r="AA13" s="62">
        <v>0.79166666666666663</v>
      </c>
      <c r="AB13" s="63" t="s">
        <v>52</v>
      </c>
      <c r="AC13" s="62">
        <v>0.79166666666666663</v>
      </c>
      <c r="AD13" s="63" t="s">
        <v>52</v>
      </c>
      <c r="AE13" s="62"/>
      <c r="AF13" s="63" t="s">
        <v>52</v>
      </c>
      <c r="AG13" s="62"/>
      <c r="AH13" s="63" t="s">
        <v>52</v>
      </c>
      <c r="AI13" s="62"/>
      <c r="AJ13" s="63" t="s">
        <v>52</v>
      </c>
      <c r="AK13" s="62"/>
      <c r="AL13" s="63" t="s">
        <v>52</v>
      </c>
      <c r="AM13" s="62"/>
      <c r="AN13" s="63" t="s">
        <v>52</v>
      </c>
      <c r="AO13" s="62"/>
      <c r="AP13" s="63" t="s">
        <v>52</v>
      </c>
      <c r="AQ13" s="62"/>
      <c r="AR13" s="63" t="s">
        <v>52</v>
      </c>
      <c r="AS13" s="62"/>
      <c r="AT13" s="63" t="s">
        <v>52</v>
      </c>
      <c r="AU13" s="62"/>
      <c r="AV13" s="63" t="s">
        <v>52</v>
      </c>
      <c r="AW13" s="62"/>
      <c r="AX13" s="63" t="s">
        <v>52</v>
      </c>
      <c r="AY13" s="62"/>
      <c r="AZ13" s="63" t="s">
        <v>52</v>
      </c>
      <c r="BA13" s="62"/>
      <c r="BB13" s="63" t="s">
        <v>52</v>
      </c>
      <c r="BC13" s="62"/>
      <c r="BD13" s="63" t="s">
        <v>52</v>
      </c>
      <c r="BE13" s="62"/>
      <c r="BF13" s="63" t="s">
        <v>52</v>
      </c>
      <c r="BG13" s="62"/>
      <c r="BH13" s="63" t="s">
        <v>52</v>
      </c>
      <c r="BI13" s="62"/>
      <c r="BJ13" s="63" t="s">
        <v>52</v>
      </c>
      <c r="BK13" s="62"/>
      <c r="BL13" s="63"/>
      <c r="BM13" s="62"/>
      <c r="BN13" s="64"/>
      <c r="BO13" s="65"/>
      <c r="BP13" s="63" t="s">
        <v>52</v>
      </c>
      <c r="BQ13" s="207" t="str">
        <f>IF(BK13="","",BK13)</f>
        <v/>
      </c>
    </row>
    <row r="14" spans="1:76" x14ac:dyDescent="0.35">
      <c r="A14" s="53" t="s">
        <v>40</v>
      </c>
      <c r="B14" s="59"/>
      <c r="C14" s="206" t="str">
        <f>IF('August 2026 Log'!BM14="","",'August 2026 Log'!BM14)</f>
        <v>DAVID</v>
      </c>
      <c r="D14" s="68" t="s">
        <v>40</v>
      </c>
      <c r="E14" s="69" t="s">
        <v>57</v>
      </c>
      <c r="F14" s="70" t="s">
        <v>40</v>
      </c>
      <c r="G14" s="69"/>
      <c r="H14" s="70" t="s">
        <v>40</v>
      </c>
      <c r="I14" s="69" t="s">
        <v>57</v>
      </c>
      <c r="J14" s="70" t="s">
        <v>40</v>
      </c>
      <c r="K14" s="69" t="s">
        <v>57</v>
      </c>
      <c r="L14" s="70" t="s">
        <v>40</v>
      </c>
      <c r="M14" s="69" t="s">
        <v>57</v>
      </c>
      <c r="N14" s="70" t="s">
        <v>40</v>
      </c>
      <c r="O14" s="69" t="s">
        <v>57</v>
      </c>
      <c r="P14" s="70" t="s">
        <v>40</v>
      </c>
      <c r="Q14" s="69"/>
      <c r="R14" s="70" t="s">
        <v>40</v>
      </c>
      <c r="S14" s="69" t="s">
        <v>57</v>
      </c>
      <c r="T14" s="70" t="s">
        <v>40</v>
      </c>
      <c r="U14" s="69" t="s">
        <v>57</v>
      </c>
      <c r="V14" s="70" t="s">
        <v>40</v>
      </c>
      <c r="W14" s="69"/>
      <c r="X14" s="70" t="s">
        <v>40</v>
      </c>
      <c r="Y14" s="69"/>
      <c r="Z14" s="70" t="s">
        <v>40</v>
      </c>
      <c r="AA14" s="69" t="s">
        <v>57</v>
      </c>
      <c r="AB14" s="70" t="s">
        <v>40</v>
      </c>
      <c r="AC14" s="69" t="s">
        <v>57</v>
      </c>
      <c r="AD14" s="70" t="s">
        <v>40</v>
      </c>
      <c r="AE14" s="69"/>
      <c r="AF14" s="70" t="s">
        <v>40</v>
      </c>
      <c r="AG14" s="69"/>
      <c r="AH14" s="70" t="s">
        <v>40</v>
      </c>
      <c r="AI14" s="69"/>
      <c r="AJ14" s="70" t="s">
        <v>40</v>
      </c>
      <c r="AK14" s="69"/>
      <c r="AL14" s="70" t="s">
        <v>40</v>
      </c>
      <c r="AM14" s="69"/>
      <c r="AN14" s="70" t="s">
        <v>40</v>
      </c>
      <c r="AO14" s="69"/>
      <c r="AP14" s="70" t="s">
        <v>40</v>
      </c>
      <c r="AQ14" s="69"/>
      <c r="AR14" s="70" t="s">
        <v>40</v>
      </c>
      <c r="AS14" s="69"/>
      <c r="AT14" s="70" t="s">
        <v>40</v>
      </c>
      <c r="AU14" s="69"/>
      <c r="AV14" s="70" t="s">
        <v>40</v>
      </c>
      <c r="AW14" s="69"/>
      <c r="AX14" s="70" t="s">
        <v>40</v>
      </c>
      <c r="AY14" s="69"/>
      <c r="AZ14" s="70" t="s">
        <v>40</v>
      </c>
      <c r="BA14" s="69"/>
      <c r="BB14" s="70" t="s">
        <v>40</v>
      </c>
      <c r="BC14" s="69"/>
      <c r="BD14" s="70" t="s">
        <v>40</v>
      </c>
      <c r="BE14" s="69"/>
      <c r="BF14" s="70" t="s">
        <v>40</v>
      </c>
      <c r="BG14" s="69"/>
      <c r="BH14" s="70" t="s">
        <v>40</v>
      </c>
      <c r="BI14" s="69"/>
      <c r="BJ14" s="70" t="s">
        <v>40</v>
      </c>
      <c r="BK14" s="69"/>
      <c r="BL14" s="70"/>
      <c r="BM14" s="69"/>
      <c r="BN14" s="71"/>
      <c r="BO14" s="72"/>
      <c r="BP14" s="70" t="s">
        <v>40</v>
      </c>
      <c r="BQ14" s="208" t="str">
        <f>IF(BK14="","",BK14)</f>
        <v/>
      </c>
    </row>
    <row r="15" spans="1:76" x14ac:dyDescent="0.35">
      <c r="A15" s="53" t="s">
        <v>38</v>
      </c>
      <c r="B15" s="54"/>
      <c r="C15" s="206" t="str">
        <f>IF('August 2026 Log'!BM15="","",'August 2026 Log'!BM15)</f>
        <v>WANDILE</v>
      </c>
      <c r="D15" s="68" t="s">
        <v>53</v>
      </c>
      <c r="E15" s="69" t="s">
        <v>102</v>
      </c>
      <c r="F15" s="70" t="s">
        <v>53</v>
      </c>
      <c r="G15" s="69"/>
      <c r="H15" s="70" t="s">
        <v>53</v>
      </c>
      <c r="I15" s="69" t="s">
        <v>74</v>
      </c>
      <c r="J15" s="70" t="s">
        <v>53</v>
      </c>
      <c r="K15" s="69" t="s">
        <v>74</v>
      </c>
      <c r="L15" s="70" t="s">
        <v>53</v>
      </c>
      <c r="M15" s="69" t="s">
        <v>74</v>
      </c>
      <c r="N15" s="70" t="s">
        <v>53</v>
      </c>
      <c r="O15" s="69" t="s">
        <v>74</v>
      </c>
      <c r="P15" s="70" t="s">
        <v>53</v>
      </c>
      <c r="Q15" s="69"/>
      <c r="R15" s="70" t="s">
        <v>53</v>
      </c>
      <c r="S15" s="69" t="s">
        <v>94</v>
      </c>
      <c r="T15" s="70" t="s">
        <v>53</v>
      </c>
      <c r="U15" s="69" t="s">
        <v>74</v>
      </c>
      <c r="V15" s="70" t="s">
        <v>53</v>
      </c>
      <c r="W15" s="69"/>
      <c r="X15" s="70" t="s">
        <v>53</v>
      </c>
      <c r="Y15" s="69"/>
      <c r="Z15" s="70" t="s">
        <v>53</v>
      </c>
      <c r="AA15" s="69" t="s">
        <v>94</v>
      </c>
      <c r="AB15" s="70" t="s">
        <v>53</v>
      </c>
      <c r="AC15" s="69" t="s">
        <v>94</v>
      </c>
      <c r="AD15" s="70" t="s">
        <v>53</v>
      </c>
      <c r="AE15" s="69"/>
      <c r="AF15" s="70" t="s">
        <v>53</v>
      </c>
      <c r="AG15" s="69"/>
      <c r="AH15" s="70" t="s">
        <v>53</v>
      </c>
      <c r="AI15" s="69"/>
      <c r="AJ15" s="70" t="s">
        <v>53</v>
      </c>
      <c r="AK15" s="69"/>
      <c r="AL15" s="70" t="s">
        <v>53</v>
      </c>
      <c r="AM15" s="69"/>
      <c r="AN15" s="70" t="s">
        <v>53</v>
      </c>
      <c r="AO15" s="69"/>
      <c r="AP15" s="70" t="s">
        <v>53</v>
      </c>
      <c r="AQ15" s="69"/>
      <c r="AR15" s="70" t="s">
        <v>53</v>
      </c>
      <c r="AS15" s="69"/>
      <c r="AT15" s="70" t="s">
        <v>53</v>
      </c>
      <c r="AU15" s="69"/>
      <c r="AV15" s="70" t="s">
        <v>53</v>
      </c>
      <c r="AW15" s="69"/>
      <c r="AX15" s="70" t="s">
        <v>53</v>
      </c>
      <c r="AY15" s="69"/>
      <c r="AZ15" s="70" t="s">
        <v>53</v>
      </c>
      <c r="BA15" s="69"/>
      <c r="BB15" s="70" t="s">
        <v>53</v>
      </c>
      <c r="BC15" s="69"/>
      <c r="BD15" s="70" t="s">
        <v>53</v>
      </c>
      <c r="BE15" s="69"/>
      <c r="BF15" s="70" t="s">
        <v>53</v>
      </c>
      <c r="BG15" s="69"/>
      <c r="BH15" s="70" t="s">
        <v>53</v>
      </c>
      <c r="BI15" s="69"/>
      <c r="BJ15" s="70" t="s">
        <v>53</v>
      </c>
      <c r="BK15" s="69"/>
      <c r="BL15" s="70"/>
      <c r="BM15" s="69"/>
      <c r="BN15" s="71"/>
      <c r="BO15" s="72"/>
      <c r="BP15" s="70" t="s">
        <v>53</v>
      </c>
      <c r="BQ15" s="208" t="str">
        <f>IF(BK15="","",BK15)</f>
        <v/>
      </c>
    </row>
    <row r="16" spans="1:76" x14ac:dyDescent="0.35">
      <c r="A16" s="74" t="s">
        <v>51</v>
      </c>
      <c r="B16" s="75"/>
      <c r="C16" s="76"/>
      <c r="D16" s="77"/>
      <c r="E16" s="78"/>
      <c r="F16" s="79"/>
      <c r="G16" s="78"/>
      <c r="H16" s="79"/>
      <c r="I16" s="78"/>
      <c r="J16" s="79"/>
      <c r="K16" s="78"/>
      <c r="L16" s="79"/>
      <c r="M16" s="78"/>
      <c r="N16" s="79"/>
      <c r="O16" s="78"/>
      <c r="P16" s="79"/>
      <c r="Q16" s="78"/>
      <c r="R16" s="79"/>
      <c r="S16" s="78"/>
      <c r="T16" s="79"/>
      <c r="U16" s="78"/>
      <c r="V16" s="79"/>
      <c r="W16" s="78"/>
      <c r="X16" s="79"/>
      <c r="Y16" s="78"/>
      <c r="Z16" s="79"/>
      <c r="AA16" s="78"/>
      <c r="AB16" s="79"/>
      <c r="AC16" s="78"/>
      <c r="AD16" s="79"/>
      <c r="AE16" s="78"/>
      <c r="AF16" s="79"/>
      <c r="AG16" s="78"/>
      <c r="AH16" s="79"/>
      <c r="AI16" s="78"/>
      <c r="AJ16" s="79"/>
      <c r="AK16" s="78"/>
      <c r="AL16" s="79"/>
      <c r="AM16" s="78"/>
      <c r="AN16" s="79"/>
      <c r="AO16" s="78"/>
      <c r="AP16" s="79"/>
      <c r="AQ16" s="78"/>
      <c r="AR16" s="79"/>
      <c r="AS16" s="78"/>
      <c r="AT16" s="79"/>
      <c r="AU16" s="78"/>
      <c r="AV16" s="79"/>
      <c r="AW16" s="78"/>
      <c r="AX16" s="79"/>
      <c r="AY16" s="78"/>
      <c r="AZ16" s="79"/>
      <c r="BA16" s="78"/>
      <c r="BB16" s="79"/>
      <c r="BC16" s="78"/>
      <c r="BD16" s="79"/>
      <c r="BE16" s="78"/>
      <c r="BF16" s="79"/>
      <c r="BG16" s="78"/>
      <c r="BH16" s="79"/>
      <c r="BI16" s="78"/>
      <c r="BJ16" s="79"/>
      <c r="BK16" s="78"/>
      <c r="BL16" s="79"/>
      <c r="BM16" s="78"/>
      <c r="BN16" s="80"/>
      <c r="BO16" s="81"/>
      <c r="BP16" s="79"/>
      <c r="BQ16" s="82"/>
    </row>
    <row r="17" spans="1:76" x14ac:dyDescent="0.35">
      <c r="A17" s="53" t="s">
        <v>45</v>
      </c>
      <c r="B17" s="54"/>
      <c r="C17" s="206">
        <f>IF('August 2026 Log'!BM17="","",'August 2026 Log'!BM17)</f>
        <v>6</v>
      </c>
      <c r="D17" s="68"/>
      <c r="E17" s="69">
        <v>0</v>
      </c>
      <c r="F17" s="70"/>
      <c r="G17" s="69"/>
      <c r="H17" s="70"/>
      <c r="I17" s="69">
        <v>0</v>
      </c>
      <c r="J17" s="70"/>
      <c r="K17" s="69">
        <v>1</v>
      </c>
      <c r="L17" s="70"/>
      <c r="M17" s="69">
        <v>0</v>
      </c>
      <c r="N17" s="70"/>
      <c r="O17" s="69">
        <v>0</v>
      </c>
      <c r="P17" s="70"/>
      <c r="Q17" s="69"/>
      <c r="R17" s="70"/>
      <c r="S17" s="69">
        <v>0</v>
      </c>
      <c r="T17" s="70"/>
      <c r="U17" s="69">
        <v>0</v>
      </c>
      <c r="V17" s="70"/>
      <c r="W17" s="69"/>
      <c r="X17" s="70"/>
      <c r="Y17" s="69"/>
      <c r="Z17" s="70"/>
      <c r="AA17" s="69"/>
      <c r="AB17" s="70"/>
      <c r="AC17" s="69"/>
      <c r="AD17" s="70"/>
      <c r="AE17" s="69"/>
      <c r="AF17" s="70"/>
      <c r="AG17" s="69"/>
      <c r="AH17" s="70"/>
      <c r="AI17" s="69"/>
      <c r="AJ17" s="70"/>
      <c r="AK17" s="69"/>
      <c r="AL17" s="70"/>
      <c r="AM17" s="69"/>
      <c r="AN17" s="70"/>
      <c r="AO17" s="69"/>
      <c r="AP17" s="70"/>
      <c r="AQ17" s="69"/>
      <c r="AR17" s="70"/>
      <c r="AS17" s="69"/>
      <c r="AT17" s="70"/>
      <c r="AU17" s="69"/>
      <c r="AV17" s="70"/>
      <c r="AW17" s="69"/>
      <c r="AX17" s="70"/>
      <c r="AY17" s="69"/>
      <c r="AZ17" s="70"/>
      <c r="BA17" s="69"/>
      <c r="BB17" s="70"/>
      <c r="BC17" s="69"/>
      <c r="BD17" s="70"/>
      <c r="BE17" s="69"/>
      <c r="BF17" s="70"/>
      <c r="BG17" s="69"/>
      <c r="BH17" s="70"/>
      <c r="BI17" s="69"/>
      <c r="BJ17" s="70"/>
      <c r="BK17" s="69"/>
      <c r="BL17" s="70"/>
      <c r="BM17" s="69"/>
      <c r="BN17" s="71"/>
      <c r="BO17" s="182">
        <f t="shared" ref="BO17:BO59" si="2">IF(COUNT(E17,G17,I17,K17,M17,O17,Q17,S17,U17,W17,Y17,AA17,AC17,AE17,AG17,AI17,AK17,AM17,AO17,AQ17,AS17,AU17,AW17,AY17,BA17,BC17,BE17,BG17,BI17,BK17,BM17)=0,"",SUM(E17,G17,I17,K17,M17,O17,Q17,S17,U17,W17,Y17,AA17,AC17,AE17,AG17,AI17,AK17,AM17,AO17,AQ17,AS17,AU17,AW17,AY17,BA17,BC17,BE17,BG17,BI17,BK17,BM17))</f>
        <v>1</v>
      </c>
      <c r="BP17" s="70"/>
      <c r="BQ17" s="208" t="str">
        <f>IF(BK17="","",BK17)</f>
        <v/>
      </c>
    </row>
    <row r="18" spans="1:76" x14ac:dyDescent="0.35">
      <c r="A18" s="53" t="s">
        <v>46</v>
      </c>
      <c r="B18" s="54"/>
      <c r="C18" s="67"/>
      <c r="D18" s="68"/>
      <c r="E18" s="69"/>
      <c r="F18" s="70"/>
      <c r="G18" s="69"/>
      <c r="H18" s="70"/>
      <c r="I18" s="69"/>
      <c r="J18" s="70"/>
      <c r="K18" s="69"/>
      <c r="L18" s="70"/>
      <c r="M18" s="69"/>
      <c r="N18" s="70"/>
      <c r="O18" s="69"/>
      <c r="P18" s="70"/>
      <c r="Q18" s="69"/>
      <c r="R18" s="70"/>
      <c r="S18" s="69"/>
      <c r="T18" s="70"/>
      <c r="U18" s="69"/>
      <c r="V18" s="70"/>
      <c r="W18" s="69"/>
      <c r="X18" s="70"/>
      <c r="Y18" s="69"/>
      <c r="Z18" s="70"/>
      <c r="AA18" s="69"/>
      <c r="AB18" s="70"/>
      <c r="AC18" s="69"/>
      <c r="AD18" s="70"/>
      <c r="AE18" s="69"/>
      <c r="AF18" s="70"/>
      <c r="AG18" s="69"/>
      <c r="AH18" s="70"/>
      <c r="AI18" s="69"/>
      <c r="AJ18" s="70"/>
      <c r="AK18" s="69"/>
      <c r="AL18" s="70"/>
      <c r="AM18" s="69"/>
      <c r="AN18" s="70"/>
      <c r="AO18" s="69"/>
      <c r="AP18" s="70"/>
      <c r="AQ18" s="69"/>
      <c r="AR18" s="70"/>
      <c r="AS18" s="69"/>
      <c r="AT18" s="70"/>
      <c r="AU18" s="69"/>
      <c r="AV18" s="70"/>
      <c r="AW18" s="69"/>
      <c r="AX18" s="70"/>
      <c r="AY18" s="69"/>
      <c r="AZ18" s="70"/>
      <c r="BA18" s="69"/>
      <c r="BB18" s="70"/>
      <c r="BC18" s="69"/>
      <c r="BD18" s="70"/>
      <c r="BE18" s="69"/>
      <c r="BF18" s="70"/>
      <c r="BG18" s="69"/>
      <c r="BH18" s="70"/>
      <c r="BI18" s="69"/>
      <c r="BJ18" s="70"/>
      <c r="BK18" s="69"/>
      <c r="BL18" s="70"/>
      <c r="BM18" s="69"/>
      <c r="BN18" s="71"/>
      <c r="BO18" s="182" t="str">
        <f t="shared" si="2"/>
        <v/>
      </c>
      <c r="BP18" s="70"/>
      <c r="BQ18" s="73"/>
    </row>
    <row r="19" spans="1:76" x14ac:dyDescent="0.35">
      <c r="A19" s="53" t="s">
        <v>69</v>
      </c>
      <c r="B19" s="54"/>
      <c r="C19" s="67"/>
      <c r="D19" s="68"/>
      <c r="E19" s="69"/>
      <c r="F19" s="70"/>
      <c r="G19" s="69"/>
      <c r="H19" s="70"/>
      <c r="I19" s="69"/>
      <c r="J19" s="70"/>
      <c r="K19" s="69"/>
      <c r="L19" s="70"/>
      <c r="M19" s="69"/>
      <c r="N19" s="70"/>
      <c r="O19" s="69"/>
      <c r="P19" s="70"/>
      <c r="Q19" s="69"/>
      <c r="R19" s="70"/>
      <c r="S19" s="69"/>
      <c r="T19" s="70"/>
      <c r="U19" s="69"/>
      <c r="V19" s="70"/>
      <c r="W19" s="69"/>
      <c r="X19" s="70"/>
      <c r="Y19" s="69"/>
      <c r="Z19" s="70"/>
      <c r="AA19" s="69"/>
      <c r="AB19" s="70"/>
      <c r="AC19" s="69"/>
      <c r="AD19" s="70"/>
      <c r="AE19" s="69"/>
      <c r="AF19" s="70"/>
      <c r="AG19" s="69"/>
      <c r="AH19" s="70"/>
      <c r="AI19" s="69"/>
      <c r="AJ19" s="70"/>
      <c r="AK19" s="69"/>
      <c r="AL19" s="70"/>
      <c r="AM19" s="69"/>
      <c r="AN19" s="70"/>
      <c r="AO19" s="69"/>
      <c r="AP19" s="70"/>
      <c r="AQ19" s="69"/>
      <c r="AR19" s="70"/>
      <c r="AS19" s="69"/>
      <c r="AT19" s="70"/>
      <c r="AU19" s="69"/>
      <c r="AV19" s="70"/>
      <c r="AW19" s="69"/>
      <c r="AX19" s="70"/>
      <c r="AY19" s="69"/>
      <c r="AZ19" s="70"/>
      <c r="BA19" s="69"/>
      <c r="BB19" s="70"/>
      <c r="BC19" s="69"/>
      <c r="BD19" s="70"/>
      <c r="BE19" s="69"/>
      <c r="BF19" s="70"/>
      <c r="BG19" s="69"/>
      <c r="BH19" s="70"/>
      <c r="BI19" s="69"/>
      <c r="BJ19" s="70"/>
      <c r="BK19" s="69"/>
      <c r="BL19" s="70"/>
      <c r="BM19" s="69"/>
      <c r="BN19" s="71"/>
      <c r="BO19" s="182" t="str">
        <f t="shared" si="2"/>
        <v/>
      </c>
      <c r="BP19" s="70"/>
      <c r="BQ19" s="73"/>
    </row>
    <row r="20" spans="1:76" x14ac:dyDescent="0.35">
      <c r="A20" s="83" t="s">
        <v>0</v>
      </c>
      <c r="B20" s="54"/>
      <c r="C20" s="84"/>
      <c r="D20" s="85"/>
      <c r="E20" s="86"/>
      <c r="F20" s="87"/>
      <c r="G20" s="86"/>
      <c r="H20" s="87"/>
      <c r="I20" s="86"/>
      <c r="J20" s="87"/>
      <c r="K20" s="86"/>
      <c r="L20" s="87"/>
      <c r="M20" s="86"/>
      <c r="N20" s="87"/>
      <c r="O20" s="176">
        <f>550+1700+400+1700+3050+2050+2300</f>
        <v>11750</v>
      </c>
      <c r="P20" s="87"/>
      <c r="Q20" s="86"/>
      <c r="R20" s="87"/>
      <c r="S20" s="86"/>
      <c r="T20" s="87"/>
      <c r="U20" s="86"/>
      <c r="V20" s="87"/>
      <c r="W20" s="86"/>
      <c r="X20" s="87"/>
      <c r="Y20" s="86"/>
      <c r="Z20" s="87"/>
      <c r="AA20" s="86"/>
      <c r="AB20" s="87"/>
      <c r="AC20" s="86"/>
      <c r="AD20" s="87"/>
      <c r="AE20" s="86"/>
      <c r="AF20" s="87"/>
      <c r="AG20" s="86"/>
      <c r="AH20" s="87"/>
      <c r="AI20" s="86"/>
      <c r="AJ20" s="87"/>
      <c r="AK20" s="86"/>
      <c r="AL20" s="87"/>
      <c r="AM20" s="86"/>
      <c r="AN20" s="87"/>
      <c r="AO20" s="86"/>
      <c r="AP20" s="87"/>
      <c r="AQ20" s="86"/>
      <c r="AR20" s="87"/>
      <c r="AS20" s="86"/>
      <c r="AT20" s="87"/>
      <c r="AU20" s="86"/>
      <c r="AV20" s="87"/>
      <c r="AW20" s="86"/>
      <c r="AX20" s="87"/>
      <c r="AY20" s="86"/>
      <c r="AZ20" s="87"/>
      <c r="BA20" s="86"/>
      <c r="BB20" s="87"/>
      <c r="BC20" s="86"/>
      <c r="BD20" s="87"/>
      <c r="BE20" s="86"/>
      <c r="BF20" s="87"/>
      <c r="BG20" s="86"/>
      <c r="BH20" s="87"/>
      <c r="BI20" s="86"/>
      <c r="BJ20" s="87"/>
      <c r="BK20" s="86"/>
      <c r="BL20" s="87"/>
      <c r="BM20" s="86"/>
      <c r="BN20" s="50"/>
      <c r="BO20" s="170">
        <f t="shared" si="2"/>
        <v>11750</v>
      </c>
      <c r="BP20" s="87"/>
      <c r="BQ20" s="88"/>
    </row>
    <row r="21" spans="1:76" x14ac:dyDescent="0.35">
      <c r="A21" s="83" t="s">
        <v>1</v>
      </c>
      <c r="B21" s="54"/>
      <c r="C21" s="174">
        <f>IF('August 2026 Log'!BM21="","",'August 2026 Log'!BM21)</f>
        <v>15450</v>
      </c>
      <c r="D21" s="85"/>
      <c r="E21" s="176">
        <f>250+980+1150+1800+1600+1800+1400+1800+2300+1600+1100</f>
        <v>15780</v>
      </c>
      <c r="F21" s="87"/>
      <c r="G21" s="86"/>
      <c r="H21" s="87"/>
      <c r="I21" s="176">
        <f>1900+1600+1400+1500+2350+1800+2200+260+2500</f>
        <v>15510</v>
      </c>
      <c r="J21" s="87"/>
      <c r="K21" s="176">
        <f>40+20+1950+1800+1650+2350+670+1750+3550</f>
        <v>13780</v>
      </c>
      <c r="L21" s="87"/>
      <c r="M21" s="176">
        <f>290+2110+1850+2750+10+2800+2920</f>
        <v>12730</v>
      </c>
      <c r="N21" s="87"/>
      <c r="O21" s="86"/>
      <c r="P21" s="87"/>
      <c r="Q21" s="176">
        <f>1900+2800+2450+1220+1200+2400+1100+1300+2350</f>
        <v>16720</v>
      </c>
      <c r="R21" s="173">
        <f>1000+160+900+2700+1400+1400+1100+1550+1100+1400</f>
        <v>12710</v>
      </c>
      <c r="S21" s="176">
        <f>1000+160+900+2700+1400+1400+1100+1550+1100+1400</f>
        <v>12710</v>
      </c>
      <c r="T21" s="173">
        <f>2700+2250+3650+1000+170+2350</f>
        <v>12120</v>
      </c>
      <c r="U21" s="176">
        <f>170+1000+3650+2250+2700+2350</f>
        <v>12120</v>
      </c>
      <c r="V21" s="87"/>
      <c r="W21" s="176">
        <f>970+2850+2700+2750+2000+1100+200+1620</f>
        <v>14190</v>
      </c>
      <c r="X21" s="173">
        <f>40+1210+1050+1850+1300+1800+1900+2100+1200+2100+1300</f>
        <v>15850</v>
      </c>
      <c r="Y21" s="86">
        <v>15850</v>
      </c>
      <c r="Z21" s="87"/>
      <c r="AA21" s="176">
        <f>120+260+600+2700+2200+1450+1600+1150+1700+2100+1150</f>
        <v>15030</v>
      </c>
      <c r="AB21" s="87"/>
      <c r="AC21" s="176">
        <f>160+1400+900+800+1400+900+800+1200+2200</f>
        <v>9760</v>
      </c>
      <c r="AD21" s="87"/>
      <c r="AE21" s="86"/>
      <c r="AF21" s="87"/>
      <c r="AG21" s="86"/>
      <c r="AH21" s="87"/>
      <c r="AI21" s="86"/>
      <c r="AJ21" s="87"/>
      <c r="AK21" s="86"/>
      <c r="AL21" s="87"/>
      <c r="AM21" s="86"/>
      <c r="AN21" s="87"/>
      <c r="AO21" s="86"/>
      <c r="AP21" s="87"/>
      <c r="AQ21" s="86"/>
      <c r="AR21" s="87"/>
      <c r="AS21" s="86"/>
      <c r="AT21" s="87"/>
      <c r="AU21" s="86"/>
      <c r="AV21" s="87"/>
      <c r="AW21" s="86"/>
      <c r="AX21" s="87"/>
      <c r="AY21" s="86"/>
      <c r="AZ21" s="87"/>
      <c r="BA21" s="86"/>
      <c r="BB21" s="87"/>
      <c r="BC21" s="86"/>
      <c r="BD21" s="87"/>
      <c r="BE21" s="86"/>
      <c r="BF21" s="87"/>
      <c r="BG21" s="86"/>
      <c r="BH21" s="87"/>
      <c r="BI21" s="86"/>
      <c r="BJ21" s="87"/>
      <c r="BK21" s="86"/>
      <c r="BL21" s="87"/>
      <c r="BM21" s="86"/>
      <c r="BN21" s="50"/>
      <c r="BO21" s="170">
        <f t="shared" si="2"/>
        <v>154180</v>
      </c>
      <c r="BP21" s="87"/>
      <c r="BQ21" s="178" t="str">
        <f>IF(BK21="","",BK21)</f>
        <v/>
      </c>
    </row>
    <row r="22" spans="1:76" s="1" customFormat="1" x14ac:dyDescent="0.35">
      <c r="A22" s="89" t="s">
        <v>41</v>
      </c>
      <c r="B22" s="90"/>
      <c r="C22" s="175">
        <f>IF('August 2026 Log'!BM22="","",'August 2026 Log'!BM22)</f>
        <v>15450</v>
      </c>
      <c r="D22" s="47"/>
      <c r="E22" s="177">
        <f t="shared" ref="E22" si="3">SUM(E20:E21)</f>
        <v>15780</v>
      </c>
      <c r="F22" s="49"/>
      <c r="G22" s="177">
        <f t="shared" ref="G22" si="4">SUM(G20:G21)</f>
        <v>0</v>
      </c>
      <c r="H22" s="49"/>
      <c r="I22" s="177">
        <f>SUM(I20:I21)</f>
        <v>15510</v>
      </c>
      <c r="J22" s="49"/>
      <c r="K22" s="177">
        <f>SUM(K20:K21)</f>
        <v>13780</v>
      </c>
      <c r="L22" s="49"/>
      <c r="M22" s="177">
        <f t="shared" ref="M22" si="5">SUM(M20:M21)</f>
        <v>12730</v>
      </c>
      <c r="N22" s="49"/>
      <c r="O22" s="177">
        <f t="shared" ref="O22" si="6">SUM(O20:O21)</f>
        <v>11750</v>
      </c>
      <c r="P22" s="49"/>
      <c r="Q22" s="177">
        <f t="shared" ref="Q22" si="7">SUM(Q20:Q21)</f>
        <v>16720</v>
      </c>
      <c r="R22" s="49"/>
      <c r="S22" s="177">
        <f t="shared" ref="S22" si="8">SUM(S20:S21)</f>
        <v>12710</v>
      </c>
      <c r="T22" s="49"/>
      <c r="U22" s="177">
        <f t="shared" ref="U22" si="9">SUM(U20:U21)</f>
        <v>12120</v>
      </c>
      <c r="V22" s="49"/>
      <c r="W22" s="177">
        <f t="shared" ref="W22" si="10">SUM(W20:W21)</f>
        <v>14190</v>
      </c>
      <c r="X22" s="49"/>
      <c r="Y22" s="177">
        <f t="shared" ref="Y22" si="11">SUM(Y20:Y21)</f>
        <v>15850</v>
      </c>
      <c r="Z22" s="49"/>
      <c r="AA22" s="177">
        <f t="shared" ref="AA22" si="12">SUM(AA20:AA21)</f>
        <v>15030</v>
      </c>
      <c r="AB22" s="49"/>
      <c r="AC22" s="177">
        <f t="shared" ref="AC22" si="13">SUM(AC20:AC21)</f>
        <v>9760</v>
      </c>
      <c r="AD22" s="49"/>
      <c r="AE22" s="177">
        <f t="shared" ref="AE22" si="14">SUM(AE20:AE21)</f>
        <v>0</v>
      </c>
      <c r="AF22" s="49"/>
      <c r="AG22" s="177">
        <f t="shared" ref="AG22" si="15">SUM(AG20:AG21)</f>
        <v>0</v>
      </c>
      <c r="AH22" s="49"/>
      <c r="AI22" s="177">
        <f t="shared" ref="AI22" si="16">SUM(AI20:AI21)</f>
        <v>0</v>
      </c>
      <c r="AJ22" s="49"/>
      <c r="AK22" s="177">
        <f t="shared" ref="AK22" si="17">SUM(AK20:AK21)</f>
        <v>0</v>
      </c>
      <c r="AL22" s="49"/>
      <c r="AM22" s="177">
        <f t="shared" ref="AM22" si="18">SUM(AM20:AM21)</f>
        <v>0</v>
      </c>
      <c r="AN22" s="49"/>
      <c r="AO22" s="177">
        <f t="shared" ref="AO22" si="19">SUM(AO20:AO21)</f>
        <v>0</v>
      </c>
      <c r="AP22" s="49"/>
      <c r="AQ22" s="177">
        <f t="shared" ref="AQ22" si="20">SUM(AQ20:AQ21)</f>
        <v>0</v>
      </c>
      <c r="AR22" s="49"/>
      <c r="AS22" s="177">
        <f t="shared" ref="AS22" si="21">SUM(AS20:AS21)</f>
        <v>0</v>
      </c>
      <c r="AT22" s="49"/>
      <c r="AU22" s="177">
        <f t="shared" ref="AU22" si="22">SUM(AU20:AU21)</f>
        <v>0</v>
      </c>
      <c r="AV22" s="49"/>
      <c r="AW22" s="177">
        <f t="shared" ref="AW22" si="23">SUM(AW20:AW21)</f>
        <v>0</v>
      </c>
      <c r="AX22" s="49"/>
      <c r="AY22" s="177">
        <f t="shared" ref="AY22" si="24">SUM(AY20:AY21)</f>
        <v>0</v>
      </c>
      <c r="AZ22" s="49"/>
      <c r="BA22" s="177">
        <f t="shared" ref="BA22" si="25">SUM(BA20:BA21)</f>
        <v>0</v>
      </c>
      <c r="BB22" s="49"/>
      <c r="BC22" s="177">
        <f t="shared" ref="BC22" si="26">SUM(BC20:BC21)</f>
        <v>0</v>
      </c>
      <c r="BD22" s="49"/>
      <c r="BE22" s="177">
        <f t="shared" ref="BE22" si="27">SUM(BE20:BE21)</f>
        <v>0</v>
      </c>
      <c r="BF22" s="49"/>
      <c r="BG22" s="177">
        <f t="shared" ref="BG22" si="28">SUM(BG20:BG21)</f>
        <v>0</v>
      </c>
      <c r="BH22" s="49"/>
      <c r="BI22" s="177">
        <f t="shared" ref="BI22" si="29">SUM(BI20:BI21)</f>
        <v>0</v>
      </c>
      <c r="BJ22" s="49"/>
      <c r="BK22" s="177">
        <f t="shared" ref="BK22" si="30">SUM(BK20:BK21)</f>
        <v>0</v>
      </c>
      <c r="BL22" s="49"/>
      <c r="BM22" s="91"/>
      <c r="BN22" s="92"/>
      <c r="BO22" s="170">
        <f t="shared" si="2"/>
        <v>165930</v>
      </c>
      <c r="BP22" s="49"/>
      <c r="BQ22" s="179">
        <f>IF(BK22="","",BK22)</f>
        <v>0</v>
      </c>
      <c r="BR22"/>
      <c r="BS22"/>
      <c r="BT22"/>
      <c r="BU22"/>
      <c r="BV22"/>
      <c r="BW22"/>
      <c r="BX22"/>
    </row>
    <row r="23" spans="1:76" x14ac:dyDescent="0.35">
      <c r="A23" s="83" t="s">
        <v>2</v>
      </c>
      <c r="B23" s="54"/>
      <c r="C23" s="84"/>
      <c r="D23" s="85"/>
      <c r="E23" s="86"/>
      <c r="F23" s="87"/>
      <c r="G23" s="86"/>
      <c r="H23" s="87"/>
      <c r="I23" s="86"/>
      <c r="J23" s="87"/>
      <c r="K23" s="86"/>
      <c r="L23" s="87"/>
      <c r="M23" s="86"/>
      <c r="N23" s="87"/>
      <c r="O23" s="86"/>
      <c r="P23" s="87"/>
      <c r="Q23" s="86"/>
      <c r="R23" s="87"/>
      <c r="S23" s="86"/>
      <c r="T23" s="87"/>
      <c r="U23" s="86"/>
      <c r="V23" s="87"/>
      <c r="W23" s="86"/>
      <c r="X23" s="87"/>
      <c r="Y23" s="86"/>
      <c r="Z23" s="87"/>
      <c r="AA23" s="86"/>
      <c r="AB23" s="87"/>
      <c r="AC23" s="86"/>
      <c r="AD23" s="87"/>
      <c r="AE23" s="86"/>
      <c r="AF23" s="87"/>
      <c r="AG23" s="86"/>
      <c r="AH23" s="87"/>
      <c r="AI23" s="86"/>
      <c r="AJ23" s="87"/>
      <c r="AK23" s="86"/>
      <c r="AL23" s="87"/>
      <c r="AM23" s="86"/>
      <c r="AN23" s="87"/>
      <c r="AO23" s="86"/>
      <c r="AP23" s="87"/>
      <c r="AQ23" s="86"/>
      <c r="AR23" s="87"/>
      <c r="AS23" s="86"/>
      <c r="AT23" s="87"/>
      <c r="AU23" s="86"/>
      <c r="AV23" s="87"/>
      <c r="AW23" s="86"/>
      <c r="AX23" s="87"/>
      <c r="AY23" s="86"/>
      <c r="AZ23" s="87"/>
      <c r="BA23" s="86"/>
      <c r="BB23" s="87"/>
      <c r="BC23" s="86"/>
      <c r="BD23" s="87"/>
      <c r="BE23" s="86"/>
      <c r="BF23" s="87"/>
      <c r="BG23" s="86"/>
      <c r="BH23" s="87"/>
      <c r="BI23" s="86"/>
      <c r="BJ23" s="87"/>
      <c r="BK23" s="86"/>
      <c r="BL23" s="87"/>
      <c r="BM23" s="86"/>
      <c r="BN23" s="50"/>
      <c r="BO23" s="170" t="str">
        <f t="shared" si="2"/>
        <v/>
      </c>
      <c r="BP23" s="87"/>
      <c r="BQ23" s="88"/>
    </row>
    <row r="24" spans="1:76" ht="15" thickBot="1" x14ac:dyDescent="0.4">
      <c r="A24" s="83" t="s">
        <v>3</v>
      </c>
      <c r="B24" s="54"/>
      <c r="C24" s="84"/>
      <c r="D24" s="85"/>
      <c r="E24" s="86"/>
      <c r="F24" s="87"/>
      <c r="G24" s="86"/>
      <c r="H24" s="87"/>
      <c r="I24" s="86"/>
      <c r="J24" s="87"/>
      <c r="K24" s="86"/>
      <c r="L24" s="87"/>
      <c r="M24" s="86"/>
      <c r="N24" s="87"/>
      <c r="O24" s="86"/>
      <c r="P24" s="87"/>
      <c r="Q24" s="86"/>
      <c r="R24" s="87"/>
      <c r="S24" s="86"/>
      <c r="T24" s="87"/>
      <c r="U24" s="86"/>
      <c r="V24" s="87"/>
      <c r="W24" s="86"/>
      <c r="X24" s="87"/>
      <c r="Y24" s="86"/>
      <c r="Z24" s="87"/>
      <c r="AA24" s="86"/>
      <c r="AB24" s="87"/>
      <c r="AC24" s="86"/>
      <c r="AD24" s="87"/>
      <c r="AE24" s="86"/>
      <c r="AF24" s="87"/>
      <c r="AG24" s="86"/>
      <c r="AH24" s="87"/>
      <c r="AI24" s="86"/>
      <c r="AJ24" s="87"/>
      <c r="AK24" s="86"/>
      <c r="AL24" s="87"/>
      <c r="AM24" s="86"/>
      <c r="AN24" s="87"/>
      <c r="AO24" s="86"/>
      <c r="AP24" s="87"/>
      <c r="AQ24" s="86"/>
      <c r="AR24" s="87"/>
      <c r="AS24" s="86"/>
      <c r="AT24" s="87"/>
      <c r="AU24" s="86"/>
      <c r="AV24" s="87"/>
      <c r="AW24" s="86"/>
      <c r="AX24" s="87"/>
      <c r="AY24" s="86"/>
      <c r="AZ24" s="87"/>
      <c r="BA24" s="86"/>
      <c r="BB24" s="87"/>
      <c r="BC24" s="86"/>
      <c r="BD24" s="87"/>
      <c r="BE24" s="86"/>
      <c r="BF24" s="87"/>
      <c r="BG24" s="86"/>
      <c r="BH24" s="87"/>
      <c r="BI24" s="86"/>
      <c r="BJ24" s="87"/>
      <c r="BK24" s="86"/>
      <c r="BL24" s="87"/>
      <c r="BM24" s="86"/>
      <c r="BN24" s="50"/>
      <c r="BO24" s="170" t="str">
        <f t="shared" si="2"/>
        <v/>
      </c>
      <c r="BP24" s="87"/>
      <c r="BQ24" s="88"/>
    </row>
    <row r="25" spans="1:76" s="7" customFormat="1" x14ac:dyDescent="0.35">
      <c r="A25" s="83" t="s">
        <v>37</v>
      </c>
      <c r="B25" s="54"/>
      <c r="C25" s="174">
        <f>IF('August 2026 Log'!BM25="","",'August 2026 Log'!BM25)</f>
        <v>3986</v>
      </c>
      <c r="D25" s="85"/>
      <c r="E25" s="86">
        <v>1114</v>
      </c>
      <c r="F25" s="87"/>
      <c r="G25" s="86"/>
      <c r="H25" s="87"/>
      <c r="I25" s="86">
        <v>2075</v>
      </c>
      <c r="J25" s="87"/>
      <c r="K25" s="86">
        <v>2241</v>
      </c>
      <c r="L25" s="87"/>
      <c r="M25" s="86">
        <v>2060</v>
      </c>
      <c r="N25" s="87"/>
      <c r="O25" s="86">
        <v>1159</v>
      </c>
      <c r="P25" s="87"/>
      <c r="Q25" s="86">
        <v>3078</v>
      </c>
      <c r="R25" s="87"/>
      <c r="S25" s="86">
        <v>2143</v>
      </c>
      <c r="T25" s="87"/>
      <c r="U25" s="86">
        <v>1755</v>
      </c>
      <c r="V25" s="87"/>
      <c r="W25" s="86">
        <v>1736</v>
      </c>
      <c r="X25" s="87"/>
      <c r="Y25" s="86">
        <v>3018</v>
      </c>
      <c r="Z25" s="87"/>
      <c r="AA25" s="86">
        <v>1873</v>
      </c>
      <c r="AB25" s="87"/>
      <c r="AC25" s="86">
        <v>1675</v>
      </c>
      <c r="AD25" s="87"/>
      <c r="AE25" s="86"/>
      <c r="AF25" s="87"/>
      <c r="AG25" s="86"/>
      <c r="AH25" s="87"/>
      <c r="AI25" s="86"/>
      <c r="AJ25" s="87"/>
      <c r="AK25" s="86"/>
      <c r="AL25" s="87"/>
      <c r="AM25" s="86"/>
      <c r="AN25" s="87"/>
      <c r="AO25" s="86"/>
      <c r="AP25" s="87"/>
      <c r="AQ25" s="86"/>
      <c r="AR25" s="87"/>
      <c r="AS25" s="86"/>
      <c r="AT25" s="87"/>
      <c r="AU25" s="86"/>
      <c r="AV25" s="87"/>
      <c r="AW25" s="86"/>
      <c r="AX25" s="87"/>
      <c r="AY25" s="86"/>
      <c r="AZ25" s="87"/>
      <c r="BA25" s="86"/>
      <c r="BB25" s="87"/>
      <c r="BC25" s="86"/>
      <c r="BD25" s="87"/>
      <c r="BE25" s="86"/>
      <c r="BF25" s="87"/>
      <c r="BG25" s="86"/>
      <c r="BH25" s="87"/>
      <c r="BI25" s="86"/>
      <c r="BJ25" s="87"/>
      <c r="BK25" s="86"/>
      <c r="BL25" s="87"/>
      <c r="BM25" s="86"/>
      <c r="BN25" s="50"/>
      <c r="BO25" s="170">
        <f t="shared" si="2"/>
        <v>23927</v>
      </c>
      <c r="BP25" s="87"/>
      <c r="BQ25" s="178" t="str">
        <f>IF(BK25="","",BK25)</f>
        <v/>
      </c>
      <c r="BR25"/>
      <c r="BS25"/>
      <c r="BT25"/>
      <c r="BU25"/>
      <c r="BV25"/>
      <c r="BW25"/>
      <c r="BX25"/>
    </row>
    <row r="26" spans="1:76" ht="15" thickBot="1" x14ac:dyDescent="0.4">
      <c r="A26" s="94" t="s">
        <v>4</v>
      </c>
      <c r="B26" s="95"/>
      <c r="C26" s="174">
        <f>IF('August 2026 Log'!BM26="","",'August 2026 Log'!BM26)</f>
        <v>3986</v>
      </c>
      <c r="D26" s="96"/>
      <c r="E26" s="86">
        <v>1114</v>
      </c>
      <c r="F26" s="97"/>
      <c r="G26" s="86"/>
      <c r="H26" s="97"/>
      <c r="I26" s="86">
        <v>2079</v>
      </c>
      <c r="J26" s="97"/>
      <c r="K26" s="86">
        <v>2241</v>
      </c>
      <c r="L26" s="97"/>
      <c r="M26" s="86">
        <v>2060</v>
      </c>
      <c r="N26" s="97"/>
      <c r="O26" s="86">
        <v>1159</v>
      </c>
      <c r="P26" s="97"/>
      <c r="Q26" s="86">
        <v>2878</v>
      </c>
      <c r="R26" s="97"/>
      <c r="S26" s="86">
        <v>2093</v>
      </c>
      <c r="T26" s="97"/>
      <c r="U26" s="86">
        <v>1755</v>
      </c>
      <c r="V26" s="97"/>
      <c r="W26" s="86">
        <v>1803</v>
      </c>
      <c r="X26" s="97"/>
      <c r="Y26" s="86">
        <v>2988</v>
      </c>
      <c r="Z26" s="97"/>
      <c r="AA26" s="86">
        <v>1861</v>
      </c>
      <c r="AB26" s="97"/>
      <c r="AC26" s="86">
        <v>1675</v>
      </c>
      <c r="AD26" s="97"/>
      <c r="AE26" s="86"/>
      <c r="AF26" s="97"/>
      <c r="AG26" s="86"/>
      <c r="AH26" s="97"/>
      <c r="AI26" s="86"/>
      <c r="AJ26" s="97"/>
      <c r="AK26" s="86"/>
      <c r="AL26" s="97"/>
      <c r="AM26" s="86"/>
      <c r="AN26" s="97"/>
      <c r="AO26" s="86"/>
      <c r="AP26" s="97"/>
      <c r="AQ26" s="86"/>
      <c r="AR26" s="97"/>
      <c r="AS26" s="86"/>
      <c r="AT26" s="97"/>
      <c r="AU26" s="86"/>
      <c r="AV26" s="97"/>
      <c r="AW26" s="86"/>
      <c r="AX26" s="97"/>
      <c r="AY26" s="86"/>
      <c r="AZ26" s="97"/>
      <c r="BA26" s="86"/>
      <c r="BB26" s="97"/>
      <c r="BC26" s="86"/>
      <c r="BD26" s="97"/>
      <c r="BE26" s="86"/>
      <c r="BF26" s="97"/>
      <c r="BG26" s="86"/>
      <c r="BH26" s="97"/>
      <c r="BI26" s="86"/>
      <c r="BJ26" s="97"/>
      <c r="BK26" s="86"/>
      <c r="BL26" s="97"/>
      <c r="BM26" s="86"/>
      <c r="BN26" s="50"/>
      <c r="BO26" s="170">
        <f t="shared" si="2"/>
        <v>23706</v>
      </c>
      <c r="BP26" s="97"/>
      <c r="BQ26" s="178" t="str">
        <f>IF(BK26="","",BK26)</f>
        <v/>
      </c>
    </row>
    <row r="27" spans="1:76" s="7" customFormat="1" x14ac:dyDescent="0.35">
      <c r="A27" s="53" t="s">
        <v>21</v>
      </c>
      <c r="B27" s="54"/>
      <c r="C27" s="174">
        <f>IF('August 2026 Log'!BM27="","",'August 2026 Log'!BM27)</f>
        <v>115</v>
      </c>
      <c r="D27" s="85"/>
      <c r="E27" s="86">
        <v>116</v>
      </c>
      <c r="F27" s="87"/>
      <c r="G27" s="86"/>
      <c r="H27" s="87"/>
      <c r="I27" s="86">
        <v>118</v>
      </c>
      <c r="J27" s="87"/>
      <c r="K27" s="86">
        <v>119</v>
      </c>
      <c r="L27" s="87"/>
      <c r="M27" s="86">
        <v>120</v>
      </c>
      <c r="N27" s="87"/>
      <c r="O27" s="86">
        <v>121</v>
      </c>
      <c r="P27" s="87"/>
      <c r="Q27" s="86">
        <v>122</v>
      </c>
      <c r="R27" s="87"/>
      <c r="S27" s="86">
        <v>123</v>
      </c>
      <c r="T27" s="87"/>
      <c r="U27" s="86">
        <v>124</v>
      </c>
      <c r="V27" s="87"/>
      <c r="W27" s="86">
        <v>125</v>
      </c>
      <c r="X27" s="87"/>
      <c r="Y27" s="86">
        <v>126</v>
      </c>
      <c r="Z27" s="87"/>
      <c r="AA27" s="86">
        <v>127</v>
      </c>
      <c r="AB27" s="87"/>
      <c r="AC27" s="86">
        <v>128</v>
      </c>
      <c r="AD27" s="87"/>
      <c r="AE27" s="86"/>
      <c r="AF27" s="87"/>
      <c r="AG27" s="86"/>
      <c r="AH27" s="87"/>
      <c r="AI27" s="86"/>
      <c r="AJ27" s="87"/>
      <c r="AK27" s="86"/>
      <c r="AL27" s="87"/>
      <c r="AM27" s="86"/>
      <c r="AN27" s="87"/>
      <c r="AO27" s="86"/>
      <c r="AP27" s="87"/>
      <c r="AQ27" s="86"/>
      <c r="AR27" s="87"/>
      <c r="AS27" s="86"/>
      <c r="AT27" s="87"/>
      <c r="AU27" s="86"/>
      <c r="AV27" s="87"/>
      <c r="AW27" s="86"/>
      <c r="AX27" s="87"/>
      <c r="AY27" s="86"/>
      <c r="AZ27" s="87"/>
      <c r="BA27" s="86"/>
      <c r="BB27" s="87"/>
      <c r="BC27" s="86"/>
      <c r="BD27" s="87"/>
      <c r="BE27" s="86"/>
      <c r="BF27" s="87"/>
      <c r="BG27" s="86"/>
      <c r="BH27" s="87"/>
      <c r="BI27" s="86"/>
      <c r="BJ27" s="87"/>
      <c r="BK27" s="86"/>
      <c r="BL27" s="87"/>
      <c r="BM27" s="86"/>
      <c r="BN27" s="50"/>
      <c r="BO27" s="170">
        <f t="shared" si="2"/>
        <v>1469</v>
      </c>
      <c r="BP27" s="87"/>
      <c r="BQ27" s="178" t="str">
        <f>IF(BK27="","",BK27)</f>
        <v/>
      </c>
      <c r="BR27"/>
      <c r="BS27"/>
      <c r="BT27"/>
      <c r="BU27"/>
      <c r="BV27"/>
      <c r="BW27"/>
      <c r="BX27"/>
    </row>
    <row r="28" spans="1:76" x14ac:dyDescent="0.35">
      <c r="A28" s="53" t="s">
        <v>22</v>
      </c>
      <c r="B28" s="54"/>
      <c r="C28" s="174">
        <f>IF('August 2026 Log'!BM28="","",'August 2026 Log'!BM28)</f>
        <v>2116.2399999999998</v>
      </c>
      <c r="D28" s="85"/>
      <c r="E28" s="86">
        <v>6039.18</v>
      </c>
      <c r="F28" s="87"/>
      <c r="G28" s="86"/>
      <c r="H28" s="87"/>
      <c r="I28" s="86">
        <v>8867.1200000000008</v>
      </c>
      <c r="J28" s="87"/>
      <c r="K28" s="86">
        <v>6696.27</v>
      </c>
      <c r="L28" s="87"/>
      <c r="M28" s="86">
        <v>4707.7299999999996</v>
      </c>
      <c r="N28" s="87"/>
      <c r="O28" s="86">
        <v>3586.22</v>
      </c>
      <c r="P28" s="87"/>
      <c r="Q28" s="86">
        <v>3595.55</v>
      </c>
      <c r="R28" s="87"/>
      <c r="S28" s="86">
        <v>1521.78</v>
      </c>
      <c r="T28" s="87"/>
      <c r="U28" s="86">
        <v>9821.67</v>
      </c>
      <c r="V28" s="87"/>
      <c r="W28" s="86">
        <v>8080.32</v>
      </c>
      <c r="X28" s="87"/>
      <c r="Y28" s="86">
        <v>8160.53</v>
      </c>
      <c r="Z28" s="87"/>
      <c r="AA28" s="86">
        <v>6348.43</v>
      </c>
      <c r="AB28" s="87"/>
      <c r="AC28" s="86">
        <v>4718.3100000000004</v>
      </c>
      <c r="AD28" s="87"/>
      <c r="AE28" s="86"/>
      <c r="AF28" s="87"/>
      <c r="AG28" s="86"/>
      <c r="AH28" s="87"/>
      <c r="AI28" s="86"/>
      <c r="AJ28" s="87"/>
      <c r="AK28" s="86"/>
      <c r="AL28" s="87"/>
      <c r="AM28" s="86"/>
      <c r="AN28" s="87"/>
      <c r="AO28" s="86"/>
      <c r="AP28" s="87"/>
      <c r="AQ28" s="86"/>
      <c r="AR28" s="87"/>
      <c r="AS28" s="86"/>
      <c r="AT28" s="87"/>
      <c r="AU28" s="86"/>
      <c r="AV28" s="87"/>
      <c r="AW28" s="86"/>
      <c r="AX28" s="87"/>
      <c r="AY28" s="86"/>
      <c r="AZ28" s="87"/>
      <c r="BA28" s="86"/>
      <c r="BB28" s="87"/>
      <c r="BC28" s="86"/>
      <c r="BD28" s="87"/>
      <c r="BE28" s="86"/>
      <c r="BF28" s="87"/>
      <c r="BG28" s="86"/>
      <c r="BH28" s="87"/>
      <c r="BI28" s="86"/>
      <c r="BJ28" s="87"/>
      <c r="BK28" s="86"/>
      <c r="BL28" s="87"/>
      <c r="BM28" s="86"/>
      <c r="BN28" s="50"/>
      <c r="BO28" s="170">
        <f t="shared" si="2"/>
        <v>72143.109999999986</v>
      </c>
      <c r="BP28" s="87"/>
      <c r="BQ28" s="178" t="str">
        <f>IF(BK28="","",BK28)</f>
        <v/>
      </c>
    </row>
    <row r="29" spans="1:76" s="4" customFormat="1" ht="15" thickBot="1" x14ac:dyDescent="0.4">
      <c r="A29" s="53" t="s">
        <v>23</v>
      </c>
      <c r="B29" s="54"/>
      <c r="C29" s="84"/>
      <c r="D29" s="85"/>
      <c r="E29" s="86">
        <v>5000</v>
      </c>
      <c r="F29" s="87"/>
      <c r="G29" s="86"/>
      <c r="H29" s="87"/>
      <c r="I29" s="86">
        <v>7000</v>
      </c>
      <c r="J29" s="87"/>
      <c r="K29" s="86"/>
      <c r="L29" s="87"/>
      <c r="M29" s="86"/>
      <c r="N29" s="87"/>
      <c r="O29" s="86"/>
      <c r="P29" s="87"/>
      <c r="Q29" s="86">
        <v>3000</v>
      </c>
      <c r="R29" s="87"/>
      <c r="S29" s="86"/>
      <c r="T29" s="87"/>
      <c r="U29" s="86">
        <v>10000</v>
      </c>
      <c r="V29" s="87"/>
      <c r="W29" s="86"/>
      <c r="X29" s="87"/>
      <c r="Y29" s="86">
        <v>3000</v>
      </c>
      <c r="Z29" s="87"/>
      <c r="AA29" s="86"/>
      <c r="AB29" s="87"/>
      <c r="AC29" s="86"/>
      <c r="AD29" s="87"/>
      <c r="AE29" s="86"/>
      <c r="AF29" s="87"/>
      <c r="AG29" s="86"/>
      <c r="AH29" s="87"/>
      <c r="AI29" s="86"/>
      <c r="AJ29" s="87"/>
      <c r="AK29" s="86"/>
      <c r="AL29" s="87"/>
      <c r="AM29" s="86"/>
      <c r="AN29" s="87"/>
      <c r="AO29" s="86"/>
      <c r="AP29" s="87"/>
      <c r="AQ29" s="86"/>
      <c r="AR29" s="87"/>
      <c r="AS29" s="86"/>
      <c r="AT29" s="87"/>
      <c r="AU29" s="86"/>
      <c r="AV29" s="87"/>
      <c r="AW29" s="86"/>
      <c r="AX29" s="87"/>
      <c r="AY29" s="86"/>
      <c r="AZ29" s="87"/>
      <c r="BA29" s="86"/>
      <c r="BB29" s="87"/>
      <c r="BC29" s="86"/>
      <c r="BD29" s="87"/>
      <c r="BE29" s="86"/>
      <c r="BF29" s="87"/>
      <c r="BG29" s="86"/>
      <c r="BH29" s="87"/>
      <c r="BI29" s="86"/>
      <c r="BJ29" s="87"/>
      <c r="BK29" s="86"/>
      <c r="BL29" s="87"/>
      <c r="BM29" s="86"/>
      <c r="BN29" s="50"/>
      <c r="BO29" s="170">
        <f t="shared" si="2"/>
        <v>28000</v>
      </c>
      <c r="BP29" s="87"/>
      <c r="BQ29" s="88"/>
      <c r="BR29"/>
      <c r="BS29"/>
      <c r="BT29"/>
      <c r="BU29"/>
      <c r="BV29"/>
      <c r="BW29"/>
      <c r="BX29"/>
    </row>
    <row r="30" spans="1:76" s="5" customFormat="1" ht="15" thickBot="1" x14ac:dyDescent="0.4">
      <c r="A30" s="98"/>
      <c r="B30" s="90"/>
      <c r="C30" s="84"/>
      <c r="D30" s="47"/>
      <c r="E30" s="180">
        <f>E28-(C28-E25+E29)</f>
        <v>36.940000000000509</v>
      </c>
      <c r="F30" s="49"/>
      <c r="G30" s="166">
        <f>G28-(E28-G25+G29)</f>
        <v>-6039.18</v>
      </c>
      <c r="H30" s="49"/>
      <c r="I30" s="166">
        <f>I28-(G28-I25+I29)</f>
        <v>3942.1200000000008</v>
      </c>
      <c r="J30" s="49"/>
      <c r="K30" s="180">
        <f>K28-(I28-K25+K29)</f>
        <v>70.149999999999636</v>
      </c>
      <c r="L30" s="49"/>
      <c r="M30" s="166">
        <f>M28-(K28-M25+M29)</f>
        <v>71.459999999999127</v>
      </c>
      <c r="N30" s="49"/>
      <c r="O30" s="166">
        <f>O28-(M28-O25+O29)</f>
        <v>37.490000000000236</v>
      </c>
      <c r="P30" s="49"/>
      <c r="Q30" s="166">
        <f>Q28-(O28-Q25+Q29)</f>
        <v>87.330000000000382</v>
      </c>
      <c r="R30" s="49"/>
      <c r="S30" s="166">
        <f>S28-(Q28-S25+S29)</f>
        <v>69.229999999999791</v>
      </c>
      <c r="T30" s="49"/>
      <c r="U30" s="166">
        <f>U28-(S28-U25+U29)</f>
        <v>54.889999999999418</v>
      </c>
      <c r="V30" s="49"/>
      <c r="W30" s="166">
        <f>W28-(U28-W25+W29)</f>
        <v>-5.3500000000003638</v>
      </c>
      <c r="X30" s="49"/>
      <c r="Y30" s="166">
        <f>Y28-(W28-Y25+Y29)</f>
        <v>98.210000000000036</v>
      </c>
      <c r="Z30" s="49"/>
      <c r="AA30" s="166">
        <f>AA28-(Y28-AA25+AA29)</f>
        <v>60.900000000000546</v>
      </c>
      <c r="AB30" s="49"/>
      <c r="AC30" s="166">
        <f>AC28-(AA28-AC25+AC29)</f>
        <v>44.880000000000109</v>
      </c>
      <c r="AD30" s="49"/>
      <c r="AE30" s="166">
        <f>AE28-(AC28-AE25+AE29)</f>
        <v>-4718.3100000000004</v>
      </c>
      <c r="AF30" s="49"/>
      <c r="AG30" s="166">
        <f>AG28-(AE28-AG25+AG29)</f>
        <v>0</v>
      </c>
      <c r="AH30" s="49"/>
      <c r="AI30" s="166">
        <f>AI28-(AG28-AI25+AI29)</f>
        <v>0</v>
      </c>
      <c r="AJ30" s="49"/>
      <c r="AK30" s="166">
        <f>AK28-(AI28-AK25+AK29)</f>
        <v>0</v>
      </c>
      <c r="AL30" s="49"/>
      <c r="AM30" s="166">
        <f>AM28-(AK28-AM25+AM29)</f>
        <v>0</v>
      </c>
      <c r="AN30" s="49"/>
      <c r="AO30" s="166">
        <f>AO28-(AM28-AO25+AO29)</f>
        <v>0</v>
      </c>
      <c r="AP30" s="49"/>
      <c r="AQ30" s="166">
        <f>AQ28-(AO28-AQ25+AQ29)</f>
        <v>0</v>
      </c>
      <c r="AR30" s="49"/>
      <c r="AS30" s="166">
        <f>AS28-(AQ28-AS25+AS29)</f>
        <v>0</v>
      </c>
      <c r="AT30" s="49"/>
      <c r="AU30" s="166">
        <f>AU28-(AS28-AU25+AU29)</f>
        <v>0</v>
      </c>
      <c r="AV30" s="49"/>
      <c r="AW30" s="166">
        <f>AW28-(AU28-AW25+AW29)</f>
        <v>0</v>
      </c>
      <c r="AX30" s="49"/>
      <c r="AY30" s="166">
        <f>AY28-(AW28-AY25+AY29)</f>
        <v>0</v>
      </c>
      <c r="AZ30" s="49"/>
      <c r="BA30" s="166">
        <f>BA28-(AY28-BA25+BA29)</f>
        <v>0</v>
      </c>
      <c r="BB30" s="49"/>
      <c r="BC30" s="166">
        <f>BC28-(BA28-BC25+BC29)</f>
        <v>0</v>
      </c>
      <c r="BD30" s="49"/>
      <c r="BE30" s="166">
        <f>BE28-(BC28-BE25+BE29)</f>
        <v>0</v>
      </c>
      <c r="BF30" s="49"/>
      <c r="BG30" s="166">
        <f>BG28-(BE28-BG25+BG29)</f>
        <v>0</v>
      </c>
      <c r="BH30" s="49"/>
      <c r="BI30" s="166">
        <f>BI28-(BG28-BI25+BI29)</f>
        <v>0</v>
      </c>
      <c r="BJ30" s="49"/>
      <c r="BK30" s="166">
        <f>BK28-(BI28-BK25+BK29)</f>
        <v>0</v>
      </c>
      <c r="BL30" s="49"/>
      <c r="BM30" s="48"/>
      <c r="BN30" s="50"/>
      <c r="BO30" s="170">
        <f t="shared" si="2"/>
        <v>-6189.2400000000007</v>
      </c>
      <c r="BP30" s="49"/>
      <c r="BQ30" s="172" t="e">
        <f>BQ28-(BM28-BQ25+BQ29)</f>
        <v>#VALUE!</v>
      </c>
      <c r="BR30"/>
      <c r="BS30"/>
      <c r="BT30"/>
      <c r="BU30"/>
      <c r="BV30"/>
      <c r="BW30"/>
      <c r="BX30"/>
    </row>
    <row r="31" spans="1:76" s="5" customFormat="1" ht="15" thickBot="1" x14ac:dyDescent="0.4">
      <c r="A31" s="98"/>
      <c r="B31" s="90"/>
      <c r="C31" s="84"/>
      <c r="D31" s="47"/>
      <c r="E31" s="166">
        <f>IF(E25=0,"",E30/E25*100)</f>
        <v>3.3159784560144083</v>
      </c>
      <c r="F31" s="49"/>
      <c r="G31" s="166" t="str">
        <f>IF(G25=0,"",G30/G25*100)</f>
        <v/>
      </c>
      <c r="H31" s="49"/>
      <c r="I31" s="166">
        <f>IF(I25=0,"",I30/I25*100)</f>
        <v>189.98168674698798</v>
      </c>
      <c r="J31" s="49"/>
      <c r="K31" s="166">
        <f>IF(K25=0,"",K30/K25*100)</f>
        <v>3.1302989736724509</v>
      </c>
      <c r="L31" s="49"/>
      <c r="M31" s="166">
        <f>IF(M25=0,"",M30/M25*100)</f>
        <v>3.4689320388349092</v>
      </c>
      <c r="N31" s="49"/>
      <c r="O31" s="166">
        <f>IF(O25=0,"",O30/O25*100)</f>
        <v>3.2346850733391062</v>
      </c>
      <c r="P31" s="49"/>
      <c r="Q31" s="166">
        <f>IF(Q25=0,"",Q30/Q25*100)</f>
        <v>2.8372319688109284</v>
      </c>
      <c r="R31" s="49"/>
      <c r="S31" s="166">
        <f>IF(S25=0,"",S30/S25*100)</f>
        <v>3.2305179654689589</v>
      </c>
      <c r="T31" s="49"/>
      <c r="U31" s="166">
        <f>IF(U25=0,"",U30/U25*100)</f>
        <v>3.1276353276352946</v>
      </c>
      <c r="V31" s="49"/>
      <c r="W31" s="166">
        <f>IF(W25=0,"",W30/W25*100)</f>
        <v>-0.30817972350232509</v>
      </c>
      <c r="X31" s="49"/>
      <c r="Y31" s="166">
        <f>IF(Y25=0,"",Y30/Y25*100)</f>
        <v>3.2541418157720359</v>
      </c>
      <c r="Z31" s="49"/>
      <c r="AA31" s="166">
        <f>IF(AA25=0,"",AA30/AA25*100)</f>
        <v>3.2514682327816633</v>
      </c>
      <c r="AB31" s="49"/>
      <c r="AC31" s="166">
        <f>IF(AC25=0,"",AC30/AC25*100)</f>
        <v>2.6794029850746335</v>
      </c>
      <c r="AD31" s="49"/>
      <c r="AE31" s="166" t="str">
        <f>IF(AE25=0,"",AE30/AE25*100)</f>
        <v/>
      </c>
      <c r="AF31" s="49"/>
      <c r="AG31" s="166" t="str">
        <f>IF(AG25=0,"",AG30/AG25*100)</f>
        <v/>
      </c>
      <c r="AH31" s="49"/>
      <c r="AI31" s="166" t="str">
        <f>IF(AI25=0,"",AI30/AI25*100)</f>
        <v/>
      </c>
      <c r="AJ31" s="49"/>
      <c r="AK31" s="166" t="str">
        <f>IF(AK25=0,"",AK30/AK25*100)</f>
        <v/>
      </c>
      <c r="AL31" s="49"/>
      <c r="AM31" s="166" t="str">
        <f>IF(AM25=0,"",AM30/AM25*100)</f>
        <v/>
      </c>
      <c r="AN31" s="49"/>
      <c r="AO31" s="166" t="str">
        <f>IF(AO25=0,"",AO30/AO25*100)</f>
        <v/>
      </c>
      <c r="AP31" s="49"/>
      <c r="AQ31" s="166" t="str">
        <f>IF(AQ25=0,"",AQ30/AQ25*100)</f>
        <v/>
      </c>
      <c r="AR31" s="49"/>
      <c r="AS31" s="166" t="str">
        <f>IF(AS25=0,"",AS30/AS25*100)</f>
        <v/>
      </c>
      <c r="AT31" s="49"/>
      <c r="AU31" s="166" t="str">
        <f>IF(AU25=0,"",AU30/AU25*100)</f>
        <v/>
      </c>
      <c r="AV31" s="49"/>
      <c r="AW31" s="166" t="str">
        <f>IF(AW25=0,"",AW30/AW25*100)</f>
        <v/>
      </c>
      <c r="AX31" s="49"/>
      <c r="AY31" s="166" t="str">
        <f>IF(AY25=0,"",AY30/AY25*100)</f>
        <v/>
      </c>
      <c r="AZ31" s="49"/>
      <c r="BA31" s="166" t="str">
        <f>IF(BA25=0,"",BA30/BA25*100)</f>
        <v/>
      </c>
      <c r="BB31" s="49"/>
      <c r="BC31" s="166" t="str">
        <f>IF(BC25=0,"",BC30/BC25*100)</f>
        <v/>
      </c>
      <c r="BD31" s="49"/>
      <c r="BE31" s="166" t="str">
        <f>IF(BE25=0,"",BE30/BE25*100)</f>
        <v/>
      </c>
      <c r="BF31" s="49"/>
      <c r="BG31" s="166" t="str">
        <f>IF(BG25=0,"",BG30/BG25*100)</f>
        <v/>
      </c>
      <c r="BH31" s="49"/>
      <c r="BI31" s="166" t="str">
        <f>IF(BI25=0,"",BI30/BI25*100)</f>
        <v/>
      </c>
      <c r="BJ31" s="49"/>
      <c r="BK31" s="166" t="str">
        <f>IF(BK25=0,"",BK30/BK25*100)</f>
        <v/>
      </c>
      <c r="BL31" s="49"/>
      <c r="BM31" s="48"/>
      <c r="BN31" s="50"/>
      <c r="BO31" s="170">
        <f t="shared" si="2"/>
        <v>221.20379986089003</v>
      </c>
      <c r="BP31" s="49"/>
      <c r="BQ31" s="172" t="e">
        <f>IF(BQ25=0,"",BQ30/BQ25*100)</f>
        <v>#VALUE!</v>
      </c>
      <c r="BR31"/>
      <c r="BS31"/>
      <c r="BT31"/>
      <c r="BU31"/>
      <c r="BV31"/>
      <c r="BW31"/>
      <c r="BX31"/>
    </row>
    <row r="32" spans="1:76" x14ac:dyDescent="0.35">
      <c r="A32" s="83" t="s">
        <v>5</v>
      </c>
      <c r="B32" s="54"/>
      <c r="C32" s="174">
        <f>IF('August 2026 Log'!BM32="","",'August 2026 Log'!BM32)</f>
        <v>163.9</v>
      </c>
      <c r="D32" s="85"/>
      <c r="E32" s="176">
        <f>33.9+33.9+33.9+22+43.8+15+33.9</f>
        <v>216.4</v>
      </c>
      <c r="F32" s="87"/>
      <c r="G32" s="86"/>
      <c r="H32" s="87"/>
      <c r="I32" s="176">
        <f>28.8+32+189.9</f>
        <v>250.7</v>
      </c>
      <c r="J32" s="87"/>
      <c r="K32" s="176">
        <f>87.9+24</f>
        <v>111.9</v>
      </c>
      <c r="L32" s="87"/>
      <c r="M32" s="176">
        <f>33.9+22</f>
        <v>55.9</v>
      </c>
      <c r="N32" s="87"/>
      <c r="O32" s="176">
        <f>24+2</f>
        <v>26</v>
      </c>
      <c r="P32" s="87"/>
      <c r="Q32" s="176">
        <f>59+59.51</f>
        <v>118.50999999999999</v>
      </c>
      <c r="R32" s="87"/>
      <c r="S32" s="176">
        <f>37+2</f>
        <v>39</v>
      </c>
      <c r="T32" s="173">
        <f>38+53.46+24</f>
        <v>115.46000000000001</v>
      </c>
      <c r="U32" s="176">
        <f>38+53.46+24</f>
        <v>115.46000000000001</v>
      </c>
      <c r="V32" s="87"/>
      <c r="W32" s="176">
        <f>226.9+180</f>
        <v>406.9</v>
      </c>
      <c r="X32" s="87">
        <v>1063.3</v>
      </c>
      <c r="Y32" s="86">
        <v>1063.3</v>
      </c>
      <c r="Z32" s="87"/>
      <c r="AA32" s="176">
        <f>22+224.62</f>
        <v>246.62</v>
      </c>
      <c r="AB32" s="87"/>
      <c r="AC32" s="86">
        <v>24</v>
      </c>
      <c r="AD32" s="87"/>
      <c r="AE32" s="86"/>
      <c r="AF32" s="87"/>
      <c r="AG32" s="86"/>
      <c r="AH32" s="87"/>
      <c r="AI32" s="86"/>
      <c r="AJ32" s="87"/>
      <c r="AK32" s="86"/>
      <c r="AL32" s="87"/>
      <c r="AM32" s="86"/>
      <c r="AN32" s="87"/>
      <c r="AO32" s="86"/>
      <c r="AP32" s="87"/>
      <c r="AQ32" s="86"/>
      <c r="AR32" s="87"/>
      <c r="AS32" s="86"/>
      <c r="AT32" s="87"/>
      <c r="AU32" s="86"/>
      <c r="AV32" s="87"/>
      <c r="AW32" s="86"/>
      <c r="AX32" s="87"/>
      <c r="AY32" s="86"/>
      <c r="AZ32" s="87"/>
      <c r="BA32" s="86"/>
      <c r="BB32" s="87"/>
      <c r="BC32" s="86"/>
      <c r="BD32" s="87"/>
      <c r="BE32" s="86"/>
      <c r="BF32" s="87"/>
      <c r="BG32" s="86"/>
      <c r="BH32" s="87"/>
      <c r="BI32" s="86"/>
      <c r="BJ32" s="87"/>
      <c r="BK32" s="86"/>
      <c r="BL32" s="87"/>
      <c r="BM32" s="86"/>
      <c r="BN32" s="50"/>
      <c r="BO32" s="170">
        <f t="shared" si="2"/>
        <v>2674.6899999999996</v>
      </c>
      <c r="BP32" s="87"/>
      <c r="BQ32" s="178" t="str">
        <f>IF(BK32="","",BK32)</f>
        <v/>
      </c>
    </row>
    <row r="33" spans="1:76" x14ac:dyDescent="0.35">
      <c r="A33" s="83" t="s">
        <v>6</v>
      </c>
      <c r="B33" s="54"/>
      <c r="C33" s="174">
        <f>IF('August 2026 Log'!BM33="","",'August 2026 Log'!BM33)</f>
        <v>5218.6499999999996</v>
      </c>
      <c r="D33" s="85"/>
      <c r="E33" s="86"/>
      <c r="F33" s="87"/>
      <c r="G33" s="86"/>
      <c r="H33" s="87"/>
      <c r="I33" s="86"/>
      <c r="J33" s="87"/>
      <c r="K33" s="86"/>
      <c r="L33" s="87"/>
      <c r="M33" s="86"/>
      <c r="N33" s="87"/>
      <c r="O33" s="86"/>
      <c r="P33" s="87"/>
      <c r="Q33" s="86"/>
      <c r="R33" s="87"/>
      <c r="S33" s="86"/>
      <c r="T33" s="87"/>
      <c r="U33" s="86"/>
      <c r="V33" s="87"/>
      <c r="W33" s="86"/>
      <c r="X33" s="87"/>
      <c r="Y33" s="86"/>
      <c r="Z33" s="87"/>
      <c r="AA33" s="86"/>
      <c r="AB33" s="87"/>
      <c r="AC33" s="86"/>
      <c r="AD33" s="87"/>
      <c r="AE33" s="86"/>
      <c r="AF33" s="87"/>
      <c r="AG33" s="86"/>
      <c r="AH33" s="87"/>
      <c r="AI33" s="86"/>
      <c r="AJ33" s="87"/>
      <c r="AK33" s="86"/>
      <c r="AL33" s="87"/>
      <c r="AM33" s="86"/>
      <c r="AN33" s="87"/>
      <c r="AO33" s="86"/>
      <c r="AP33" s="87"/>
      <c r="AQ33" s="86"/>
      <c r="AR33" s="87"/>
      <c r="AS33" s="86"/>
      <c r="AT33" s="87"/>
      <c r="AU33" s="86"/>
      <c r="AV33" s="87"/>
      <c r="AW33" s="86"/>
      <c r="AX33" s="87"/>
      <c r="AY33" s="86"/>
      <c r="AZ33" s="87"/>
      <c r="BA33" s="86"/>
      <c r="BB33" s="87"/>
      <c r="BC33" s="86"/>
      <c r="BD33" s="87"/>
      <c r="BE33" s="86"/>
      <c r="BF33" s="87"/>
      <c r="BG33" s="86"/>
      <c r="BH33" s="87"/>
      <c r="BI33" s="86"/>
      <c r="BJ33" s="87"/>
      <c r="BK33" s="86"/>
      <c r="BL33" s="87"/>
      <c r="BM33" s="86"/>
      <c r="BN33" s="50"/>
      <c r="BO33" s="170" t="str">
        <f t="shared" si="2"/>
        <v/>
      </c>
      <c r="BP33" s="87"/>
      <c r="BQ33" s="178" t="str">
        <f>IF(BK33="","",BK33)</f>
        <v/>
      </c>
    </row>
    <row r="34" spans="1:76" x14ac:dyDescent="0.35">
      <c r="A34" s="83" t="s">
        <v>7</v>
      </c>
      <c r="B34" s="54"/>
      <c r="C34" s="174">
        <f>IF('August 2026 Log'!BM34="","",'August 2026 Log'!BM34)</f>
        <v>6732.65</v>
      </c>
      <c r="D34" s="85"/>
      <c r="E34" s="176">
        <f>300+35.5+518+300+535.5+80+876</f>
        <v>2645</v>
      </c>
      <c r="F34" s="87"/>
      <c r="G34" s="86"/>
      <c r="H34" s="87"/>
      <c r="I34" s="176">
        <f>182+10+160+40+1333.97</f>
        <v>1725.97</v>
      </c>
      <c r="J34" s="87"/>
      <c r="K34" s="176">
        <f>1712.01+300+300+1183.95+250+344+518.5+345</f>
        <v>4953.46</v>
      </c>
      <c r="L34" s="87"/>
      <c r="M34" s="176">
        <f>300+300+80</f>
        <v>680</v>
      </c>
      <c r="N34" s="87"/>
      <c r="O34" s="176">
        <f>300+300+144</f>
        <v>744</v>
      </c>
      <c r="P34" s="87"/>
      <c r="Q34" s="176">
        <f>300+300+150+518.5</f>
        <v>1268.5</v>
      </c>
      <c r="R34" s="173">
        <f>160+408</f>
        <v>568</v>
      </c>
      <c r="S34" s="176">
        <f>408+160</f>
        <v>568</v>
      </c>
      <c r="T34" s="173">
        <f>300+300+448.5+158.4+284.95+460+139.5</f>
        <v>2091.3500000000004</v>
      </c>
      <c r="U34" s="176">
        <f>300+300+448.5+158.4+460+284.95+139.5</f>
        <v>2091.3500000000004</v>
      </c>
      <c r="V34" s="87"/>
      <c r="W34" s="176">
        <f>300+888.35+300+128</f>
        <v>1616.35</v>
      </c>
      <c r="X34" s="173">
        <f>300+49.9+130+20+178.8</f>
        <v>678.7</v>
      </c>
      <c r="Y34" s="86">
        <v>678.8</v>
      </c>
      <c r="Z34" s="87"/>
      <c r="AA34" s="176">
        <f>80+430.4+300</f>
        <v>810.4</v>
      </c>
      <c r="AB34" s="87"/>
      <c r="AC34" s="86"/>
      <c r="AD34" s="87"/>
      <c r="AE34" s="86"/>
      <c r="AF34" s="87"/>
      <c r="AG34" s="86"/>
      <c r="AH34" s="87"/>
      <c r="AI34" s="86"/>
      <c r="AJ34" s="87"/>
      <c r="AK34" s="86"/>
      <c r="AL34" s="87"/>
      <c r="AM34" s="86"/>
      <c r="AN34" s="87"/>
      <c r="AO34" s="86"/>
      <c r="AP34" s="87"/>
      <c r="AQ34" s="86"/>
      <c r="AR34" s="87"/>
      <c r="AS34" s="86"/>
      <c r="AT34" s="99"/>
      <c r="AU34" s="86"/>
      <c r="AV34" s="87"/>
      <c r="AW34" s="86"/>
      <c r="AX34" s="87"/>
      <c r="AY34" s="86"/>
      <c r="AZ34" s="87"/>
      <c r="BA34" s="86"/>
      <c r="BB34" s="87"/>
      <c r="BC34" s="86"/>
      <c r="BD34" s="87"/>
      <c r="BE34" s="86"/>
      <c r="BF34" s="87"/>
      <c r="BG34" s="86"/>
      <c r="BH34" s="87"/>
      <c r="BI34" s="86"/>
      <c r="BJ34" s="87"/>
      <c r="BK34" s="86"/>
      <c r="BL34" s="87"/>
      <c r="BM34" s="86"/>
      <c r="BN34" s="50"/>
      <c r="BO34" s="170">
        <f t="shared" si="2"/>
        <v>17781.830000000002</v>
      </c>
      <c r="BP34" s="87"/>
      <c r="BQ34" s="178" t="str">
        <f>IF(BK34="","",BK34)</f>
        <v/>
      </c>
    </row>
    <row r="35" spans="1:76" x14ac:dyDescent="0.35">
      <c r="A35" s="100"/>
      <c r="B35" s="75"/>
      <c r="C35" s="101"/>
      <c r="D35" s="102"/>
      <c r="E35" s="103"/>
      <c r="F35" s="104"/>
      <c r="G35" s="103"/>
      <c r="H35" s="104"/>
      <c r="I35" s="103"/>
      <c r="J35" s="104"/>
      <c r="K35" s="103"/>
      <c r="L35" s="104"/>
      <c r="M35" s="103"/>
      <c r="N35" s="104"/>
      <c r="O35" s="103"/>
      <c r="P35" s="104"/>
      <c r="Q35" s="103"/>
      <c r="R35" s="104"/>
      <c r="S35" s="103"/>
      <c r="T35" s="104"/>
      <c r="U35" s="103"/>
      <c r="V35" s="104"/>
      <c r="W35" s="103"/>
      <c r="X35" s="104"/>
      <c r="Y35" s="103"/>
      <c r="Z35" s="104"/>
      <c r="AA35" s="103"/>
      <c r="AB35" s="104"/>
      <c r="AC35" s="103"/>
      <c r="AD35" s="104"/>
      <c r="AE35" s="103"/>
      <c r="AF35" s="104"/>
      <c r="AG35" s="103"/>
      <c r="AH35" s="104"/>
      <c r="AI35" s="103"/>
      <c r="AJ35" s="104"/>
      <c r="AK35" s="103"/>
      <c r="AL35" s="104"/>
      <c r="AM35" s="103"/>
      <c r="AN35" s="104"/>
      <c r="AO35" s="103"/>
      <c r="AP35" s="104"/>
      <c r="AQ35" s="103"/>
      <c r="AR35" s="104"/>
      <c r="AS35" s="103"/>
      <c r="AT35" s="104"/>
      <c r="AU35" s="103"/>
      <c r="AV35" s="104"/>
      <c r="AW35" s="103"/>
      <c r="AX35" s="104"/>
      <c r="AY35" s="103"/>
      <c r="AZ35" s="104"/>
      <c r="BA35" s="103"/>
      <c r="BB35" s="104"/>
      <c r="BC35" s="103"/>
      <c r="BD35" s="104"/>
      <c r="BE35" s="103"/>
      <c r="BF35" s="104"/>
      <c r="BG35" s="103"/>
      <c r="BH35" s="104"/>
      <c r="BI35" s="103"/>
      <c r="BJ35" s="104"/>
      <c r="BK35" s="103"/>
      <c r="BL35" s="104"/>
      <c r="BM35" s="103"/>
      <c r="BN35" s="105"/>
      <c r="BO35" s="183" t="str">
        <f t="shared" si="2"/>
        <v/>
      </c>
      <c r="BP35" s="104"/>
      <c r="BQ35" s="107"/>
    </row>
    <row r="36" spans="1:76" x14ac:dyDescent="0.35">
      <c r="A36" s="83" t="s">
        <v>59</v>
      </c>
      <c r="B36" s="54" t="s">
        <v>58</v>
      </c>
      <c r="C36" s="174">
        <f>IF('August 2026 Log'!BM36="","",'August 2026 Log'!BM36)</f>
        <v>983.3</v>
      </c>
      <c r="D36" s="85">
        <v>578</v>
      </c>
      <c r="E36" s="86">
        <v>7444.65</v>
      </c>
      <c r="F36" s="87"/>
      <c r="G36" s="86"/>
      <c r="H36" s="87">
        <v>580</v>
      </c>
      <c r="I36" s="86">
        <v>10100.1</v>
      </c>
      <c r="J36" s="87">
        <v>581</v>
      </c>
      <c r="K36" s="86">
        <v>5183.8</v>
      </c>
      <c r="L36" s="87">
        <v>582</v>
      </c>
      <c r="M36" s="86">
        <v>8479.0499999999993</v>
      </c>
      <c r="N36" s="87">
        <v>583</v>
      </c>
      <c r="O36" s="86">
        <v>3844.95</v>
      </c>
      <c r="P36" s="87" t="s">
        <v>155</v>
      </c>
      <c r="Q36" s="176">
        <f>2127.1+5306.05</f>
        <v>7433.15</v>
      </c>
      <c r="R36" s="87">
        <v>586</v>
      </c>
      <c r="S36" s="86">
        <v>4913.5</v>
      </c>
      <c r="T36" s="87">
        <v>587</v>
      </c>
      <c r="U36" s="86">
        <v>3110.45</v>
      </c>
      <c r="V36" s="87">
        <v>588</v>
      </c>
      <c r="W36" s="86">
        <v>2577.9</v>
      </c>
      <c r="X36" s="87">
        <v>589</v>
      </c>
      <c r="Y36" s="86">
        <v>5690.25</v>
      </c>
      <c r="Z36" s="87">
        <v>590</v>
      </c>
      <c r="AA36" s="86">
        <v>5459.15</v>
      </c>
      <c r="AB36" s="87">
        <v>591</v>
      </c>
      <c r="AC36" s="86">
        <v>3952.2</v>
      </c>
      <c r="AD36" s="87"/>
      <c r="AE36" s="86"/>
      <c r="AF36" s="87"/>
      <c r="AG36" s="86"/>
      <c r="AH36" s="87"/>
      <c r="AI36" s="86"/>
      <c r="AJ36" s="87"/>
      <c r="AK36" s="86"/>
      <c r="AL36" s="87"/>
      <c r="AM36" s="86"/>
      <c r="AN36" s="87"/>
      <c r="AO36" s="86"/>
      <c r="AP36" s="87"/>
      <c r="AQ36" s="86"/>
      <c r="AR36" s="87"/>
      <c r="AS36" s="86"/>
      <c r="AT36" s="87"/>
      <c r="AU36" s="86"/>
      <c r="AV36" s="87"/>
      <c r="AW36" s="86"/>
      <c r="AX36" s="87"/>
      <c r="AY36" s="86"/>
      <c r="AZ36" s="87"/>
      <c r="BA36" s="86"/>
      <c r="BB36" s="87"/>
      <c r="BC36" s="86"/>
      <c r="BD36" s="87"/>
      <c r="BE36" s="86"/>
      <c r="BF36" s="87"/>
      <c r="BG36" s="86"/>
      <c r="BH36" s="87"/>
      <c r="BI36" s="86"/>
      <c r="BJ36" s="87"/>
      <c r="BK36" s="86"/>
      <c r="BL36" s="87"/>
      <c r="BM36" s="86"/>
      <c r="BN36" s="50"/>
      <c r="BO36" s="170">
        <f t="shared" si="2"/>
        <v>68189.149999999994</v>
      </c>
      <c r="BP36" s="87"/>
      <c r="BQ36" s="178" t="str">
        <f>IF(BK36="","",BK36)</f>
        <v/>
      </c>
    </row>
    <row r="37" spans="1:76" x14ac:dyDescent="0.35">
      <c r="A37" s="83"/>
      <c r="B37" s="54"/>
      <c r="C37" s="84"/>
      <c r="D37" s="85"/>
      <c r="E37" s="86"/>
      <c r="F37" s="87"/>
      <c r="G37" s="86"/>
      <c r="H37" s="87"/>
      <c r="I37" s="86"/>
      <c r="J37" s="87"/>
      <c r="K37" s="86"/>
      <c r="L37" s="87"/>
      <c r="M37" s="86"/>
      <c r="N37" s="87"/>
      <c r="O37" s="86"/>
      <c r="P37" s="87"/>
      <c r="Q37" s="86"/>
      <c r="R37" s="87"/>
      <c r="S37" s="86"/>
      <c r="T37" s="87"/>
      <c r="U37" s="86"/>
      <c r="V37" s="87"/>
      <c r="W37" s="86"/>
      <c r="X37" s="87"/>
      <c r="Y37" s="86"/>
      <c r="Z37" s="87"/>
      <c r="AA37" s="86"/>
      <c r="AB37" s="87"/>
      <c r="AC37" s="86"/>
      <c r="AD37" s="87"/>
      <c r="AE37" s="86"/>
      <c r="AF37" s="87"/>
      <c r="AG37" s="86"/>
      <c r="AH37" s="87"/>
      <c r="AI37" s="86"/>
      <c r="AJ37" s="87"/>
      <c r="AK37" s="86"/>
      <c r="AL37" s="87"/>
      <c r="AM37" s="86"/>
      <c r="AN37" s="87"/>
      <c r="AO37" s="86"/>
      <c r="AP37" s="87"/>
      <c r="AQ37" s="86"/>
      <c r="AR37" s="87"/>
      <c r="AS37" s="86"/>
      <c r="AT37" s="87"/>
      <c r="AU37" s="86"/>
      <c r="AV37" s="87"/>
      <c r="AW37" s="86"/>
      <c r="AX37" s="87"/>
      <c r="AY37" s="86"/>
      <c r="AZ37" s="87"/>
      <c r="BA37" s="86"/>
      <c r="BB37" s="87"/>
      <c r="BC37" s="86"/>
      <c r="BD37" s="87"/>
      <c r="BE37" s="86"/>
      <c r="BF37" s="87"/>
      <c r="BG37" s="86"/>
      <c r="BH37" s="87"/>
      <c r="BI37" s="86"/>
      <c r="BJ37" s="87"/>
      <c r="BK37" s="86"/>
      <c r="BL37" s="87"/>
      <c r="BM37" s="86"/>
      <c r="BN37" s="50"/>
      <c r="BO37" s="170" t="str">
        <f t="shared" si="2"/>
        <v/>
      </c>
      <c r="BP37" s="87"/>
      <c r="BQ37" s="88"/>
    </row>
    <row r="38" spans="1:76" x14ac:dyDescent="0.35">
      <c r="A38" s="83" t="s">
        <v>62</v>
      </c>
      <c r="B38" s="54" t="s">
        <v>63</v>
      </c>
      <c r="C38" s="174">
        <f>IF('August 2026 Log'!BM38="","",'August 2026 Log'!BM38)</f>
        <v>22542</v>
      </c>
      <c r="D38" s="85" t="s">
        <v>156</v>
      </c>
      <c r="E38" s="176">
        <f>11111.95+32127.55+53745.6</f>
        <v>96985.1</v>
      </c>
      <c r="F38" s="87"/>
      <c r="G38" s="86"/>
      <c r="H38" s="87">
        <v>183</v>
      </c>
      <c r="I38" s="86">
        <v>12094.25</v>
      </c>
      <c r="J38" s="87">
        <v>184</v>
      </c>
      <c r="K38" s="86">
        <v>16433.349999999999</v>
      </c>
      <c r="L38" s="87">
        <v>185</v>
      </c>
      <c r="M38" s="86">
        <v>16689.099999999999</v>
      </c>
      <c r="N38" s="87">
        <v>186</v>
      </c>
      <c r="O38" s="86">
        <v>6700</v>
      </c>
      <c r="P38" s="87">
        <v>187</v>
      </c>
      <c r="Q38" s="86">
        <v>19650.75</v>
      </c>
      <c r="R38" s="87">
        <v>188</v>
      </c>
      <c r="S38" s="86">
        <v>15567</v>
      </c>
      <c r="T38" s="87">
        <v>189</v>
      </c>
      <c r="U38" s="86">
        <v>17071.400000000001</v>
      </c>
      <c r="V38" s="87">
        <v>190</v>
      </c>
      <c r="W38" s="86">
        <v>16131.7</v>
      </c>
      <c r="X38" s="87">
        <v>191</v>
      </c>
      <c r="Y38" s="86">
        <v>17640.400000000001</v>
      </c>
      <c r="Z38" s="87">
        <v>192</v>
      </c>
      <c r="AA38" s="86">
        <v>9776.7999999999993</v>
      </c>
      <c r="AB38" s="87">
        <v>193</v>
      </c>
      <c r="AC38" s="86">
        <v>14063.85</v>
      </c>
      <c r="AD38" s="87"/>
      <c r="AE38" s="86"/>
      <c r="AF38" s="87"/>
      <c r="AG38" s="86"/>
      <c r="AH38" s="87"/>
      <c r="AI38" s="86"/>
      <c r="AJ38" s="87"/>
      <c r="AK38" s="86"/>
      <c r="AL38" s="87"/>
      <c r="AM38" s="86"/>
      <c r="AN38" s="87"/>
      <c r="AO38" s="86"/>
      <c r="AP38" s="87"/>
      <c r="AQ38" s="86"/>
      <c r="AR38" s="87"/>
      <c r="AS38" s="86"/>
      <c r="AT38" s="87"/>
      <c r="AU38" s="86"/>
      <c r="AV38" s="87"/>
      <c r="AW38" s="86"/>
      <c r="AX38" s="87"/>
      <c r="AY38" s="86"/>
      <c r="AZ38" s="87"/>
      <c r="BA38" s="86"/>
      <c r="BB38" s="87"/>
      <c r="BC38" s="86"/>
      <c r="BD38" s="87"/>
      <c r="BE38" s="86"/>
      <c r="BF38" s="87"/>
      <c r="BG38" s="86"/>
      <c r="BH38" s="87"/>
      <c r="BI38" s="86"/>
      <c r="BJ38" s="87"/>
      <c r="BK38" s="86"/>
      <c r="BL38" s="87"/>
      <c r="BM38" s="86"/>
      <c r="BN38" s="50"/>
      <c r="BO38" s="170">
        <f t="shared" si="2"/>
        <v>258803.7</v>
      </c>
      <c r="BP38" s="87"/>
      <c r="BQ38" s="178" t="str">
        <f>IF(BK38="","",BK38)</f>
        <v/>
      </c>
    </row>
    <row r="39" spans="1:76" x14ac:dyDescent="0.35">
      <c r="A39" s="83" t="s">
        <v>64</v>
      </c>
      <c r="B39" s="54" t="s">
        <v>63</v>
      </c>
      <c r="C39" s="174">
        <f>IF('August 2026 Log'!BM39="","",'August 2026 Log'!BM39)</f>
        <v>24381.25</v>
      </c>
      <c r="D39" s="85">
        <v>106</v>
      </c>
      <c r="E39" s="86">
        <v>36364.83</v>
      </c>
      <c r="F39" s="87"/>
      <c r="G39" s="86"/>
      <c r="H39" s="87">
        <v>108</v>
      </c>
      <c r="I39" s="86">
        <v>19816.05</v>
      </c>
      <c r="J39" s="87">
        <v>109</v>
      </c>
      <c r="K39" s="86">
        <v>10549.5</v>
      </c>
      <c r="L39" s="87">
        <v>110</v>
      </c>
      <c r="M39" s="86">
        <v>13383.35</v>
      </c>
      <c r="N39" s="87">
        <v>111</v>
      </c>
      <c r="O39" s="86">
        <v>9596.5</v>
      </c>
      <c r="P39" s="87">
        <v>112</v>
      </c>
      <c r="Q39" s="86">
        <v>11608.2</v>
      </c>
      <c r="R39" s="87">
        <v>113</v>
      </c>
      <c r="S39" s="86">
        <v>15582.05</v>
      </c>
      <c r="T39" s="87">
        <v>114</v>
      </c>
      <c r="U39" s="86">
        <v>10325.799999999999</v>
      </c>
      <c r="V39" s="87">
        <v>115</v>
      </c>
      <c r="W39" s="86">
        <v>9770.15</v>
      </c>
      <c r="X39" s="87">
        <v>116</v>
      </c>
      <c r="Y39" s="86">
        <v>19575.900000000001</v>
      </c>
      <c r="Z39" s="87">
        <v>117</v>
      </c>
      <c r="AA39" s="86">
        <v>10204.299999999999</v>
      </c>
      <c r="AB39" s="87"/>
      <c r="AC39" s="86"/>
      <c r="AD39" s="87"/>
      <c r="AE39" s="86"/>
      <c r="AF39" s="87"/>
      <c r="AG39" s="86"/>
      <c r="AH39" s="87"/>
      <c r="AI39" s="86"/>
      <c r="AJ39" s="87"/>
      <c r="AK39" s="86"/>
      <c r="AL39" s="87"/>
      <c r="AM39" s="86"/>
      <c r="AN39" s="87"/>
      <c r="AO39" s="86"/>
      <c r="AP39" s="87"/>
      <c r="AQ39" s="86"/>
      <c r="AR39" s="87"/>
      <c r="AS39" s="86"/>
      <c r="AT39" s="87"/>
      <c r="AU39" s="86"/>
      <c r="AV39" s="87"/>
      <c r="AW39" s="86"/>
      <c r="AX39" s="87"/>
      <c r="AY39" s="86"/>
      <c r="AZ39" s="87"/>
      <c r="BA39" s="86"/>
      <c r="BB39" s="87"/>
      <c r="BC39" s="86"/>
      <c r="BD39" s="87"/>
      <c r="BE39" s="86"/>
      <c r="BF39" s="87"/>
      <c r="BG39" s="86"/>
      <c r="BH39" s="87"/>
      <c r="BI39" s="86"/>
      <c r="BJ39" s="87"/>
      <c r="BK39" s="86"/>
      <c r="BL39" s="87"/>
      <c r="BM39" s="86"/>
      <c r="BN39" s="50"/>
      <c r="BO39" s="170">
        <f t="shared" si="2"/>
        <v>166776.63</v>
      </c>
      <c r="BP39" s="87"/>
      <c r="BQ39" s="178" t="str">
        <f>IF(BK39="","",BK39)</f>
        <v/>
      </c>
    </row>
    <row r="40" spans="1:76" x14ac:dyDescent="0.35">
      <c r="A40" s="83" t="s">
        <v>44</v>
      </c>
      <c r="B40" s="54"/>
      <c r="C40" s="84"/>
      <c r="D40" s="85"/>
      <c r="E40" s="86"/>
      <c r="F40" s="87"/>
      <c r="G40" s="86"/>
      <c r="H40" s="87"/>
      <c r="I40" s="86"/>
      <c r="J40" s="87"/>
      <c r="K40" s="86"/>
      <c r="L40" s="87"/>
      <c r="M40" s="86"/>
      <c r="N40" s="87"/>
      <c r="O40" s="86"/>
      <c r="P40" s="87"/>
      <c r="Q40" s="86"/>
      <c r="R40" s="87"/>
      <c r="S40" s="86"/>
      <c r="T40" s="87"/>
      <c r="U40" s="86"/>
      <c r="V40" s="87"/>
      <c r="W40" s="86"/>
      <c r="X40" s="87"/>
      <c r="Y40" s="86"/>
      <c r="Z40" s="87"/>
      <c r="AA40" s="86"/>
      <c r="AB40" s="87"/>
      <c r="AC40" s="86"/>
      <c r="AD40" s="87"/>
      <c r="AE40" s="86"/>
      <c r="AF40" s="87"/>
      <c r="AG40" s="86"/>
      <c r="AH40" s="87"/>
      <c r="AI40" s="86"/>
      <c r="AJ40" s="87"/>
      <c r="AK40" s="86"/>
      <c r="AL40" s="87"/>
      <c r="AM40" s="86"/>
      <c r="AN40" s="87"/>
      <c r="AO40" s="86"/>
      <c r="AP40" s="87"/>
      <c r="AQ40" s="86"/>
      <c r="AR40" s="87"/>
      <c r="AS40" s="86"/>
      <c r="AT40" s="87"/>
      <c r="AU40" s="86"/>
      <c r="AV40" s="87"/>
      <c r="AW40" s="86"/>
      <c r="AX40" s="87"/>
      <c r="AY40" s="86"/>
      <c r="AZ40" s="87"/>
      <c r="BA40" s="86"/>
      <c r="BB40" s="87"/>
      <c r="BC40" s="86"/>
      <c r="BD40" s="87"/>
      <c r="BE40" s="86"/>
      <c r="BF40" s="87"/>
      <c r="BG40" s="86"/>
      <c r="BH40" s="87"/>
      <c r="BI40" s="86"/>
      <c r="BJ40" s="87"/>
      <c r="BK40" s="86"/>
      <c r="BL40" s="87"/>
      <c r="BM40" s="86"/>
      <c r="BN40" s="50"/>
      <c r="BO40" s="170" t="str">
        <f t="shared" si="2"/>
        <v/>
      </c>
      <c r="BP40" s="87"/>
      <c r="BQ40" s="88"/>
    </row>
    <row r="41" spans="1:76" x14ac:dyDescent="0.35">
      <c r="A41" s="83" t="s">
        <v>54</v>
      </c>
      <c r="B41" s="54"/>
      <c r="C41" s="84"/>
      <c r="D41" s="85"/>
      <c r="E41" s="86"/>
      <c r="F41" s="87"/>
      <c r="G41" s="86"/>
      <c r="H41" s="87"/>
      <c r="I41" s="86"/>
      <c r="J41" s="87"/>
      <c r="K41" s="86"/>
      <c r="L41" s="87"/>
      <c r="M41" s="86"/>
      <c r="N41" s="87"/>
      <c r="O41" s="86"/>
      <c r="P41" s="87"/>
      <c r="Q41" s="86"/>
      <c r="R41" s="87"/>
      <c r="S41" s="86"/>
      <c r="T41" s="87"/>
      <c r="U41" s="86"/>
      <c r="V41" s="87"/>
      <c r="W41" s="86"/>
      <c r="X41" s="87"/>
      <c r="Y41" s="86"/>
      <c r="Z41" s="87"/>
      <c r="AA41" s="86"/>
      <c r="AB41" s="87"/>
      <c r="AC41" s="86"/>
      <c r="AD41" s="87"/>
      <c r="AE41" s="86"/>
      <c r="AF41" s="87"/>
      <c r="AG41" s="86"/>
      <c r="AH41" s="87"/>
      <c r="AI41" s="86"/>
      <c r="AJ41" s="87"/>
      <c r="AK41" s="86"/>
      <c r="AL41" s="87"/>
      <c r="AM41" s="86"/>
      <c r="AN41" s="87"/>
      <c r="AO41" s="86"/>
      <c r="AP41" s="87"/>
      <c r="AQ41" s="86"/>
      <c r="AR41" s="87"/>
      <c r="AS41" s="86"/>
      <c r="AT41" s="87"/>
      <c r="AU41" s="86"/>
      <c r="AV41" s="87"/>
      <c r="AW41" s="86"/>
      <c r="AX41" s="87"/>
      <c r="AY41" s="86"/>
      <c r="AZ41" s="87"/>
      <c r="BA41" s="86"/>
      <c r="BB41" s="87"/>
      <c r="BC41" s="86"/>
      <c r="BD41" s="87"/>
      <c r="BE41" s="86"/>
      <c r="BF41" s="87"/>
      <c r="BG41" s="86"/>
      <c r="BH41" s="87"/>
      <c r="BI41" s="86"/>
      <c r="BJ41" s="87"/>
      <c r="BK41" s="86"/>
      <c r="BL41" s="87"/>
      <c r="BM41" s="86"/>
      <c r="BN41" s="50"/>
      <c r="BO41" s="170" t="str">
        <f t="shared" si="2"/>
        <v/>
      </c>
      <c r="BP41" s="87"/>
      <c r="BQ41" s="88"/>
    </row>
    <row r="42" spans="1:76" s="1" customFormat="1" x14ac:dyDescent="0.35">
      <c r="A42" s="89" t="s">
        <v>35</v>
      </c>
      <c r="B42" s="90"/>
      <c r="C42" s="174">
        <f>IF('August 2026 Log'!BM42="","",'August 2026 Log'!BM42)</f>
        <v>47906.55</v>
      </c>
      <c r="D42" s="47"/>
      <c r="E42" s="166">
        <f>SUM(E36:E41)</f>
        <v>140794.58000000002</v>
      </c>
      <c r="F42" s="49"/>
      <c r="G42" s="166">
        <f>SUM(G36:G41)</f>
        <v>0</v>
      </c>
      <c r="H42" s="49"/>
      <c r="I42" s="166">
        <f>SUM(I36:I41)</f>
        <v>42010.399999999994</v>
      </c>
      <c r="J42" s="49"/>
      <c r="K42" s="166">
        <f>SUM(K36:K41)</f>
        <v>32166.649999999998</v>
      </c>
      <c r="L42" s="49"/>
      <c r="M42" s="166">
        <f>SUM(M36:M41)</f>
        <v>38551.5</v>
      </c>
      <c r="N42" s="49"/>
      <c r="O42" s="166">
        <f>SUM(O36:O41)</f>
        <v>20141.45</v>
      </c>
      <c r="P42" s="49"/>
      <c r="Q42" s="166">
        <f>SUM(Q36:Q41)</f>
        <v>38692.100000000006</v>
      </c>
      <c r="R42" s="49"/>
      <c r="S42" s="166">
        <f>SUM(S36:S41)</f>
        <v>36062.550000000003</v>
      </c>
      <c r="T42" s="49"/>
      <c r="U42" s="166">
        <f>SUM(U36:U41)</f>
        <v>30507.65</v>
      </c>
      <c r="V42" s="49"/>
      <c r="W42" s="166">
        <f>SUM(W36:W41)</f>
        <v>28479.75</v>
      </c>
      <c r="X42" s="49"/>
      <c r="Y42" s="166">
        <f>SUM(Y36:Y41)</f>
        <v>42906.55</v>
      </c>
      <c r="Z42" s="49"/>
      <c r="AA42" s="166">
        <f>SUM(AA36:AA41)</f>
        <v>25440.25</v>
      </c>
      <c r="AB42" s="49"/>
      <c r="AC42" s="166">
        <f>SUM(AC36:AC41)</f>
        <v>18016.05</v>
      </c>
      <c r="AD42" s="49"/>
      <c r="AE42" s="166">
        <f>SUM(AE36:AE41)</f>
        <v>0</v>
      </c>
      <c r="AF42" s="49"/>
      <c r="AG42" s="166">
        <f>SUM(AG36:AG41)</f>
        <v>0</v>
      </c>
      <c r="AH42" s="49"/>
      <c r="AI42" s="166">
        <f>SUM(AI36:AI41)</f>
        <v>0</v>
      </c>
      <c r="AJ42" s="49"/>
      <c r="AK42" s="166">
        <f>SUM(AK36:AK41)</f>
        <v>0</v>
      </c>
      <c r="AL42" s="49"/>
      <c r="AM42" s="166">
        <f>SUM(AM36:AM41)</f>
        <v>0</v>
      </c>
      <c r="AN42" s="49"/>
      <c r="AO42" s="166">
        <f>SUM(AO36:AO41)</f>
        <v>0</v>
      </c>
      <c r="AP42" s="49"/>
      <c r="AQ42" s="166">
        <f>SUM(AQ36:AQ41)</f>
        <v>0</v>
      </c>
      <c r="AR42" s="49"/>
      <c r="AS42" s="166">
        <f>SUM(AS36:AS41)</f>
        <v>0</v>
      </c>
      <c r="AT42" s="49"/>
      <c r="AU42" s="166">
        <f>SUM(AU36:AU41)</f>
        <v>0</v>
      </c>
      <c r="AV42" s="49"/>
      <c r="AW42" s="166">
        <f>SUM(AW36:AW41)</f>
        <v>0</v>
      </c>
      <c r="AX42" s="49"/>
      <c r="AY42" s="166">
        <f>SUM(AY36:AY41)</f>
        <v>0</v>
      </c>
      <c r="AZ42" s="49"/>
      <c r="BA42" s="166">
        <f>SUM(BA36:BA41)</f>
        <v>0</v>
      </c>
      <c r="BB42" s="49"/>
      <c r="BC42" s="166">
        <f>SUM(BC36:BC41)</f>
        <v>0</v>
      </c>
      <c r="BD42" s="49"/>
      <c r="BE42" s="166">
        <f>SUM(BE36:BE41)</f>
        <v>0</v>
      </c>
      <c r="BF42" s="49"/>
      <c r="BG42" s="166">
        <f>SUM(BG36:BG41)</f>
        <v>0</v>
      </c>
      <c r="BH42" s="49"/>
      <c r="BI42" s="166">
        <f>SUM(BI36:BI41)</f>
        <v>0</v>
      </c>
      <c r="BJ42" s="49"/>
      <c r="BK42" s="166">
        <f>SUM(BK36:BK41)</f>
        <v>0</v>
      </c>
      <c r="BL42" s="49"/>
      <c r="BM42" s="48"/>
      <c r="BN42" s="50"/>
      <c r="BO42" s="170">
        <f t="shared" si="2"/>
        <v>493769.48000000004</v>
      </c>
      <c r="BP42" s="49"/>
      <c r="BQ42" s="172">
        <f>IF(BK42="","",BK42)</f>
        <v>0</v>
      </c>
      <c r="BR42"/>
      <c r="BS42"/>
      <c r="BT42"/>
      <c r="BU42"/>
      <c r="BV42"/>
      <c r="BW42"/>
      <c r="BX42"/>
    </row>
    <row r="43" spans="1:76" x14ac:dyDescent="0.35">
      <c r="A43" s="83" t="s">
        <v>61</v>
      </c>
      <c r="B43" s="54" t="s">
        <v>60</v>
      </c>
      <c r="C43" s="174">
        <f>IF('August 2026 Log'!BM43="","",'August 2026 Log'!BM43)</f>
        <v>11218.8</v>
      </c>
      <c r="D43" s="85" t="s">
        <v>157</v>
      </c>
      <c r="E43" s="176">
        <f>3613.15+3740.89</f>
        <v>7354.04</v>
      </c>
      <c r="F43" s="87"/>
      <c r="G43" s="86"/>
      <c r="H43" s="87">
        <v>123</v>
      </c>
      <c r="I43" s="86">
        <v>9670.8799999999992</v>
      </c>
      <c r="J43" s="87">
        <v>124</v>
      </c>
      <c r="K43" s="86">
        <v>10708.43</v>
      </c>
      <c r="L43" s="87">
        <v>125</v>
      </c>
      <c r="M43" s="86">
        <v>19542.09</v>
      </c>
      <c r="N43" s="87">
        <v>126</v>
      </c>
      <c r="O43" s="86">
        <v>3314.1</v>
      </c>
      <c r="P43" s="87">
        <v>127</v>
      </c>
      <c r="Q43" s="86">
        <v>6080</v>
      </c>
      <c r="R43" s="87">
        <v>128</v>
      </c>
      <c r="S43" s="86">
        <v>5207.6000000000004</v>
      </c>
      <c r="T43" s="87">
        <v>129</v>
      </c>
      <c r="U43" s="86">
        <v>7225.05</v>
      </c>
      <c r="V43" s="87">
        <v>130</v>
      </c>
      <c r="W43" s="86">
        <v>9990.9</v>
      </c>
      <c r="X43" s="87">
        <v>131</v>
      </c>
      <c r="Y43" s="86">
        <v>16659.990000000002</v>
      </c>
      <c r="Z43" s="87">
        <v>132</v>
      </c>
      <c r="AA43" s="86">
        <v>13571</v>
      </c>
      <c r="AB43" s="87">
        <v>133</v>
      </c>
      <c r="AC43" s="86">
        <v>7785.1</v>
      </c>
      <c r="AD43" s="87"/>
      <c r="AE43" s="86"/>
      <c r="AF43" s="87"/>
      <c r="AG43" s="86"/>
      <c r="AH43" s="87"/>
      <c r="AI43" s="86"/>
      <c r="AJ43" s="87"/>
      <c r="AK43" s="86"/>
      <c r="AL43" s="87"/>
      <c r="AM43" s="86"/>
      <c r="AN43" s="87"/>
      <c r="AO43" s="86"/>
      <c r="AP43" s="87"/>
      <c r="AQ43" s="86"/>
      <c r="AR43" s="87"/>
      <c r="AS43" s="86"/>
      <c r="AT43" s="87"/>
      <c r="AU43" s="86"/>
      <c r="AV43" s="87"/>
      <c r="AW43" s="86"/>
      <c r="AX43" s="87"/>
      <c r="AY43" s="86"/>
      <c r="AZ43" s="87"/>
      <c r="BA43" s="86"/>
      <c r="BB43" s="87"/>
      <c r="BC43" s="86"/>
      <c r="BD43" s="87"/>
      <c r="BE43" s="86"/>
      <c r="BF43" s="87"/>
      <c r="BG43" s="86"/>
      <c r="BH43" s="87"/>
      <c r="BI43" s="86"/>
      <c r="BJ43" s="87"/>
      <c r="BK43" s="86"/>
      <c r="BL43" s="87"/>
      <c r="BM43" s="86"/>
      <c r="BN43" s="50"/>
      <c r="BO43" s="170">
        <f t="shared" si="2"/>
        <v>117109.18000000001</v>
      </c>
      <c r="BP43" s="87"/>
      <c r="BQ43" s="178" t="str">
        <f>IF(BK43="","",BK43)</f>
        <v/>
      </c>
    </row>
    <row r="44" spans="1:76" hidden="1" x14ac:dyDescent="0.35">
      <c r="A44" s="83" t="s">
        <v>8</v>
      </c>
      <c r="B44" s="54"/>
      <c r="C44" s="84"/>
      <c r="D44" s="85"/>
      <c r="E44" s="86"/>
      <c r="F44" s="87"/>
      <c r="G44" s="86"/>
      <c r="H44" s="87"/>
      <c r="I44" s="86"/>
      <c r="J44" s="87"/>
      <c r="K44" s="86"/>
      <c r="L44" s="87"/>
      <c r="M44" s="86"/>
      <c r="N44" s="87"/>
      <c r="O44" s="86"/>
      <c r="P44" s="87"/>
      <c r="Q44" s="86"/>
      <c r="R44" s="87"/>
      <c r="S44" s="86"/>
      <c r="T44" s="87"/>
      <c r="U44" s="86"/>
      <c r="V44" s="87"/>
      <c r="W44" s="86"/>
      <c r="X44" s="87"/>
      <c r="Y44" s="86"/>
      <c r="Z44" s="87"/>
      <c r="AA44" s="86"/>
      <c r="AB44" s="87"/>
      <c r="AC44" s="86"/>
      <c r="AD44" s="87"/>
      <c r="AE44" s="86"/>
      <c r="AF44" s="87"/>
      <c r="AG44" s="86"/>
      <c r="AH44" s="87"/>
      <c r="AI44" s="86"/>
      <c r="AJ44" s="87"/>
      <c r="AK44" s="86"/>
      <c r="AL44" s="87"/>
      <c r="AM44" s="86"/>
      <c r="AN44" s="87"/>
      <c r="AO44" s="86"/>
      <c r="AP44" s="87"/>
      <c r="AQ44" s="86"/>
      <c r="AR44" s="87"/>
      <c r="AS44" s="86"/>
      <c r="AT44" s="87"/>
      <c r="AU44" s="86"/>
      <c r="AV44" s="87"/>
      <c r="AW44" s="86"/>
      <c r="AX44" s="87"/>
      <c r="AY44" s="86"/>
      <c r="AZ44" s="87"/>
      <c r="BA44" s="86"/>
      <c r="BB44" s="87"/>
      <c r="BC44" s="86"/>
      <c r="BD44" s="87"/>
      <c r="BE44" s="86"/>
      <c r="BF44" s="87"/>
      <c r="BG44" s="86"/>
      <c r="BH44" s="87"/>
      <c r="BI44" s="86"/>
      <c r="BJ44" s="87"/>
      <c r="BK44" s="86"/>
      <c r="BL44" s="87"/>
      <c r="BM44" s="86"/>
      <c r="BN44" s="50"/>
      <c r="BO44" s="170" t="str">
        <f t="shared" si="2"/>
        <v/>
      </c>
      <c r="BP44" s="87"/>
      <c r="BQ44" s="88"/>
    </row>
    <row r="45" spans="1:76" hidden="1" x14ac:dyDescent="0.35">
      <c r="A45" s="83" t="s">
        <v>9</v>
      </c>
      <c r="B45" s="54"/>
      <c r="C45" s="84"/>
      <c r="D45" s="85"/>
      <c r="E45" s="86"/>
      <c r="F45" s="87"/>
      <c r="G45" s="86"/>
      <c r="H45" s="87"/>
      <c r="I45" s="86"/>
      <c r="J45" s="87"/>
      <c r="K45" s="86"/>
      <c r="L45" s="87"/>
      <c r="M45" s="86"/>
      <c r="N45" s="87"/>
      <c r="O45" s="86"/>
      <c r="P45" s="87"/>
      <c r="Q45" s="86"/>
      <c r="R45" s="87"/>
      <c r="S45" s="86"/>
      <c r="T45" s="87"/>
      <c r="U45" s="86"/>
      <c r="V45" s="87"/>
      <c r="W45" s="86"/>
      <c r="X45" s="87"/>
      <c r="Y45" s="86"/>
      <c r="Z45" s="87"/>
      <c r="AA45" s="86"/>
      <c r="AB45" s="87"/>
      <c r="AC45" s="86"/>
      <c r="AD45" s="87"/>
      <c r="AE45" s="86"/>
      <c r="AF45" s="87"/>
      <c r="AG45" s="86"/>
      <c r="AH45" s="87"/>
      <c r="AI45" s="86"/>
      <c r="AJ45" s="87"/>
      <c r="AK45" s="86"/>
      <c r="AL45" s="87"/>
      <c r="AM45" s="86"/>
      <c r="AN45" s="87"/>
      <c r="AO45" s="86"/>
      <c r="AP45" s="87"/>
      <c r="AQ45" s="86"/>
      <c r="AR45" s="87"/>
      <c r="AS45" s="86"/>
      <c r="AT45" s="87"/>
      <c r="AU45" s="86"/>
      <c r="AV45" s="87"/>
      <c r="AW45" s="86"/>
      <c r="AX45" s="87"/>
      <c r="AY45" s="86"/>
      <c r="AZ45" s="87"/>
      <c r="BA45" s="86"/>
      <c r="BB45" s="87"/>
      <c r="BC45" s="86"/>
      <c r="BD45" s="87"/>
      <c r="BE45" s="86"/>
      <c r="BF45" s="87"/>
      <c r="BG45" s="86"/>
      <c r="BH45" s="87"/>
      <c r="BI45" s="86"/>
      <c r="BJ45" s="87"/>
      <c r="BK45" s="86"/>
      <c r="BL45" s="87"/>
      <c r="BM45" s="86"/>
      <c r="BN45" s="50"/>
      <c r="BO45" s="170" t="str">
        <f t="shared" si="2"/>
        <v/>
      </c>
      <c r="BP45" s="87"/>
      <c r="BQ45" s="88"/>
    </row>
    <row r="46" spans="1:76" hidden="1" x14ac:dyDescent="0.35">
      <c r="A46" s="83" t="s">
        <v>43</v>
      </c>
      <c r="B46" s="54"/>
      <c r="C46" s="84"/>
      <c r="D46" s="85"/>
      <c r="E46" s="86"/>
      <c r="F46" s="87"/>
      <c r="G46" s="86"/>
      <c r="H46" s="87"/>
      <c r="I46" s="86"/>
      <c r="J46" s="87"/>
      <c r="K46" s="86"/>
      <c r="L46" s="87"/>
      <c r="M46" s="86"/>
      <c r="N46" s="87"/>
      <c r="O46" s="86"/>
      <c r="P46" s="87"/>
      <c r="Q46" s="86"/>
      <c r="R46" s="87"/>
      <c r="S46" s="86"/>
      <c r="T46" s="87"/>
      <c r="U46" s="86"/>
      <c r="V46" s="87"/>
      <c r="W46" s="86"/>
      <c r="X46" s="87"/>
      <c r="Y46" s="86"/>
      <c r="Z46" s="87"/>
      <c r="AA46" s="86"/>
      <c r="AB46" s="87"/>
      <c r="AC46" s="86"/>
      <c r="AD46" s="87"/>
      <c r="AE46" s="86"/>
      <c r="AF46" s="87"/>
      <c r="AG46" s="86"/>
      <c r="AH46" s="87"/>
      <c r="AI46" s="86"/>
      <c r="AJ46" s="87"/>
      <c r="AK46" s="86"/>
      <c r="AL46" s="87"/>
      <c r="AM46" s="86"/>
      <c r="AN46" s="87"/>
      <c r="AO46" s="86"/>
      <c r="AP46" s="87"/>
      <c r="AQ46" s="86"/>
      <c r="AR46" s="87"/>
      <c r="AS46" s="86"/>
      <c r="AT46" s="87"/>
      <c r="AU46" s="86"/>
      <c r="AV46" s="87"/>
      <c r="AW46" s="86"/>
      <c r="AX46" s="87"/>
      <c r="AY46" s="86"/>
      <c r="AZ46" s="87"/>
      <c r="BA46" s="86"/>
      <c r="BB46" s="87"/>
      <c r="BC46" s="86"/>
      <c r="BD46" s="87"/>
      <c r="BE46" s="86"/>
      <c r="BF46" s="87"/>
      <c r="BG46" s="86"/>
      <c r="BH46" s="87"/>
      <c r="BI46" s="86"/>
      <c r="BJ46" s="87"/>
      <c r="BK46" s="86"/>
      <c r="BL46" s="87"/>
      <c r="BM46" s="86"/>
      <c r="BN46" s="50"/>
      <c r="BO46" s="170" t="str">
        <f t="shared" si="2"/>
        <v/>
      </c>
      <c r="BP46" s="87"/>
      <c r="BQ46" s="88"/>
    </row>
    <row r="47" spans="1:76" hidden="1" x14ac:dyDescent="0.35">
      <c r="A47" s="83" t="s">
        <v>10</v>
      </c>
      <c r="B47" s="54"/>
      <c r="C47" s="84"/>
      <c r="D47" s="85"/>
      <c r="E47" s="86"/>
      <c r="F47" s="87"/>
      <c r="G47" s="86"/>
      <c r="H47" s="87"/>
      <c r="I47" s="86"/>
      <c r="J47" s="87"/>
      <c r="K47" s="86"/>
      <c r="L47" s="87"/>
      <c r="M47" s="86"/>
      <c r="N47" s="87"/>
      <c r="O47" s="86"/>
      <c r="P47" s="87"/>
      <c r="Q47" s="86"/>
      <c r="R47" s="87"/>
      <c r="S47" s="86"/>
      <c r="T47" s="87"/>
      <c r="U47" s="86"/>
      <c r="V47" s="87"/>
      <c r="W47" s="86"/>
      <c r="X47" s="87"/>
      <c r="Y47" s="86"/>
      <c r="Z47" s="87"/>
      <c r="AA47" s="86"/>
      <c r="AB47" s="87"/>
      <c r="AC47" s="86"/>
      <c r="AD47" s="87"/>
      <c r="AE47" s="86"/>
      <c r="AF47" s="87"/>
      <c r="AG47" s="86"/>
      <c r="AH47" s="87"/>
      <c r="AI47" s="86"/>
      <c r="AJ47" s="87"/>
      <c r="AK47" s="86"/>
      <c r="AL47" s="87"/>
      <c r="AM47" s="86"/>
      <c r="AN47" s="87"/>
      <c r="AO47" s="86"/>
      <c r="AP47" s="87"/>
      <c r="AQ47" s="86"/>
      <c r="AR47" s="87"/>
      <c r="AS47" s="86"/>
      <c r="AT47" s="87"/>
      <c r="AU47" s="86"/>
      <c r="AV47" s="87"/>
      <c r="AW47" s="86"/>
      <c r="AX47" s="87"/>
      <c r="AY47" s="86"/>
      <c r="AZ47" s="87"/>
      <c r="BA47" s="86"/>
      <c r="BB47" s="87"/>
      <c r="BC47" s="86"/>
      <c r="BD47" s="87"/>
      <c r="BE47" s="86"/>
      <c r="BF47" s="87"/>
      <c r="BG47" s="86"/>
      <c r="BH47" s="87"/>
      <c r="BI47" s="86"/>
      <c r="BJ47" s="87"/>
      <c r="BK47" s="86"/>
      <c r="BL47" s="87"/>
      <c r="BM47" s="86"/>
      <c r="BN47" s="50"/>
      <c r="BO47" s="170" t="str">
        <f t="shared" si="2"/>
        <v/>
      </c>
      <c r="BP47" s="87"/>
      <c r="BQ47" s="88"/>
    </row>
    <row r="48" spans="1:76" hidden="1" x14ac:dyDescent="0.35">
      <c r="A48" s="83" t="s">
        <v>11</v>
      </c>
      <c r="B48" s="54"/>
      <c r="C48" s="84"/>
      <c r="D48" s="85"/>
      <c r="E48" s="86"/>
      <c r="F48" s="87"/>
      <c r="G48" s="86"/>
      <c r="H48" s="87"/>
      <c r="I48" s="86"/>
      <c r="J48" s="87"/>
      <c r="K48" s="86"/>
      <c r="L48" s="87"/>
      <c r="M48" s="86"/>
      <c r="N48" s="87"/>
      <c r="O48" s="86"/>
      <c r="P48" s="87"/>
      <c r="Q48" s="86"/>
      <c r="R48" s="87"/>
      <c r="S48" s="86"/>
      <c r="T48" s="87"/>
      <c r="U48" s="86"/>
      <c r="V48" s="87"/>
      <c r="W48" s="86"/>
      <c r="X48" s="87"/>
      <c r="Y48" s="86"/>
      <c r="Z48" s="87"/>
      <c r="AA48" s="86"/>
      <c r="AB48" s="87"/>
      <c r="AC48" s="86"/>
      <c r="AD48" s="87"/>
      <c r="AE48" s="86"/>
      <c r="AF48" s="87"/>
      <c r="AG48" s="86"/>
      <c r="AH48" s="87"/>
      <c r="AI48" s="86"/>
      <c r="AJ48" s="87"/>
      <c r="AK48" s="86"/>
      <c r="AL48" s="87"/>
      <c r="AM48" s="86"/>
      <c r="AN48" s="87"/>
      <c r="AO48" s="86"/>
      <c r="AP48" s="87"/>
      <c r="AQ48" s="86"/>
      <c r="AR48" s="87"/>
      <c r="AS48" s="86"/>
      <c r="AT48" s="87"/>
      <c r="AU48" s="86"/>
      <c r="AV48" s="87"/>
      <c r="AW48" s="86"/>
      <c r="AX48" s="87"/>
      <c r="AY48" s="86"/>
      <c r="AZ48" s="87"/>
      <c r="BA48" s="86"/>
      <c r="BB48" s="87"/>
      <c r="BC48" s="86"/>
      <c r="BD48" s="87"/>
      <c r="BE48" s="86"/>
      <c r="BF48" s="87"/>
      <c r="BG48" s="86"/>
      <c r="BH48" s="87"/>
      <c r="BI48" s="86"/>
      <c r="BJ48" s="87"/>
      <c r="BK48" s="86"/>
      <c r="BL48" s="87"/>
      <c r="BM48" s="86"/>
      <c r="BN48" s="50"/>
      <c r="BO48" s="170" t="str">
        <f t="shared" si="2"/>
        <v/>
      </c>
      <c r="BP48" s="87"/>
      <c r="BQ48" s="88"/>
    </row>
    <row r="49" spans="1:76" s="1" customFormat="1" x14ac:dyDescent="0.35">
      <c r="A49" s="89" t="s">
        <v>36</v>
      </c>
      <c r="B49" s="90"/>
      <c r="C49" s="174">
        <f>IF('August 2026 Log'!BM49="","",'August 2026 Log'!BM49)</f>
        <v>11218.8</v>
      </c>
      <c r="D49" s="47"/>
      <c r="E49" s="166">
        <f>SUM(E43:E48)</f>
        <v>7354.04</v>
      </c>
      <c r="F49" s="49"/>
      <c r="G49" s="166">
        <f>SUM(G43:G48)</f>
        <v>0</v>
      </c>
      <c r="H49" s="49"/>
      <c r="I49" s="166">
        <f>SUM(I43:I48)</f>
        <v>9670.8799999999992</v>
      </c>
      <c r="J49" s="49"/>
      <c r="K49" s="166">
        <f>SUM(K43:K48)</f>
        <v>10708.43</v>
      </c>
      <c r="L49" s="49"/>
      <c r="M49" s="166">
        <f>SUM(M43:M48)</f>
        <v>19542.09</v>
      </c>
      <c r="N49" s="49"/>
      <c r="O49" s="166">
        <f>SUM(O43:O48)</f>
        <v>3314.1</v>
      </c>
      <c r="P49" s="49"/>
      <c r="Q49" s="166">
        <f>SUM(Q43:Q48)</f>
        <v>6080</v>
      </c>
      <c r="R49" s="49"/>
      <c r="S49" s="166">
        <f>SUM(S43:S48)</f>
        <v>5207.6000000000004</v>
      </c>
      <c r="T49" s="49"/>
      <c r="U49" s="166">
        <f>SUM(U43:U48)</f>
        <v>7225.05</v>
      </c>
      <c r="V49" s="49"/>
      <c r="W49" s="166">
        <f>SUM(W43:W48)</f>
        <v>9990.9</v>
      </c>
      <c r="X49" s="49"/>
      <c r="Y49" s="166">
        <f>SUM(Y43:Y48)</f>
        <v>16659.990000000002</v>
      </c>
      <c r="Z49" s="49"/>
      <c r="AA49" s="166">
        <f>SUM(AA43:AA48)</f>
        <v>13571</v>
      </c>
      <c r="AB49" s="49"/>
      <c r="AC49" s="166">
        <f>SUM(AC43:AC48)</f>
        <v>7785.1</v>
      </c>
      <c r="AD49" s="49"/>
      <c r="AE49" s="166">
        <f>SUM(AE43:AE48)</f>
        <v>0</v>
      </c>
      <c r="AF49" s="49"/>
      <c r="AG49" s="166">
        <f>SUM(AG43:AG48)</f>
        <v>0</v>
      </c>
      <c r="AH49" s="49"/>
      <c r="AI49" s="166">
        <f>SUM(AI43:AI48)</f>
        <v>0</v>
      </c>
      <c r="AJ49" s="49"/>
      <c r="AK49" s="166">
        <f>SUM(AK43:AK48)</f>
        <v>0</v>
      </c>
      <c r="AL49" s="49"/>
      <c r="AM49" s="166">
        <f>SUM(AM43:AM48)</f>
        <v>0</v>
      </c>
      <c r="AN49" s="49"/>
      <c r="AO49" s="166">
        <f>SUM(AO43:AO48)</f>
        <v>0</v>
      </c>
      <c r="AP49" s="49"/>
      <c r="AQ49" s="166">
        <f>SUM(AQ43:AQ48)</f>
        <v>0</v>
      </c>
      <c r="AR49" s="49"/>
      <c r="AS49" s="166">
        <f>SUM(AS43:AS48)</f>
        <v>0</v>
      </c>
      <c r="AT49" s="49"/>
      <c r="AU49" s="166">
        <f>SUM(AU43:AU48)</f>
        <v>0</v>
      </c>
      <c r="AV49" s="49"/>
      <c r="AW49" s="166">
        <f>SUM(AW43:AW48)</f>
        <v>0</v>
      </c>
      <c r="AX49" s="49"/>
      <c r="AY49" s="166">
        <f>SUM(AY43:AY48)</f>
        <v>0</v>
      </c>
      <c r="AZ49" s="49"/>
      <c r="BA49" s="166">
        <f>SUM(BA43:BA48)</f>
        <v>0</v>
      </c>
      <c r="BB49" s="49"/>
      <c r="BC49" s="166">
        <f>SUM(BC43:BC48)</f>
        <v>0</v>
      </c>
      <c r="BD49" s="49"/>
      <c r="BE49" s="166">
        <f>SUM(BE43:BE48)</f>
        <v>0</v>
      </c>
      <c r="BF49" s="49"/>
      <c r="BG49" s="166">
        <f>SUM(BG43:BG48)</f>
        <v>0</v>
      </c>
      <c r="BH49" s="49"/>
      <c r="BI49" s="166">
        <f>SUM(BI43:BI48)</f>
        <v>0</v>
      </c>
      <c r="BJ49" s="49"/>
      <c r="BK49" s="166">
        <f>SUM(BK43:BK48)</f>
        <v>0</v>
      </c>
      <c r="BL49" s="49"/>
      <c r="BM49" s="48"/>
      <c r="BN49" s="50"/>
      <c r="BO49" s="170">
        <f t="shared" si="2"/>
        <v>117109.18000000001</v>
      </c>
      <c r="BP49" s="49"/>
      <c r="BQ49" s="172">
        <f>IF(BK49="","",BK49)</f>
        <v>0</v>
      </c>
      <c r="BR49"/>
      <c r="BS49"/>
      <c r="BT49"/>
      <c r="BU49"/>
      <c r="BV49"/>
      <c r="BW49"/>
      <c r="BX49"/>
    </row>
    <row r="50" spans="1:76" s="1" customFormat="1" x14ac:dyDescent="0.35">
      <c r="A50" s="89" t="s">
        <v>12</v>
      </c>
      <c r="B50" s="90"/>
      <c r="C50" s="174">
        <f>IF('August 2026 Log'!BM50="","",'August 2026 Log'!BM50)</f>
        <v>59125.350000000006</v>
      </c>
      <c r="D50" s="47"/>
      <c r="E50" s="166">
        <f t="shared" ref="E50" si="31">+E42+E49</f>
        <v>148148.62000000002</v>
      </c>
      <c r="F50" s="49"/>
      <c r="G50" s="166">
        <f t="shared" ref="G50" si="32">+G42+G49</f>
        <v>0</v>
      </c>
      <c r="H50" s="49"/>
      <c r="I50" s="166">
        <f t="shared" ref="I50" si="33">+I42+I49</f>
        <v>51681.279999999992</v>
      </c>
      <c r="J50" s="49"/>
      <c r="K50" s="166">
        <f t="shared" ref="K50" si="34">+K42+K49</f>
        <v>42875.08</v>
      </c>
      <c r="L50" s="49"/>
      <c r="M50" s="166">
        <f t="shared" ref="M50" si="35">+M42+M49</f>
        <v>58093.59</v>
      </c>
      <c r="N50" s="49"/>
      <c r="O50" s="166">
        <f t="shared" ref="O50" si="36">+O42+O49</f>
        <v>23455.55</v>
      </c>
      <c r="P50" s="49"/>
      <c r="Q50" s="166">
        <f t="shared" ref="Q50" si="37">+Q42+Q49</f>
        <v>44772.100000000006</v>
      </c>
      <c r="R50" s="49"/>
      <c r="S50" s="166">
        <f t="shared" ref="S50" si="38">+S42+S49</f>
        <v>41270.15</v>
      </c>
      <c r="T50" s="49"/>
      <c r="U50" s="166">
        <f t="shared" ref="U50" si="39">+U42+U49</f>
        <v>37732.700000000004</v>
      </c>
      <c r="V50" s="49"/>
      <c r="W50" s="166">
        <f t="shared" ref="W50" si="40">+W42+W49</f>
        <v>38470.65</v>
      </c>
      <c r="X50" s="49"/>
      <c r="Y50" s="166">
        <f t="shared" ref="Y50" si="41">+Y42+Y49</f>
        <v>59566.540000000008</v>
      </c>
      <c r="Z50" s="49"/>
      <c r="AA50" s="166">
        <f t="shared" ref="AA50" si="42">+AA42+AA49</f>
        <v>39011.25</v>
      </c>
      <c r="AB50" s="49"/>
      <c r="AC50" s="166">
        <f t="shared" ref="AC50" si="43">+AC42+AC49</f>
        <v>25801.15</v>
      </c>
      <c r="AD50" s="49"/>
      <c r="AE50" s="166">
        <f t="shared" ref="AE50" si="44">+AE42+AE49</f>
        <v>0</v>
      </c>
      <c r="AF50" s="49"/>
      <c r="AG50" s="166">
        <f t="shared" ref="AG50" si="45">+AG42+AG49</f>
        <v>0</v>
      </c>
      <c r="AH50" s="49"/>
      <c r="AI50" s="166">
        <f t="shared" ref="AI50" si="46">+AI42+AI49</f>
        <v>0</v>
      </c>
      <c r="AJ50" s="49"/>
      <c r="AK50" s="166">
        <f t="shared" ref="AK50" si="47">+AK42+AK49</f>
        <v>0</v>
      </c>
      <c r="AL50" s="49"/>
      <c r="AM50" s="166">
        <f t="shared" ref="AM50" si="48">+AM42+AM49</f>
        <v>0</v>
      </c>
      <c r="AN50" s="49"/>
      <c r="AO50" s="166">
        <f t="shared" ref="AO50" si="49">+AO42+AO49</f>
        <v>0</v>
      </c>
      <c r="AP50" s="49"/>
      <c r="AQ50" s="166">
        <f t="shared" ref="AQ50" si="50">+AQ42+AQ49</f>
        <v>0</v>
      </c>
      <c r="AR50" s="49"/>
      <c r="AS50" s="166">
        <f t="shared" ref="AS50" si="51">+AS42+AS49</f>
        <v>0</v>
      </c>
      <c r="AT50" s="49"/>
      <c r="AU50" s="166">
        <f t="shared" ref="AU50" si="52">+AU42+AU49</f>
        <v>0</v>
      </c>
      <c r="AV50" s="49"/>
      <c r="AW50" s="166">
        <f t="shared" ref="AW50" si="53">+AW42+AW49</f>
        <v>0</v>
      </c>
      <c r="AX50" s="49"/>
      <c r="AY50" s="166">
        <f t="shared" ref="AY50" si="54">+AY42+AY49</f>
        <v>0</v>
      </c>
      <c r="AZ50" s="49"/>
      <c r="BA50" s="166">
        <f t="shared" ref="BA50" si="55">+BA42+BA49</f>
        <v>0</v>
      </c>
      <c r="BB50" s="49"/>
      <c r="BC50" s="166">
        <f t="shared" ref="BC50" si="56">+BC42+BC49</f>
        <v>0</v>
      </c>
      <c r="BD50" s="49"/>
      <c r="BE50" s="166">
        <f t="shared" ref="BE50" si="57">+BE42+BE49</f>
        <v>0</v>
      </c>
      <c r="BF50" s="49"/>
      <c r="BG50" s="166">
        <f t="shared" ref="BG50" si="58">+BG42+BG49</f>
        <v>0</v>
      </c>
      <c r="BH50" s="49"/>
      <c r="BI50" s="166">
        <f t="shared" ref="BI50" si="59">+BI42+BI49</f>
        <v>0</v>
      </c>
      <c r="BJ50" s="49"/>
      <c r="BK50" s="166">
        <f t="shared" ref="BK50" si="60">+BK42+BK49</f>
        <v>0</v>
      </c>
      <c r="BL50" s="49"/>
      <c r="BM50" s="48"/>
      <c r="BN50" s="50"/>
      <c r="BO50" s="170">
        <f t="shared" si="2"/>
        <v>610878.66000000015</v>
      </c>
      <c r="BP50" s="49"/>
      <c r="BQ50" s="172">
        <f>IF(BK50="","",BK50)</f>
        <v>0</v>
      </c>
      <c r="BR50"/>
      <c r="BS50"/>
      <c r="BT50"/>
      <c r="BU50"/>
      <c r="BV50"/>
      <c r="BW50"/>
      <c r="BX50"/>
    </row>
    <row r="51" spans="1:76" x14ac:dyDescent="0.35">
      <c r="A51" s="83" t="s">
        <v>13</v>
      </c>
      <c r="B51" s="54"/>
      <c r="C51" s="84"/>
      <c r="D51" s="85"/>
      <c r="E51" s="86"/>
      <c r="F51" s="87"/>
      <c r="G51" s="86"/>
      <c r="H51" s="87"/>
      <c r="I51" s="86"/>
      <c r="J51" s="87"/>
      <c r="K51" s="86"/>
      <c r="L51" s="87"/>
      <c r="M51" s="86"/>
      <c r="N51" s="87"/>
      <c r="O51" s="86"/>
      <c r="P51" s="87"/>
      <c r="Q51" s="86"/>
      <c r="R51" s="87"/>
      <c r="S51" s="86"/>
      <c r="T51" s="87"/>
      <c r="U51" s="86"/>
      <c r="V51" s="87"/>
      <c r="W51" s="86"/>
      <c r="X51" s="87"/>
      <c r="Y51" s="86"/>
      <c r="Z51" s="87"/>
      <c r="AA51" s="86"/>
      <c r="AB51" s="87"/>
      <c r="AC51" s="86"/>
      <c r="AD51" s="87"/>
      <c r="AE51" s="86"/>
      <c r="AF51" s="87"/>
      <c r="AG51" s="86"/>
      <c r="AH51" s="87"/>
      <c r="AI51" s="86"/>
      <c r="AJ51" s="87"/>
      <c r="AK51" s="86"/>
      <c r="AL51" s="87"/>
      <c r="AM51" s="86"/>
      <c r="AN51" s="87"/>
      <c r="AO51" s="86"/>
      <c r="AP51" s="87"/>
      <c r="AQ51" s="86"/>
      <c r="AR51" s="87"/>
      <c r="AS51" s="86"/>
      <c r="AT51" s="87"/>
      <c r="AU51" s="86"/>
      <c r="AV51" s="87"/>
      <c r="AW51" s="86"/>
      <c r="AX51" s="87"/>
      <c r="AY51" s="86"/>
      <c r="AZ51" s="87"/>
      <c r="BA51" s="86"/>
      <c r="BB51" s="87"/>
      <c r="BC51" s="86"/>
      <c r="BD51" s="87"/>
      <c r="BE51" s="86"/>
      <c r="BF51" s="87"/>
      <c r="BG51" s="86"/>
      <c r="BH51" s="87"/>
      <c r="BI51" s="86"/>
      <c r="BJ51" s="87"/>
      <c r="BK51" s="86"/>
      <c r="BL51" s="87"/>
      <c r="BM51" s="86"/>
      <c r="BN51" s="50"/>
      <c r="BO51" s="170" t="str">
        <f t="shared" si="2"/>
        <v/>
      </c>
      <c r="BP51" s="87"/>
      <c r="BQ51" s="88"/>
    </row>
    <row r="52" spans="1:76" x14ac:dyDescent="0.35">
      <c r="A52" s="83" t="s">
        <v>14</v>
      </c>
      <c r="B52" s="54"/>
      <c r="C52" s="84"/>
      <c r="D52" s="85"/>
      <c r="E52" s="86"/>
      <c r="F52" s="87"/>
      <c r="G52" s="86"/>
      <c r="H52" s="87"/>
      <c r="I52" s="86"/>
      <c r="J52" s="87"/>
      <c r="K52" s="86"/>
      <c r="L52" s="87"/>
      <c r="M52" s="86"/>
      <c r="N52" s="87"/>
      <c r="O52" s="86"/>
      <c r="P52" s="87"/>
      <c r="Q52" s="86"/>
      <c r="R52" s="87"/>
      <c r="S52" s="86"/>
      <c r="T52" s="87"/>
      <c r="U52" s="86"/>
      <c r="V52" s="87"/>
      <c r="W52" s="86"/>
      <c r="X52" s="87"/>
      <c r="Y52" s="86"/>
      <c r="Z52" s="87"/>
      <c r="AA52" s="86"/>
      <c r="AB52" s="87"/>
      <c r="AC52" s="86"/>
      <c r="AD52" s="87"/>
      <c r="AE52" s="86"/>
      <c r="AF52" s="87"/>
      <c r="AG52" s="86"/>
      <c r="AH52" s="87"/>
      <c r="AI52" s="86"/>
      <c r="AJ52" s="87"/>
      <c r="AK52" s="86"/>
      <c r="AL52" s="87"/>
      <c r="AM52" s="86"/>
      <c r="AN52" s="87"/>
      <c r="AO52" s="86"/>
      <c r="AP52" s="87"/>
      <c r="AQ52" s="86"/>
      <c r="AR52" s="87"/>
      <c r="AS52" s="86"/>
      <c r="AT52" s="87"/>
      <c r="AU52" s="86"/>
      <c r="AV52" s="87"/>
      <c r="AW52" s="86"/>
      <c r="AX52" s="87"/>
      <c r="AY52" s="86"/>
      <c r="AZ52" s="87"/>
      <c r="BA52" s="86"/>
      <c r="BB52" s="87"/>
      <c r="BC52" s="86"/>
      <c r="BD52" s="87"/>
      <c r="BE52" s="86"/>
      <c r="BF52" s="87"/>
      <c r="BG52" s="86"/>
      <c r="BH52" s="87"/>
      <c r="BI52" s="86"/>
      <c r="BJ52" s="87"/>
      <c r="BK52" s="86"/>
      <c r="BL52" s="87"/>
      <c r="BM52" s="86"/>
      <c r="BN52" s="50"/>
      <c r="BO52" s="170" t="str">
        <f t="shared" si="2"/>
        <v/>
      </c>
      <c r="BP52" s="87"/>
      <c r="BQ52" s="88"/>
    </row>
    <row r="53" spans="1:76" x14ac:dyDescent="0.35">
      <c r="A53" s="83" t="s">
        <v>42</v>
      </c>
      <c r="B53" s="54"/>
      <c r="C53" s="84"/>
      <c r="D53" s="85"/>
      <c r="E53" s="86"/>
      <c r="F53" s="87"/>
      <c r="G53" s="86"/>
      <c r="H53" s="87"/>
      <c r="I53" s="86"/>
      <c r="J53" s="87"/>
      <c r="K53" s="86"/>
      <c r="L53" s="87"/>
      <c r="M53" s="86"/>
      <c r="N53" s="87"/>
      <c r="O53" s="86"/>
      <c r="P53" s="87"/>
      <c r="Q53" s="86"/>
      <c r="R53" s="87"/>
      <c r="S53" s="86"/>
      <c r="T53" s="87"/>
      <c r="U53" s="86"/>
      <c r="V53" s="87"/>
      <c r="W53" s="86"/>
      <c r="X53" s="87"/>
      <c r="Y53" s="86"/>
      <c r="Z53" s="87"/>
      <c r="AA53" s="86"/>
      <c r="AB53" s="87"/>
      <c r="AC53" s="86"/>
      <c r="AD53" s="87"/>
      <c r="AE53" s="86"/>
      <c r="AF53" s="87"/>
      <c r="AG53" s="86"/>
      <c r="AH53" s="87"/>
      <c r="AI53" s="86"/>
      <c r="AJ53" s="87"/>
      <c r="AK53" s="86"/>
      <c r="AL53" s="87"/>
      <c r="AM53" s="86"/>
      <c r="AN53" s="87"/>
      <c r="AO53" s="86"/>
      <c r="AP53" s="87"/>
      <c r="AQ53" s="86"/>
      <c r="AR53" s="87"/>
      <c r="AS53" s="86"/>
      <c r="AT53" s="87"/>
      <c r="AU53" s="86"/>
      <c r="AV53" s="87"/>
      <c r="AW53" s="86"/>
      <c r="AX53" s="87"/>
      <c r="AY53" s="86"/>
      <c r="AZ53" s="87"/>
      <c r="BA53" s="86"/>
      <c r="BB53" s="87"/>
      <c r="BC53" s="86"/>
      <c r="BD53" s="87"/>
      <c r="BE53" s="86"/>
      <c r="BF53" s="87"/>
      <c r="BG53" s="86"/>
      <c r="BH53" s="87"/>
      <c r="BI53" s="86"/>
      <c r="BJ53" s="87"/>
      <c r="BK53" s="86"/>
      <c r="BL53" s="87"/>
      <c r="BM53" s="86"/>
      <c r="BN53" s="50"/>
      <c r="BO53" s="170" t="str">
        <f t="shared" si="2"/>
        <v/>
      </c>
      <c r="BP53" s="87"/>
      <c r="BQ53" s="88"/>
    </row>
    <row r="54" spans="1:76" x14ac:dyDescent="0.35">
      <c r="A54" s="89" t="s">
        <v>15</v>
      </c>
      <c r="B54" s="90"/>
      <c r="C54" s="174">
        <f>IF('August 2026 Log'!BM54="","",'August 2026 Log'!BM54)</f>
        <v>76253.250000000015</v>
      </c>
      <c r="D54" s="47"/>
      <c r="E54" s="166">
        <f>E22+E23+E32+E34+E50+E51+E52-E33+E24+E53+E112</f>
        <v>166790.02000000002</v>
      </c>
      <c r="F54" s="49"/>
      <c r="G54" s="166">
        <f>G22+G23+G32+G34+G50+G51+G52-G33+G24+G53+G112</f>
        <v>0</v>
      </c>
      <c r="H54" s="49"/>
      <c r="I54" s="166">
        <f>I22+I23+I32+I34+I50+I51+I52-I33+I24+I53+I112</f>
        <v>69167.95</v>
      </c>
      <c r="J54" s="49"/>
      <c r="K54" s="166">
        <f>K22+K23+K32+K34+K50+K51+K52-K33+K24+K53+K112</f>
        <v>61720.44</v>
      </c>
      <c r="L54" s="49"/>
      <c r="M54" s="166">
        <f>M22+M23+M32+M34+M50+M51+M52-M33+M24+M53+M112</f>
        <v>71559.489999999991</v>
      </c>
      <c r="N54" s="49"/>
      <c r="O54" s="166">
        <f>O22+O23+O32+O34+O50+O51+O52-O33+O24+O53+O112</f>
        <v>35975.550000000003</v>
      </c>
      <c r="P54" s="49"/>
      <c r="Q54" s="166">
        <f>Q22+Q23+Q32+Q34+Q50+Q51+Q52-Q33+Q24+Q53+Q112</f>
        <v>62879.11</v>
      </c>
      <c r="R54" s="49"/>
      <c r="S54" s="166">
        <f>S22+S23+S32+S34+S50+S51+S52-S33+S24+S53+S112</f>
        <v>56944.67</v>
      </c>
      <c r="T54" s="49"/>
      <c r="U54" s="166">
        <f>U22+U23+U32+U34+U50+U51+U52-U33+U24+U53+U112</f>
        <v>53849.22</v>
      </c>
      <c r="V54" s="49"/>
      <c r="W54" s="166">
        <f>W22+W23+W32+W34+W50+W51+W52-W33+W24+W53+W112</f>
        <v>57752.1</v>
      </c>
      <c r="X54" s="49"/>
      <c r="Y54" s="166">
        <f>Y22+Y23+Y32+Y34+Y50+Y51+Y52-Y33+Y24+Y53+Y112</f>
        <v>80704.800000000017</v>
      </c>
      <c r="Z54" s="49"/>
      <c r="AA54" s="166">
        <f>AA22+AA23+AA32+AA34+AA50+AA51+AA52-AA33+AA24+AA53+AA112</f>
        <v>55098.270000000004</v>
      </c>
      <c r="AB54" s="49"/>
      <c r="AC54" s="166">
        <f>AC22+AC23+AC32+AC34+AC50+AC51+AC52-AC33+AC24+AC53+AC112</f>
        <v>35585.15</v>
      </c>
      <c r="AD54" s="49"/>
      <c r="AE54" s="166">
        <f>AE22+AE23+AE32+AE34+AE50+AE51+AE52-AE33+AE24+AE53+AE112</f>
        <v>0</v>
      </c>
      <c r="AF54" s="49"/>
      <c r="AG54" s="166">
        <f>AG22+AG23+AG32+AG34+AG50+AG51+AG52-AG33+AG24+AG53+AG112</f>
        <v>0</v>
      </c>
      <c r="AH54" s="49"/>
      <c r="AI54" s="166">
        <f>AI22+AI23+AI32+AI34+AI50+AI51+AI52-AI33+AI24+AI53+AI112</f>
        <v>0</v>
      </c>
      <c r="AJ54" s="49"/>
      <c r="AK54" s="166">
        <f>AK22+AK23+AK32+AK34+AK50+AK51+AK52-AK33+AK24+AK53+AK112</f>
        <v>0</v>
      </c>
      <c r="AL54" s="49"/>
      <c r="AM54" s="166">
        <f>AM22+AM23+AM32+AM34+AM50+AM51+AM52-AM33+AM24+AM53+AM112</f>
        <v>0</v>
      </c>
      <c r="AN54" s="49"/>
      <c r="AO54" s="166">
        <f>AO22+AO23+AO32+AO34+AO50+AO51+AO52-AO33+AO24+AO53+AO112</f>
        <v>0</v>
      </c>
      <c r="AP54" s="49"/>
      <c r="AQ54" s="166">
        <f>AQ22+AQ23+AQ32+AQ34+AQ50+AQ51+AQ52-AQ33+AQ24+AQ53+AQ112</f>
        <v>0</v>
      </c>
      <c r="AR54" s="49"/>
      <c r="AS54" s="166">
        <f>AS22+AS23+AS32+AS34+AS50+AS51+AS52-AS33+AS24+AS53+AS112</f>
        <v>0</v>
      </c>
      <c r="AT54" s="49"/>
      <c r="AU54" s="166">
        <f>AU22+AU23+AU32+AU34+AU50+AU51+AU52-AU33+AU24+AU53+AU112</f>
        <v>0</v>
      </c>
      <c r="AV54" s="49"/>
      <c r="AW54" s="166">
        <f>AW22+AW23+AW32+AW34+AW50+AW51+AW52-AW33+AW24+AW53+AW112</f>
        <v>0</v>
      </c>
      <c r="AX54" s="49"/>
      <c r="AY54" s="166">
        <f>AY22+AY23+AY32+AY34+AY50+AY51+AY52-AY33+AY24+AY53+AY112</f>
        <v>0</v>
      </c>
      <c r="AZ54" s="49"/>
      <c r="BA54" s="166">
        <f>BA22+BA23+BA32+BA34+BA50+BA51+BA52-BA33+BA24+BA53+BA112</f>
        <v>0</v>
      </c>
      <c r="BB54" s="49"/>
      <c r="BC54" s="166">
        <f>BC22+BC23+BC32+BC34+BC50+BC51+BC52-BC33+BC24+BC53+BC112</f>
        <v>0</v>
      </c>
      <c r="BD54" s="49"/>
      <c r="BE54" s="166">
        <f>BE22+BE23+BE32+BE34+BE50+BE51+BE52-BE33+BE24+BE53+BE112</f>
        <v>0</v>
      </c>
      <c r="BF54" s="49"/>
      <c r="BG54" s="166">
        <f>BG22+BG23+BG32+BG34+BG50+BG51+BG52-BG33+BG24+BG53+BG112</f>
        <v>0</v>
      </c>
      <c r="BH54" s="49"/>
      <c r="BI54" s="166">
        <f>BI22+BI23+BI32+BI34+BI50+BI51+BI52-BI33+BI24+BI53+BI112</f>
        <v>0</v>
      </c>
      <c r="BJ54" s="49"/>
      <c r="BK54" s="166">
        <f>BK22+BK23+BK32+BK34+BK50+BK51+BK52-BK33+BK24+BK53+BK112</f>
        <v>0</v>
      </c>
      <c r="BL54" s="49"/>
      <c r="BM54" s="48"/>
      <c r="BN54" s="50"/>
      <c r="BO54" s="170">
        <f t="shared" si="2"/>
        <v>808026.77</v>
      </c>
      <c r="BP54" s="49"/>
      <c r="BQ54" s="172">
        <f t="shared" ref="BQ54:BQ59" si="61">IF(BK54="","",BK54)</f>
        <v>0</v>
      </c>
    </row>
    <row r="55" spans="1:76" x14ac:dyDescent="0.35">
      <c r="A55" s="83" t="s">
        <v>16</v>
      </c>
      <c r="B55" s="54"/>
      <c r="C55" s="174">
        <f>IF('August 2026 Log'!BM55="","",'August 2026 Log'!BM55)</f>
        <v>76251.45</v>
      </c>
      <c r="D55" s="85"/>
      <c r="E55" s="86">
        <v>166806.06</v>
      </c>
      <c r="F55" s="87"/>
      <c r="G55" s="86"/>
      <c r="H55" s="87"/>
      <c r="I55" s="86">
        <v>69166.320000000007</v>
      </c>
      <c r="J55" s="87"/>
      <c r="K55" s="86">
        <v>61714.879999999997</v>
      </c>
      <c r="L55" s="87"/>
      <c r="M55" s="86">
        <v>71561.34</v>
      </c>
      <c r="N55" s="87"/>
      <c r="O55" s="86">
        <v>35988.65</v>
      </c>
      <c r="P55" s="87"/>
      <c r="Q55" s="86">
        <v>62680.01</v>
      </c>
      <c r="R55" s="87"/>
      <c r="S55" s="86">
        <v>54582.6</v>
      </c>
      <c r="T55" s="87"/>
      <c r="U55" s="86">
        <v>52054.25</v>
      </c>
      <c r="V55" s="87"/>
      <c r="W55" s="86">
        <v>54691.29</v>
      </c>
      <c r="X55" s="87"/>
      <c r="Y55" s="86">
        <v>77231.44</v>
      </c>
      <c r="Z55" s="87"/>
      <c r="AA55" s="86">
        <v>55061.62</v>
      </c>
      <c r="AB55" s="87"/>
      <c r="AC55" s="86">
        <v>35575.300000000003</v>
      </c>
      <c r="AD55" s="87"/>
      <c r="AE55" s="86"/>
      <c r="AF55" s="87"/>
      <c r="AG55" s="86"/>
      <c r="AH55" s="87"/>
      <c r="AI55" s="86"/>
      <c r="AJ55" s="87"/>
      <c r="AK55" s="86"/>
      <c r="AL55" s="87"/>
      <c r="AM55" s="86"/>
      <c r="AN55" s="87"/>
      <c r="AO55" s="86"/>
      <c r="AP55" s="87"/>
      <c r="AQ55" s="86"/>
      <c r="AR55" s="87"/>
      <c r="AS55" s="86"/>
      <c r="AT55" s="87"/>
      <c r="AU55" s="86"/>
      <c r="AV55" s="87"/>
      <c r="AW55" s="86"/>
      <c r="AX55" s="87"/>
      <c r="AY55" s="86"/>
      <c r="AZ55" s="87"/>
      <c r="BA55" s="86"/>
      <c r="BB55" s="87"/>
      <c r="BC55" s="86"/>
      <c r="BD55" s="87"/>
      <c r="BE55" s="86"/>
      <c r="BF55" s="87"/>
      <c r="BG55" s="86"/>
      <c r="BH55" s="87"/>
      <c r="BI55" s="86"/>
      <c r="BJ55" s="87"/>
      <c r="BK55" s="86"/>
      <c r="BL55" s="87"/>
      <c r="BM55" s="86"/>
      <c r="BN55" s="50"/>
      <c r="BO55" s="170">
        <f t="shared" si="2"/>
        <v>797113.76000000013</v>
      </c>
      <c r="BP55" s="87"/>
      <c r="BQ55" s="178" t="str">
        <f t="shared" si="61"/>
        <v/>
      </c>
    </row>
    <row r="56" spans="1:76" x14ac:dyDescent="0.35">
      <c r="A56" s="83" t="s">
        <v>17</v>
      </c>
      <c r="B56" s="54"/>
      <c r="C56" s="174">
        <f>IF('August 2026 Log'!BM56="","",'August 2026 Log'!BM56)</f>
        <v>-14.5</v>
      </c>
      <c r="D56" s="85"/>
      <c r="E56" s="176">
        <f>-33.9-33.9</f>
        <v>-67.8</v>
      </c>
      <c r="F56" s="87"/>
      <c r="G56" s="86"/>
      <c r="H56" s="87"/>
      <c r="I56" s="86"/>
      <c r="J56" s="87"/>
      <c r="K56" s="176">
        <f>-104.35-33.9-65.9</f>
        <v>-204.15</v>
      </c>
      <c r="L56" s="87"/>
      <c r="M56" s="86"/>
      <c r="N56" s="87"/>
      <c r="O56" s="86"/>
      <c r="P56" s="87"/>
      <c r="Q56" s="86">
        <v>-30</v>
      </c>
      <c r="R56" s="87"/>
      <c r="S56" s="86"/>
      <c r="T56" s="87"/>
      <c r="U56" s="86"/>
      <c r="V56" s="87"/>
      <c r="W56" s="86"/>
      <c r="X56" s="87">
        <v>-16</v>
      </c>
      <c r="Y56" s="86">
        <v>-16</v>
      </c>
      <c r="Z56" s="87"/>
      <c r="AA56" s="86"/>
      <c r="AB56" s="87"/>
      <c r="AC56" s="86"/>
      <c r="AD56" s="87"/>
      <c r="AE56" s="86"/>
      <c r="AF56" s="87"/>
      <c r="AG56" s="86"/>
      <c r="AH56" s="87"/>
      <c r="AI56" s="86"/>
      <c r="AJ56" s="87"/>
      <c r="AK56" s="86"/>
      <c r="AL56" s="87"/>
      <c r="AM56" s="86"/>
      <c r="AN56" s="87"/>
      <c r="AO56" s="86"/>
      <c r="AP56" s="87"/>
      <c r="AQ56" s="86"/>
      <c r="AR56" s="87"/>
      <c r="AS56" s="86"/>
      <c r="AT56" s="87"/>
      <c r="AU56" s="86"/>
      <c r="AV56" s="87"/>
      <c r="AW56" s="86"/>
      <c r="AX56" s="87"/>
      <c r="AY56" s="86"/>
      <c r="AZ56" s="87"/>
      <c r="BA56" s="86"/>
      <c r="BB56" s="87"/>
      <c r="BC56" s="86"/>
      <c r="BD56" s="87"/>
      <c r="BE56" s="86"/>
      <c r="BF56" s="87"/>
      <c r="BG56" s="86"/>
      <c r="BH56" s="87"/>
      <c r="BI56" s="86"/>
      <c r="BJ56" s="87"/>
      <c r="BK56" s="86"/>
      <c r="BL56" s="87"/>
      <c r="BM56" s="86"/>
      <c r="BN56" s="50"/>
      <c r="BO56" s="170">
        <f t="shared" si="2"/>
        <v>-317.95</v>
      </c>
      <c r="BP56" s="87"/>
      <c r="BQ56" s="178" t="str">
        <f t="shared" si="61"/>
        <v/>
      </c>
    </row>
    <row r="57" spans="1:76" x14ac:dyDescent="0.35">
      <c r="A57" s="89" t="s">
        <v>18</v>
      </c>
      <c r="B57" s="90"/>
      <c r="C57" s="174">
        <f>IF('August 2026 Log'!BM57="","",'August 2026 Log'!BM57)</f>
        <v>76236.95</v>
      </c>
      <c r="D57" s="47"/>
      <c r="E57" s="166">
        <f>SUM(E55:E56)</f>
        <v>166738.26</v>
      </c>
      <c r="F57" s="49"/>
      <c r="G57" s="166">
        <f>SUM(G55:G56)</f>
        <v>0</v>
      </c>
      <c r="H57" s="49"/>
      <c r="I57" s="166">
        <f>SUM(I55:I56)</f>
        <v>69166.320000000007</v>
      </c>
      <c r="J57" s="49"/>
      <c r="K57" s="166">
        <f>SUM(K55:K56)</f>
        <v>61510.729999999996</v>
      </c>
      <c r="L57" s="49"/>
      <c r="M57" s="166">
        <f>SUM(M55:M56)</f>
        <v>71561.34</v>
      </c>
      <c r="N57" s="49"/>
      <c r="O57" s="166">
        <f>SUM(O55:O56)</f>
        <v>35988.65</v>
      </c>
      <c r="P57" s="49"/>
      <c r="Q57" s="166">
        <f>SUM(Q55:Q56)</f>
        <v>62650.01</v>
      </c>
      <c r="R57" s="49"/>
      <c r="S57" s="166">
        <f>SUM(S55:S56)</f>
        <v>54582.6</v>
      </c>
      <c r="T57" s="49"/>
      <c r="U57" s="166">
        <f>SUM(U55:U56)</f>
        <v>52054.25</v>
      </c>
      <c r="V57" s="49"/>
      <c r="W57" s="166">
        <f>SUM(W55:W56)</f>
        <v>54691.29</v>
      </c>
      <c r="X57" s="49"/>
      <c r="Y57" s="166">
        <f>SUM(Y55:Y56)</f>
        <v>77215.44</v>
      </c>
      <c r="Z57" s="49"/>
      <c r="AA57" s="166">
        <f>SUM(AA55:AA56)</f>
        <v>55061.62</v>
      </c>
      <c r="AB57" s="49"/>
      <c r="AC57" s="166">
        <f>SUM(AC55:AC56)</f>
        <v>35575.300000000003</v>
      </c>
      <c r="AD57" s="49"/>
      <c r="AE57" s="166">
        <f>SUM(AE55:AE56)</f>
        <v>0</v>
      </c>
      <c r="AF57" s="49"/>
      <c r="AG57" s="166">
        <f>SUM(AG55:AG56)</f>
        <v>0</v>
      </c>
      <c r="AH57" s="49"/>
      <c r="AI57" s="166">
        <f>SUM(AI55:AI56)</f>
        <v>0</v>
      </c>
      <c r="AJ57" s="49"/>
      <c r="AK57" s="166">
        <f>SUM(AK55:AK56)</f>
        <v>0</v>
      </c>
      <c r="AL57" s="49"/>
      <c r="AM57" s="166">
        <f>SUM(AM55:AM56)</f>
        <v>0</v>
      </c>
      <c r="AN57" s="49"/>
      <c r="AO57" s="166">
        <f>SUM(AO55:AO56)</f>
        <v>0</v>
      </c>
      <c r="AP57" s="49"/>
      <c r="AQ57" s="166">
        <f>SUM(AQ55:AQ56)</f>
        <v>0</v>
      </c>
      <c r="AR57" s="49"/>
      <c r="AS57" s="166">
        <f>SUM(AS55:AS56)</f>
        <v>0</v>
      </c>
      <c r="AT57" s="49"/>
      <c r="AU57" s="166">
        <f>SUM(AU55:AU56)</f>
        <v>0</v>
      </c>
      <c r="AV57" s="49"/>
      <c r="AW57" s="166">
        <f>SUM(AW55:AW56)</f>
        <v>0</v>
      </c>
      <c r="AX57" s="49"/>
      <c r="AY57" s="166">
        <f>SUM(AY55:AY56)</f>
        <v>0</v>
      </c>
      <c r="AZ57" s="49"/>
      <c r="BA57" s="166">
        <f>SUM(BA55:BA56)</f>
        <v>0</v>
      </c>
      <c r="BB57" s="49"/>
      <c r="BC57" s="166">
        <f>SUM(BC55:BC56)</f>
        <v>0</v>
      </c>
      <c r="BD57" s="49"/>
      <c r="BE57" s="166">
        <f>SUM(BE55:BE56)</f>
        <v>0</v>
      </c>
      <c r="BF57" s="49"/>
      <c r="BG57" s="166">
        <f>SUM(BG55:BG56)</f>
        <v>0</v>
      </c>
      <c r="BH57" s="49"/>
      <c r="BI57" s="166">
        <f>SUM(BI55:BI56)</f>
        <v>0</v>
      </c>
      <c r="BJ57" s="49"/>
      <c r="BK57" s="166">
        <f>SUM(BK55:BK56)</f>
        <v>0</v>
      </c>
      <c r="BL57" s="49"/>
      <c r="BM57" s="48"/>
      <c r="BN57" s="50"/>
      <c r="BO57" s="170">
        <f t="shared" si="2"/>
        <v>796795.81000000017</v>
      </c>
      <c r="BP57" s="49"/>
      <c r="BQ57" s="172">
        <f t="shared" si="61"/>
        <v>0</v>
      </c>
    </row>
    <row r="58" spans="1:76" x14ac:dyDescent="0.35">
      <c r="A58" s="108" t="s">
        <v>19</v>
      </c>
      <c r="B58" s="109"/>
      <c r="C58" s="174">
        <f>IF('August 2026 Log'!BM58="","",'August 2026 Log'!BM58)</f>
        <v>16.300000000017462</v>
      </c>
      <c r="D58" s="47"/>
      <c r="E58" s="166">
        <f>+E54-E57</f>
        <v>51.760000000009313</v>
      </c>
      <c r="F58" s="49"/>
      <c r="G58" s="166">
        <f>+G54-G57</f>
        <v>0</v>
      </c>
      <c r="H58" s="49"/>
      <c r="I58" s="166">
        <f>+I54-I57</f>
        <v>1.6299999999901047</v>
      </c>
      <c r="J58" s="49"/>
      <c r="K58" s="166">
        <f>+K54-K57</f>
        <v>209.7100000000064</v>
      </c>
      <c r="L58" s="49"/>
      <c r="M58" s="166">
        <f>+M54-M57</f>
        <v>-1.8500000000058208</v>
      </c>
      <c r="N58" s="49"/>
      <c r="O58" s="166">
        <f>+O54-O57</f>
        <v>-13.099999999998545</v>
      </c>
      <c r="P58" s="49"/>
      <c r="Q58" s="166">
        <f>+Q54-Q57</f>
        <v>229.09999999999854</v>
      </c>
      <c r="R58" s="49"/>
      <c r="S58" s="166">
        <f>+S54-S57</f>
        <v>2362.0699999999997</v>
      </c>
      <c r="T58" s="49"/>
      <c r="U58" s="166">
        <f>+U54-U57</f>
        <v>1794.9700000000012</v>
      </c>
      <c r="V58" s="49"/>
      <c r="W58" s="166">
        <f>+W54-W57</f>
        <v>3060.8099999999977</v>
      </c>
      <c r="X58" s="49"/>
      <c r="Y58" s="166">
        <f>+Y54-Y57</f>
        <v>3489.3600000000151</v>
      </c>
      <c r="Z58" s="49"/>
      <c r="AA58" s="166">
        <f>+AA54-AA57</f>
        <v>36.650000000001455</v>
      </c>
      <c r="AB58" s="49"/>
      <c r="AC58" s="166">
        <f>+AC54-AC57</f>
        <v>9.8499999999985448</v>
      </c>
      <c r="AD58" s="49"/>
      <c r="AE58" s="166">
        <f>+AE54-AE57</f>
        <v>0</v>
      </c>
      <c r="AF58" s="49"/>
      <c r="AG58" s="166">
        <f>+AG54-AG57</f>
        <v>0</v>
      </c>
      <c r="AH58" s="49"/>
      <c r="AI58" s="166">
        <f>+AI54-AI57</f>
        <v>0</v>
      </c>
      <c r="AJ58" s="49"/>
      <c r="AK58" s="166">
        <f>+AK54-AK57</f>
        <v>0</v>
      </c>
      <c r="AL58" s="49"/>
      <c r="AM58" s="166">
        <f>+AM54-AM57</f>
        <v>0</v>
      </c>
      <c r="AN58" s="49"/>
      <c r="AO58" s="166">
        <f>+AO54-AO57</f>
        <v>0</v>
      </c>
      <c r="AP58" s="49"/>
      <c r="AQ58" s="166">
        <f>+AQ54-AQ57</f>
        <v>0</v>
      </c>
      <c r="AR58" s="49"/>
      <c r="AS58" s="166">
        <f>+AS54-AS57</f>
        <v>0</v>
      </c>
      <c r="AT58" s="49"/>
      <c r="AU58" s="166">
        <f>+AU54-AU57</f>
        <v>0</v>
      </c>
      <c r="AV58" s="49"/>
      <c r="AW58" s="166">
        <f>+AW54-AW57</f>
        <v>0</v>
      </c>
      <c r="AX58" s="49"/>
      <c r="AY58" s="166">
        <f>+AY54-AY57</f>
        <v>0</v>
      </c>
      <c r="AZ58" s="49"/>
      <c r="BA58" s="166">
        <f>+BA54-BA57</f>
        <v>0</v>
      </c>
      <c r="BB58" s="49"/>
      <c r="BC58" s="166">
        <f>+BC54-BC57</f>
        <v>0</v>
      </c>
      <c r="BD58" s="49"/>
      <c r="BE58" s="166">
        <f>+BE54-BE57</f>
        <v>0</v>
      </c>
      <c r="BF58" s="49"/>
      <c r="BG58" s="166">
        <f>+BG54-BG57</f>
        <v>0</v>
      </c>
      <c r="BH58" s="49"/>
      <c r="BI58" s="166">
        <f>+BI54-BI57</f>
        <v>0</v>
      </c>
      <c r="BJ58" s="49"/>
      <c r="BK58" s="166">
        <f>+BK54-BK57</f>
        <v>0</v>
      </c>
      <c r="BL58" s="49"/>
      <c r="BM58" s="48"/>
      <c r="BN58" s="50"/>
      <c r="BO58" s="170">
        <f t="shared" si="2"/>
        <v>11230.960000000014</v>
      </c>
      <c r="BP58" s="49"/>
      <c r="BQ58" s="172">
        <f t="shared" si="61"/>
        <v>0</v>
      </c>
    </row>
    <row r="59" spans="1:76" x14ac:dyDescent="0.35">
      <c r="A59" s="108" t="s">
        <v>20</v>
      </c>
      <c r="B59" s="109"/>
      <c r="C59" s="174">
        <f>IF('August 2026 Log'!BM59="","",'August 2026 Log'!BM59)</f>
        <v>0</v>
      </c>
      <c r="D59" s="47"/>
      <c r="E59" s="166">
        <f>-E25+E26</f>
        <v>0</v>
      </c>
      <c r="F59" s="49"/>
      <c r="G59" s="166">
        <f>-G25+G26</f>
        <v>0</v>
      </c>
      <c r="H59" s="49"/>
      <c r="I59" s="166">
        <f>-I25+I26</f>
        <v>4</v>
      </c>
      <c r="J59" s="49"/>
      <c r="K59" s="166">
        <f>-K25+K26</f>
        <v>0</v>
      </c>
      <c r="L59" s="49"/>
      <c r="M59" s="166">
        <f>-M25+M26</f>
        <v>0</v>
      </c>
      <c r="N59" s="49"/>
      <c r="O59" s="166">
        <f>-O25+O26</f>
        <v>0</v>
      </c>
      <c r="P59" s="49"/>
      <c r="Q59" s="166">
        <f>-Q25+Q26</f>
        <v>-200</v>
      </c>
      <c r="R59" s="49"/>
      <c r="S59" s="166">
        <f>-S25+S26</f>
        <v>-50</v>
      </c>
      <c r="T59" s="49"/>
      <c r="U59" s="166">
        <f>-U25+U26</f>
        <v>0</v>
      </c>
      <c r="V59" s="49"/>
      <c r="W59" s="166">
        <f>-W25+W26</f>
        <v>67</v>
      </c>
      <c r="X59" s="49"/>
      <c r="Y59" s="166">
        <f>-Y25+Y26</f>
        <v>-30</v>
      </c>
      <c r="Z59" s="49"/>
      <c r="AA59" s="166">
        <f>-AA25+AA26</f>
        <v>-12</v>
      </c>
      <c r="AB59" s="49"/>
      <c r="AC59" s="166">
        <f>-AC25+AC26</f>
        <v>0</v>
      </c>
      <c r="AD59" s="49"/>
      <c r="AE59" s="166">
        <f>-AE25+AE26</f>
        <v>0</v>
      </c>
      <c r="AF59" s="49"/>
      <c r="AG59" s="166">
        <f>-AG25+AG26</f>
        <v>0</v>
      </c>
      <c r="AH59" s="49"/>
      <c r="AI59" s="166">
        <f>-AI25+AI26</f>
        <v>0</v>
      </c>
      <c r="AJ59" s="49"/>
      <c r="AK59" s="166">
        <f>-AK25+AK26</f>
        <v>0</v>
      </c>
      <c r="AL59" s="49"/>
      <c r="AM59" s="166">
        <f>-AM25+AM26</f>
        <v>0</v>
      </c>
      <c r="AN59" s="49"/>
      <c r="AO59" s="166">
        <f>-AO25+AO26</f>
        <v>0</v>
      </c>
      <c r="AP59" s="49"/>
      <c r="AQ59" s="166">
        <f>-AQ25+AQ26</f>
        <v>0</v>
      </c>
      <c r="AR59" s="49"/>
      <c r="AS59" s="166">
        <f>-AS25+AS26</f>
        <v>0</v>
      </c>
      <c r="AT59" s="49"/>
      <c r="AU59" s="166">
        <f>-AU25+AU26</f>
        <v>0</v>
      </c>
      <c r="AV59" s="49"/>
      <c r="AW59" s="166">
        <f>-AW25+AW26</f>
        <v>0</v>
      </c>
      <c r="AX59" s="49"/>
      <c r="AY59" s="166">
        <f>-AY25+AY26</f>
        <v>0</v>
      </c>
      <c r="AZ59" s="49"/>
      <c r="BA59" s="166">
        <f>-BA25+BA26</f>
        <v>0</v>
      </c>
      <c r="BB59" s="49"/>
      <c r="BC59" s="166">
        <f>-BC25+BC26</f>
        <v>0</v>
      </c>
      <c r="BD59" s="49"/>
      <c r="BE59" s="166">
        <f>-BE25+BE26</f>
        <v>0</v>
      </c>
      <c r="BF59" s="49"/>
      <c r="BG59" s="166">
        <f>-BG25+BG26</f>
        <v>0</v>
      </c>
      <c r="BH59" s="49"/>
      <c r="BI59" s="166">
        <f>-BI25+BI26</f>
        <v>0</v>
      </c>
      <c r="BJ59" s="49"/>
      <c r="BK59" s="166">
        <f>-BK25+BK26</f>
        <v>0</v>
      </c>
      <c r="BL59" s="49"/>
      <c r="BM59" s="48"/>
      <c r="BN59" s="50"/>
      <c r="BO59" s="170">
        <f t="shared" si="2"/>
        <v>-221</v>
      </c>
      <c r="BP59" s="49"/>
      <c r="BQ59" s="172">
        <f t="shared" si="61"/>
        <v>0</v>
      </c>
    </row>
    <row r="60" spans="1:76" x14ac:dyDescent="0.35">
      <c r="A60" s="74"/>
      <c r="B60" s="75"/>
      <c r="C60" s="141"/>
      <c r="D60" s="102"/>
      <c r="E60" s="142"/>
      <c r="F60" s="104"/>
      <c r="G60" s="142"/>
      <c r="H60" s="104"/>
      <c r="I60" s="142"/>
      <c r="J60" s="104"/>
      <c r="K60" s="142"/>
      <c r="L60" s="104"/>
      <c r="M60" s="142"/>
      <c r="N60" s="104"/>
      <c r="O60" s="142"/>
      <c r="P60" s="104"/>
      <c r="Q60" s="142"/>
      <c r="R60" s="104"/>
      <c r="S60" s="142"/>
      <c r="T60" s="104"/>
      <c r="U60" s="142"/>
      <c r="V60" s="104"/>
      <c r="W60" s="142"/>
      <c r="X60" s="104"/>
      <c r="Y60" s="142"/>
      <c r="Z60" s="104"/>
      <c r="AA60" s="142"/>
      <c r="AB60" s="104"/>
      <c r="AC60" s="142"/>
      <c r="AD60" s="104"/>
      <c r="AE60" s="142"/>
      <c r="AF60" s="104"/>
      <c r="AG60" s="142"/>
      <c r="AH60" s="104"/>
      <c r="AI60" s="142"/>
      <c r="AJ60" s="104"/>
      <c r="AK60" s="142"/>
      <c r="AL60" s="104"/>
      <c r="AM60" s="142"/>
      <c r="AN60" s="104"/>
      <c r="AO60" s="142"/>
      <c r="AP60" s="104"/>
      <c r="AQ60" s="142"/>
      <c r="AR60" s="104"/>
      <c r="AS60" s="142"/>
      <c r="AT60" s="104"/>
      <c r="AU60" s="142"/>
      <c r="AV60" s="104"/>
      <c r="AW60" s="142"/>
      <c r="AX60" s="104"/>
      <c r="AY60" s="142"/>
      <c r="AZ60" s="104"/>
      <c r="BA60" s="142"/>
      <c r="BB60" s="104"/>
      <c r="BC60" s="142"/>
      <c r="BD60" s="104"/>
      <c r="BE60" s="142"/>
      <c r="BF60" s="104"/>
      <c r="BG60" s="142"/>
      <c r="BH60" s="104"/>
      <c r="BI60" s="142"/>
      <c r="BJ60" s="104"/>
      <c r="BK60" s="142"/>
      <c r="BL60" s="104"/>
      <c r="BM60" s="142"/>
      <c r="BN60" s="105"/>
      <c r="BO60" s="106"/>
      <c r="BP60" s="104"/>
      <c r="BQ60" s="107"/>
    </row>
    <row r="61" spans="1:76" s="23" customFormat="1" ht="15.5" x14ac:dyDescent="0.35">
      <c r="A61" s="197" t="s">
        <v>265</v>
      </c>
      <c r="B61" s="198"/>
      <c r="C61" s="139"/>
      <c r="D61" s="199"/>
      <c r="E61" s="209">
        <f t="shared" ref="E61" si="62">+E73-D67</f>
        <v>-1002160</v>
      </c>
      <c r="F61" s="201"/>
      <c r="G61" s="209">
        <f t="shared" ref="G61" si="63">+G73-F67</f>
        <v>-213</v>
      </c>
      <c r="H61" s="201"/>
      <c r="I61" s="209">
        <f t="shared" ref="I61" si="64">+I73-H67</f>
        <v>363</v>
      </c>
      <c r="J61" s="201"/>
      <c r="K61" s="209">
        <f t="shared" ref="K61" si="65">+K73-J67</f>
        <v>-102</v>
      </c>
      <c r="L61" s="201"/>
      <c r="M61" s="209">
        <f t="shared" ref="M61" si="66">+M73-L67</f>
        <v>-7</v>
      </c>
      <c r="N61" s="201"/>
      <c r="O61" s="209">
        <f>+O73-N67</f>
        <v>-56</v>
      </c>
      <c r="P61" s="201"/>
      <c r="Q61" s="209">
        <f t="shared" ref="Q61" si="67">+Q73-P67</f>
        <v>307</v>
      </c>
      <c r="R61" s="201"/>
      <c r="S61" s="209">
        <f t="shared" ref="S61" si="68">+S73-R67</f>
        <v>-36</v>
      </c>
      <c r="T61" s="201"/>
      <c r="U61" s="209">
        <f t="shared" ref="U61" si="69">+U73-T67</f>
        <v>-89</v>
      </c>
      <c r="V61" s="201"/>
      <c r="W61" s="209">
        <f t="shared" ref="W61" si="70">+W73-V67</f>
        <v>229</v>
      </c>
      <c r="X61" s="201"/>
      <c r="Y61" s="209">
        <f t="shared" ref="Y61" si="71">+Y73-X67</f>
        <v>-574</v>
      </c>
      <c r="Z61" s="201"/>
      <c r="AA61" s="209">
        <f t="shared" ref="AA61" si="72">+AA73-Z67</f>
        <v>-211</v>
      </c>
      <c r="AB61" s="201"/>
      <c r="AC61" s="209">
        <f t="shared" ref="AC61" si="73">+AC73-AB67</f>
        <v>106</v>
      </c>
      <c r="AD61" s="201"/>
      <c r="AE61" s="209">
        <f t="shared" ref="AE61" si="74">+AE73-AD67</f>
        <v>257</v>
      </c>
      <c r="AF61" s="201"/>
      <c r="AG61" s="209">
        <f t="shared" ref="AG61" si="75">+AG73-AF67</f>
        <v>152</v>
      </c>
      <c r="AH61" s="201"/>
      <c r="AI61" s="209">
        <f t="shared" ref="AI61" si="76">+AI73-AH67</f>
        <v>-3383118</v>
      </c>
      <c r="AJ61" s="201"/>
      <c r="AK61" s="209">
        <f t="shared" ref="AK61" si="77">+AK73-AJ67</f>
        <v>0</v>
      </c>
      <c r="AL61" s="201"/>
      <c r="AM61" s="209">
        <f t="shared" ref="AM61" si="78">+AM73-AL67</f>
        <v>0</v>
      </c>
      <c r="AN61" s="201"/>
      <c r="AO61" s="209">
        <f t="shared" ref="AO61" si="79">+AO73-AN67</f>
        <v>0</v>
      </c>
      <c r="AP61" s="201"/>
      <c r="AQ61" s="209">
        <f t="shared" ref="AQ61" si="80">+AQ73-AP67</f>
        <v>0</v>
      </c>
      <c r="AR61" s="201"/>
      <c r="AS61" s="209">
        <f t="shared" ref="AS61" si="81">+AS73-AR67</f>
        <v>0</v>
      </c>
      <c r="AT61" s="201"/>
      <c r="AU61" s="209">
        <f t="shared" ref="AU61" si="82">+AU73-AT67</f>
        <v>0</v>
      </c>
      <c r="AV61" s="201"/>
      <c r="AW61" s="209">
        <f t="shared" ref="AW61" si="83">+AW73-AV67</f>
        <v>0</v>
      </c>
      <c r="AX61" s="201"/>
      <c r="AY61" s="209">
        <f t="shared" ref="AY61" si="84">+AY73-AX67</f>
        <v>0</v>
      </c>
      <c r="AZ61" s="201"/>
      <c r="BA61" s="209">
        <f t="shared" ref="BA61" si="85">+BA73-AZ67</f>
        <v>0</v>
      </c>
      <c r="BB61" s="201"/>
      <c r="BC61" s="209">
        <f t="shared" ref="BC61" si="86">+BC73-BB67</f>
        <v>0</v>
      </c>
      <c r="BD61" s="201"/>
      <c r="BE61" s="209">
        <f t="shared" ref="BE61" si="87">+BE73-BD67</f>
        <v>0</v>
      </c>
      <c r="BF61" s="201"/>
      <c r="BG61" s="209">
        <f>+BG73-BF67</f>
        <v>0</v>
      </c>
      <c r="BH61" s="201"/>
      <c r="BI61" s="209">
        <f>+BI73-BH67</f>
        <v>0</v>
      </c>
      <c r="BJ61" s="201"/>
      <c r="BK61" s="209">
        <f t="shared" ref="BK61" si="88">+BK73-BJ67</f>
        <v>0</v>
      </c>
      <c r="BL61" s="201"/>
      <c r="BM61" s="200"/>
      <c r="BN61" s="201"/>
      <c r="BO61" s="209">
        <f>IF(COUNT(E61,G61,I61,K61,M61,O61,Q61,S61,U61,W61,Y61,AA61,AC61,AE61,AG61,AI61,AK61,AM61,AO61,AQ61,AS61,AU61,AW61,AY61,BA61,BC61,BE61,BG61,BI61,BK61,BM61)=0,"",SUM(E61,G61,I61,K61,M61,O61,Q61,S61,U61,W61,Y61,AA61,AC61,AE61,AG61,AI61,AK61,AM61,AO61,AQ61,AS61,AU61,AW61,AY61,BA61,BC61,BE61,BG61,BI61,BK61,BM61))</f>
        <v>-4385152</v>
      </c>
      <c r="BP61" s="202"/>
      <c r="BQ61" s="179" t="e">
        <f>+BQ73-BP67</f>
        <v>#VALUE!</v>
      </c>
      <c r="BR61" s="9"/>
      <c r="BS61" s="9"/>
      <c r="BT61" s="9"/>
      <c r="BU61" s="9"/>
      <c r="BV61" s="9"/>
      <c r="BW61" s="9"/>
      <c r="BX61" s="9"/>
    </row>
    <row r="62" spans="1:76" x14ac:dyDescent="0.35">
      <c r="A62" s="53" t="s">
        <v>24</v>
      </c>
      <c r="B62" s="187">
        <f>C62-C106</f>
        <v>16500</v>
      </c>
      <c r="C62" s="174">
        <f>IF('August 2026 Log'!BM62="","",'August 2026 Log'!BM62)</f>
        <v>16500</v>
      </c>
      <c r="D62" s="189">
        <f>+C62-E62+E106</f>
        <v>1100</v>
      </c>
      <c r="E62" s="48">
        <v>15400</v>
      </c>
      <c r="F62" s="167">
        <f>+E62-G62+G106</f>
        <v>600</v>
      </c>
      <c r="G62" s="48">
        <v>14800</v>
      </c>
      <c r="H62" s="167">
        <f>+G62-I62+I106</f>
        <v>800</v>
      </c>
      <c r="I62" s="48">
        <v>14000</v>
      </c>
      <c r="J62" s="167">
        <f>+I62-K62+K106</f>
        <v>500</v>
      </c>
      <c r="K62" s="48">
        <v>13500</v>
      </c>
      <c r="L62" s="167">
        <f>+K62-M62+M106</f>
        <v>700</v>
      </c>
      <c r="M62" s="48">
        <v>12800</v>
      </c>
      <c r="N62" s="167">
        <f>+M62-O62+O106</f>
        <v>400</v>
      </c>
      <c r="O62" s="48">
        <v>12400</v>
      </c>
      <c r="P62" s="167">
        <f>+O62-Q62+Q106</f>
        <v>600</v>
      </c>
      <c r="Q62" s="48">
        <v>11800</v>
      </c>
      <c r="R62" s="167">
        <f>+Q62-S62+S106</f>
        <v>600</v>
      </c>
      <c r="S62" s="48">
        <v>11200</v>
      </c>
      <c r="T62" s="167">
        <f>+S62-U62+U106</f>
        <v>500</v>
      </c>
      <c r="U62" s="48">
        <v>10700</v>
      </c>
      <c r="V62" s="167">
        <f>+U62-W62+W106</f>
        <v>700</v>
      </c>
      <c r="W62" s="48">
        <v>10000</v>
      </c>
      <c r="X62" s="167">
        <f>+W62-Y62+Y106</f>
        <v>600</v>
      </c>
      <c r="Y62" s="48">
        <v>9400</v>
      </c>
      <c r="Z62" s="167">
        <f>+Y62-AA62+AA106</f>
        <v>800</v>
      </c>
      <c r="AA62" s="48">
        <v>8600</v>
      </c>
      <c r="AB62" s="167">
        <f>+AA62-AC62+AC106</f>
        <v>300</v>
      </c>
      <c r="AC62" s="203">
        <v>8300</v>
      </c>
      <c r="AD62" s="167">
        <f>+AC62-AE62+AE106</f>
        <v>800</v>
      </c>
      <c r="AE62" s="203">
        <v>7500</v>
      </c>
      <c r="AF62" s="167">
        <f>+AE62-AG62+AG106</f>
        <v>800</v>
      </c>
      <c r="AG62" s="203">
        <v>6700</v>
      </c>
      <c r="AH62" s="167">
        <f>+AG62-AI62+AI106</f>
        <v>6700</v>
      </c>
      <c r="AI62" s="48"/>
      <c r="AJ62" s="167">
        <f>+AI62-AK62+AK106</f>
        <v>0</v>
      </c>
      <c r="AK62" s="48"/>
      <c r="AL62" s="167">
        <f>+AK62-AM62+AM106</f>
        <v>0</v>
      </c>
      <c r="AM62" s="48"/>
      <c r="AN62" s="167">
        <f>+AM62-AO62+AO106</f>
        <v>0</v>
      </c>
      <c r="AO62" s="48"/>
      <c r="AP62" s="167">
        <f>+AO62-AQ62+AQ106</f>
        <v>0</v>
      </c>
      <c r="AQ62" s="48"/>
      <c r="AR62" s="167">
        <f>+AQ62-AS62+AS106</f>
        <v>0</v>
      </c>
      <c r="AS62" s="48"/>
      <c r="AT62" s="167">
        <f>+AS62-AU62+AU106</f>
        <v>0</v>
      </c>
      <c r="AU62" s="48"/>
      <c r="AV62" s="167">
        <f>+AU62-AW62+AW106</f>
        <v>0</v>
      </c>
      <c r="AW62" s="48"/>
      <c r="AX62" s="167">
        <f>+AW62-AY62+AY106</f>
        <v>0</v>
      </c>
      <c r="AY62" s="48"/>
      <c r="AZ62" s="167">
        <f>+AY62-BA62+BA106</f>
        <v>0</v>
      </c>
      <c r="BA62" s="48"/>
      <c r="BB62" s="167">
        <f>+BA62-BC62+BC106</f>
        <v>0</v>
      </c>
      <c r="BC62" s="48"/>
      <c r="BD62" s="167">
        <f>+BC62-BE62+BE106</f>
        <v>0</v>
      </c>
      <c r="BE62" s="48"/>
      <c r="BF62" s="167">
        <f>+BE62-BG62+BG106</f>
        <v>0</v>
      </c>
      <c r="BG62" s="48"/>
      <c r="BH62" s="167">
        <f>+BG62-BI62+BI106</f>
        <v>0</v>
      </c>
      <c r="BI62" s="48"/>
      <c r="BJ62" s="167">
        <f>+BI62-BK62+BK106</f>
        <v>0</v>
      </c>
      <c r="BK62" s="48"/>
      <c r="BL62" s="49"/>
      <c r="BM62" s="48"/>
      <c r="BN62" s="50"/>
      <c r="BO62" s="170">
        <f>IF(COUNT(D62,F62,H62,J62,L62,N62,P62,R62,T62,V62,X62,Z62,AB62,AD62,AF62,AH62,AJ62,AL62,AN62,AP62,AR62,AT62,AV62,AX62,AZ62,BB62,BD62,BF62,BH62,BJ62,BL62)=0,"",SUM(D62,F62,H62,J62,L62,N62,P62,R62,T62,V62,X62,Z62,AB62,AD62,AF62,AH62,AJ62,AL62,AN62,AP62,AR62,AT62,AV62,AX62,AZ62,BB62,BD62,BF62,BH62,BJ62,BL62))</f>
        <v>16500</v>
      </c>
      <c r="BP62" s="167" t="e">
        <f>+BM62-BQ62+BQ106</f>
        <v>#VALUE!</v>
      </c>
      <c r="BQ62" s="178" t="str">
        <f>IF(BK62="","",BK62)</f>
        <v/>
      </c>
    </row>
    <row r="63" spans="1:76" x14ac:dyDescent="0.35">
      <c r="A63" s="53" t="s">
        <v>25</v>
      </c>
      <c r="B63" s="187">
        <f>C63-C107</f>
        <v>3400</v>
      </c>
      <c r="C63" s="174">
        <f>IF('August 2026 Log'!BM63="","",'August 2026 Log'!BM63)</f>
        <v>3400</v>
      </c>
      <c r="D63" s="189">
        <f>+C63-E63+E107</f>
        <v>100</v>
      </c>
      <c r="E63" s="48">
        <v>3300</v>
      </c>
      <c r="F63" s="167">
        <f>+E63-G63+G107</f>
        <v>200</v>
      </c>
      <c r="G63" s="48">
        <v>3100</v>
      </c>
      <c r="H63" s="167">
        <f>+G63-I63+I107</f>
        <v>200</v>
      </c>
      <c r="I63" s="48">
        <v>2900</v>
      </c>
      <c r="J63" s="167">
        <f>+I63-K63+K107</f>
        <v>100</v>
      </c>
      <c r="K63" s="48">
        <v>2800</v>
      </c>
      <c r="L63" s="167">
        <f>+K63-M63+M107</f>
        <v>100</v>
      </c>
      <c r="M63" s="48">
        <v>2700</v>
      </c>
      <c r="N63" s="167">
        <f>+M63-O63+O107</f>
        <v>200</v>
      </c>
      <c r="O63" s="48">
        <v>2500</v>
      </c>
      <c r="P63" s="167">
        <f>+O63-Q63+Q107</f>
        <v>200</v>
      </c>
      <c r="Q63" s="48">
        <v>2300</v>
      </c>
      <c r="R63" s="167">
        <f>+Q63-S63+S107</f>
        <v>300</v>
      </c>
      <c r="S63" s="48">
        <v>2000</v>
      </c>
      <c r="T63" s="167">
        <f>+S63-U63+U107</f>
        <v>100</v>
      </c>
      <c r="U63" s="48">
        <v>1900</v>
      </c>
      <c r="V63" s="167">
        <f>+U63-W63+W107</f>
        <v>200</v>
      </c>
      <c r="W63" s="48">
        <v>1700</v>
      </c>
      <c r="X63" s="167">
        <f>+W63-Y63+Y107</f>
        <v>100</v>
      </c>
      <c r="Y63" s="48">
        <v>1600</v>
      </c>
      <c r="Z63" s="167">
        <f>+Y63-AA63+AA107</f>
        <v>200</v>
      </c>
      <c r="AA63" s="48">
        <v>1400</v>
      </c>
      <c r="AB63" s="167">
        <f>+AA63-AC63+AC107</f>
        <v>100</v>
      </c>
      <c r="AC63" s="203">
        <v>1300</v>
      </c>
      <c r="AD63" s="167">
        <f>+AC63-AE63+AE107</f>
        <v>100</v>
      </c>
      <c r="AE63" s="203">
        <v>1200</v>
      </c>
      <c r="AF63" s="167">
        <f>+AE63-AG63+AG107</f>
        <v>100</v>
      </c>
      <c r="AG63" s="203">
        <v>1100</v>
      </c>
      <c r="AH63" s="167">
        <f>+AG63-AI63+AI107</f>
        <v>1100</v>
      </c>
      <c r="AI63" s="48"/>
      <c r="AJ63" s="167">
        <f>+AI63-AK63+AK107</f>
        <v>0</v>
      </c>
      <c r="AK63" s="48"/>
      <c r="AL63" s="167">
        <f>+AK63-AM63+AM107</f>
        <v>0</v>
      </c>
      <c r="AM63" s="48"/>
      <c r="AN63" s="167">
        <f>+AM63-AO63+AO107</f>
        <v>0</v>
      </c>
      <c r="AO63" s="48"/>
      <c r="AP63" s="167">
        <f>+AO63-AQ63+AQ107</f>
        <v>0</v>
      </c>
      <c r="AQ63" s="48"/>
      <c r="AR63" s="167">
        <f>+AQ63-AS63+AS107</f>
        <v>0</v>
      </c>
      <c r="AS63" s="48"/>
      <c r="AT63" s="167">
        <f>+AS63-AU63+AU107</f>
        <v>0</v>
      </c>
      <c r="AU63" s="48"/>
      <c r="AV63" s="167">
        <f>+AU63-AW63+AW107</f>
        <v>0</v>
      </c>
      <c r="AW63" s="48"/>
      <c r="AX63" s="167">
        <f>+AW63-AY63+AY107</f>
        <v>0</v>
      </c>
      <c r="AY63" s="48"/>
      <c r="AZ63" s="167">
        <f>+AY63-BA63+BA107</f>
        <v>0</v>
      </c>
      <c r="BA63" s="48"/>
      <c r="BB63" s="167">
        <f>+BA63-BC63+BC107</f>
        <v>0</v>
      </c>
      <c r="BC63" s="48"/>
      <c r="BD63" s="167">
        <f>+BC63-BE63+BE107</f>
        <v>0</v>
      </c>
      <c r="BE63" s="48"/>
      <c r="BF63" s="167">
        <f>+BE63-BG63+BG107</f>
        <v>0</v>
      </c>
      <c r="BG63" s="48"/>
      <c r="BH63" s="167">
        <f>+BG63-BI63+BI107</f>
        <v>0</v>
      </c>
      <c r="BI63" s="48"/>
      <c r="BJ63" s="167">
        <f>+BI63-BK63+BK107</f>
        <v>0</v>
      </c>
      <c r="BK63" s="48"/>
      <c r="BL63" s="49"/>
      <c r="BM63" s="48"/>
      <c r="BN63" s="50"/>
      <c r="BO63" s="170">
        <f>IF(COUNT(D63,F63,H63,J63,L63,N63,P63,R63,T63,V63,X63,Z63,AB63,AD63,AF63,AH63,AJ63,AL63,AN63,AP63,AR63,AT63,AV63,AX63,AZ63,BB63,BD63,BF63,BH63,BJ63,BL63)=0,"",SUM(D63,F63,H63,J63,L63,N63,P63,R63,T63,V63,X63,Z63,AB63,AD63,AF63,AH63,AJ63,AL63,AN63,AP63,AR63,AT63,AV63,AX63,AZ63,BB63,BD63,BF63,BH63,BJ63,BL63))</f>
        <v>3400</v>
      </c>
      <c r="BP63" s="167" t="e">
        <f>+BM63-BQ63+BQ107</f>
        <v>#VALUE!</v>
      </c>
      <c r="BQ63" s="178" t="str">
        <f>IF(BK63="","",BK63)</f>
        <v/>
      </c>
    </row>
    <row r="64" spans="1:76" x14ac:dyDescent="0.35">
      <c r="A64" s="53" t="s">
        <v>25</v>
      </c>
      <c r="B64" s="187">
        <f>C64-C108</f>
        <v>2600</v>
      </c>
      <c r="C64" s="174">
        <f>IF('August 2026 Log'!BM64="","",'August 2026 Log'!BM64)</f>
        <v>2600</v>
      </c>
      <c r="D64" s="189">
        <f>+C64-E64+E108</f>
        <v>100</v>
      </c>
      <c r="E64" s="48">
        <v>2500</v>
      </c>
      <c r="F64" s="167">
        <f>+E64-G64+G108</f>
        <v>100</v>
      </c>
      <c r="G64" s="48">
        <v>2400</v>
      </c>
      <c r="H64" s="167">
        <f>+G64-I64+I108</f>
        <v>0</v>
      </c>
      <c r="I64" s="48">
        <v>2400</v>
      </c>
      <c r="J64" s="167">
        <f>+I64-K64+K108</f>
        <v>300</v>
      </c>
      <c r="K64" s="48">
        <v>2100</v>
      </c>
      <c r="L64" s="167">
        <f>+K64-M64+M108</f>
        <v>300</v>
      </c>
      <c r="M64" s="48">
        <v>1800</v>
      </c>
      <c r="N64" s="167">
        <f>+M64-O64+O108</f>
        <v>0</v>
      </c>
      <c r="O64" s="48">
        <v>1800</v>
      </c>
      <c r="P64" s="167">
        <f>+O64-Q64+Q108</f>
        <v>0</v>
      </c>
      <c r="Q64" s="48">
        <v>1800</v>
      </c>
      <c r="R64" s="167">
        <f>+Q64-S64+S108</f>
        <v>100</v>
      </c>
      <c r="S64" s="48">
        <v>1700</v>
      </c>
      <c r="T64" s="167">
        <f>+S64-U64+U108</f>
        <v>0</v>
      </c>
      <c r="U64" s="48">
        <v>1700</v>
      </c>
      <c r="V64" s="167">
        <f>+U64-W64+W108</f>
        <v>200</v>
      </c>
      <c r="W64" s="48">
        <v>1500</v>
      </c>
      <c r="X64" s="167">
        <f>+W64-Y64+Y108</f>
        <v>300</v>
      </c>
      <c r="Y64" s="48">
        <v>1200</v>
      </c>
      <c r="Z64" s="167">
        <f>+Y64-AA64+AA108</f>
        <v>0</v>
      </c>
      <c r="AA64" s="48">
        <v>1200</v>
      </c>
      <c r="AB64" s="167">
        <f>+AA64-AC64+AC108</f>
        <v>100</v>
      </c>
      <c r="AC64" s="203">
        <v>1100</v>
      </c>
      <c r="AD64" s="167">
        <f>+AC64-AE64+AE108</f>
        <v>0</v>
      </c>
      <c r="AE64" s="203">
        <v>1100</v>
      </c>
      <c r="AF64" s="167">
        <f>+AE64-AG64+AG108</f>
        <v>200</v>
      </c>
      <c r="AG64" s="203">
        <v>900</v>
      </c>
      <c r="AH64" s="167">
        <f>+AG64-AI64+AI108</f>
        <v>900</v>
      </c>
      <c r="AI64" s="48"/>
      <c r="AJ64" s="167">
        <f>+AI64-AK64+AK108</f>
        <v>0</v>
      </c>
      <c r="AK64" s="48"/>
      <c r="AL64" s="167">
        <f>+AK64-AM64+AM108</f>
        <v>0</v>
      </c>
      <c r="AM64" s="48"/>
      <c r="AN64" s="167">
        <f>+AM64-AO64+AO108</f>
        <v>0</v>
      </c>
      <c r="AO64" s="48"/>
      <c r="AP64" s="167">
        <f>+AO64-AQ64+AQ108</f>
        <v>0</v>
      </c>
      <c r="AQ64" s="48"/>
      <c r="AR64" s="167">
        <f>+AQ64-AS64+AS108</f>
        <v>0</v>
      </c>
      <c r="AS64" s="48"/>
      <c r="AT64" s="167">
        <f>+AS64-AU64+AU108</f>
        <v>0</v>
      </c>
      <c r="AU64" s="48"/>
      <c r="AV64" s="167">
        <f>+AU64-AW64+AW108</f>
        <v>0</v>
      </c>
      <c r="AW64" s="48"/>
      <c r="AX64" s="167">
        <f>+AW64-AY64+AY108</f>
        <v>0</v>
      </c>
      <c r="AY64" s="48"/>
      <c r="AZ64" s="167">
        <f>+AY64-BA64+BA108</f>
        <v>0</v>
      </c>
      <c r="BA64" s="48"/>
      <c r="BB64" s="167">
        <f>+BA64-BC64+BC108</f>
        <v>0</v>
      </c>
      <c r="BC64" s="48"/>
      <c r="BD64" s="167">
        <f>+BC64-BE64+BE108</f>
        <v>0</v>
      </c>
      <c r="BE64" s="48"/>
      <c r="BF64" s="167">
        <f>+BE64-BG64+BG108</f>
        <v>0</v>
      </c>
      <c r="BG64" s="48"/>
      <c r="BH64" s="167">
        <f>+BG64-BI64+BI108</f>
        <v>0</v>
      </c>
      <c r="BI64" s="48"/>
      <c r="BJ64" s="167">
        <f>+BI64-BK64+BK108</f>
        <v>0</v>
      </c>
      <c r="BK64" s="48"/>
      <c r="BL64" s="49"/>
      <c r="BM64" s="48"/>
      <c r="BN64" s="50"/>
      <c r="BO64" s="170">
        <f>IF(COUNT(D64,F64,H64,J64,L64,N64,P64,R64,T64,V64,X64,Z64,AB64,AD64,AF64,AH64,AJ64,AL64,AN64,AP64,AR64,AT64,AV64,AX64,AZ64,BB64,BD64,BF64,BH64,BJ64,BL64)=0,"",SUM(D64,F64,H64,J64,L64,N64,P64,R64,T64,V64,X64,Z64,AB64,AD64,AF64,AH64,AJ64,AL64,AN64,AP64,AR64,AT64,AV64,AX64,AZ64,BB64,BD64,BF64,BH64,BJ64,BL64))</f>
        <v>2600</v>
      </c>
      <c r="BP64" s="167" t="e">
        <f>+BM64-BQ64+BQ108</f>
        <v>#VALUE!</v>
      </c>
      <c r="BQ64" s="178" t="str">
        <f>IF(BK64="","",BK64)</f>
        <v/>
      </c>
    </row>
    <row r="65" spans="1:69" x14ac:dyDescent="0.35">
      <c r="A65" s="53" t="s">
        <v>26</v>
      </c>
      <c r="B65" s="187">
        <f>C65-C109</f>
        <v>1600</v>
      </c>
      <c r="C65" s="174">
        <f>IF('August 2026 Log'!BM65="","",'August 2026 Log'!BM65)</f>
        <v>1600</v>
      </c>
      <c r="D65" s="189">
        <f>+C65-E65+E109</f>
        <v>1800</v>
      </c>
      <c r="E65" s="48">
        <v>4800</v>
      </c>
      <c r="F65" s="167">
        <f>+E65-G65+G109</f>
        <v>400</v>
      </c>
      <c r="G65" s="48">
        <v>4400</v>
      </c>
      <c r="H65" s="167">
        <f>+G65-I65+I109</f>
        <v>200</v>
      </c>
      <c r="I65" s="48">
        <v>4200</v>
      </c>
      <c r="J65" s="167">
        <f>+I65-K65+K109</f>
        <v>500</v>
      </c>
      <c r="K65" s="48">
        <v>3700</v>
      </c>
      <c r="L65" s="167">
        <f>+K65-M65+M109</f>
        <v>600</v>
      </c>
      <c r="M65" s="48">
        <v>3100</v>
      </c>
      <c r="N65" s="167">
        <f>+M65-O65+O109</f>
        <v>300</v>
      </c>
      <c r="O65" s="48">
        <v>2800</v>
      </c>
      <c r="P65" s="167">
        <f>+O65-Q65+Q109</f>
        <v>800</v>
      </c>
      <c r="Q65" s="48">
        <v>2000</v>
      </c>
      <c r="R65" s="167">
        <f>+Q65-S65+S109</f>
        <v>400</v>
      </c>
      <c r="S65" s="48">
        <v>1600</v>
      </c>
      <c r="T65" s="167">
        <f>+S65-U65+U109</f>
        <v>300</v>
      </c>
      <c r="U65" s="48">
        <v>1300</v>
      </c>
      <c r="V65" s="167">
        <f>+U65-W65+W109</f>
        <v>197</v>
      </c>
      <c r="W65" s="48">
        <v>4100</v>
      </c>
      <c r="X65" s="167">
        <f>+W65-Y65+Y109</f>
        <v>900</v>
      </c>
      <c r="Y65" s="48">
        <v>3200</v>
      </c>
      <c r="Z65" s="167">
        <f>+Y65-AA65+AA109</f>
        <v>400</v>
      </c>
      <c r="AA65" s="48">
        <v>2800</v>
      </c>
      <c r="AB65" s="167">
        <f>+AA65-AC65+AC109</f>
        <v>100</v>
      </c>
      <c r="AC65" s="203">
        <v>2700</v>
      </c>
      <c r="AD65" s="167">
        <f>+AC65-AE65+AE109</f>
        <v>800</v>
      </c>
      <c r="AE65" s="203">
        <v>1900</v>
      </c>
      <c r="AF65" s="167">
        <f>+AE65-AG65+AG109</f>
        <v>300</v>
      </c>
      <c r="AG65" s="203">
        <v>1600</v>
      </c>
      <c r="AH65" s="167">
        <f>+AG65-AI65+AI109</f>
        <v>1600</v>
      </c>
      <c r="AI65" s="48"/>
      <c r="AJ65" s="167">
        <f>+AI65-AK65+AK109</f>
        <v>0</v>
      </c>
      <c r="AK65" s="48"/>
      <c r="AL65" s="167">
        <f>+AK65-AM65+AM109</f>
        <v>0</v>
      </c>
      <c r="AM65" s="48"/>
      <c r="AN65" s="167">
        <f>+AM65-AO65+AO109</f>
        <v>0</v>
      </c>
      <c r="AO65" s="48"/>
      <c r="AP65" s="167">
        <f>+AO65-AQ65+AQ109</f>
        <v>0</v>
      </c>
      <c r="AQ65" s="48"/>
      <c r="AR65" s="167">
        <f>+AQ65-AS65+AS109</f>
        <v>0</v>
      </c>
      <c r="AS65" s="48"/>
      <c r="AT65" s="167">
        <f>+AS65-AU65+AU109</f>
        <v>0</v>
      </c>
      <c r="AU65" s="48"/>
      <c r="AV65" s="167">
        <f>+AU65-AW65+AW109</f>
        <v>0</v>
      </c>
      <c r="AW65" s="48"/>
      <c r="AX65" s="167">
        <f>+AW65-AY65+AY109</f>
        <v>0</v>
      </c>
      <c r="AY65" s="48"/>
      <c r="AZ65" s="167">
        <f>+AY65-BA65+BA109</f>
        <v>0</v>
      </c>
      <c r="BA65" s="48"/>
      <c r="BB65" s="167">
        <f>+BA65-BC65+BC109</f>
        <v>0</v>
      </c>
      <c r="BC65" s="48"/>
      <c r="BD65" s="167">
        <f>+BC65-BE65+BE109</f>
        <v>0</v>
      </c>
      <c r="BE65" s="48"/>
      <c r="BF65" s="167">
        <f>+BE65-BG65+BG109</f>
        <v>0</v>
      </c>
      <c r="BG65" s="48"/>
      <c r="BH65" s="167">
        <f>+BG65-BI65+BI109</f>
        <v>0</v>
      </c>
      <c r="BI65" s="48"/>
      <c r="BJ65" s="167">
        <f>+BI65-BK65+BK109</f>
        <v>0</v>
      </c>
      <c r="BK65" s="48"/>
      <c r="BL65" s="49"/>
      <c r="BM65" s="48"/>
      <c r="BN65" s="50"/>
      <c r="BO65" s="170">
        <f>IF(COUNT(D65,F65,H65,J65,L65,N65,P65,R65,T65,V65,X65,Z65,AB65,AD65,AF65,AH65,AJ65,AL65,AN65,AP65,AR65,AT65,AV65,AX65,AZ65,BB65,BD65,BF65,BH65,BJ65,BL65)=0,"",SUM(D65,F65,H65,J65,L65,N65,P65,R65,T65,V65,X65,Z65,AB65,AD65,AF65,AH65,AJ65,AL65,AN65,AP65,AR65,AT65,AV65,AX65,AZ65,BB65,BD65,BF65,BH65,BJ65,BL65))</f>
        <v>9597</v>
      </c>
      <c r="BP65" s="167" t="e">
        <f>+BM65-BQ65+BQ109</f>
        <v>#VALUE!</v>
      </c>
      <c r="BQ65" s="178" t="str">
        <f>IF(BK65="","",BK65)</f>
        <v/>
      </c>
    </row>
    <row r="66" spans="1:69" x14ac:dyDescent="0.35">
      <c r="A66" s="53" t="s">
        <v>26</v>
      </c>
      <c r="B66" s="187">
        <f>C66-C110</f>
        <v>1200</v>
      </c>
      <c r="C66" s="174">
        <f>IF('August 2026 Log'!BM66="","",'August 2026 Log'!BM66)</f>
        <v>1200</v>
      </c>
      <c r="D66" s="189">
        <f>+C66-E66+E110</f>
        <v>2967</v>
      </c>
      <c r="E66" s="48">
        <v>4200</v>
      </c>
      <c r="F66" s="167">
        <f>+E66-G66+G110</f>
        <v>600</v>
      </c>
      <c r="G66" s="48">
        <v>3600</v>
      </c>
      <c r="H66" s="167">
        <f>+G66-I66+I110</f>
        <v>400</v>
      </c>
      <c r="I66" s="48">
        <v>3200</v>
      </c>
      <c r="J66" s="167">
        <f>+I66-K66+K110</f>
        <v>300</v>
      </c>
      <c r="K66" s="48">
        <v>2900</v>
      </c>
      <c r="L66" s="167">
        <f>+K66-M66+M110</f>
        <v>400</v>
      </c>
      <c r="M66" s="48">
        <v>2500</v>
      </c>
      <c r="N66" s="167">
        <f>+M66-O66+O110</f>
        <v>200</v>
      </c>
      <c r="O66" s="48">
        <v>2300</v>
      </c>
      <c r="P66" s="167">
        <f>+O66-Q66+Q110</f>
        <v>-100</v>
      </c>
      <c r="Q66" s="48">
        <v>2400</v>
      </c>
      <c r="R66" s="167">
        <f>+Q66-S66+S110</f>
        <v>200</v>
      </c>
      <c r="S66" s="48">
        <v>2200</v>
      </c>
      <c r="T66" s="167">
        <f>+S66-U66+U110</f>
        <v>700</v>
      </c>
      <c r="U66" s="48">
        <v>1500</v>
      </c>
      <c r="V66" s="167">
        <f>+U66-W66+W110</f>
        <v>3</v>
      </c>
      <c r="W66" s="48">
        <v>4500</v>
      </c>
      <c r="X66" s="167">
        <f>+W66-Y66+Y110</f>
        <v>800</v>
      </c>
      <c r="Y66" s="48">
        <v>3700</v>
      </c>
      <c r="Z66" s="167">
        <f>+Y66-AA66+AA110</f>
        <v>300</v>
      </c>
      <c r="AA66" s="48">
        <v>3400</v>
      </c>
      <c r="AB66" s="167">
        <f>+AA66-AC66+AC110</f>
        <v>200</v>
      </c>
      <c r="AC66" s="203">
        <v>3200</v>
      </c>
      <c r="AD66" s="167">
        <f>+AC66-AE66+AE110</f>
        <v>500</v>
      </c>
      <c r="AE66" s="203">
        <v>2700</v>
      </c>
      <c r="AF66" s="167">
        <f>+AE66-AG66+AG110</f>
        <v>500</v>
      </c>
      <c r="AG66" s="203">
        <v>2200</v>
      </c>
      <c r="AH66" s="167">
        <f>+AG66-AI66+AI110</f>
        <v>2200</v>
      </c>
      <c r="AI66" s="48"/>
      <c r="AJ66" s="167">
        <f>+AI66-AK66+AK110</f>
        <v>0</v>
      </c>
      <c r="AK66" s="48"/>
      <c r="AL66" s="167">
        <f>+AK66-AM66+AM110</f>
        <v>0</v>
      </c>
      <c r="AM66" s="48"/>
      <c r="AN66" s="167">
        <f>+AM66-AO66+AO110</f>
        <v>0</v>
      </c>
      <c r="AO66" s="48"/>
      <c r="AP66" s="167">
        <f>+AO66-AQ66+AQ110</f>
        <v>0</v>
      </c>
      <c r="AQ66" s="48"/>
      <c r="AR66" s="167">
        <f>+AQ66-AS66+AS110</f>
        <v>0</v>
      </c>
      <c r="AS66" s="48"/>
      <c r="AT66" s="167">
        <f>+AS66-AU66+AU110</f>
        <v>0</v>
      </c>
      <c r="AU66" s="48"/>
      <c r="AV66" s="167">
        <f>+AU66-AW66+AW110</f>
        <v>0</v>
      </c>
      <c r="AW66" s="48"/>
      <c r="AX66" s="167">
        <f>+AW66-AY66+AY110</f>
        <v>0</v>
      </c>
      <c r="AY66" s="48"/>
      <c r="AZ66" s="167">
        <f>+AY66-BA66+BA110</f>
        <v>0</v>
      </c>
      <c r="BA66" s="48"/>
      <c r="BB66" s="167">
        <f>+BA66-BC66+BC110</f>
        <v>0</v>
      </c>
      <c r="BC66" s="48"/>
      <c r="BD66" s="167">
        <f>+BC66-BE66+BE110</f>
        <v>0</v>
      </c>
      <c r="BE66" s="48"/>
      <c r="BF66" s="167">
        <f>+BE66-BG66+BG110</f>
        <v>0</v>
      </c>
      <c r="BG66" s="48"/>
      <c r="BH66" s="167">
        <f>+BG66-BI66+BI110</f>
        <v>0</v>
      </c>
      <c r="BI66" s="48"/>
      <c r="BJ66" s="167">
        <f>+BI66-BK66+BK110</f>
        <v>0</v>
      </c>
      <c r="BK66" s="48"/>
      <c r="BL66" s="49"/>
      <c r="BM66" s="48"/>
      <c r="BN66" s="50"/>
      <c r="BO66" s="170">
        <f>IF(COUNT(D66,F66,H66,J66,L66,N66,P66,R66,T66,V66,X66,Z66,AB66,AD66,AF66,AH66,AJ66,AL66,AN66,AP66,AR66,AT66,AV66,AX66,AZ66,BB66,BD66,BF66,BH66,BJ66,BL66)=0,"",SUM(D66,F66,H66,J66,L66,N66,P66,R66,T66,V66,X66,Z66,AB66,AD66,AF66,AH66,AJ66,AL66,AN66,AP66,AR66,AT66,AV66,AX66,AZ66,BB66,BD66,BF66,BH66,BJ66,BL66))</f>
        <v>10170</v>
      </c>
      <c r="BP66" s="167" t="e">
        <f>+BM66-BQ66+BQ110</f>
        <v>#VALUE!</v>
      </c>
      <c r="BQ66" s="178" t="str">
        <f>IF(BK66="","",BK66)</f>
        <v/>
      </c>
    </row>
    <row r="67" spans="1:69" x14ac:dyDescent="0.35">
      <c r="A67" s="98"/>
      <c r="B67" s="90"/>
      <c r="C67" s="131"/>
      <c r="D67" s="189">
        <f>SUM(D62:D66)</f>
        <v>6067</v>
      </c>
      <c r="E67" s="166">
        <f>+E73-D73</f>
        <v>-1001737.02</v>
      </c>
      <c r="F67" s="167">
        <f>SUM(F62:F66)</f>
        <v>1900</v>
      </c>
      <c r="G67" s="166">
        <f>+G73-F73</f>
        <v>-302.71000000000004</v>
      </c>
      <c r="H67" s="167">
        <f>SUM(H62:H66)</f>
        <v>1600</v>
      </c>
      <c r="I67" s="166">
        <f>+I73-H73</f>
        <v>-3.0199999999999818</v>
      </c>
      <c r="J67" s="167">
        <f>SUM(J62:J66)</f>
        <v>1700</v>
      </c>
      <c r="K67" s="166">
        <f>+K73-J73</f>
        <v>0.11999999999989086</v>
      </c>
      <c r="L67" s="167">
        <f>SUM(L62:L66)</f>
        <v>2100</v>
      </c>
      <c r="M67" s="166">
        <f>+M73-L73</f>
        <v>-4.1300000000001091</v>
      </c>
      <c r="N67" s="167">
        <f>SUM(N62:N66)</f>
        <v>1100</v>
      </c>
      <c r="O67" s="166">
        <f>+O73-N73</f>
        <v>0.18000000000006366</v>
      </c>
      <c r="P67" s="167">
        <f>SUM(P62:P66)</f>
        <v>1500</v>
      </c>
      <c r="Q67" s="166">
        <f>+Q73-P73</f>
        <v>-3.5899999999999181</v>
      </c>
      <c r="R67" s="167">
        <f>SUM(R62:R66)</f>
        <v>1600</v>
      </c>
      <c r="S67" s="166">
        <f>+S73-R73</f>
        <v>-0.53000000000020009</v>
      </c>
      <c r="T67" s="167">
        <f>SUM(T62:T66)</f>
        <v>1600</v>
      </c>
      <c r="U67" s="166">
        <f>+U73-T73</f>
        <v>-5.5700000000001637</v>
      </c>
      <c r="V67" s="167">
        <f>SUM(V62:V66)</f>
        <v>1300</v>
      </c>
      <c r="W67" s="166">
        <f>+W73-V73</f>
        <v>-2688438</v>
      </c>
      <c r="X67" s="167">
        <f>SUM(X62:X66)</f>
        <v>2700</v>
      </c>
      <c r="Y67" s="166">
        <f>+Y73-X73</f>
        <v>-192750.02000000002</v>
      </c>
      <c r="Z67" s="167">
        <f>SUM(Z62:Z66)</f>
        <v>1700</v>
      </c>
      <c r="AA67" s="166">
        <f>+AA73-Z73</f>
        <v>1489</v>
      </c>
      <c r="AB67" s="167">
        <f>SUM(AB62:AB66)</f>
        <v>800</v>
      </c>
      <c r="AC67" s="166">
        <f>+AC73-AB73</f>
        <v>906</v>
      </c>
      <c r="AD67" s="167">
        <f>SUM(AD62:AD66)</f>
        <v>2200</v>
      </c>
      <c r="AE67" s="166">
        <f>+AE73-AD73</f>
        <v>2457</v>
      </c>
      <c r="AF67" s="167">
        <f>SUM(AF62:AF66)</f>
        <v>1900</v>
      </c>
      <c r="AG67" s="166">
        <f>+AG73-AF73</f>
        <v>2052</v>
      </c>
      <c r="AH67" s="167">
        <f>SUM(AH62:AH66)</f>
        <v>12500</v>
      </c>
      <c r="AI67" s="166">
        <f>+AI73-AH73</f>
        <v>-3370618</v>
      </c>
      <c r="AJ67" s="167">
        <f>SUM(AJ62:AJ66)</f>
        <v>0</v>
      </c>
      <c r="AK67" s="166">
        <f>+AK73-AJ73</f>
        <v>0</v>
      </c>
      <c r="AL67" s="167">
        <f>SUM(AL62:AL66)</f>
        <v>0</v>
      </c>
      <c r="AM67" s="166">
        <f>+AM73-AL73</f>
        <v>0</v>
      </c>
      <c r="AN67" s="167">
        <f>SUM(AN62:AN66)</f>
        <v>0</v>
      </c>
      <c r="AO67" s="166">
        <f>+AO73-AN73</f>
        <v>0</v>
      </c>
      <c r="AP67" s="167">
        <f>SUM(AP62:AP66)</f>
        <v>0</v>
      </c>
      <c r="AQ67" s="166">
        <f>+AQ73-AP73</f>
        <v>0</v>
      </c>
      <c r="AR67" s="167">
        <f>SUM(AR62:AR66)</f>
        <v>0</v>
      </c>
      <c r="AS67" s="166">
        <f>+AS73-AR73</f>
        <v>0</v>
      </c>
      <c r="AT67" s="167">
        <f>SUM(AT62:AT66)</f>
        <v>0</v>
      </c>
      <c r="AU67" s="166">
        <f>+AU73-AT73</f>
        <v>0</v>
      </c>
      <c r="AV67" s="167">
        <f>SUM(AV62:AV66)</f>
        <v>0</v>
      </c>
      <c r="AW67" s="166">
        <f>+AW73-AV73</f>
        <v>0</v>
      </c>
      <c r="AX67" s="167">
        <f>SUM(AX62:AX66)</f>
        <v>0</v>
      </c>
      <c r="AY67" s="166">
        <f>+AY73-AX73</f>
        <v>0</v>
      </c>
      <c r="AZ67" s="167">
        <f>SUM(AZ62:AZ66)</f>
        <v>0</v>
      </c>
      <c r="BA67" s="166">
        <f>+BA73-AZ73</f>
        <v>0</v>
      </c>
      <c r="BB67" s="167">
        <f>SUM(BB62:BB66)</f>
        <v>0</v>
      </c>
      <c r="BC67" s="166">
        <f>+BC73-BB73</f>
        <v>0</v>
      </c>
      <c r="BD67" s="167">
        <f>SUM(BD62:BD66)</f>
        <v>0</v>
      </c>
      <c r="BE67" s="166">
        <f>+BE73-BD73</f>
        <v>0</v>
      </c>
      <c r="BF67" s="167">
        <f>SUM(BF62:BF66)</f>
        <v>0</v>
      </c>
      <c r="BG67" s="166">
        <f>+BG73-BF73</f>
        <v>0</v>
      </c>
      <c r="BH67" s="167">
        <f>SUM(BH62:BH66)</f>
        <v>0</v>
      </c>
      <c r="BI67" s="166">
        <f>+BI73-BH73</f>
        <v>0</v>
      </c>
      <c r="BJ67" s="167">
        <f>SUM(BJ62:BJ66)</f>
        <v>0</v>
      </c>
      <c r="BK67" s="166">
        <f>+BK73-BJ73</f>
        <v>0</v>
      </c>
      <c r="BL67" s="49"/>
      <c r="BM67" s="48"/>
      <c r="BN67" s="50"/>
      <c r="BO67" s="170">
        <f t="shared" ref="BO67:BO75" si="89">IF(COUNT(E67,G67,I67,K67,M67,O67,Q67,S67,U67,W67,Y67,AA67,AC67,AE67,AG67,AI67,AK67,AM67,AO67,AQ67,AS67,AU67,AW67,AY67,BA67,BC67,BE67,BG67,BI67,BK67,BM67)=0,"",SUM(E67,G67,I67,K67,M67,O67,Q67,S67,U67,W67,Y67,AA67,AC67,AE67,AG67,AI67,AK67,AM67,AO67,AQ67,AS67,AU67,AW67,AY67,BA67,BC67,BE67,BG67,BI67,BK67,BM67))</f>
        <v>-7246958.29</v>
      </c>
      <c r="BP67" s="167" t="e">
        <f>SUM(BP62:BP66)</f>
        <v>#VALUE!</v>
      </c>
      <c r="BQ67" s="172" t="e">
        <f>+BQ73-BP73</f>
        <v>#VALUE!</v>
      </c>
    </row>
    <row r="68" spans="1:69" x14ac:dyDescent="0.35">
      <c r="A68" s="132" t="s">
        <v>87</v>
      </c>
      <c r="B68" s="133"/>
      <c r="C68" s="131"/>
      <c r="D68" s="189">
        <f>D91+D94</f>
        <v>1578.21</v>
      </c>
      <c r="E68" s="166">
        <f>+E77-C77+E80-C80</f>
        <v>-998422</v>
      </c>
      <c r="F68" s="167">
        <f>F91+F94</f>
        <v>450.53000000000003</v>
      </c>
      <c r="G68" s="166">
        <f>+G77-E77+G80-E80</f>
        <v>450</v>
      </c>
      <c r="H68" s="167">
        <f>H91+H94</f>
        <v>420.93000000000006</v>
      </c>
      <c r="I68" s="166">
        <f>+I77-G77+I80-G80</f>
        <v>421</v>
      </c>
      <c r="J68" s="167">
        <f>J91+J94</f>
        <v>378.23</v>
      </c>
      <c r="K68" s="166">
        <f>+K77-I77+K80-I80</f>
        <v>379</v>
      </c>
      <c r="L68" s="167">
        <f>L91+L94</f>
        <v>627.27</v>
      </c>
      <c r="M68" s="166">
        <f>+M77-K77+M80-K80</f>
        <v>627</v>
      </c>
      <c r="N68" s="167">
        <f>N91+N94</f>
        <v>335.71000000000004</v>
      </c>
      <c r="O68" s="166">
        <f>+O77-M77+O80-M80</f>
        <v>336</v>
      </c>
      <c r="P68" s="167">
        <f>P91+P94</f>
        <v>927.67</v>
      </c>
      <c r="Q68" s="166">
        <f>+Q77-O77+Q80-O80</f>
        <v>927</v>
      </c>
      <c r="R68" s="167">
        <f>R91+R94</f>
        <v>426.17</v>
      </c>
      <c r="S68" s="166">
        <f>+S77-Q77+S80-Q80</f>
        <v>426</v>
      </c>
      <c r="T68" s="167">
        <f>T91+T94</f>
        <v>300.46000000000004</v>
      </c>
      <c r="U68" s="166">
        <f>+U77-S77+U80-S80</f>
        <v>301</v>
      </c>
      <c r="V68" s="167">
        <f>V91+V94</f>
        <v>26861</v>
      </c>
      <c r="W68" s="166">
        <f>+W77-U77+W80-U80</f>
        <v>312</v>
      </c>
      <c r="X68" s="167">
        <f>X91+X94</f>
        <v>588.87</v>
      </c>
      <c r="Y68" s="166">
        <f>+Y77-W77+Y80-W80</f>
        <v>588</v>
      </c>
      <c r="Z68" s="167">
        <f>Z91+Z94</f>
        <v>0</v>
      </c>
      <c r="AA68" s="166">
        <f>+AA77-Y77+AA80-Y80</f>
        <v>352</v>
      </c>
      <c r="AB68" s="167">
        <f>AB91+AB94</f>
        <v>0</v>
      </c>
      <c r="AC68" s="166">
        <f>+AC77-AA77+AC80-AA80</f>
        <v>137</v>
      </c>
      <c r="AD68" s="167">
        <f>AD91+AD94</f>
        <v>0</v>
      </c>
      <c r="AE68" s="166">
        <f>+AE77-AC77+AE80-AC80</f>
        <v>845</v>
      </c>
      <c r="AF68" s="167">
        <f>AF91+AF94</f>
        <v>0</v>
      </c>
      <c r="AG68" s="166">
        <f>+AG77-AE77+AG80-AE80</f>
        <v>464</v>
      </c>
      <c r="AH68" s="167">
        <f>AH91+AH94</f>
        <v>0</v>
      </c>
      <c r="AI68" s="166">
        <f>+AI77-AG77+AI80-AG80</f>
        <v>-30868</v>
      </c>
      <c r="AJ68" s="167">
        <f>AJ91+AJ94</f>
        <v>0</v>
      </c>
      <c r="AK68" s="166">
        <f>+AK77-AI77+AK80-AI80</f>
        <v>0</v>
      </c>
      <c r="AL68" s="167">
        <f>AL91+AL94</f>
        <v>0</v>
      </c>
      <c r="AM68" s="166">
        <f>+AM77-AK77+AM80-AK80</f>
        <v>0</v>
      </c>
      <c r="AN68" s="167">
        <f>AN91+AN94</f>
        <v>0</v>
      </c>
      <c r="AO68" s="166">
        <f>+AO77-AM77+AO80-AM80</f>
        <v>0</v>
      </c>
      <c r="AP68" s="167">
        <f>AP91+AP94</f>
        <v>0</v>
      </c>
      <c r="AQ68" s="166">
        <f>+AQ77-AO77+AQ80-AO80</f>
        <v>0</v>
      </c>
      <c r="AR68" s="167">
        <f>AR91+AR94</f>
        <v>0</v>
      </c>
      <c r="AS68" s="166">
        <f>+AS77-AQ77+AS80-AQ80</f>
        <v>0</v>
      </c>
      <c r="AT68" s="167">
        <f>AT91+AT94</f>
        <v>0</v>
      </c>
      <c r="AU68" s="166">
        <f>+AU77-AS77+AU80-AS80</f>
        <v>0</v>
      </c>
      <c r="AV68" s="167">
        <f>AV91+AV94</f>
        <v>0</v>
      </c>
      <c r="AW68" s="166">
        <f>+AW77-AU77+AW80-AU80</f>
        <v>0</v>
      </c>
      <c r="AX68" s="167">
        <f>AX91+AX94</f>
        <v>0</v>
      </c>
      <c r="AY68" s="166">
        <f>+AY77-AW77+AY80-AW80</f>
        <v>0</v>
      </c>
      <c r="AZ68" s="167">
        <f>AZ91+AZ94</f>
        <v>0</v>
      </c>
      <c r="BA68" s="166">
        <f>+BA77-AY77+BA80-AY80</f>
        <v>0</v>
      </c>
      <c r="BB68" s="167">
        <f>BB91+BB94</f>
        <v>0</v>
      </c>
      <c r="BC68" s="166">
        <f>+BC77-BA77+BC80-BA80</f>
        <v>0</v>
      </c>
      <c r="BD68" s="167">
        <f>BD91+BD94</f>
        <v>0</v>
      </c>
      <c r="BE68" s="166">
        <f>+BE77-BC77+BE80-BC80</f>
        <v>0</v>
      </c>
      <c r="BF68" s="167">
        <f>BF91+BF94</f>
        <v>0</v>
      </c>
      <c r="BG68" s="166">
        <f>+BG77-BE77+BG80-BE80</f>
        <v>0</v>
      </c>
      <c r="BH68" s="167">
        <f>BH91+BH94</f>
        <v>0</v>
      </c>
      <c r="BI68" s="166">
        <f>+BI77-BG77+BI80-BG80</f>
        <v>0</v>
      </c>
      <c r="BJ68" s="167">
        <f>BJ91+BJ94</f>
        <v>0</v>
      </c>
      <c r="BK68" s="166">
        <f>+BK77-BI77+BK80-BI80</f>
        <v>0</v>
      </c>
      <c r="BL68" s="49"/>
      <c r="BM68" s="48"/>
      <c r="BN68" s="50"/>
      <c r="BO68" s="170">
        <f t="shared" si="89"/>
        <v>-1022725</v>
      </c>
      <c r="BP68" s="167">
        <f>BP91+BP94</f>
        <v>0</v>
      </c>
      <c r="BQ68" s="172" t="e">
        <f>+BQ77-BM77+BQ80-BM80</f>
        <v>#VALUE!</v>
      </c>
    </row>
    <row r="69" spans="1:69" x14ac:dyDescent="0.35">
      <c r="A69" s="44" t="s">
        <v>88</v>
      </c>
      <c r="B69" s="133"/>
      <c r="C69" s="131"/>
      <c r="D69" s="189">
        <f>D99+D102</f>
        <v>2731.92</v>
      </c>
      <c r="E69" s="166">
        <f>+E85-C85+E88-C88</f>
        <v>998</v>
      </c>
      <c r="F69" s="167">
        <f>F99+F102</f>
        <v>700.98</v>
      </c>
      <c r="G69" s="166">
        <f>+G85-E85+G88-E88</f>
        <v>414</v>
      </c>
      <c r="H69" s="167">
        <f>H99+H102</f>
        <v>432.58000000000004</v>
      </c>
      <c r="I69" s="166">
        <f>+I85-G85+I88-G88</f>
        <v>433</v>
      </c>
      <c r="J69" s="167">
        <f>J99+J102</f>
        <v>327.26</v>
      </c>
      <c r="K69" s="166">
        <f>+K85-I85+K88-I88</f>
        <v>329</v>
      </c>
      <c r="L69" s="167">
        <f>L99+L102</f>
        <v>433.99</v>
      </c>
      <c r="M69" s="166">
        <f>+M85-K85+M88-K88</f>
        <v>433</v>
      </c>
      <c r="N69" s="167">
        <f>N99+N102</f>
        <v>147.13</v>
      </c>
      <c r="O69" s="166">
        <f>+O85-M85+O88-M88</f>
        <v>148</v>
      </c>
      <c r="P69" s="167">
        <f>P99+P102</f>
        <v>5.71</v>
      </c>
      <c r="Q69" s="166">
        <f>+Q85-O85+Q88-O88</f>
        <v>5</v>
      </c>
      <c r="R69" s="167">
        <f>R99+R102</f>
        <v>257.70999999999998</v>
      </c>
      <c r="S69" s="166">
        <f>+S85-Q85+S88-Q88</f>
        <v>259</v>
      </c>
      <c r="T69" s="167">
        <f>T99+T102</f>
        <v>541.17000000000007</v>
      </c>
      <c r="U69" s="166">
        <f>+U85-S85+U88-S88</f>
        <v>540</v>
      </c>
      <c r="V69" s="167">
        <f>V99+V102</f>
        <v>125204</v>
      </c>
      <c r="W69" s="166">
        <f>+W85-U85+W88-U88</f>
        <v>187</v>
      </c>
      <c r="X69" s="167">
        <f>X99+X102</f>
        <v>543.85</v>
      </c>
      <c r="Y69" s="166">
        <f>+Y85-W85+Y88-W88</f>
        <v>544</v>
      </c>
      <c r="Z69" s="167">
        <f>Z99+Z102</f>
        <v>0</v>
      </c>
      <c r="AA69" s="166">
        <f>+AA85-Y85+AA88-Y88</f>
        <v>260</v>
      </c>
      <c r="AB69" s="167">
        <f>AB99+AB102</f>
        <v>0</v>
      </c>
      <c r="AC69" s="166">
        <f>+AC85-AA85+AC88-AA88</f>
        <v>234</v>
      </c>
      <c r="AD69" s="167">
        <f>AD99+AD102</f>
        <v>0</v>
      </c>
      <c r="AE69" s="166">
        <f>+AE85-AC85+AE88-AC88</f>
        <v>608</v>
      </c>
      <c r="AF69" s="167">
        <f>AF99+AF102</f>
        <v>0</v>
      </c>
      <c r="AG69" s="166">
        <f>+AG85-AE85+AG88-AE88</f>
        <v>547</v>
      </c>
      <c r="AH69" s="167">
        <f>AH99+AH102</f>
        <v>0</v>
      </c>
      <c r="AI69" s="166">
        <f>+AI85-AG85+AI88-AG88</f>
        <v>-127397</v>
      </c>
      <c r="AJ69" s="167">
        <f>AJ99+AJ102</f>
        <v>0</v>
      </c>
      <c r="AK69" s="166">
        <f>+AK85-AI85+AK88-AI88</f>
        <v>0</v>
      </c>
      <c r="AL69" s="167">
        <f>AL99+AL102</f>
        <v>0</v>
      </c>
      <c r="AM69" s="166">
        <f>+AM85-AK85+AM88-AK88</f>
        <v>0</v>
      </c>
      <c r="AN69" s="167">
        <f>AN99+AN102</f>
        <v>0</v>
      </c>
      <c r="AO69" s="166">
        <f>+AO85-AM85+AO88-AM88</f>
        <v>0</v>
      </c>
      <c r="AP69" s="167">
        <f>AP99+AP102</f>
        <v>0</v>
      </c>
      <c r="AQ69" s="166">
        <f>+AQ85-AO85+AQ88-AO88</f>
        <v>0</v>
      </c>
      <c r="AR69" s="167">
        <f>AR99+AR102</f>
        <v>0</v>
      </c>
      <c r="AS69" s="166">
        <f>+AS85-AQ85+AS88-AQ88</f>
        <v>0</v>
      </c>
      <c r="AT69" s="167">
        <f>AT99+AT102</f>
        <v>0</v>
      </c>
      <c r="AU69" s="166">
        <f>+AU85-AS85+AU88-AS88</f>
        <v>0</v>
      </c>
      <c r="AV69" s="167">
        <f>AV99+AV102</f>
        <v>0</v>
      </c>
      <c r="AW69" s="166">
        <f>+AW85-AU85+AW88-AU88</f>
        <v>0</v>
      </c>
      <c r="AX69" s="167">
        <f>AX99+AX102</f>
        <v>0</v>
      </c>
      <c r="AY69" s="166">
        <f>+AY85-AW85+AY88-AW88</f>
        <v>0</v>
      </c>
      <c r="AZ69" s="167">
        <f>AZ99+AZ102</f>
        <v>0</v>
      </c>
      <c r="BA69" s="166">
        <f>+BA85-AY85+BA88-AY88</f>
        <v>0</v>
      </c>
      <c r="BB69" s="167">
        <f>BB99+BB102</f>
        <v>0</v>
      </c>
      <c r="BC69" s="166">
        <f>+BC85-BA85+BC88-BA88</f>
        <v>0</v>
      </c>
      <c r="BD69" s="167">
        <f>BD99+BD102</f>
        <v>0</v>
      </c>
      <c r="BE69" s="166">
        <f>+BE85-BC85+BE88-BC88</f>
        <v>0</v>
      </c>
      <c r="BF69" s="167">
        <f>BF99+BF102</f>
        <v>0</v>
      </c>
      <c r="BG69" s="166">
        <f>+BG85-BE85+BG88-BE88</f>
        <v>0</v>
      </c>
      <c r="BH69" s="167">
        <f>BH99+BH102</f>
        <v>0</v>
      </c>
      <c r="BI69" s="166">
        <f>+BI85-BG85+BI88-BG88</f>
        <v>0</v>
      </c>
      <c r="BJ69" s="167">
        <f>BJ99+BJ102</f>
        <v>0</v>
      </c>
      <c r="BK69" s="166">
        <f>+BK85-BI85+BK88-BI88</f>
        <v>0</v>
      </c>
      <c r="BL69" s="49"/>
      <c r="BM69" s="48"/>
      <c r="BN69" s="50"/>
      <c r="BO69" s="170">
        <f t="shared" si="89"/>
        <v>-121458</v>
      </c>
      <c r="BP69" s="167">
        <f>BP99+BP102</f>
        <v>0</v>
      </c>
      <c r="BQ69" s="172" t="e">
        <f>+BQ85-BM85+BQ88-BM88</f>
        <v>#VALUE!</v>
      </c>
    </row>
    <row r="70" spans="1:69" x14ac:dyDescent="0.35">
      <c r="A70" s="134" t="s">
        <v>89</v>
      </c>
      <c r="B70" s="133"/>
      <c r="C70" s="131"/>
      <c r="D70" s="189">
        <f>D93+D96</f>
        <v>111.31</v>
      </c>
      <c r="E70" s="166">
        <f>+E79-C79+E82-C82</f>
        <v>111</v>
      </c>
      <c r="F70" s="167">
        <f>F93+F96</f>
        <v>184.4</v>
      </c>
      <c r="G70" s="166">
        <f>+G79-E79+G82-E82</f>
        <v>186</v>
      </c>
      <c r="H70" s="167">
        <f>H93+H96</f>
        <v>215.97</v>
      </c>
      <c r="I70" s="166">
        <f>+I79-G79+I82-G82</f>
        <v>216</v>
      </c>
      <c r="J70" s="167">
        <f>J93+J96</f>
        <v>113.96000000000001</v>
      </c>
      <c r="K70" s="166">
        <f>+K79-I79+K82-I82</f>
        <v>113</v>
      </c>
      <c r="L70" s="167">
        <f>L93+L96</f>
        <v>129.36000000000001</v>
      </c>
      <c r="M70" s="166">
        <f>+M79-K79+M82-K82</f>
        <v>129</v>
      </c>
      <c r="N70" s="167">
        <f>N93+N96</f>
        <v>134.38</v>
      </c>
      <c r="O70" s="166">
        <f>+O79-M79+O82-M82</f>
        <v>134</v>
      </c>
      <c r="P70" s="167">
        <f>P93+P96</f>
        <v>267.49</v>
      </c>
      <c r="Q70" s="166">
        <f>+Q79-O79+Q82-O82</f>
        <v>268</v>
      </c>
      <c r="R70" s="167">
        <f>R93+R96</f>
        <v>235.71</v>
      </c>
      <c r="S70" s="166">
        <f>+S79-Q79+S82-Q82</f>
        <v>236</v>
      </c>
      <c r="T70" s="167">
        <f>T93+T96</f>
        <v>105.75</v>
      </c>
      <c r="U70" s="166">
        <f>+U79-S79+U82-S82</f>
        <v>105</v>
      </c>
      <c r="V70" s="167">
        <f>V93+V96</f>
        <v>1572729</v>
      </c>
      <c r="W70" s="166">
        <f>+W79-U79+W82-U82</f>
        <v>105</v>
      </c>
      <c r="X70" s="167">
        <f>X93+X96</f>
        <v>184.64</v>
      </c>
      <c r="Y70" s="166">
        <f>+Y79-W79+Y82-W82</f>
        <v>185</v>
      </c>
      <c r="Z70" s="167">
        <f>Z93+Z96</f>
        <v>0</v>
      </c>
      <c r="AA70" s="166">
        <f>+AA79-Y79+AA82-Y82</f>
        <v>156</v>
      </c>
      <c r="AB70" s="167">
        <f>AB93+AB96</f>
        <v>0</v>
      </c>
      <c r="AC70" s="166">
        <f>+AC79-AA79+AC82-AA82</f>
        <v>116</v>
      </c>
      <c r="AD70" s="167">
        <f>AD93+AD96</f>
        <v>0</v>
      </c>
      <c r="AE70" s="166">
        <f>+AE79-AC79+AE82-AC82</f>
        <v>181</v>
      </c>
      <c r="AF70" s="167">
        <f>AF93+AF96</f>
        <v>0</v>
      </c>
      <c r="AG70" s="166">
        <f>+AG79-AE79+AG82-AE82</f>
        <v>75</v>
      </c>
      <c r="AH70" s="167">
        <f>AH93+AH96</f>
        <v>0</v>
      </c>
      <c r="AI70" s="166">
        <f>+AI79-AG79+AI82-AG82</f>
        <v>-1573442</v>
      </c>
      <c r="AJ70" s="167">
        <f>AJ93+AJ96</f>
        <v>0</v>
      </c>
      <c r="AK70" s="166">
        <f>+AK79-AI79+AK82-AI82</f>
        <v>0</v>
      </c>
      <c r="AL70" s="167">
        <f>AL93+AL96</f>
        <v>0</v>
      </c>
      <c r="AM70" s="166">
        <f>+AM79-AK79+AM82-AK82</f>
        <v>0</v>
      </c>
      <c r="AN70" s="167">
        <f>AN93+AN96</f>
        <v>0</v>
      </c>
      <c r="AO70" s="166">
        <f>+AO79-AM79+AO82-AM82</f>
        <v>0</v>
      </c>
      <c r="AP70" s="167">
        <f>AP93+AP96</f>
        <v>0</v>
      </c>
      <c r="AQ70" s="166">
        <f>+AQ79-AO79+AQ82-AO82</f>
        <v>0</v>
      </c>
      <c r="AR70" s="167">
        <f>AR93+AR96</f>
        <v>0</v>
      </c>
      <c r="AS70" s="166">
        <f>+AS79-AQ79+AS82-AQ82</f>
        <v>0</v>
      </c>
      <c r="AT70" s="167">
        <f>AT93+AT96</f>
        <v>0</v>
      </c>
      <c r="AU70" s="166">
        <f>+AU79-AS79+AU82-AS82</f>
        <v>0</v>
      </c>
      <c r="AV70" s="167">
        <f>AV93+AV96</f>
        <v>0</v>
      </c>
      <c r="AW70" s="166">
        <f>+AW79-AU79+AW82-AU82</f>
        <v>0</v>
      </c>
      <c r="AX70" s="167">
        <f>AX93+AX96</f>
        <v>0</v>
      </c>
      <c r="AY70" s="166">
        <f>+AY79-AW79+AY82-AW82</f>
        <v>0</v>
      </c>
      <c r="AZ70" s="167">
        <f>AZ93+AZ96</f>
        <v>0</v>
      </c>
      <c r="BA70" s="166">
        <f>+BA79-AY79+BA82-AY82</f>
        <v>0</v>
      </c>
      <c r="BB70" s="167">
        <f>BB93+BB96</f>
        <v>0</v>
      </c>
      <c r="BC70" s="166">
        <f>+BC79-BA79+BC82-BA82</f>
        <v>0</v>
      </c>
      <c r="BD70" s="167">
        <f>BD93+BD96</f>
        <v>0</v>
      </c>
      <c r="BE70" s="166">
        <f>+BE79-BC79+BE82-BC82</f>
        <v>0</v>
      </c>
      <c r="BF70" s="167">
        <f>BF93+BF96</f>
        <v>0</v>
      </c>
      <c r="BG70" s="166">
        <f>+BG79-BE79+BG82-BE82</f>
        <v>0</v>
      </c>
      <c r="BH70" s="167">
        <f>BH93+BH96</f>
        <v>0</v>
      </c>
      <c r="BI70" s="166">
        <f>+BI79-BG79+BI82-BG82</f>
        <v>0</v>
      </c>
      <c r="BJ70" s="167">
        <f>BJ93+BJ96</f>
        <v>0</v>
      </c>
      <c r="BK70" s="166">
        <f>+BK79-BI79+BK82-BI82</f>
        <v>0</v>
      </c>
      <c r="BL70" s="49"/>
      <c r="BM70" s="48"/>
      <c r="BN70" s="50"/>
      <c r="BO70" s="170">
        <f t="shared" si="89"/>
        <v>-1571126</v>
      </c>
      <c r="BP70" s="167">
        <f>BP93+BP96</f>
        <v>0</v>
      </c>
      <c r="BQ70" s="172" t="e">
        <f>+BQ79-BM79+BQ82-BM82</f>
        <v>#VALUE!</v>
      </c>
    </row>
    <row r="71" spans="1:69" x14ac:dyDescent="0.35">
      <c r="A71" s="135" t="s">
        <v>90</v>
      </c>
      <c r="B71" s="133"/>
      <c r="C71" s="131"/>
      <c r="D71" s="189">
        <f>+D97+D100</f>
        <v>193.18</v>
      </c>
      <c r="E71" s="166">
        <f>+E83-C83+E86-C86</f>
        <v>194</v>
      </c>
      <c r="F71" s="167">
        <f>+F97+F100</f>
        <v>126.18</v>
      </c>
      <c r="G71" s="166">
        <f>+G83-E83+G86-E86</f>
        <v>126</v>
      </c>
      <c r="H71" s="167">
        <f>+H97+H100</f>
        <v>104.47</v>
      </c>
      <c r="I71" s="166">
        <f>+I83-G83+I86-G86</f>
        <v>104</v>
      </c>
      <c r="J71" s="167">
        <f>+J97+J100</f>
        <v>201.57999999999998</v>
      </c>
      <c r="K71" s="166">
        <f>+K83-I83+K86-I86</f>
        <v>202</v>
      </c>
      <c r="L71" s="167">
        <f>+L97+L100</f>
        <v>211.63</v>
      </c>
      <c r="M71" s="166">
        <f>+M83-K83+M86-K86</f>
        <v>212</v>
      </c>
      <c r="N71" s="167">
        <f>+N97+N100</f>
        <v>56.050000000000004</v>
      </c>
      <c r="O71" s="166">
        <f>+O83-M83+O86-M86</f>
        <v>56</v>
      </c>
      <c r="P71" s="167">
        <f>+P97+P100</f>
        <v>28.23</v>
      </c>
      <c r="Q71" s="166">
        <f>+Q83-O83+Q86-O86</f>
        <v>28</v>
      </c>
      <c r="R71" s="167">
        <f>+R97+R100</f>
        <v>75.460000000000008</v>
      </c>
      <c r="S71" s="166">
        <f>+S83-Q83+S86-Q86</f>
        <v>75</v>
      </c>
      <c r="T71" s="167">
        <f>+T97+T100</f>
        <v>47.64</v>
      </c>
      <c r="U71" s="166">
        <f>+U83-S83+U86-S86</f>
        <v>48</v>
      </c>
      <c r="V71" s="167">
        <f>+V97+V100</f>
        <v>70967</v>
      </c>
      <c r="W71" s="166">
        <f>+W83-U83+W86-U86</f>
        <v>249</v>
      </c>
      <c r="X71" s="167">
        <f>+X97+X100</f>
        <v>167.68</v>
      </c>
      <c r="Y71" s="166">
        <f>+Y83-W83+Y86-W86</f>
        <v>148</v>
      </c>
      <c r="Z71" s="167">
        <f>+Z97+Z100</f>
        <v>0</v>
      </c>
      <c r="AA71" s="166">
        <f>+AA83-Y83+AA86-Y86</f>
        <v>15</v>
      </c>
      <c r="AB71" s="167">
        <f>+AB97+AB100</f>
        <v>0</v>
      </c>
      <c r="AC71" s="166">
        <f>+AC83-AA83+AC86-AA86</f>
        <v>19</v>
      </c>
      <c r="AD71" s="167">
        <f>+AD97+AD100</f>
        <v>0</v>
      </c>
      <c r="AE71" s="166">
        <f>+AE83-AC83+AE86-AC86</f>
        <v>75</v>
      </c>
      <c r="AF71" s="167">
        <f>+AF97+AF100</f>
        <v>0</v>
      </c>
      <c r="AG71" s="166">
        <f>+AG83-AE83+AG86-AE86</f>
        <v>145</v>
      </c>
      <c r="AH71" s="167">
        <f>+AH97+AH100</f>
        <v>0</v>
      </c>
      <c r="AI71" s="166">
        <f>+AI83-AG83+AI86-AG86</f>
        <v>-71369</v>
      </c>
      <c r="AJ71" s="167">
        <f>+AJ97+AJ100</f>
        <v>0</v>
      </c>
      <c r="AK71" s="166">
        <f>+AK83-AI83+AK86-AI86</f>
        <v>0</v>
      </c>
      <c r="AL71" s="167">
        <f>+AL97+AL100</f>
        <v>0</v>
      </c>
      <c r="AM71" s="166">
        <f>+AM83-AK83+AM86-AK86</f>
        <v>0</v>
      </c>
      <c r="AN71" s="167">
        <f>+AN97+AN100</f>
        <v>0</v>
      </c>
      <c r="AO71" s="166">
        <f>+AO83-AM83+AO86-AM86</f>
        <v>0</v>
      </c>
      <c r="AP71" s="167">
        <f>+AP97+AP100</f>
        <v>0</v>
      </c>
      <c r="AQ71" s="166">
        <f>+AQ83-AO83+AQ86-AO86</f>
        <v>0</v>
      </c>
      <c r="AR71" s="167">
        <f>+AR97+AR100</f>
        <v>0</v>
      </c>
      <c r="AS71" s="166">
        <f>+AS83-AQ83+AS86-AQ86</f>
        <v>0</v>
      </c>
      <c r="AT71" s="167">
        <f>+AT97+AT100</f>
        <v>0</v>
      </c>
      <c r="AU71" s="166">
        <f>+AU83-AS83+AU86-AS86</f>
        <v>0</v>
      </c>
      <c r="AV71" s="167">
        <f>+AV97+AV100</f>
        <v>0</v>
      </c>
      <c r="AW71" s="166">
        <f>+AW83-AU83+AW86-AU86</f>
        <v>0</v>
      </c>
      <c r="AX71" s="167">
        <f>+AX97+AX100</f>
        <v>0</v>
      </c>
      <c r="AY71" s="166">
        <f>+AY83-AW83+AY86-AW86</f>
        <v>0</v>
      </c>
      <c r="AZ71" s="167">
        <f>+AZ97+AZ100</f>
        <v>0</v>
      </c>
      <c r="BA71" s="166">
        <f>+BA83-AY83+BA86-AY86</f>
        <v>0</v>
      </c>
      <c r="BB71" s="167">
        <f>+BB97+BB100</f>
        <v>0</v>
      </c>
      <c r="BC71" s="166">
        <f>+BC83-BA83+BC86-BA86</f>
        <v>0</v>
      </c>
      <c r="BD71" s="167">
        <f>+BD97+BD100</f>
        <v>0</v>
      </c>
      <c r="BE71" s="166">
        <f>+BE83-BC83+BE86-BC86</f>
        <v>0</v>
      </c>
      <c r="BF71" s="167">
        <f>+BF97+BF100</f>
        <v>0</v>
      </c>
      <c r="BG71" s="166">
        <f>+BG83-BE83+BG86-BE86</f>
        <v>0</v>
      </c>
      <c r="BH71" s="167">
        <f>+BH97+BH100</f>
        <v>0</v>
      </c>
      <c r="BI71" s="166">
        <f>+BI83-BG83+BI86-BG86</f>
        <v>0</v>
      </c>
      <c r="BJ71" s="167">
        <f>+BJ97+BJ100</f>
        <v>0</v>
      </c>
      <c r="BK71" s="166">
        <f>+BK83-BI83+BK86-BI86</f>
        <v>0</v>
      </c>
      <c r="BL71" s="49"/>
      <c r="BM71" s="48"/>
      <c r="BN71" s="50"/>
      <c r="BO71" s="170">
        <f t="shared" si="89"/>
        <v>-69673</v>
      </c>
      <c r="BP71" s="167">
        <f>+BP97+BP100</f>
        <v>0</v>
      </c>
      <c r="BQ71" s="172" t="e">
        <f>+BQ83-BM83+BQ86-BM86</f>
        <v>#VALUE!</v>
      </c>
    </row>
    <row r="72" spans="1:69" x14ac:dyDescent="0.35">
      <c r="A72" s="136" t="s">
        <v>91</v>
      </c>
      <c r="B72" s="133"/>
      <c r="C72" s="131"/>
      <c r="D72" s="189">
        <f>+D92+D95+D98+D101</f>
        <v>1029.3999999999999</v>
      </c>
      <c r="E72" s="166">
        <f>+E78-C78+E81-C81+E84-C84+E87-C87</f>
        <v>1026</v>
      </c>
      <c r="F72" s="167">
        <f>+F92+F95+F98+F101</f>
        <v>527.62</v>
      </c>
      <c r="G72" s="166">
        <f>+G78-E78+G81-E81+G84-E84+G87-E87</f>
        <v>511</v>
      </c>
      <c r="H72" s="167">
        <f>+H92+H95+H98+H101</f>
        <v>792.06999999999994</v>
      </c>
      <c r="I72" s="166">
        <f>+I78-G78+I81-G81+I84-G84+I87-G87</f>
        <v>789</v>
      </c>
      <c r="J72" s="167">
        <f>+J92+J95+J98+J101</f>
        <v>576.85</v>
      </c>
      <c r="K72" s="166">
        <f>+K78-I78+K81-I81+K84-I84+K87-I87</f>
        <v>575</v>
      </c>
      <c r="L72" s="167">
        <f>+L92+L95+L98+L101</f>
        <v>694.88</v>
      </c>
      <c r="M72" s="166">
        <f>+M78-K78+M81-K81+M84-K84+M87-K87</f>
        <v>692</v>
      </c>
      <c r="N72" s="167">
        <f>+N92+N95+N98+N101</f>
        <v>370.55</v>
      </c>
      <c r="O72" s="166">
        <f>+O78-M78+O81-M81+O84-M84+O87-M87</f>
        <v>370</v>
      </c>
      <c r="P72" s="167">
        <f>+P92+P95+P98+P101</f>
        <v>581.49</v>
      </c>
      <c r="Q72" s="166">
        <f>+Q78-O78+Q81-O81+Q84-O84+Q87-O87</f>
        <v>579</v>
      </c>
      <c r="R72" s="167">
        <f>+R92+R95+R98+R101</f>
        <v>569.48</v>
      </c>
      <c r="S72" s="166">
        <f>+S78-Q78+S81-Q81+S84-Q84+S87-Q87</f>
        <v>568</v>
      </c>
      <c r="T72" s="167">
        <f>+T92+T95+T98+T101</f>
        <v>521.54999999999995</v>
      </c>
      <c r="U72" s="166">
        <f>+U78-S78+U81-S81+U84-S84+U87-S87</f>
        <v>517</v>
      </c>
      <c r="V72" s="167">
        <f>+V92+V95+V98+V101</f>
        <v>894206</v>
      </c>
      <c r="W72" s="166">
        <f>+W78-U78+W81-U81+W84-U84+W87-U87</f>
        <v>676</v>
      </c>
      <c r="X72" s="167">
        <f>+X92+X95+X98+X101</f>
        <v>193390.98</v>
      </c>
      <c r="Y72" s="166">
        <f>+Y78-W78+Y81-W81+Y84-W84+Y87-W87</f>
        <v>661</v>
      </c>
      <c r="Z72" s="167">
        <f>+Z92+Z95+Z98+Z101</f>
        <v>0</v>
      </c>
      <c r="AA72" s="166">
        <f>+AA78-Y78+AA81-Y81+AA84-Y84+AA87-Y87</f>
        <v>706</v>
      </c>
      <c r="AB72" s="167">
        <f>+AB92+AB95+AB98+AB101</f>
        <v>0</v>
      </c>
      <c r="AC72" s="166">
        <f>+AC78-AA78+AC81-AA81+AC84-AA84+AC87-AA87</f>
        <v>400</v>
      </c>
      <c r="AD72" s="167">
        <f>+AD92+AD95+AD98+AD101</f>
        <v>0</v>
      </c>
      <c r="AE72" s="166">
        <f>+AE78-AC78+AE81-AC81+AE84-AC84+AE87-AC87</f>
        <v>748</v>
      </c>
      <c r="AF72" s="167">
        <f>+AF92+AF95+AF98+AF101</f>
        <v>0</v>
      </c>
      <c r="AG72" s="166">
        <f>+AG78-AE78+AG81-AE81+AG84-AE84+AG87-AE87</f>
        <v>821</v>
      </c>
      <c r="AH72" s="167">
        <f>+AH92+AH95+AH98+AH101</f>
        <v>0</v>
      </c>
      <c r="AI72" s="166">
        <f>+AI78-AG78+AI81-AG81+AI84-AG84+AI87-AG87</f>
        <v>-1567542</v>
      </c>
      <c r="AJ72" s="167">
        <f>+AJ92+AJ95+AJ98+AJ101</f>
        <v>0</v>
      </c>
      <c r="AK72" s="166">
        <f>+AK78-AI78+AK81-AI81+AK84-AI84+AK87-AI87</f>
        <v>0</v>
      </c>
      <c r="AL72" s="167">
        <f>+AL92+AL95+AL98+AL101</f>
        <v>0</v>
      </c>
      <c r="AM72" s="166">
        <f>+AM78-AK78+AM81-AK81+AM84-AK84+AM87-AK87</f>
        <v>0</v>
      </c>
      <c r="AN72" s="167">
        <f>+AN92+AN95+AN98+AN101</f>
        <v>0</v>
      </c>
      <c r="AO72" s="166">
        <f>+AO78-AM78+AO81-AM81+AO84-AM84+AO87-AM87</f>
        <v>0</v>
      </c>
      <c r="AP72" s="167">
        <f>+AP92+AP95+AP98+AP101</f>
        <v>0</v>
      </c>
      <c r="AQ72" s="166">
        <f>+AQ78-AO78+AQ81-AO81+AQ84-AO84+AQ87-AO87</f>
        <v>0</v>
      </c>
      <c r="AR72" s="167">
        <f>+AR92+AR95+AR98+AR101</f>
        <v>0</v>
      </c>
      <c r="AS72" s="166">
        <f>+AS78-AQ78+AS81-AQ81+AS84-AQ84+AS87-AQ87</f>
        <v>0</v>
      </c>
      <c r="AT72" s="167">
        <f>+AT92+AT95+AT98+AT101</f>
        <v>0</v>
      </c>
      <c r="AU72" s="166">
        <f>+AU78-AS78+AU81-AS81+AU84-AS84+AU87-AS87</f>
        <v>0</v>
      </c>
      <c r="AV72" s="167">
        <f>+AV92+AV95+AV98+AV101</f>
        <v>0</v>
      </c>
      <c r="AW72" s="166">
        <f>+AW78-AU78+AW81-AU81+AW84-AU84+AW87-AU87</f>
        <v>0</v>
      </c>
      <c r="AX72" s="167">
        <f>+AX92+AX95+AX98+AX101</f>
        <v>0</v>
      </c>
      <c r="AY72" s="166">
        <f>+AY78-AW78+AY81-AW81+AY84-AW84+AY87-AW87</f>
        <v>0</v>
      </c>
      <c r="AZ72" s="167">
        <f>+AZ92+AZ95+AZ98+AZ101</f>
        <v>0</v>
      </c>
      <c r="BA72" s="166">
        <f>+BA78-AY78+BA81-AY81+BA84-AY84+BA87-AY87</f>
        <v>0</v>
      </c>
      <c r="BB72" s="167">
        <f>+BB92+BB95+BB98+BB101</f>
        <v>0</v>
      </c>
      <c r="BC72" s="166">
        <f>+BC78-BA78+BC81-BA81+BC84-BA84+BC87-BA87</f>
        <v>0</v>
      </c>
      <c r="BD72" s="167">
        <f>+BD92+BD95+BD98+BD101</f>
        <v>0</v>
      </c>
      <c r="BE72" s="166">
        <f>+BE78-BC78+BE81-BC81+BE84-BC84+BE87-BC87</f>
        <v>0</v>
      </c>
      <c r="BF72" s="167">
        <f>+BF92+BF95+BF98+BF101</f>
        <v>0</v>
      </c>
      <c r="BG72" s="166">
        <f>+BG78-BE78+BG81-BE81+BG84-BE84+BG87-BE87</f>
        <v>0</v>
      </c>
      <c r="BH72" s="167">
        <f>+BH92+BH95+BH98+BH101</f>
        <v>0</v>
      </c>
      <c r="BI72" s="166">
        <f>+BI78-BG78+BI81-BG81+BI84-BG84+BI87-BG87</f>
        <v>0</v>
      </c>
      <c r="BJ72" s="167">
        <f>+BJ92+BJ95+BJ98+BJ101</f>
        <v>0</v>
      </c>
      <c r="BK72" s="166">
        <f>+BK78-BI78+BK81-BI81+BK84-BI84+BK87-BI87</f>
        <v>0</v>
      </c>
      <c r="BL72" s="49"/>
      <c r="BM72" s="48"/>
      <c r="BN72" s="50"/>
      <c r="BO72" s="170">
        <f t="shared" si="89"/>
        <v>-1557903</v>
      </c>
      <c r="BP72" s="167">
        <f>+BP92+BP95+BP98+BP101</f>
        <v>0</v>
      </c>
      <c r="BQ72" s="172" t="e">
        <f>+BQ78-BM78+BQ81-BM81+BQ84-BM84+BQ87-BM87</f>
        <v>#VALUE!</v>
      </c>
    </row>
    <row r="73" spans="1:69" x14ac:dyDescent="0.35">
      <c r="A73" s="137"/>
      <c r="B73" s="138"/>
      <c r="C73" s="139"/>
      <c r="D73" s="189">
        <f t="shared" ref="D73:BK73" si="90">SUM(D68:D72)</f>
        <v>5644.02</v>
      </c>
      <c r="E73" s="177">
        <f t="shared" si="90"/>
        <v>-996093</v>
      </c>
      <c r="F73" s="167">
        <f t="shared" si="90"/>
        <v>1989.71</v>
      </c>
      <c r="G73" s="177">
        <f t="shared" si="90"/>
        <v>1687</v>
      </c>
      <c r="H73" s="167">
        <f t="shared" si="90"/>
        <v>1966.02</v>
      </c>
      <c r="I73" s="177">
        <f t="shared" si="90"/>
        <v>1963</v>
      </c>
      <c r="J73" s="167">
        <f t="shared" si="90"/>
        <v>1597.88</v>
      </c>
      <c r="K73" s="177">
        <f t="shared" si="90"/>
        <v>1598</v>
      </c>
      <c r="L73" s="167">
        <f t="shared" si="90"/>
        <v>2097.13</v>
      </c>
      <c r="M73" s="177">
        <f t="shared" si="90"/>
        <v>2093</v>
      </c>
      <c r="N73" s="167">
        <f t="shared" si="90"/>
        <v>1043.82</v>
      </c>
      <c r="O73" s="177">
        <f t="shared" si="90"/>
        <v>1044</v>
      </c>
      <c r="P73" s="167">
        <f t="shared" si="90"/>
        <v>1810.59</v>
      </c>
      <c r="Q73" s="177">
        <f t="shared" si="90"/>
        <v>1807</v>
      </c>
      <c r="R73" s="167">
        <f t="shared" si="90"/>
        <v>1564.5300000000002</v>
      </c>
      <c r="S73" s="177">
        <f t="shared" si="90"/>
        <v>1564</v>
      </c>
      <c r="T73" s="167">
        <f t="shared" si="90"/>
        <v>1516.5700000000002</v>
      </c>
      <c r="U73" s="177">
        <f t="shared" si="90"/>
        <v>1511</v>
      </c>
      <c r="V73" s="167">
        <f t="shared" si="90"/>
        <v>2689967</v>
      </c>
      <c r="W73" s="177">
        <f t="shared" si="90"/>
        <v>1529</v>
      </c>
      <c r="X73" s="167">
        <f t="shared" si="90"/>
        <v>194876.02000000002</v>
      </c>
      <c r="Y73" s="177">
        <f t="shared" si="90"/>
        <v>2126</v>
      </c>
      <c r="Z73" s="167">
        <f t="shared" si="90"/>
        <v>0</v>
      </c>
      <c r="AA73" s="177">
        <f t="shared" si="90"/>
        <v>1489</v>
      </c>
      <c r="AB73" s="167">
        <f t="shared" si="90"/>
        <v>0</v>
      </c>
      <c r="AC73" s="177">
        <f t="shared" si="90"/>
        <v>906</v>
      </c>
      <c r="AD73" s="167">
        <f t="shared" si="90"/>
        <v>0</v>
      </c>
      <c r="AE73" s="177">
        <f t="shared" si="90"/>
        <v>2457</v>
      </c>
      <c r="AF73" s="167">
        <f t="shared" si="90"/>
        <v>0</v>
      </c>
      <c r="AG73" s="177">
        <f t="shared" si="90"/>
        <v>2052</v>
      </c>
      <c r="AH73" s="167">
        <f t="shared" si="90"/>
        <v>0</v>
      </c>
      <c r="AI73" s="177">
        <f t="shared" si="90"/>
        <v>-3370618</v>
      </c>
      <c r="AJ73" s="167">
        <f t="shared" si="90"/>
        <v>0</v>
      </c>
      <c r="AK73" s="177">
        <f t="shared" si="90"/>
        <v>0</v>
      </c>
      <c r="AL73" s="167">
        <f t="shared" si="90"/>
        <v>0</v>
      </c>
      <c r="AM73" s="177">
        <f t="shared" si="90"/>
        <v>0</v>
      </c>
      <c r="AN73" s="167">
        <f t="shared" si="90"/>
        <v>0</v>
      </c>
      <c r="AO73" s="177">
        <f t="shared" si="90"/>
        <v>0</v>
      </c>
      <c r="AP73" s="167">
        <f t="shared" si="90"/>
        <v>0</v>
      </c>
      <c r="AQ73" s="177">
        <f t="shared" si="90"/>
        <v>0</v>
      </c>
      <c r="AR73" s="167">
        <f t="shared" si="90"/>
        <v>0</v>
      </c>
      <c r="AS73" s="177">
        <f t="shared" si="90"/>
        <v>0</v>
      </c>
      <c r="AT73" s="167">
        <f t="shared" si="90"/>
        <v>0</v>
      </c>
      <c r="AU73" s="177">
        <f t="shared" si="90"/>
        <v>0</v>
      </c>
      <c r="AV73" s="167">
        <f t="shared" si="90"/>
        <v>0</v>
      </c>
      <c r="AW73" s="177">
        <f t="shared" si="90"/>
        <v>0</v>
      </c>
      <c r="AX73" s="167">
        <f t="shared" si="90"/>
        <v>0</v>
      </c>
      <c r="AY73" s="177">
        <f t="shared" si="90"/>
        <v>0</v>
      </c>
      <c r="AZ73" s="167">
        <f t="shared" si="90"/>
        <v>0</v>
      </c>
      <c r="BA73" s="177">
        <f t="shared" si="90"/>
        <v>0</v>
      </c>
      <c r="BB73" s="167">
        <f t="shared" si="90"/>
        <v>0</v>
      </c>
      <c r="BC73" s="177">
        <f t="shared" si="90"/>
        <v>0</v>
      </c>
      <c r="BD73" s="167">
        <f t="shared" si="90"/>
        <v>0</v>
      </c>
      <c r="BE73" s="177">
        <f t="shared" si="90"/>
        <v>0</v>
      </c>
      <c r="BF73" s="167">
        <f t="shared" si="90"/>
        <v>0</v>
      </c>
      <c r="BG73" s="177">
        <f t="shared" si="90"/>
        <v>0</v>
      </c>
      <c r="BH73" s="167">
        <f t="shared" si="90"/>
        <v>0</v>
      </c>
      <c r="BI73" s="177">
        <f>SUM(BI68:BI72)</f>
        <v>0</v>
      </c>
      <c r="BJ73" s="167">
        <f t="shared" si="90"/>
        <v>0</v>
      </c>
      <c r="BK73" s="177">
        <f t="shared" si="90"/>
        <v>0</v>
      </c>
      <c r="BL73" s="49"/>
      <c r="BM73" s="91"/>
      <c r="BN73" s="92"/>
      <c r="BO73" s="170">
        <f t="shared" si="89"/>
        <v>-4342885</v>
      </c>
      <c r="BP73" s="167">
        <f t="shared" ref="BP73" si="91">SUM(BP68:BP72)</f>
        <v>0</v>
      </c>
      <c r="BQ73" s="179" t="e">
        <f>SUM(BQ68:BQ72)</f>
        <v>#VALUE!</v>
      </c>
    </row>
    <row r="74" spans="1:69" x14ac:dyDescent="0.35">
      <c r="A74" s="53" t="s">
        <v>30</v>
      </c>
      <c r="B74" s="138"/>
      <c r="C74" s="210">
        <f>IF('August 2026 Log'!BM74="","",'August 2026 Log'!BM74)</f>
        <v>62264.6</v>
      </c>
      <c r="D74" s="47"/>
      <c r="E74" s="48">
        <v>156265.25</v>
      </c>
      <c r="F74" s="49"/>
      <c r="G74" s="48"/>
      <c r="H74" s="49"/>
      <c r="I74" s="48">
        <v>56827.25</v>
      </c>
      <c r="J74" s="49"/>
      <c r="K74" s="48">
        <v>46233.85</v>
      </c>
      <c r="L74" s="49"/>
      <c r="M74" s="48">
        <v>61314.85</v>
      </c>
      <c r="N74" s="49"/>
      <c r="O74" s="48">
        <v>30304.95</v>
      </c>
      <c r="P74" s="49"/>
      <c r="Q74" s="48">
        <v>53015.32</v>
      </c>
      <c r="R74" s="49"/>
      <c r="S74" s="48">
        <v>45236.4</v>
      </c>
      <c r="T74" s="49"/>
      <c r="U74" s="48">
        <v>44700.160000000003</v>
      </c>
      <c r="V74" s="49"/>
      <c r="W74" s="48">
        <v>43520.14</v>
      </c>
      <c r="X74" s="49"/>
      <c r="Y74" s="48">
        <v>62987.05</v>
      </c>
      <c r="Z74" s="49"/>
      <c r="AA74" s="48">
        <v>44107.92</v>
      </c>
      <c r="AB74" s="49"/>
      <c r="AC74" s="48"/>
      <c r="AD74" s="49"/>
      <c r="AE74" s="48"/>
      <c r="AF74" s="49"/>
      <c r="AG74" s="48"/>
      <c r="AH74" s="49"/>
      <c r="AI74" s="48"/>
      <c r="AJ74" s="49"/>
      <c r="AK74" s="48"/>
      <c r="AL74" s="49"/>
      <c r="AM74" s="48"/>
      <c r="AN74" s="49"/>
      <c r="AO74" s="48"/>
      <c r="AP74" s="49"/>
      <c r="AQ74" s="48"/>
      <c r="AR74" s="49"/>
      <c r="AS74" s="48"/>
      <c r="AT74" s="49"/>
      <c r="AU74" s="48"/>
      <c r="AV74" s="49"/>
      <c r="AW74" s="48"/>
      <c r="AX74" s="49"/>
      <c r="AY74" s="48"/>
      <c r="AZ74" s="49"/>
      <c r="BA74" s="48"/>
      <c r="BB74" s="49"/>
      <c r="BC74" s="48"/>
      <c r="BD74" s="49"/>
      <c r="BE74" s="48"/>
      <c r="BF74" s="49"/>
      <c r="BG74" s="48"/>
      <c r="BH74" s="49"/>
      <c r="BI74" s="48"/>
      <c r="BJ74" s="49"/>
      <c r="BK74" s="48"/>
      <c r="BL74" s="49"/>
      <c r="BM74" s="48"/>
      <c r="BN74" s="50"/>
      <c r="BO74" s="170">
        <f t="shared" si="89"/>
        <v>644513.14000000013</v>
      </c>
      <c r="BP74" s="49"/>
      <c r="BQ74" s="178" t="str">
        <f>IF(BK74="","",BK74)</f>
        <v/>
      </c>
    </row>
    <row r="75" spans="1:69" x14ac:dyDescent="0.35">
      <c r="A75" s="98" t="s">
        <v>31</v>
      </c>
      <c r="B75" s="138"/>
      <c r="C75" s="211">
        <f>IF('August 2026 Log'!BM75="","",'August 2026 Log'!BM75)</f>
        <v>13972.349999999999</v>
      </c>
      <c r="D75" s="47"/>
      <c r="E75" s="177">
        <f>+E57-E74</f>
        <v>10473.010000000009</v>
      </c>
      <c r="F75" s="49"/>
      <c r="G75" s="177">
        <f>+G57-G74</f>
        <v>0</v>
      </c>
      <c r="H75" s="49"/>
      <c r="I75" s="177">
        <f>+I57-I74</f>
        <v>12339.070000000007</v>
      </c>
      <c r="J75" s="49"/>
      <c r="K75" s="177">
        <f>+K57-K74</f>
        <v>15276.879999999997</v>
      </c>
      <c r="L75" s="49"/>
      <c r="M75" s="177">
        <f>+M57-M74</f>
        <v>10246.489999999998</v>
      </c>
      <c r="N75" s="49"/>
      <c r="O75" s="177">
        <f>+O57-O74</f>
        <v>5683.7000000000007</v>
      </c>
      <c r="P75" s="49"/>
      <c r="Q75" s="177">
        <f>+Q57-Q74</f>
        <v>9634.6900000000023</v>
      </c>
      <c r="R75" s="49"/>
      <c r="S75" s="177">
        <f>+S57-S74</f>
        <v>9346.1999999999971</v>
      </c>
      <c r="T75" s="49"/>
      <c r="U75" s="177">
        <f>+U57-U74</f>
        <v>7354.0899999999965</v>
      </c>
      <c r="V75" s="49"/>
      <c r="W75" s="177">
        <f>+W57-W74</f>
        <v>11171.150000000001</v>
      </c>
      <c r="X75" s="49"/>
      <c r="Y75" s="177">
        <f>+Y57-Y74</f>
        <v>14228.39</v>
      </c>
      <c r="Z75" s="49"/>
      <c r="AA75" s="177">
        <f>+AA57-AA74</f>
        <v>10953.700000000004</v>
      </c>
      <c r="AB75" s="49"/>
      <c r="AC75" s="177">
        <f>+AC57-AC74</f>
        <v>35575.300000000003</v>
      </c>
      <c r="AD75" s="49"/>
      <c r="AE75" s="177">
        <f>+AE57-AE74</f>
        <v>0</v>
      </c>
      <c r="AF75" s="49"/>
      <c r="AG75" s="177">
        <f>+AG57-AG74</f>
        <v>0</v>
      </c>
      <c r="AH75" s="49"/>
      <c r="AI75" s="177">
        <f>+AI57-AI74</f>
        <v>0</v>
      </c>
      <c r="AJ75" s="49"/>
      <c r="AK75" s="177">
        <f>+AK57-AK74</f>
        <v>0</v>
      </c>
      <c r="AL75" s="49"/>
      <c r="AM75" s="177">
        <f>+AM57-AM74</f>
        <v>0</v>
      </c>
      <c r="AN75" s="49"/>
      <c r="AO75" s="177">
        <f>+AO57-AO74</f>
        <v>0</v>
      </c>
      <c r="AP75" s="49"/>
      <c r="AQ75" s="177">
        <f>+AQ57-AQ74</f>
        <v>0</v>
      </c>
      <c r="AR75" s="49"/>
      <c r="AS75" s="177">
        <f>+AS57-AS74</f>
        <v>0</v>
      </c>
      <c r="AT75" s="49"/>
      <c r="AU75" s="177">
        <f>+AU57-AU74</f>
        <v>0</v>
      </c>
      <c r="AV75" s="49"/>
      <c r="AW75" s="177">
        <f>+AW57-AW74</f>
        <v>0</v>
      </c>
      <c r="AX75" s="49"/>
      <c r="AY75" s="177">
        <f>+AY57-AY74</f>
        <v>0</v>
      </c>
      <c r="AZ75" s="49"/>
      <c r="BA75" s="177">
        <f>+BA57-BA74</f>
        <v>0</v>
      </c>
      <c r="BB75" s="49"/>
      <c r="BC75" s="177">
        <f>+BC57-BC74</f>
        <v>0</v>
      </c>
      <c r="BD75" s="49"/>
      <c r="BE75" s="177">
        <f>+BE57-BE74</f>
        <v>0</v>
      </c>
      <c r="BF75" s="49"/>
      <c r="BG75" s="177">
        <f>+BG57-BG74</f>
        <v>0</v>
      </c>
      <c r="BH75" s="49"/>
      <c r="BI75" s="177">
        <f>+BI57-BI74</f>
        <v>0</v>
      </c>
      <c r="BJ75" s="49"/>
      <c r="BK75" s="177">
        <f>+BK57-BK74</f>
        <v>0</v>
      </c>
      <c r="BL75" s="49"/>
      <c r="BM75" s="91"/>
      <c r="BN75" s="92"/>
      <c r="BO75" s="170">
        <f t="shared" si="89"/>
        <v>152282.66999999998</v>
      </c>
      <c r="BP75" s="49"/>
      <c r="BQ75" s="179">
        <f>IF(BK75="","",BK75)</f>
        <v>0</v>
      </c>
    </row>
    <row r="76" spans="1:69" ht="28.9" customHeight="1" x14ac:dyDescent="0.35">
      <c r="A76" s="74" t="s">
        <v>92</v>
      </c>
      <c r="B76" s="75"/>
      <c r="C76" s="141"/>
      <c r="D76" s="102"/>
      <c r="E76" s="142"/>
      <c r="F76" s="104"/>
      <c r="G76" s="142"/>
      <c r="H76" s="104"/>
      <c r="I76" s="142"/>
      <c r="J76" s="104"/>
      <c r="K76" s="142"/>
      <c r="L76" s="104"/>
      <c r="M76" s="142"/>
      <c r="N76" s="104"/>
      <c r="O76" s="142"/>
      <c r="P76" s="104"/>
      <c r="Q76" s="142"/>
      <c r="R76" s="104"/>
      <c r="S76" s="142"/>
      <c r="T76" s="104"/>
      <c r="U76" s="142"/>
      <c r="V76" s="104"/>
      <c r="W76" s="142"/>
      <c r="X76" s="104"/>
      <c r="Y76" s="142"/>
      <c r="Z76" s="104"/>
      <c r="AA76" s="142"/>
      <c r="AB76" s="104"/>
      <c r="AC76" s="142"/>
      <c r="AD76" s="104"/>
      <c r="AE76" s="142"/>
      <c r="AF76" s="104"/>
      <c r="AG76" s="142"/>
      <c r="AH76" s="104"/>
      <c r="AI76" s="142"/>
      <c r="AJ76" s="104"/>
      <c r="AK76" s="142"/>
      <c r="AL76" s="104"/>
      <c r="AM76" s="142"/>
      <c r="AN76" s="104"/>
      <c r="AO76" s="142"/>
      <c r="AP76" s="104"/>
      <c r="AQ76" s="142"/>
      <c r="AR76" s="104"/>
      <c r="AS76" s="142"/>
      <c r="AT76" s="104"/>
      <c r="AU76" s="142"/>
      <c r="AV76" s="104"/>
      <c r="AW76" s="142"/>
      <c r="AX76" s="104"/>
      <c r="AY76" s="142"/>
      <c r="AZ76" s="104"/>
      <c r="BA76" s="142"/>
      <c r="BB76" s="104"/>
      <c r="BC76" s="142"/>
      <c r="BD76" s="104"/>
      <c r="BE76" s="142"/>
      <c r="BF76" s="104"/>
      <c r="BG76" s="142"/>
      <c r="BH76" s="104"/>
      <c r="BI76" s="142"/>
      <c r="BJ76" s="104"/>
      <c r="BK76" s="142"/>
      <c r="BL76" s="104"/>
      <c r="BM76" s="142"/>
      <c r="BN76" s="105"/>
      <c r="BO76" s="106"/>
      <c r="BP76" s="104"/>
      <c r="BQ76" s="107"/>
    </row>
    <row r="77" spans="1:69" x14ac:dyDescent="0.35">
      <c r="A77" s="132" t="s">
        <v>75</v>
      </c>
      <c r="B77" s="54" t="s">
        <v>65</v>
      </c>
      <c r="C77" s="174">
        <f>IF('August 2026 Log'!BM77="","",'August 2026 Log'!BM77)</f>
        <v>999570</v>
      </c>
      <c r="D77" s="189">
        <f>+E77-C77</f>
        <v>-999433</v>
      </c>
      <c r="E77" s="86">
        <v>137</v>
      </c>
      <c r="F77" s="167">
        <f t="shared" ref="F77:F104" si="92">+G77-E77</f>
        <v>186</v>
      </c>
      <c r="G77" s="86">
        <v>323</v>
      </c>
      <c r="H77" s="167">
        <f t="shared" ref="H77:H104" si="93">+I77-G77</f>
        <v>140</v>
      </c>
      <c r="I77" s="86">
        <v>463</v>
      </c>
      <c r="J77" s="167">
        <f t="shared" ref="J77:J104" si="94">+K77-I77</f>
        <v>246</v>
      </c>
      <c r="K77" s="86">
        <v>709</v>
      </c>
      <c r="L77" s="167">
        <f t="shared" ref="L77:L89" si="95">+M77-K77</f>
        <v>180</v>
      </c>
      <c r="M77" s="86">
        <v>889</v>
      </c>
      <c r="N77" s="167">
        <f t="shared" ref="N77:N89" si="96">+O77-M77</f>
        <v>113</v>
      </c>
      <c r="O77" s="86">
        <v>1002</v>
      </c>
      <c r="P77" s="167">
        <f t="shared" ref="P77:P89" si="97">+Q77-O77</f>
        <v>354</v>
      </c>
      <c r="Q77" s="86">
        <v>1356</v>
      </c>
      <c r="R77" s="167">
        <f t="shared" ref="R77:R89" si="98">+S77-Q77</f>
        <v>158</v>
      </c>
      <c r="S77" s="86">
        <v>1514</v>
      </c>
      <c r="T77" s="167">
        <f t="shared" ref="T77:T89" si="99">+U77-S77</f>
        <v>144</v>
      </c>
      <c r="U77" s="86">
        <v>1658</v>
      </c>
      <c r="V77" s="167">
        <f t="shared" ref="V77:V89" si="100">+W77-U77</f>
        <v>143</v>
      </c>
      <c r="W77" s="86">
        <v>1801</v>
      </c>
      <c r="X77" s="167">
        <f t="shared" ref="X77:X89" si="101">+Y77-W77</f>
        <v>280</v>
      </c>
      <c r="Y77" s="86">
        <v>2081</v>
      </c>
      <c r="Z77" s="167">
        <f t="shared" ref="Z77:Z89" si="102">+AA77-Y77</f>
        <v>144</v>
      </c>
      <c r="AA77" s="86">
        <v>2225</v>
      </c>
      <c r="AB77" s="167">
        <f t="shared" ref="AB77:AB89" si="103">+AC77-AA77</f>
        <v>64</v>
      </c>
      <c r="AC77" s="86">
        <v>2289</v>
      </c>
      <c r="AD77" s="167">
        <f t="shared" ref="AD77:AD89" si="104">+AE77-AC77</f>
        <v>54</v>
      </c>
      <c r="AE77" s="203">
        <v>2343</v>
      </c>
      <c r="AF77" s="167">
        <f t="shared" ref="AF77:AF89" si="105">+AG77-AE77</f>
        <v>83</v>
      </c>
      <c r="AG77" s="203">
        <v>2426</v>
      </c>
      <c r="AH77" s="167">
        <f t="shared" ref="AH77:AH89" si="106">+AI77-AG77</f>
        <v>-2426</v>
      </c>
      <c r="AI77" s="86"/>
      <c r="AJ77" s="167">
        <f t="shared" ref="AJ77:AJ89" si="107">+AK77-AI77</f>
        <v>0</v>
      </c>
      <c r="AK77" s="86"/>
      <c r="AL77" s="167">
        <f t="shared" ref="AL77:AL89" si="108">+AM77-AK77</f>
        <v>0</v>
      </c>
      <c r="AM77" s="86"/>
      <c r="AN77" s="167">
        <f t="shared" ref="AN77:AN89" si="109">+AO77-AM77</f>
        <v>0</v>
      </c>
      <c r="AO77" s="86"/>
      <c r="AP77" s="167">
        <f t="shared" ref="AP77:AP89" si="110">+AQ77-AO77</f>
        <v>0</v>
      </c>
      <c r="AQ77" s="86"/>
      <c r="AR77" s="167">
        <f t="shared" ref="AR77:AR89" si="111">+AS77-AQ77</f>
        <v>0</v>
      </c>
      <c r="AS77" s="86"/>
      <c r="AT77" s="167">
        <f t="shared" ref="AT77:AT89" si="112">+AU77-AS77</f>
        <v>0</v>
      </c>
      <c r="AU77" s="86"/>
      <c r="AV77" s="167">
        <f t="shared" ref="AV77:AV89" si="113">+AW77-AU77</f>
        <v>0</v>
      </c>
      <c r="AW77" s="86"/>
      <c r="AX77" s="167">
        <f t="shared" ref="AX77:AX89" si="114">+AY77-AW77</f>
        <v>0</v>
      </c>
      <c r="AY77" s="86"/>
      <c r="AZ77" s="167">
        <f t="shared" ref="AZ77:AZ89" si="115">+BA77-AY77</f>
        <v>0</v>
      </c>
      <c r="BA77" s="86"/>
      <c r="BB77" s="167">
        <f t="shared" ref="BB77:BB89" si="116">+BC77-BA77</f>
        <v>0</v>
      </c>
      <c r="BC77" s="86"/>
      <c r="BD77" s="167">
        <f t="shared" ref="BD77:BD89" si="117">+BE77-BC77</f>
        <v>0</v>
      </c>
      <c r="BE77" s="86"/>
      <c r="BF77" s="167">
        <f t="shared" ref="BF77:BF89" si="118">+BG77-BE77</f>
        <v>0</v>
      </c>
      <c r="BG77" s="86"/>
      <c r="BH77" s="167">
        <f t="shared" ref="BH77:BH89" si="119">+BI77-BG77</f>
        <v>0</v>
      </c>
      <c r="BI77" s="86"/>
      <c r="BJ77" s="167">
        <f t="shared" ref="BJ77:BJ89" si="120">+BK77-BI77</f>
        <v>0</v>
      </c>
      <c r="BK77" s="86"/>
      <c r="BL77" s="49"/>
      <c r="BM77" s="86"/>
      <c r="BN77" s="50"/>
      <c r="BO77" s="170">
        <f t="shared" ref="BO77:BO88" si="121">IF(COUNT(D77,F77,H77,J77,L77,N77,P77,R77,T77,V77,X77,Z77,AB77,AD77,AF77,AH77,AJ77,AL77,AN77,AP77,AR77,AT77,AV77,AX77,AZ77,BB77,BD77,BF77,BH77,BJ77,BL77)=0,"",SUM(D77,F77,H77,J77,L77,N77,P77,R77,T77,V77,X77,Z77,AB77,AD77,AF77,AH77,AJ77,AL77,AN77,AP77,AR77,AT77,AV77,AX77,AZ77,BB77,BD77,BF77,BH77,BJ77,BL77))</f>
        <v>-999570</v>
      </c>
      <c r="BP77" s="193" t="e">
        <f>+BQ77-BM77</f>
        <v>#VALUE!</v>
      </c>
      <c r="BQ77" s="212" t="str">
        <f t="shared" ref="BQ77:BQ88" si="122">IF(BK77="","",BK77)</f>
        <v/>
      </c>
    </row>
    <row r="78" spans="1:69" x14ac:dyDescent="0.35">
      <c r="A78" s="136" t="s">
        <v>76</v>
      </c>
      <c r="B78" s="54" t="s">
        <v>66</v>
      </c>
      <c r="C78" s="174">
        <f>IF('August 2026 Log'!BM78="","",'August 2026 Log'!BM78)</f>
        <v>719342</v>
      </c>
      <c r="D78" s="189">
        <f t="shared" ref="D78:D104" si="123">+E78-C78</f>
        <v>268</v>
      </c>
      <c r="E78" s="86">
        <v>719610</v>
      </c>
      <c r="F78" s="167">
        <f t="shared" si="92"/>
        <v>185</v>
      </c>
      <c r="G78" s="86">
        <v>719795</v>
      </c>
      <c r="H78" s="167">
        <f t="shared" si="93"/>
        <v>302</v>
      </c>
      <c r="I78" s="86">
        <v>720097</v>
      </c>
      <c r="J78" s="167">
        <f t="shared" si="94"/>
        <v>173</v>
      </c>
      <c r="K78" s="86">
        <v>720270</v>
      </c>
      <c r="L78" s="167">
        <f t="shared" si="95"/>
        <v>283</v>
      </c>
      <c r="M78" s="86">
        <v>720553</v>
      </c>
      <c r="N78" s="167">
        <f t="shared" si="96"/>
        <v>187</v>
      </c>
      <c r="O78" s="86">
        <v>720740</v>
      </c>
      <c r="P78" s="167">
        <f t="shared" si="97"/>
        <v>249</v>
      </c>
      <c r="Q78" s="86">
        <v>720989</v>
      </c>
      <c r="R78" s="167">
        <f t="shared" si="98"/>
        <v>113</v>
      </c>
      <c r="S78" s="86">
        <v>721102</v>
      </c>
      <c r="T78" s="167">
        <f t="shared" si="99"/>
        <v>180</v>
      </c>
      <c r="U78" s="86">
        <v>721282</v>
      </c>
      <c r="V78" s="167">
        <f t="shared" si="100"/>
        <v>184</v>
      </c>
      <c r="W78" s="86">
        <v>721466</v>
      </c>
      <c r="X78" s="167">
        <f t="shared" si="101"/>
        <v>193</v>
      </c>
      <c r="Y78" s="86">
        <v>721659</v>
      </c>
      <c r="Z78" s="167">
        <f t="shared" si="102"/>
        <v>206</v>
      </c>
      <c r="AA78" s="86">
        <v>721865</v>
      </c>
      <c r="AB78" s="167">
        <f t="shared" si="103"/>
        <v>71</v>
      </c>
      <c r="AC78" s="86">
        <v>721936</v>
      </c>
      <c r="AD78" s="167">
        <f t="shared" si="104"/>
        <v>203</v>
      </c>
      <c r="AE78" s="203">
        <v>722139</v>
      </c>
      <c r="AF78" s="167">
        <f t="shared" si="105"/>
        <v>249</v>
      </c>
      <c r="AG78" s="203">
        <v>722388</v>
      </c>
      <c r="AH78" s="167">
        <f t="shared" si="106"/>
        <v>-722388</v>
      </c>
      <c r="AI78" s="86"/>
      <c r="AJ78" s="167">
        <f t="shared" si="107"/>
        <v>0</v>
      </c>
      <c r="AK78" s="86"/>
      <c r="AL78" s="167">
        <f t="shared" si="108"/>
        <v>0</v>
      </c>
      <c r="AM78" s="86"/>
      <c r="AN78" s="167">
        <f t="shared" si="109"/>
        <v>0</v>
      </c>
      <c r="AO78" s="86"/>
      <c r="AP78" s="167">
        <f t="shared" si="110"/>
        <v>0</v>
      </c>
      <c r="AQ78" s="86"/>
      <c r="AR78" s="167">
        <f t="shared" si="111"/>
        <v>0</v>
      </c>
      <c r="AS78" s="86"/>
      <c r="AT78" s="167">
        <f t="shared" si="112"/>
        <v>0</v>
      </c>
      <c r="AU78" s="86"/>
      <c r="AV78" s="167">
        <f t="shared" si="113"/>
        <v>0</v>
      </c>
      <c r="AW78" s="86"/>
      <c r="AX78" s="167">
        <f t="shared" si="114"/>
        <v>0</v>
      </c>
      <c r="AY78" s="86"/>
      <c r="AZ78" s="167">
        <f t="shared" si="115"/>
        <v>0</v>
      </c>
      <c r="BA78" s="86"/>
      <c r="BB78" s="167">
        <f t="shared" si="116"/>
        <v>0</v>
      </c>
      <c r="BC78" s="86"/>
      <c r="BD78" s="167">
        <f t="shared" si="117"/>
        <v>0</v>
      </c>
      <c r="BE78" s="86"/>
      <c r="BF78" s="167">
        <f t="shared" si="118"/>
        <v>0</v>
      </c>
      <c r="BG78" s="86"/>
      <c r="BH78" s="167">
        <f t="shared" si="119"/>
        <v>0</v>
      </c>
      <c r="BI78" s="86"/>
      <c r="BJ78" s="167">
        <f t="shared" si="120"/>
        <v>0</v>
      </c>
      <c r="BK78" s="86"/>
      <c r="BL78" s="49"/>
      <c r="BM78" s="86"/>
      <c r="BN78" s="50"/>
      <c r="BO78" s="170">
        <f t="shared" si="121"/>
        <v>-719342</v>
      </c>
      <c r="BP78" s="167" t="e">
        <f t="shared" ref="BP78:BP89" si="124">+BQ78-BM78</f>
        <v>#VALUE!</v>
      </c>
      <c r="BQ78" s="178" t="str">
        <f t="shared" si="122"/>
        <v/>
      </c>
    </row>
    <row r="79" spans="1:69" x14ac:dyDescent="0.35">
      <c r="A79" s="134" t="s">
        <v>77</v>
      </c>
      <c r="B79" s="54" t="s">
        <v>67</v>
      </c>
      <c r="C79" s="174">
        <f>IF('August 2026 Log'!BM79="","",'August 2026 Log'!BM79)</f>
        <v>831599</v>
      </c>
      <c r="D79" s="189">
        <f t="shared" si="123"/>
        <v>31</v>
      </c>
      <c r="E79" s="86">
        <v>831630</v>
      </c>
      <c r="F79" s="167">
        <f t="shared" si="92"/>
        <v>100</v>
      </c>
      <c r="G79" s="86">
        <v>831730</v>
      </c>
      <c r="H79" s="167">
        <f t="shared" si="93"/>
        <v>71</v>
      </c>
      <c r="I79" s="86">
        <v>831801</v>
      </c>
      <c r="J79" s="167">
        <f t="shared" si="94"/>
        <v>63</v>
      </c>
      <c r="K79" s="86">
        <v>831864</v>
      </c>
      <c r="L79" s="167">
        <f t="shared" si="95"/>
        <v>67</v>
      </c>
      <c r="M79" s="86">
        <v>831931</v>
      </c>
      <c r="N79" s="167">
        <f t="shared" si="96"/>
        <v>97</v>
      </c>
      <c r="O79" s="86">
        <v>832028</v>
      </c>
      <c r="P79" s="167">
        <f t="shared" si="97"/>
        <v>115</v>
      </c>
      <c r="Q79" s="86">
        <v>832143</v>
      </c>
      <c r="R79" s="167">
        <f t="shared" si="98"/>
        <v>24</v>
      </c>
      <c r="S79" s="86">
        <v>832167</v>
      </c>
      <c r="T79" s="167">
        <f t="shared" si="99"/>
        <v>48</v>
      </c>
      <c r="U79" s="86">
        <v>832215</v>
      </c>
      <c r="V79" s="167">
        <f t="shared" si="100"/>
        <v>62</v>
      </c>
      <c r="W79" s="86">
        <v>832277</v>
      </c>
      <c r="X79" s="167">
        <f t="shared" si="101"/>
        <v>91</v>
      </c>
      <c r="Y79" s="86">
        <v>832368</v>
      </c>
      <c r="Z79" s="167">
        <f t="shared" si="102"/>
        <v>88</v>
      </c>
      <c r="AA79" s="86">
        <v>832456</v>
      </c>
      <c r="AB79" s="167">
        <f t="shared" si="103"/>
        <v>90</v>
      </c>
      <c r="AC79" s="86">
        <v>832546</v>
      </c>
      <c r="AD79" s="167">
        <f t="shared" si="104"/>
        <v>92</v>
      </c>
      <c r="AE79" s="203">
        <v>832638</v>
      </c>
      <c r="AF79" s="167">
        <f t="shared" si="105"/>
        <v>58</v>
      </c>
      <c r="AG79" s="203">
        <v>832696</v>
      </c>
      <c r="AH79" s="167">
        <f t="shared" si="106"/>
        <v>-832696</v>
      </c>
      <c r="AI79" s="86"/>
      <c r="AJ79" s="167">
        <f t="shared" si="107"/>
        <v>0</v>
      </c>
      <c r="AK79" s="86"/>
      <c r="AL79" s="167">
        <f t="shared" si="108"/>
        <v>0</v>
      </c>
      <c r="AM79" s="86"/>
      <c r="AN79" s="167">
        <f t="shared" si="109"/>
        <v>0</v>
      </c>
      <c r="AO79" s="86"/>
      <c r="AP79" s="167">
        <f t="shared" si="110"/>
        <v>0</v>
      </c>
      <c r="AQ79" s="86"/>
      <c r="AR79" s="167">
        <f t="shared" si="111"/>
        <v>0</v>
      </c>
      <c r="AS79" s="86"/>
      <c r="AT79" s="167">
        <f t="shared" si="112"/>
        <v>0</v>
      </c>
      <c r="AU79" s="86"/>
      <c r="AV79" s="167">
        <f t="shared" si="113"/>
        <v>0</v>
      </c>
      <c r="AW79" s="86"/>
      <c r="AX79" s="167">
        <f t="shared" si="114"/>
        <v>0</v>
      </c>
      <c r="AY79" s="86"/>
      <c r="AZ79" s="167">
        <f t="shared" si="115"/>
        <v>0</v>
      </c>
      <c r="BA79" s="86"/>
      <c r="BB79" s="167">
        <f t="shared" si="116"/>
        <v>0</v>
      </c>
      <c r="BC79" s="86"/>
      <c r="BD79" s="167">
        <f t="shared" si="117"/>
        <v>0</v>
      </c>
      <c r="BE79" s="86"/>
      <c r="BF79" s="167">
        <f t="shared" si="118"/>
        <v>0</v>
      </c>
      <c r="BG79" s="86"/>
      <c r="BH79" s="167">
        <f t="shared" si="119"/>
        <v>0</v>
      </c>
      <c r="BI79" s="86"/>
      <c r="BJ79" s="167">
        <f t="shared" si="120"/>
        <v>0</v>
      </c>
      <c r="BK79" s="86"/>
      <c r="BL79" s="49"/>
      <c r="BM79" s="86"/>
      <c r="BN79" s="50"/>
      <c r="BO79" s="170">
        <f t="shared" si="121"/>
        <v>-831599</v>
      </c>
      <c r="BP79" s="167" t="e">
        <f t="shared" si="124"/>
        <v>#VALUE!</v>
      </c>
      <c r="BQ79" s="178" t="str">
        <f t="shared" si="122"/>
        <v/>
      </c>
    </row>
    <row r="80" spans="1:69" x14ac:dyDescent="0.35">
      <c r="A80" s="132" t="s">
        <v>78</v>
      </c>
      <c r="B80" s="54" t="s">
        <v>65</v>
      </c>
      <c r="C80" s="174">
        <f>IF('August 2026 Log'!BM80="","",'August 2026 Log'!BM80)</f>
        <v>23155</v>
      </c>
      <c r="D80" s="189">
        <f t="shared" si="123"/>
        <v>1011</v>
      </c>
      <c r="E80" s="86">
        <v>24166</v>
      </c>
      <c r="F80" s="167">
        <f t="shared" si="92"/>
        <v>264</v>
      </c>
      <c r="G80" s="86">
        <v>24430</v>
      </c>
      <c r="H80" s="167">
        <f t="shared" si="93"/>
        <v>281</v>
      </c>
      <c r="I80" s="86">
        <v>24711</v>
      </c>
      <c r="J80" s="167">
        <f t="shared" si="94"/>
        <v>133</v>
      </c>
      <c r="K80" s="86">
        <v>24844</v>
      </c>
      <c r="L80" s="167">
        <f t="shared" si="95"/>
        <v>447</v>
      </c>
      <c r="M80" s="86">
        <v>25291</v>
      </c>
      <c r="N80" s="167">
        <f t="shared" si="96"/>
        <v>223</v>
      </c>
      <c r="O80" s="86">
        <v>25514</v>
      </c>
      <c r="P80" s="167">
        <f t="shared" si="97"/>
        <v>573</v>
      </c>
      <c r="Q80" s="86">
        <v>26087</v>
      </c>
      <c r="R80" s="167">
        <f t="shared" si="98"/>
        <v>268</v>
      </c>
      <c r="S80" s="86">
        <v>26355</v>
      </c>
      <c r="T80" s="167">
        <f t="shared" si="99"/>
        <v>157</v>
      </c>
      <c r="U80" s="86">
        <v>26512</v>
      </c>
      <c r="V80" s="167">
        <f t="shared" si="100"/>
        <v>169</v>
      </c>
      <c r="W80" s="86">
        <v>26681</v>
      </c>
      <c r="X80" s="167">
        <f t="shared" si="101"/>
        <v>308</v>
      </c>
      <c r="Y80" s="86">
        <v>26989</v>
      </c>
      <c r="Z80" s="167">
        <f t="shared" si="102"/>
        <v>208</v>
      </c>
      <c r="AA80" s="86">
        <v>27197</v>
      </c>
      <c r="AB80" s="167">
        <f t="shared" si="103"/>
        <v>73</v>
      </c>
      <c r="AC80" s="86">
        <v>27270</v>
      </c>
      <c r="AD80" s="167">
        <f t="shared" si="104"/>
        <v>791</v>
      </c>
      <c r="AE80" s="203">
        <v>28061</v>
      </c>
      <c r="AF80" s="167">
        <f t="shared" si="105"/>
        <v>381</v>
      </c>
      <c r="AG80" s="203">
        <v>28442</v>
      </c>
      <c r="AH80" s="167">
        <f t="shared" si="106"/>
        <v>-28442</v>
      </c>
      <c r="AI80" s="86"/>
      <c r="AJ80" s="167">
        <f t="shared" si="107"/>
        <v>0</v>
      </c>
      <c r="AK80" s="86"/>
      <c r="AL80" s="167">
        <f t="shared" si="108"/>
        <v>0</v>
      </c>
      <c r="AM80" s="86"/>
      <c r="AN80" s="167">
        <f t="shared" si="109"/>
        <v>0</v>
      </c>
      <c r="AO80" s="86"/>
      <c r="AP80" s="167">
        <f t="shared" si="110"/>
        <v>0</v>
      </c>
      <c r="AQ80" s="86"/>
      <c r="AR80" s="167">
        <f t="shared" si="111"/>
        <v>0</v>
      </c>
      <c r="AS80" s="86"/>
      <c r="AT80" s="167">
        <f t="shared" si="112"/>
        <v>0</v>
      </c>
      <c r="AU80" s="86"/>
      <c r="AV80" s="167">
        <f t="shared" si="113"/>
        <v>0</v>
      </c>
      <c r="AW80" s="86"/>
      <c r="AX80" s="167">
        <f t="shared" si="114"/>
        <v>0</v>
      </c>
      <c r="AY80" s="86"/>
      <c r="AZ80" s="167">
        <f t="shared" si="115"/>
        <v>0</v>
      </c>
      <c r="BA80" s="86"/>
      <c r="BB80" s="167">
        <f t="shared" si="116"/>
        <v>0</v>
      </c>
      <c r="BC80" s="86"/>
      <c r="BD80" s="167">
        <f t="shared" si="117"/>
        <v>0</v>
      </c>
      <c r="BE80" s="86"/>
      <c r="BF80" s="167">
        <f t="shared" si="118"/>
        <v>0</v>
      </c>
      <c r="BG80" s="86"/>
      <c r="BH80" s="167">
        <f t="shared" si="119"/>
        <v>0</v>
      </c>
      <c r="BI80" s="86"/>
      <c r="BJ80" s="167">
        <f t="shared" si="120"/>
        <v>0</v>
      </c>
      <c r="BK80" s="86"/>
      <c r="BL80" s="49"/>
      <c r="BM80" s="86"/>
      <c r="BN80" s="50"/>
      <c r="BO80" s="170">
        <f t="shared" si="121"/>
        <v>-23155</v>
      </c>
      <c r="BP80" s="167" t="e">
        <f t="shared" si="124"/>
        <v>#VALUE!</v>
      </c>
      <c r="BQ80" s="178" t="str">
        <f t="shared" si="122"/>
        <v/>
      </c>
    </row>
    <row r="81" spans="1:69" x14ac:dyDescent="0.35">
      <c r="A81" s="136" t="s">
        <v>79</v>
      </c>
      <c r="B81" s="54" t="s">
        <v>66</v>
      </c>
      <c r="C81" s="174">
        <f>IF('August 2026 Log'!BM81="","",'August 2026 Log'!BM81)</f>
        <v>742645</v>
      </c>
      <c r="D81" s="189">
        <f t="shared" si="123"/>
        <v>311</v>
      </c>
      <c r="E81" s="86">
        <v>742956</v>
      </c>
      <c r="F81" s="167">
        <f t="shared" si="92"/>
        <v>83</v>
      </c>
      <c r="G81" s="86">
        <v>743039</v>
      </c>
      <c r="H81" s="167">
        <f t="shared" si="93"/>
        <v>162</v>
      </c>
      <c r="I81" s="86">
        <v>743201</v>
      </c>
      <c r="J81" s="167">
        <f t="shared" si="94"/>
        <v>155</v>
      </c>
      <c r="K81" s="86">
        <v>743356</v>
      </c>
      <c r="L81" s="167">
        <f t="shared" si="95"/>
        <v>222</v>
      </c>
      <c r="M81" s="86">
        <v>743578</v>
      </c>
      <c r="N81" s="167">
        <f t="shared" si="96"/>
        <v>111</v>
      </c>
      <c r="O81" s="86">
        <v>743689</v>
      </c>
      <c r="P81" s="167">
        <f t="shared" si="97"/>
        <v>269</v>
      </c>
      <c r="Q81" s="86">
        <v>743958</v>
      </c>
      <c r="R81" s="167">
        <f t="shared" si="98"/>
        <v>219</v>
      </c>
      <c r="S81" s="86">
        <v>744177</v>
      </c>
      <c r="T81" s="167">
        <f t="shared" si="99"/>
        <v>63</v>
      </c>
      <c r="U81" s="86">
        <v>744240</v>
      </c>
      <c r="V81" s="167">
        <f t="shared" si="100"/>
        <v>197</v>
      </c>
      <c r="W81" s="86">
        <v>744437</v>
      </c>
      <c r="X81" s="167">
        <f t="shared" si="101"/>
        <v>218</v>
      </c>
      <c r="Y81" s="86">
        <v>744655</v>
      </c>
      <c r="Z81" s="167">
        <f t="shared" si="102"/>
        <v>293</v>
      </c>
      <c r="AA81" s="86">
        <v>744948</v>
      </c>
      <c r="AB81" s="167">
        <f t="shared" si="103"/>
        <v>211</v>
      </c>
      <c r="AC81" s="86">
        <v>745159</v>
      </c>
      <c r="AD81" s="167">
        <f t="shared" si="104"/>
        <v>227</v>
      </c>
      <c r="AE81" s="203">
        <v>745386</v>
      </c>
      <c r="AF81" s="167">
        <f t="shared" si="105"/>
        <v>119</v>
      </c>
      <c r="AG81" s="203">
        <v>745505</v>
      </c>
      <c r="AH81" s="167">
        <f t="shared" si="106"/>
        <v>-745505</v>
      </c>
      <c r="AI81" s="86"/>
      <c r="AJ81" s="167">
        <f t="shared" si="107"/>
        <v>0</v>
      </c>
      <c r="AK81" s="86"/>
      <c r="AL81" s="167">
        <f t="shared" si="108"/>
        <v>0</v>
      </c>
      <c r="AM81" s="86"/>
      <c r="AN81" s="167">
        <f t="shared" si="109"/>
        <v>0</v>
      </c>
      <c r="AO81" s="86"/>
      <c r="AP81" s="167">
        <f t="shared" si="110"/>
        <v>0</v>
      </c>
      <c r="AQ81" s="86"/>
      <c r="AR81" s="167">
        <f t="shared" si="111"/>
        <v>0</v>
      </c>
      <c r="AS81" s="86"/>
      <c r="AT81" s="167">
        <f t="shared" si="112"/>
        <v>0</v>
      </c>
      <c r="AU81" s="86"/>
      <c r="AV81" s="167">
        <f t="shared" si="113"/>
        <v>0</v>
      </c>
      <c r="AW81" s="86"/>
      <c r="AX81" s="167">
        <f t="shared" si="114"/>
        <v>0</v>
      </c>
      <c r="AY81" s="86"/>
      <c r="AZ81" s="167">
        <f t="shared" si="115"/>
        <v>0</v>
      </c>
      <c r="BA81" s="86"/>
      <c r="BB81" s="167">
        <f t="shared" si="116"/>
        <v>0</v>
      </c>
      <c r="BC81" s="86"/>
      <c r="BD81" s="167">
        <f t="shared" si="117"/>
        <v>0</v>
      </c>
      <c r="BE81" s="86"/>
      <c r="BF81" s="167">
        <f t="shared" si="118"/>
        <v>0</v>
      </c>
      <c r="BG81" s="86"/>
      <c r="BH81" s="167">
        <f t="shared" si="119"/>
        <v>0</v>
      </c>
      <c r="BI81" s="86"/>
      <c r="BJ81" s="167">
        <f t="shared" si="120"/>
        <v>0</v>
      </c>
      <c r="BK81" s="86"/>
      <c r="BL81" s="49"/>
      <c r="BM81" s="86"/>
      <c r="BN81" s="50"/>
      <c r="BO81" s="170">
        <f t="shared" si="121"/>
        <v>-742645</v>
      </c>
      <c r="BP81" s="167" t="e">
        <f t="shared" si="124"/>
        <v>#VALUE!</v>
      </c>
      <c r="BQ81" s="178" t="str">
        <f t="shared" si="122"/>
        <v/>
      </c>
    </row>
    <row r="82" spans="1:69" x14ac:dyDescent="0.35">
      <c r="A82" s="134" t="s">
        <v>80</v>
      </c>
      <c r="B82" s="54" t="s">
        <v>67</v>
      </c>
      <c r="C82" s="174">
        <f>IF('August 2026 Log'!BM82="","",'August 2026 Log'!BM82)</f>
        <v>739527</v>
      </c>
      <c r="D82" s="189">
        <f t="shared" si="123"/>
        <v>80</v>
      </c>
      <c r="E82" s="86">
        <v>739607</v>
      </c>
      <c r="F82" s="167">
        <f t="shared" si="92"/>
        <v>86</v>
      </c>
      <c r="G82" s="86">
        <v>739693</v>
      </c>
      <c r="H82" s="167">
        <f t="shared" si="93"/>
        <v>145</v>
      </c>
      <c r="I82" s="86">
        <v>739838</v>
      </c>
      <c r="J82" s="167">
        <f t="shared" si="94"/>
        <v>50</v>
      </c>
      <c r="K82" s="86">
        <v>739888</v>
      </c>
      <c r="L82" s="167">
        <f t="shared" si="95"/>
        <v>62</v>
      </c>
      <c r="M82" s="86">
        <v>739950</v>
      </c>
      <c r="N82" s="167">
        <f t="shared" si="96"/>
        <v>37</v>
      </c>
      <c r="O82" s="86">
        <v>739987</v>
      </c>
      <c r="P82" s="167">
        <f t="shared" si="97"/>
        <v>153</v>
      </c>
      <c r="Q82" s="86">
        <v>740140</v>
      </c>
      <c r="R82" s="167">
        <f t="shared" si="98"/>
        <v>212</v>
      </c>
      <c r="S82" s="86">
        <v>740352</v>
      </c>
      <c r="T82" s="167">
        <f t="shared" si="99"/>
        <v>57</v>
      </c>
      <c r="U82" s="86">
        <v>740409</v>
      </c>
      <c r="V82" s="167">
        <f t="shared" si="100"/>
        <v>43</v>
      </c>
      <c r="W82" s="86">
        <v>740452</v>
      </c>
      <c r="X82" s="167">
        <f t="shared" si="101"/>
        <v>94</v>
      </c>
      <c r="Y82" s="86">
        <v>740546</v>
      </c>
      <c r="Z82" s="167">
        <f t="shared" si="102"/>
        <v>68</v>
      </c>
      <c r="AA82" s="86">
        <v>740614</v>
      </c>
      <c r="AB82" s="167">
        <f t="shared" si="103"/>
        <v>26</v>
      </c>
      <c r="AC82" s="86">
        <v>740640</v>
      </c>
      <c r="AD82" s="167">
        <f t="shared" si="104"/>
        <v>89</v>
      </c>
      <c r="AE82" s="203">
        <v>740729</v>
      </c>
      <c r="AF82" s="167">
        <f t="shared" si="105"/>
        <v>17</v>
      </c>
      <c r="AG82" s="203">
        <v>740746</v>
      </c>
      <c r="AH82" s="167">
        <f t="shared" si="106"/>
        <v>-740746</v>
      </c>
      <c r="AI82" s="86"/>
      <c r="AJ82" s="167">
        <f t="shared" si="107"/>
        <v>0</v>
      </c>
      <c r="AK82" s="86"/>
      <c r="AL82" s="167">
        <f t="shared" si="108"/>
        <v>0</v>
      </c>
      <c r="AM82" s="86"/>
      <c r="AN82" s="167">
        <f t="shared" si="109"/>
        <v>0</v>
      </c>
      <c r="AO82" s="86"/>
      <c r="AP82" s="167">
        <f t="shared" si="110"/>
        <v>0</v>
      </c>
      <c r="AQ82" s="86"/>
      <c r="AR82" s="167">
        <f t="shared" si="111"/>
        <v>0</v>
      </c>
      <c r="AS82" s="86"/>
      <c r="AT82" s="167">
        <f t="shared" si="112"/>
        <v>0</v>
      </c>
      <c r="AU82" s="86"/>
      <c r="AV82" s="167">
        <f t="shared" si="113"/>
        <v>0</v>
      </c>
      <c r="AW82" s="86"/>
      <c r="AX82" s="167">
        <f t="shared" si="114"/>
        <v>0</v>
      </c>
      <c r="AY82" s="86"/>
      <c r="AZ82" s="167">
        <f t="shared" si="115"/>
        <v>0</v>
      </c>
      <c r="BA82" s="86"/>
      <c r="BB82" s="167">
        <f t="shared" si="116"/>
        <v>0</v>
      </c>
      <c r="BC82" s="86"/>
      <c r="BD82" s="167">
        <f t="shared" si="117"/>
        <v>0</v>
      </c>
      <c r="BE82" s="86"/>
      <c r="BF82" s="167">
        <f t="shared" si="118"/>
        <v>0</v>
      </c>
      <c r="BG82" s="86"/>
      <c r="BH82" s="167">
        <f t="shared" si="119"/>
        <v>0</v>
      </c>
      <c r="BI82" s="86"/>
      <c r="BJ82" s="167">
        <f t="shared" si="120"/>
        <v>0</v>
      </c>
      <c r="BK82" s="86"/>
      <c r="BL82" s="49"/>
      <c r="BM82" s="86"/>
      <c r="BN82" s="50"/>
      <c r="BO82" s="170">
        <f t="shared" si="121"/>
        <v>-739527</v>
      </c>
      <c r="BP82" s="167" t="e">
        <f t="shared" si="124"/>
        <v>#VALUE!</v>
      </c>
      <c r="BQ82" s="178" t="str">
        <f t="shared" si="122"/>
        <v/>
      </c>
    </row>
    <row r="83" spans="1:69" x14ac:dyDescent="0.35">
      <c r="A83" s="135" t="s">
        <v>81</v>
      </c>
      <c r="B83" s="54" t="s">
        <v>67</v>
      </c>
      <c r="C83" s="174">
        <f>IF('August 2026 Log'!BM83="","",'August 2026 Log'!BM83)</f>
        <v>2135</v>
      </c>
      <c r="D83" s="189">
        <f t="shared" si="123"/>
        <v>75</v>
      </c>
      <c r="E83" s="86">
        <v>2210</v>
      </c>
      <c r="F83" s="167">
        <f t="shared" si="92"/>
        <v>27</v>
      </c>
      <c r="G83" s="86">
        <v>2237</v>
      </c>
      <c r="H83" s="167">
        <f t="shared" si="93"/>
        <v>54</v>
      </c>
      <c r="I83" s="86">
        <v>2291</v>
      </c>
      <c r="J83" s="167">
        <f t="shared" si="94"/>
        <v>87</v>
      </c>
      <c r="K83" s="86">
        <v>2378</v>
      </c>
      <c r="L83" s="167">
        <f t="shared" si="95"/>
        <v>75</v>
      </c>
      <c r="M83" s="86">
        <v>2453</v>
      </c>
      <c r="N83" s="167">
        <f t="shared" si="96"/>
        <v>45</v>
      </c>
      <c r="O83" s="86">
        <v>2498</v>
      </c>
      <c r="P83" s="167">
        <f t="shared" si="97"/>
        <v>2</v>
      </c>
      <c r="Q83" s="86">
        <v>2500</v>
      </c>
      <c r="R83" s="167">
        <f t="shared" si="98"/>
        <v>26</v>
      </c>
      <c r="S83" s="86">
        <v>2526</v>
      </c>
      <c r="T83" s="167">
        <f t="shared" si="99"/>
        <v>28</v>
      </c>
      <c r="U83" s="86">
        <v>2554</v>
      </c>
      <c r="V83" s="167">
        <f t="shared" si="100"/>
        <v>60</v>
      </c>
      <c r="W83" s="86">
        <v>2614</v>
      </c>
      <c r="X83" s="167">
        <f t="shared" si="101"/>
        <v>60</v>
      </c>
      <c r="Y83" s="86">
        <v>2674</v>
      </c>
      <c r="Z83" s="167">
        <f t="shared" si="102"/>
        <v>1</v>
      </c>
      <c r="AA83" s="86">
        <v>2675</v>
      </c>
      <c r="AB83" s="167">
        <f t="shared" si="103"/>
        <v>1</v>
      </c>
      <c r="AC83" s="86">
        <v>2676</v>
      </c>
      <c r="AD83" s="167">
        <f t="shared" si="104"/>
        <v>0</v>
      </c>
      <c r="AE83" s="203">
        <v>2676</v>
      </c>
      <c r="AF83" s="167">
        <f t="shared" si="105"/>
        <v>0</v>
      </c>
      <c r="AG83" s="203">
        <v>2676</v>
      </c>
      <c r="AH83" s="167">
        <f t="shared" si="106"/>
        <v>-2676</v>
      </c>
      <c r="AI83" s="86"/>
      <c r="AJ83" s="167">
        <f t="shared" si="107"/>
        <v>0</v>
      </c>
      <c r="AK83" s="86"/>
      <c r="AL83" s="167">
        <f t="shared" si="108"/>
        <v>0</v>
      </c>
      <c r="AM83" s="86"/>
      <c r="AN83" s="167">
        <f t="shared" si="109"/>
        <v>0</v>
      </c>
      <c r="AO83" s="86"/>
      <c r="AP83" s="167">
        <f t="shared" si="110"/>
        <v>0</v>
      </c>
      <c r="AQ83" s="86"/>
      <c r="AR83" s="167">
        <f t="shared" si="111"/>
        <v>0</v>
      </c>
      <c r="AS83" s="86"/>
      <c r="AT83" s="167">
        <f t="shared" si="112"/>
        <v>0</v>
      </c>
      <c r="AU83" s="86"/>
      <c r="AV83" s="167">
        <f t="shared" si="113"/>
        <v>0</v>
      </c>
      <c r="AW83" s="86"/>
      <c r="AX83" s="167">
        <f t="shared" si="114"/>
        <v>0</v>
      </c>
      <c r="AY83" s="86"/>
      <c r="AZ83" s="167">
        <f t="shared" si="115"/>
        <v>0</v>
      </c>
      <c r="BA83" s="86"/>
      <c r="BB83" s="167">
        <f t="shared" si="116"/>
        <v>0</v>
      </c>
      <c r="BC83" s="86"/>
      <c r="BD83" s="167">
        <f t="shared" si="117"/>
        <v>0</v>
      </c>
      <c r="BE83" s="86"/>
      <c r="BF83" s="167">
        <f t="shared" si="118"/>
        <v>0</v>
      </c>
      <c r="BG83" s="86"/>
      <c r="BH83" s="167">
        <f t="shared" si="119"/>
        <v>0</v>
      </c>
      <c r="BI83" s="86"/>
      <c r="BJ83" s="167">
        <f t="shared" si="120"/>
        <v>0</v>
      </c>
      <c r="BK83" s="86"/>
      <c r="BL83" s="49"/>
      <c r="BM83" s="86"/>
      <c r="BN83" s="50"/>
      <c r="BO83" s="170">
        <f t="shared" si="121"/>
        <v>-2135</v>
      </c>
      <c r="BP83" s="167" t="e">
        <f t="shared" si="124"/>
        <v>#VALUE!</v>
      </c>
      <c r="BQ83" s="178" t="str">
        <f t="shared" si="122"/>
        <v/>
      </c>
    </row>
    <row r="84" spans="1:69" x14ac:dyDescent="0.35">
      <c r="A84" s="136" t="s">
        <v>82</v>
      </c>
      <c r="B84" s="54" t="s">
        <v>66</v>
      </c>
      <c r="C84" s="174">
        <f>IF('August 2026 Log'!BM84="","",'August 2026 Log'!BM84)</f>
        <v>84360</v>
      </c>
      <c r="D84" s="189">
        <f t="shared" si="123"/>
        <v>171</v>
      </c>
      <c r="E84" s="86">
        <v>84531</v>
      </c>
      <c r="F84" s="167">
        <f t="shared" si="92"/>
        <v>103</v>
      </c>
      <c r="G84" s="86">
        <v>84634</v>
      </c>
      <c r="H84" s="167">
        <f t="shared" si="93"/>
        <v>90</v>
      </c>
      <c r="I84" s="86">
        <v>84724</v>
      </c>
      <c r="J84" s="167">
        <f t="shared" si="94"/>
        <v>133</v>
      </c>
      <c r="K84" s="86">
        <v>84857</v>
      </c>
      <c r="L84" s="167">
        <f t="shared" si="95"/>
        <v>63</v>
      </c>
      <c r="M84" s="86">
        <v>84920</v>
      </c>
      <c r="N84" s="167">
        <f t="shared" si="96"/>
        <v>21</v>
      </c>
      <c r="O84" s="86">
        <v>84941</v>
      </c>
      <c r="P84" s="167">
        <f t="shared" si="97"/>
        <v>17</v>
      </c>
      <c r="Q84" s="86">
        <v>84958</v>
      </c>
      <c r="R84" s="167">
        <f t="shared" si="98"/>
        <v>55</v>
      </c>
      <c r="S84" s="86">
        <v>85013</v>
      </c>
      <c r="T84" s="167">
        <f t="shared" si="99"/>
        <v>139</v>
      </c>
      <c r="U84" s="86">
        <v>85152</v>
      </c>
      <c r="V84" s="167">
        <f t="shared" si="100"/>
        <v>245</v>
      </c>
      <c r="W84" s="86">
        <v>85397</v>
      </c>
      <c r="X84" s="167">
        <f t="shared" si="101"/>
        <v>39</v>
      </c>
      <c r="Y84" s="86">
        <v>85436</v>
      </c>
      <c r="Z84" s="167">
        <f t="shared" si="102"/>
        <v>48</v>
      </c>
      <c r="AA84" s="86">
        <v>85484</v>
      </c>
      <c r="AB84" s="167">
        <f t="shared" si="103"/>
        <v>57</v>
      </c>
      <c r="AC84" s="86">
        <v>85541</v>
      </c>
      <c r="AD84" s="167">
        <f t="shared" si="104"/>
        <v>133</v>
      </c>
      <c r="AE84" s="203">
        <v>85674</v>
      </c>
      <c r="AF84" s="167">
        <f t="shared" si="105"/>
        <v>167</v>
      </c>
      <c r="AG84" s="203">
        <v>85841</v>
      </c>
      <c r="AH84" s="167">
        <f t="shared" si="106"/>
        <v>-85841</v>
      </c>
      <c r="AI84" s="86"/>
      <c r="AJ84" s="167">
        <f t="shared" si="107"/>
        <v>0</v>
      </c>
      <c r="AK84" s="86"/>
      <c r="AL84" s="167">
        <f t="shared" si="108"/>
        <v>0</v>
      </c>
      <c r="AM84" s="86"/>
      <c r="AN84" s="167">
        <f t="shared" si="109"/>
        <v>0</v>
      </c>
      <c r="AO84" s="86"/>
      <c r="AP84" s="167">
        <f t="shared" si="110"/>
        <v>0</v>
      </c>
      <c r="AQ84" s="86"/>
      <c r="AR84" s="167">
        <f t="shared" si="111"/>
        <v>0</v>
      </c>
      <c r="AS84" s="86"/>
      <c r="AT84" s="167">
        <f t="shared" si="112"/>
        <v>0</v>
      </c>
      <c r="AU84" s="86"/>
      <c r="AV84" s="167">
        <f t="shared" si="113"/>
        <v>0</v>
      </c>
      <c r="AW84" s="86"/>
      <c r="AX84" s="167">
        <f t="shared" si="114"/>
        <v>0</v>
      </c>
      <c r="AY84" s="86"/>
      <c r="AZ84" s="167">
        <f t="shared" si="115"/>
        <v>0</v>
      </c>
      <c r="BA84" s="86"/>
      <c r="BB84" s="167">
        <f t="shared" si="116"/>
        <v>0</v>
      </c>
      <c r="BC84" s="86"/>
      <c r="BD84" s="167">
        <f t="shared" si="117"/>
        <v>0</v>
      </c>
      <c r="BE84" s="86"/>
      <c r="BF84" s="167">
        <f t="shared" si="118"/>
        <v>0</v>
      </c>
      <c r="BG84" s="86"/>
      <c r="BH84" s="167">
        <f t="shared" si="119"/>
        <v>0</v>
      </c>
      <c r="BI84" s="86"/>
      <c r="BJ84" s="167">
        <f t="shared" si="120"/>
        <v>0</v>
      </c>
      <c r="BK84" s="86"/>
      <c r="BL84" s="49"/>
      <c r="BM84" s="86"/>
      <c r="BN84" s="50"/>
      <c r="BO84" s="170">
        <f t="shared" si="121"/>
        <v>-84360</v>
      </c>
      <c r="BP84" s="167" t="e">
        <f t="shared" si="124"/>
        <v>#VALUE!</v>
      </c>
      <c r="BQ84" s="178" t="str">
        <f t="shared" si="122"/>
        <v/>
      </c>
    </row>
    <row r="85" spans="1:69" x14ac:dyDescent="0.35">
      <c r="A85" s="44" t="s">
        <v>83</v>
      </c>
      <c r="B85" s="54" t="s">
        <v>65</v>
      </c>
      <c r="C85" s="174">
        <f>IF('August 2026 Log'!BM85="","",'August 2026 Log'!BM85)</f>
        <v>98483</v>
      </c>
      <c r="D85" s="189">
        <f t="shared" si="123"/>
        <v>998</v>
      </c>
      <c r="E85" s="86">
        <v>99481</v>
      </c>
      <c r="F85" s="167">
        <f t="shared" si="92"/>
        <v>290</v>
      </c>
      <c r="G85" s="86">
        <v>99771</v>
      </c>
      <c r="H85" s="167">
        <f t="shared" si="93"/>
        <v>246</v>
      </c>
      <c r="I85" s="86">
        <v>100017</v>
      </c>
      <c r="J85" s="167">
        <f t="shared" si="94"/>
        <v>112</v>
      </c>
      <c r="K85" s="86">
        <v>100129</v>
      </c>
      <c r="L85" s="167">
        <f t="shared" si="95"/>
        <v>239</v>
      </c>
      <c r="M85" s="86">
        <v>100368</v>
      </c>
      <c r="N85" s="167">
        <f t="shared" si="96"/>
        <v>96</v>
      </c>
      <c r="O85" s="86">
        <v>100464</v>
      </c>
      <c r="P85" s="167">
        <f t="shared" si="97"/>
        <v>5</v>
      </c>
      <c r="Q85" s="86">
        <v>100469</v>
      </c>
      <c r="R85" s="167">
        <f t="shared" si="98"/>
        <v>217</v>
      </c>
      <c r="S85" s="86">
        <v>100686</v>
      </c>
      <c r="T85" s="167">
        <f t="shared" si="99"/>
        <v>258</v>
      </c>
      <c r="U85" s="86">
        <v>100944</v>
      </c>
      <c r="V85" s="167">
        <f t="shared" si="100"/>
        <v>54</v>
      </c>
      <c r="W85" s="86">
        <v>100998</v>
      </c>
      <c r="X85" s="167">
        <f t="shared" si="101"/>
        <v>249</v>
      </c>
      <c r="Y85" s="86">
        <v>101247</v>
      </c>
      <c r="Z85" s="167">
        <f t="shared" si="102"/>
        <v>152</v>
      </c>
      <c r="AA85" s="86">
        <v>101399</v>
      </c>
      <c r="AB85" s="167">
        <f t="shared" si="103"/>
        <v>146</v>
      </c>
      <c r="AC85" s="86">
        <v>101545</v>
      </c>
      <c r="AD85" s="167">
        <f t="shared" si="104"/>
        <v>390</v>
      </c>
      <c r="AE85" s="203">
        <v>101935</v>
      </c>
      <c r="AF85" s="167">
        <f t="shared" si="105"/>
        <v>401</v>
      </c>
      <c r="AG85" s="203">
        <v>102336</v>
      </c>
      <c r="AH85" s="167">
        <f t="shared" si="106"/>
        <v>-102336</v>
      </c>
      <c r="AI85" s="86"/>
      <c r="AJ85" s="167">
        <f t="shared" si="107"/>
        <v>0</v>
      </c>
      <c r="AK85" s="86"/>
      <c r="AL85" s="167">
        <f t="shared" si="108"/>
        <v>0</v>
      </c>
      <c r="AM85" s="86"/>
      <c r="AN85" s="167">
        <f t="shared" si="109"/>
        <v>0</v>
      </c>
      <c r="AO85" s="86"/>
      <c r="AP85" s="167">
        <f t="shared" si="110"/>
        <v>0</v>
      </c>
      <c r="AQ85" s="86"/>
      <c r="AR85" s="167">
        <f t="shared" si="111"/>
        <v>0</v>
      </c>
      <c r="AS85" s="86"/>
      <c r="AT85" s="167">
        <f t="shared" si="112"/>
        <v>0</v>
      </c>
      <c r="AU85" s="86"/>
      <c r="AV85" s="167">
        <f t="shared" si="113"/>
        <v>0</v>
      </c>
      <c r="AW85" s="86"/>
      <c r="AX85" s="167">
        <f t="shared" si="114"/>
        <v>0</v>
      </c>
      <c r="AY85" s="86"/>
      <c r="AZ85" s="167">
        <f t="shared" si="115"/>
        <v>0</v>
      </c>
      <c r="BA85" s="86"/>
      <c r="BB85" s="167">
        <f t="shared" si="116"/>
        <v>0</v>
      </c>
      <c r="BC85" s="86"/>
      <c r="BD85" s="167">
        <f t="shared" si="117"/>
        <v>0</v>
      </c>
      <c r="BE85" s="86"/>
      <c r="BF85" s="167">
        <f t="shared" si="118"/>
        <v>0</v>
      </c>
      <c r="BG85" s="86"/>
      <c r="BH85" s="167">
        <f t="shared" si="119"/>
        <v>0</v>
      </c>
      <c r="BI85" s="86"/>
      <c r="BJ85" s="167">
        <f t="shared" si="120"/>
        <v>0</v>
      </c>
      <c r="BK85" s="86"/>
      <c r="BL85" s="49"/>
      <c r="BM85" s="86"/>
      <c r="BN85" s="50"/>
      <c r="BO85" s="170">
        <f t="shared" si="121"/>
        <v>-98483</v>
      </c>
      <c r="BP85" s="167" t="e">
        <f t="shared" si="124"/>
        <v>#VALUE!</v>
      </c>
      <c r="BQ85" s="178" t="str">
        <f t="shared" si="122"/>
        <v/>
      </c>
    </row>
    <row r="86" spans="1:69" x14ac:dyDescent="0.35">
      <c r="A86" s="135" t="s">
        <v>84</v>
      </c>
      <c r="B86" s="54" t="s">
        <v>67</v>
      </c>
      <c r="C86" s="174">
        <f>IF('August 2026 Log'!BM86="","",'August 2026 Log'!BM86)</f>
        <v>67538</v>
      </c>
      <c r="D86" s="189">
        <f t="shared" si="123"/>
        <v>119</v>
      </c>
      <c r="E86" s="86">
        <v>67657</v>
      </c>
      <c r="F86" s="167">
        <f t="shared" si="92"/>
        <v>99</v>
      </c>
      <c r="G86" s="86">
        <v>67756</v>
      </c>
      <c r="H86" s="167">
        <f t="shared" si="93"/>
        <v>50</v>
      </c>
      <c r="I86" s="86">
        <v>67806</v>
      </c>
      <c r="J86" s="167">
        <f t="shared" si="94"/>
        <v>115</v>
      </c>
      <c r="K86" s="86">
        <v>67921</v>
      </c>
      <c r="L86" s="167">
        <f t="shared" si="95"/>
        <v>137</v>
      </c>
      <c r="M86" s="86">
        <v>68058</v>
      </c>
      <c r="N86" s="167">
        <f t="shared" si="96"/>
        <v>11</v>
      </c>
      <c r="O86" s="86">
        <v>68069</v>
      </c>
      <c r="P86" s="167">
        <f t="shared" si="97"/>
        <v>26</v>
      </c>
      <c r="Q86" s="86">
        <v>68095</v>
      </c>
      <c r="R86" s="167">
        <f t="shared" si="98"/>
        <v>49</v>
      </c>
      <c r="S86" s="86">
        <v>68144</v>
      </c>
      <c r="T86" s="167">
        <f t="shared" si="99"/>
        <v>20</v>
      </c>
      <c r="U86" s="86">
        <v>68164</v>
      </c>
      <c r="V86" s="167">
        <f t="shared" si="100"/>
        <v>189</v>
      </c>
      <c r="W86" s="86">
        <v>68353</v>
      </c>
      <c r="X86" s="167">
        <f t="shared" si="101"/>
        <v>88</v>
      </c>
      <c r="Y86" s="86">
        <v>68441</v>
      </c>
      <c r="Z86" s="167">
        <f t="shared" si="102"/>
        <v>14</v>
      </c>
      <c r="AA86" s="86">
        <v>68455</v>
      </c>
      <c r="AB86" s="167">
        <f t="shared" si="103"/>
        <v>18</v>
      </c>
      <c r="AC86" s="86">
        <v>68473</v>
      </c>
      <c r="AD86" s="167">
        <f t="shared" si="104"/>
        <v>75</v>
      </c>
      <c r="AE86" s="203">
        <v>68548</v>
      </c>
      <c r="AF86" s="167">
        <f t="shared" si="105"/>
        <v>145</v>
      </c>
      <c r="AG86" s="203">
        <v>68693</v>
      </c>
      <c r="AH86" s="167">
        <f t="shared" si="106"/>
        <v>-68693</v>
      </c>
      <c r="AI86" s="86"/>
      <c r="AJ86" s="167">
        <f t="shared" si="107"/>
        <v>0</v>
      </c>
      <c r="AK86" s="86"/>
      <c r="AL86" s="167">
        <f t="shared" si="108"/>
        <v>0</v>
      </c>
      <c r="AM86" s="86"/>
      <c r="AN86" s="167">
        <f t="shared" si="109"/>
        <v>0</v>
      </c>
      <c r="AO86" s="86"/>
      <c r="AP86" s="167">
        <f t="shared" si="110"/>
        <v>0</v>
      </c>
      <c r="AQ86" s="86"/>
      <c r="AR86" s="167">
        <f t="shared" si="111"/>
        <v>0</v>
      </c>
      <c r="AS86" s="86"/>
      <c r="AT86" s="167">
        <f t="shared" si="112"/>
        <v>0</v>
      </c>
      <c r="AU86" s="86"/>
      <c r="AV86" s="167">
        <f t="shared" si="113"/>
        <v>0</v>
      </c>
      <c r="AW86" s="86"/>
      <c r="AX86" s="167">
        <f t="shared" si="114"/>
        <v>0</v>
      </c>
      <c r="AY86" s="86"/>
      <c r="AZ86" s="167">
        <f t="shared" si="115"/>
        <v>0</v>
      </c>
      <c r="BA86" s="86"/>
      <c r="BB86" s="167">
        <f t="shared" si="116"/>
        <v>0</v>
      </c>
      <c r="BC86" s="86"/>
      <c r="BD86" s="167">
        <f t="shared" si="117"/>
        <v>0</v>
      </c>
      <c r="BE86" s="86"/>
      <c r="BF86" s="167">
        <f t="shared" si="118"/>
        <v>0</v>
      </c>
      <c r="BG86" s="86"/>
      <c r="BH86" s="167">
        <f t="shared" si="119"/>
        <v>0</v>
      </c>
      <c r="BI86" s="86"/>
      <c r="BJ86" s="167">
        <f t="shared" si="120"/>
        <v>0</v>
      </c>
      <c r="BK86" s="86"/>
      <c r="BL86" s="49"/>
      <c r="BM86" s="86"/>
      <c r="BN86" s="50"/>
      <c r="BO86" s="170">
        <f t="shared" si="121"/>
        <v>-67538</v>
      </c>
      <c r="BP86" s="167" t="e">
        <f t="shared" si="124"/>
        <v>#VALUE!</v>
      </c>
      <c r="BQ86" s="178" t="str">
        <f t="shared" si="122"/>
        <v/>
      </c>
    </row>
    <row r="87" spans="1:69" x14ac:dyDescent="0.35">
      <c r="A87" s="136" t="s">
        <v>85</v>
      </c>
      <c r="B87" s="54" t="s">
        <v>66</v>
      </c>
      <c r="C87" s="174">
        <f>IF('August 2026 Log'!BM87="","",'August 2026 Log'!BM87)</f>
        <v>11556</v>
      </c>
      <c r="D87" s="189">
        <f t="shared" si="123"/>
        <v>276</v>
      </c>
      <c r="E87" s="86">
        <v>11832</v>
      </c>
      <c r="F87" s="167">
        <f t="shared" si="92"/>
        <v>140</v>
      </c>
      <c r="G87" s="86">
        <v>11972</v>
      </c>
      <c r="H87" s="167">
        <f t="shared" si="93"/>
        <v>235</v>
      </c>
      <c r="I87" s="86">
        <v>12207</v>
      </c>
      <c r="J87" s="167">
        <f t="shared" si="94"/>
        <v>114</v>
      </c>
      <c r="K87" s="86">
        <v>12321</v>
      </c>
      <c r="L87" s="167">
        <f t="shared" si="95"/>
        <v>124</v>
      </c>
      <c r="M87" s="86">
        <v>12445</v>
      </c>
      <c r="N87" s="167">
        <f t="shared" si="96"/>
        <v>51</v>
      </c>
      <c r="O87" s="86">
        <v>12496</v>
      </c>
      <c r="P87" s="167">
        <f t="shared" si="97"/>
        <v>44</v>
      </c>
      <c r="Q87" s="86">
        <v>12540</v>
      </c>
      <c r="R87" s="167">
        <f t="shared" si="98"/>
        <v>181</v>
      </c>
      <c r="S87" s="86">
        <v>12721</v>
      </c>
      <c r="T87" s="167">
        <f t="shared" si="99"/>
        <v>135</v>
      </c>
      <c r="U87" s="86">
        <v>12856</v>
      </c>
      <c r="V87" s="167">
        <f t="shared" si="100"/>
        <v>50</v>
      </c>
      <c r="W87" s="86">
        <v>12906</v>
      </c>
      <c r="X87" s="167">
        <f t="shared" si="101"/>
        <v>211</v>
      </c>
      <c r="Y87" s="86">
        <v>13117</v>
      </c>
      <c r="Z87" s="167">
        <f t="shared" si="102"/>
        <v>159</v>
      </c>
      <c r="AA87" s="86">
        <v>13276</v>
      </c>
      <c r="AB87" s="167">
        <f t="shared" si="103"/>
        <v>61</v>
      </c>
      <c r="AC87" s="86">
        <v>13337</v>
      </c>
      <c r="AD87" s="167">
        <f t="shared" si="104"/>
        <v>185</v>
      </c>
      <c r="AE87" s="203">
        <v>13522</v>
      </c>
      <c r="AF87" s="167">
        <f t="shared" si="105"/>
        <v>286</v>
      </c>
      <c r="AG87" s="203">
        <v>13808</v>
      </c>
      <c r="AH87" s="167">
        <f t="shared" si="106"/>
        <v>-13808</v>
      </c>
      <c r="AI87" s="86"/>
      <c r="AJ87" s="167">
        <f t="shared" si="107"/>
        <v>0</v>
      </c>
      <c r="AK87" s="86"/>
      <c r="AL87" s="167">
        <f t="shared" si="108"/>
        <v>0</v>
      </c>
      <c r="AM87" s="86"/>
      <c r="AN87" s="167">
        <f t="shared" si="109"/>
        <v>0</v>
      </c>
      <c r="AO87" s="86"/>
      <c r="AP87" s="167">
        <f t="shared" si="110"/>
        <v>0</v>
      </c>
      <c r="AQ87" s="86"/>
      <c r="AR87" s="167">
        <f t="shared" si="111"/>
        <v>0</v>
      </c>
      <c r="AS87" s="86"/>
      <c r="AT87" s="167">
        <f t="shared" si="112"/>
        <v>0</v>
      </c>
      <c r="AU87" s="86"/>
      <c r="AV87" s="167">
        <f t="shared" si="113"/>
        <v>0</v>
      </c>
      <c r="AW87" s="86"/>
      <c r="AX87" s="167">
        <f t="shared" si="114"/>
        <v>0</v>
      </c>
      <c r="AY87" s="86"/>
      <c r="AZ87" s="167">
        <f t="shared" si="115"/>
        <v>0</v>
      </c>
      <c r="BA87" s="86"/>
      <c r="BB87" s="167">
        <f t="shared" si="116"/>
        <v>0</v>
      </c>
      <c r="BC87" s="86"/>
      <c r="BD87" s="167">
        <f t="shared" si="117"/>
        <v>0</v>
      </c>
      <c r="BE87" s="86"/>
      <c r="BF87" s="167">
        <f t="shared" si="118"/>
        <v>0</v>
      </c>
      <c r="BG87" s="86"/>
      <c r="BH87" s="167">
        <f t="shared" si="119"/>
        <v>0</v>
      </c>
      <c r="BI87" s="86"/>
      <c r="BJ87" s="167">
        <f t="shared" si="120"/>
        <v>0</v>
      </c>
      <c r="BK87" s="86"/>
      <c r="BL87" s="49"/>
      <c r="BM87" s="86"/>
      <c r="BN87" s="50"/>
      <c r="BO87" s="170">
        <f t="shared" si="121"/>
        <v>-11556</v>
      </c>
      <c r="BP87" s="167" t="e">
        <f t="shared" si="124"/>
        <v>#VALUE!</v>
      </c>
      <c r="BQ87" s="178" t="str">
        <f t="shared" si="122"/>
        <v/>
      </c>
    </row>
    <row r="88" spans="1:69" x14ac:dyDescent="0.35">
      <c r="A88" s="44" t="s">
        <v>86</v>
      </c>
      <c r="B88" s="54" t="s">
        <v>65</v>
      </c>
      <c r="C88" s="174">
        <f>IF('August 2026 Log'!BM88="","",'August 2026 Log'!BM88)</f>
        <v>22975</v>
      </c>
      <c r="D88" s="189">
        <f t="shared" si="123"/>
        <v>0</v>
      </c>
      <c r="E88" s="86">
        <v>22975</v>
      </c>
      <c r="F88" s="167">
        <f t="shared" si="92"/>
        <v>124</v>
      </c>
      <c r="G88" s="86">
        <v>23099</v>
      </c>
      <c r="H88" s="167">
        <f t="shared" si="93"/>
        <v>187</v>
      </c>
      <c r="I88" s="86">
        <v>23286</v>
      </c>
      <c r="J88" s="167">
        <f t="shared" si="94"/>
        <v>217</v>
      </c>
      <c r="K88" s="86">
        <v>23503</v>
      </c>
      <c r="L88" s="167">
        <f t="shared" si="95"/>
        <v>194</v>
      </c>
      <c r="M88" s="86">
        <v>23697</v>
      </c>
      <c r="N88" s="167">
        <f t="shared" si="96"/>
        <v>52</v>
      </c>
      <c r="O88" s="86">
        <v>23749</v>
      </c>
      <c r="P88" s="167">
        <f t="shared" si="97"/>
        <v>0</v>
      </c>
      <c r="Q88" s="86">
        <v>23749</v>
      </c>
      <c r="R88" s="167">
        <f t="shared" si="98"/>
        <v>42</v>
      </c>
      <c r="S88" s="86">
        <v>23791</v>
      </c>
      <c r="T88" s="167">
        <f t="shared" si="99"/>
        <v>282</v>
      </c>
      <c r="U88" s="86">
        <v>24073</v>
      </c>
      <c r="V88" s="167">
        <f t="shared" si="100"/>
        <v>133</v>
      </c>
      <c r="W88" s="86">
        <v>24206</v>
      </c>
      <c r="X88" s="167">
        <f t="shared" si="101"/>
        <v>295</v>
      </c>
      <c r="Y88" s="86">
        <v>24501</v>
      </c>
      <c r="Z88" s="167">
        <f t="shared" si="102"/>
        <v>108</v>
      </c>
      <c r="AA88" s="86">
        <v>24609</v>
      </c>
      <c r="AB88" s="167">
        <f t="shared" si="103"/>
        <v>88</v>
      </c>
      <c r="AC88" s="86">
        <v>24697</v>
      </c>
      <c r="AD88" s="167">
        <f t="shared" si="104"/>
        <v>218</v>
      </c>
      <c r="AE88" s="203">
        <v>24915</v>
      </c>
      <c r="AF88" s="167">
        <f t="shared" si="105"/>
        <v>146</v>
      </c>
      <c r="AG88" s="203">
        <v>25061</v>
      </c>
      <c r="AH88" s="167">
        <f t="shared" si="106"/>
        <v>-25061</v>
      </c>
      <c r="AI88" s="86"/>
      <c r="AJ88" s="167">
        <f t="shared" si="107"/>
        <v>0</v>
      </c>
      <c r="AK88" s="86"/>
      <c r="AL88" s="167">
        <f t="shared" si="108"/>
        <v>0</v>
      </c>
      <c r="AM88" s="86"/>
      <c r="AN88" s="167">
        <f t="shared" si="109"/>
        <v>0</v>
      </c>
      <c r="AO88" s="86"/>
      <c r="AP88" s="167">
        <f t="shared" si="110"/>
        <v>0</v>
      </c>
      <c r="AQ88" s="86"/>
      <c r="AR88" s="167">
        <f t="shared" si="111"/>
        <v>0</v>
      </c>
      <c r="AS88" s="86"/>
      <c r="AT88" s="167">
        <f t="shared" si="112"/>
        <v>0</v>
      </c>
      <c r="AU88" s="86"/>
      <c r="AV88" s="167">
        <f t="shared" si="113"/>
        <v>0</v>
      </c>
      <c r="AW88" s="86"/>
      <c r="AX88" s="167">
        <f t="shared" si="114"/>
        <v>0</v>
      </c>
      <c r="AY88" s="86"/>
      <c r="AZ88" s="167">
        <f t="shared" si="115"/>
        <v>0</v>
      </c>
      <c r="BA88" s="86"/>
      <c r="BB88" s="167">
        <f t="shared" si="116"/>
        <v>0</v>
      </c>
      <c r="BC88" s="86"/>
      <c r="BD88" s="167">
        <f t="shared" si="117"/>
        <v>0</v>
      </c>
      <c r="BE88" s="86"/>
      <c r="BF88" s="167">
        <f t="shared" si="118"/>
        <v>0</v>
      </c>
      <c r="BG88" s="86"/>
      <c r="BH88" s="167">
        <f t="shared" si="119"/>
        <v>0</v>
      </c>
      <c r="BI88" s="86"/>
      <c r="BJ88" s="167">
        <f t="shared" si="120"/>
        <v>0</v>
      </c>
      <c r="BK88" s="86"/>
      <c r="BL88" s="49"/>
      <c r="BM88" s="86"/>
      <c r="BN88" s="50"/>
      <c r="BO88" s="170">
        <f t="shared" si="121"/>
        <v>-22975</v>
      </c>
      <c r="BP88" s="167" t="e">
        <f t="shared" si="124"/>
        <v>#VALUE!</v>
      </c>
      <c r="BQ88" s="178" t="str">
        <f t="shared" si="122"/>
        <v/>
      </c>
    </row>
    <row r="89" spans="1:69" x14ac:dyDescent="0.35">
      <c r="A89" s="53"/>
      <c r="B89" s="54"/>
      <c r="C89" s="144"/>
      <c r="D89" s="192">
        <f t="shared" si="123"/>
        <v>0</v>
      </c>
      <c r="E89" s="145"/>
      <c r="F89" s="173">
        <f t="shared" si="92"/>
        <v>0</v>
      </c>
      <c r="G89" s="145"/>
      <c r="H89" s="173">
        <f t="shared" si="93"/>
        <v>0</v>
      </c>
      <c r="I89" s="145"/>
      <c r="J89" s="173">
        <f t="shared" si="94"/>
        <v>0</v>
      </c>
      <c r="K89" s="145"/>
      <c r="L89" s="173">
        <f t="shared" si="95"/>
        <v>0</v>
      </c>
      <c r="M89" s="145"/>
      <c r="N89" s="173">
        <f t="shared" si="96"/>
        <v>0</v>
      </c>
      <c r="O89" s="145"/>
      <c r="P89" s="173">
        <f t="shared" si="97"/>
        <v>0</v>
      </c>
      <c r="Q89" s="145"/>
      <c r="R89" s="173">
        <f t="shared" si="98"/>
        <v>0</v>
      </c>
      <c r="S89" s="145"/>
      <c r="T89" s="173">
        <f t="shared" si="99"/>
        <v>0</v>
      </c>
      <c r="U89" s="145"/>
      <c r="V89" s="173">
        <f t="shared" si="100"/>
        <v>0</v>
      </c>
      <c r="W89" s="145"/>
      <c r="X89" s="173">
        <f t="shared" si="101"/>
        <v>0</v>
      </c>
      <c r="Y89" s="145"/>
      <c r="Z89" s="173">
        <f t="shared" si="102"/>
        <v>0</v>
      </c>
      <c r="AA89" s="145"/>
      <c r="AB89" s="173">
        <f t="shared" si="103"/>
        <v>0</v>
      </c>
      <c r="AC89" s="145"/>
      <c r="AD89" s="173">
        <f t="shared" si="104"/>
        <v>0</v>
      </c>
      <c r="AE89" s="145"/>
      <c r="AF89" s="173">
        <f t="shared" si="105"/>
        <v>0</v>
      </c>
      <c r="AG89" s="145"/>
      <c r="AH89" s="173">
        <f t="shared" si="106"/>
        <v>0</v>
      </c>
      <c r="AI89" s="145"/>
      <c r="AJ89" s="173">
        <f t="shared" si="107"/>
        <v>0</v>
      </c>
      <c r="AK89" s="145"/>
      <c r="AL89" s="173">
        <f t="shared" si="108"/>
        <v>0</v>
      </c>
      <c r="AM89" s="145"/>
      <c r="AN89" s="173">
        <f t="shared" si="109"/>
        <v>0</v>
      </c>
      <c r="AO89" s="145"/>
      <c r="AP89" s="173">
        <f t="shared" si="110"/>
        <v>0</v>
      </c>
      <c r="AQ89" s="145"/>
      <c r="AR89" s="173">
        <f t="shared" si="111"/>
        <v>0</v>
      </c>
      <c r="AS89" s="145"/>
      <c r="AT89" s="173">
        <f t="shared" si="112"/>
        <v>0</v>
      </c>
      <c r="AU89" s="145"/>
      <c r="AV89" s="173">
        <f t="shared" si="113"/>
        <v>0</v>
      </c>
      <c r="AW89" s="145"/>
      <c r="AX89" s="173">
        <f t="shared" si="114"/>
        <v>0</v>
      </c>
      <c r="AY89" s="145"/>
      <c r="AZ89" s="173">
        <f t="shared" si="115"/>
        <v>0</v>
      </c>
      <c r="BA89" s="145"/>
      <c r="BB89" s="173">
        <f t="shared" si="116"/>
        <v>0</v>
      </c>
      <c r="BC89" s="145"/>
      <c r="BD89" s="173">
        <f t="shared" si="117"/>
        <v>0</v>
      </c>
      <c r="BE89" s="145"/>
      <c r="BF89" s="173">
        <f t="shared" si="118"/>
        <v>0</v>
      </c>
      <c r="BG89" s="145"/>
      <c r="BH89" s="173">
        <f t="shared" si="119"/>
        <v>0</v>
      </c>
      <c r="BI89" s="145"/>
      <c r="BJ89" s="173">
        <f t="shared" si="120"/>
        <v>0</v>
      </c>
      <c r="BK89" s="145"/>
      <c r="BL89" s="87"/>
      <c r="BM89" s="145"/>
      <c r="BN89" s="50"/>
      <c r="BO89" s="51"/>
      <c r="BP89" s="173">
        <f t="shared" si="124"/>
        <v>0</v>
      </c>
      <c r="BQ89" s="88"/>
    </row>
    <row r="90" spans="1:69" x14ac:dyDescent="0.35">
      <c r="A90" s="74" t="s">
        <v>93</v>
      </c>
      <c r="B90" s="75"/>
      <c r="C90" s="141"/>
      <c r="D90" s="102"/>
      <c r="E90" s="142"/>
      <c r="F90" s="104"/>
      <c r="G90" s="142"/>
      <c r="H90" s="104"/>
      <c r="I90" s="142"/>
      <c r="J90" s="104"/>
      <c r="K90" s="142"/>
      <c r="L90" s="104"/>
      <c r="M90" s="142"/>
      <c r="N90" s="104"/>
      <c r="O90" s="142"/>
      <c r="P90" s="104"/>
      <c r="Q90" s="142"/>
      <c r="R90" s="104"/>
      <c r="S90" s="142"/>
      <c r="T90" s="104"/>
      <c r="U90" s="142"/>
      <c r="V90" s="104"/>
      <c r="W90" s="142"/>
      <c r="X90" s="104"/>
      <c r="Y90" s="142"/>
      <c r="Z90" s="104"/>
      <c r="AA90" s="142"/>
      <c r="AB90" s="104"/>
      <c r="AC90" s="142"/>
      <c r="AD90" s="104"/>
      <c r="AE90" s="142"/>
      <c r="AF90" s="104"/>
      <c r="AG90" s="142"/>
      <c r="AH90" s="104"/>
      <c r="AI90" s="142"/>
      <c r="AJ90" s="104"/>
      <c r="AK90" s="142"/>
      <c r="AL90" s="104"/>
      <c r="AM90" s="142"/>
      <c r="AN90" s="104"/>
      <c r="AO90" s="142"/>
      <c r="AP90" s="104"/>
      <c r="AQ90" s="142"/>
      <c r="AR90" s="104"/>
      <c r="AS90" s="142"/>
      <c r="AT90" s="104"/>
      <c r="AU90" s="142"/>
      <c r="AV90" s="104"/>
      <c r="AW90" s="142"/>
      <c r="AX90" s="104"/>
      <c r="AY90" s="142"/>
      <c r="AZ90" s="104"/>
      <c r="BA90" s="142"/>
      <c r="BB90" s="104"/>
      <c r="BC90" s="142"/>
      <c r="BD90" s="104"/>
      <c r="BE90" s="142"/>
      <c r="BF90" s="104"/>
      <c r="BG90" s="142"/>
      <c r="BH90" s="104"/>
      <c r="BI90" s="142"/>
      <c r="BJ90" s="104"/>
      <c r="BK90" s="142"/>
      <c r="BL90" s="104"/>
      <c r="BM90" s="142"/>
      <c r="BN90" s="105"/>
      <c r="BO90" s="106"/>
      <c r="BP90" s="104"/>
      <c r="BQ90" s="107"/>
    </row>
    <row r="91" spans="1:69" x14ac:dyDescent="0.35">
      <c r="A91" s="132" t="s">
        <v>75</v>
      </c>
      <c r="B91" s="54" t="s">
        <v>65</v>
      </c>
      <c r="C91" s="144"/>
      <c r="D91" s="146">
        <v>566.95000000000005</v>
      </c>
      <c r="E91" s="166">
        <f>+D91-D77</f>
        <v>999999.95</v>
      </c>
      <c r="F91" s="147">
        <v>186.87</v>
      </c>
      <c r="G91" s="166">
        <f>+F91-F77</f>
        <v>0.87000000000000455</v>
      </c>
      <c r="H91" s="204">
        <v>139.46</v>
      </c>
      <c r="I91" s="166">
        <f>+H91-H77</f>
        <v>-0.53999999999999204</v>
      </c>
      <c r="J91" s="204">
        <v>245.78</v>
      </c>
      <c r="K91" s="166">
        <f>+J91-J77</f>
        <v>-0.21999999999999886</v>
      </c>
      <c r="L91" s="204">
        <v>180.05</v>
      </c>
      <c r="M91" s="166">
        <f>+L91-L77</f>
        <v>5.0000000000011369E-2</v>
      </c>
      <c r="N91" s="204">
        <v>113.03</v>
      </c>
      <c r="O91" s="166">
        <f>+N91-N77</f>
        <v>3.0000000000001137E-2</v>
      </c>
      <c r="P91" s="147">
        <v>354.53</v>
      </c>
      <c r="Q91" s="166">
        <f>+P91-P77</f>
        <v>0.52999999999997272</v>
      </c>
      <c r="R91" s="147">
        <v>158.05000000000001</v>
      </c>
      <c r="S91" s="166">
        <f>+R91-R77</f>
        <v>5.0000000000011369E-2</v>
      </c>
      <c r="T91" s="147">
        <v>143.87</v>
      </c>
      <c r="U91" s="166">
        <f>+T91-T77</f>
        <v>-0.12999999999999545</v>
      </c>
      <c r="V91" s="147">
        <v>180</v>
      </c>
      <c r="W91" s="166">
        <f>+V91-V77</f>
        <v>37</v>
      </c>
      <c r="X91" s="147">
        <v>280.52</v>
      </c>
      <c r="Y91" s="166">
        <f>+X91-X77</f>
        <v>0.51999999999998181</v>
      </c>
      <c r="Z91" s="147"/>
      <c r="AA91" s="166">
        <f>+Z91-Z77</f>
        <v>-144</v>
      </c>
      <c r="AB91" s="147"/>
      <c r="AC91" s="166">
        <f>+AB91-AB77</f>
        <v>-64</v>
      </c>
      <c r="AD91" s="147"/>
      <c r="AE91" s="166">
        <f>+AD91-AD77</f>
        <v>-54</v>
      </c>
      <c r="AF91" s="147"/>
      <c r="AG91" s="166">
        <f>+AF91-AF77</f>
        <v>-83</v>
      </c>
      <c r="AH91" s="147"/>
      <c r="AI91" s="166">
        <f>+AH91-AH77</f>
        <v>2426</v>
      </c>
      <c r="AJ91" s="147"/>
      <c r="AK91" s="166">
        <f>+AJ91-AJ77</f>
        <v>0</v>
      </c>
      <c r="AL91" s="147"/>
      <c r="AM91" s="166">
        <f>+AL91-AL77</f>
        <v>0</v>
      </c>
      <c r="AN91" s="147"/>
      <c r="AO91" s="166">
        <f>+AN91-AN77</f>
        <v>0</v>
      </c>
      <c r="AP91" s="147"/>
      <c r="AQ91" s="166">
        <f>+AP91-AP77</f>
        <v>0</v>
      </c>
      <c r="AR91" s="147"/>
      <c r="AS91" s="166">
        <f>+AR91-AR77</f>
        <v>0</v>
      </c>
      <c r="AT91" s="147"/>
      <c r="AU91" s="166">
        <f>+AT91-AT77</f>
        <v>0</v>
      </c>
      <c r="AV91" s="147"/>
      <c r="AW91" s="166">
        <f>+AV91-AV77</f>
        <v>0</v>
      </c>
      <c r="AX91" s="147"/>
      <c r="AY91" s="166">
        <f>+AX91-AX77</f>
        <v>0</v>
      </c>
      <c r="AZ91" s="147"/>
      <c r="BA91" s="166">
        <f>+AZ91-AZ77</f>
        <v>0</v>
      </c>
      <c r="BB91" s="147"/>
      <c r="BC91" s="166">
        <f>+BB91-BB77</f>
        <v>0</v>
      </c>
      <c r="BD91" s="147"/>
      <c r="BE91" s="166">
        <f>+BD91-BD77</f>
        <v>0</v>
      </c>
      <c r="BF91" s="147"/>
      <c r="BG91" s="166">
        <f>+BF91-BF77</f>
        <v>0</v>
      </c>
      <c r="BH91" s="147"/>
      <c r="BI91" s="166">
        <f>+BH91-BH77</f>
        <v>0</v>
      </c>
      <c r="BJ91" s="147"/>
      <c r="BK91" s="166">
        <f>+BJ91-BJ77</f>
        <v>0</v>
      </c>
      <c r="BL91" s="147"/>
      <c r="BM91" s="48"/>
      <c r="BN91" s="50"/>
      <c r="BO91" s="170">
        <f t="shared" ref="BO91:BO103" si="125">IF(COUNT(E91,G91,I91,K91,M91,O91,Q91,S91,U91,W91,Y91,AA91,AC91,AE91,AG91,AI91,AK91,AM91,AO91,AQ91,AS91,AU91,AW91,AY91,BA91,BC91,BE91,BG91,BI91,BK91,BM91)=0,"",SUM(E91,G91,I91,K91,M91,O91,Q91,S91,U91,W91,Y91,AA91,AC91,AE91,AG91,AI91,AK91,AM91,AO91,AQ91,AS91,AU91,AW91,AY91,BA91,BC91,BE91,BG91,BI91,BK91,BM91))</f>
        <v>1002119.1100000001</v>
      </c>
      <c r="BP91" s="87"/>
      <c r="BQ91" s="172" t="e">
        <f t="shared" ref="BQ91:BQ102" si="126">+BP91-BP77</f>
        <v>#VALUE!</v>
      </c>
    </row>
    <row r="92" spans="1:69" x14ac:dyDescent="0.35">
      <c r="A92" s="136"/>
      <c r="B92" s="54" t="s">
        <v>66</v>
      </c>
      <c r="C92" s="144"/>
      <c r="D92" s="146">
        <v>267.32</v>
      </c>
      <c r="E92" s="166">
        <f t="shared" ref="E92:K102" si="127">+D92-D78</f>
        <v>-0.68000000000000682</v>
      </c>
      <c r="F92" s="147">
        <v>185.39</v>
      </c>
      <c r="G92" s="166">
        <f t="shared" si="127"/>
        <v>0.38999999999998636</v>
      </c>
      <c r="H92" s="204">
        <v>301.68</v>
      </c>
      <c r="I92" s="166">
        <f t="shared" si="127"/>
        <v>-0.31999999999999318</v>
      </c>
      <c r="J92" s="204">
        <v>173.64</v>
      </c>
      <c r="K92" s="166">
        <f t="shared" si="127"/>
        <v>0.63999999999998636</v>
      </c>
      <c r="L92" s="204">
        <v>283.12</v>
      </c>
      <c r="M92" s="166">
        <f t="shared" ref="M92:M102" si="128">+L92-L78</f>
        <v>0.12000000000000455</v>
      </c>
      <c r="N92" s="204">
        <v>187.06</v>
      </c>
      <c r="O92" s="166">
        <f t="shared" ref="O92:O102" si="129">+N92-N78</f>
        <v>6.0000000000002274E-2</v>
      </c>
      <c r="P92" s="147">
        <v>248.11</v>
      </c>
      <c r="Q92" s="166">
        <f t="shared" ref="Q92:Q102" si="130">+P92-P78</f>
        <v>-0.88999999999998636</v>
      </c>
      <c r="R92" s="147">
        <v>113.08</v>
      </c>
      <c r="S92" s="166">
        <f t="shared" ref="S92:S102" si="131">+R92-R78</f>
        <v>7.9999999999998295E-2</v>
      </c>
      <c r="T92" s="147">
        <v>180.51</v>
      </c>
      <c r="U92" s="166">
        <f t="shared" ref="U92:U102" si="132">+T92-T78</f>
        <v>0.50999999999999091</v>
      </c>
      <c r="V92" s="147">
        <v>721466</v>
      </c>
      <c r="W92" s="166">
        <f t="shared" ref="W92:W102" si="133">+V92-V78</f>
        <v>721282</v>
      </c>
      <c r="X92" s="147">
        <v>192922</v>
      </c>
      <c r="Y92" s="166">
        <f t="shared" ref="Y92:Y102" si="134">+X92-X78</f>
        <v>192729</v>
      </c>
      <c r="Z92" s="147"/>
      <c r="AA92" s="166">
        <f t="shared" ref="AA92:AA102" si="135">+Z92-Z78</f>
        <v>-206</v>
      </c>
      <c r="AB92" s="147"/>
      <c r="AC92" s="166">
        <f t="shared" ref="AC92:AC102" si="136">+AB92-AB78</f>
        <v>-71</v>
      </c>
      <c r="AD92" s="147"/>
      <c r="AE92" s="166">
        <f t="shared" ref="AE92:AE102" si="137">+AD92-AD78</f>
        <v>-203</v>
      </c>
      <c r="AF92" s="147"/>
      <c r="AG92" s="166">
        <f t="shared" ref="AG92:AG102" si="138">+AF92-AF78</f>
        <v>-249</v>
      </c>
      <c r="AH92" s="147"/>
      <c r="AI92" s="166">
        <f t="shared" ref="AI92:AI102" si="139">+AH92-AH78</f>
        <v>722388</v>
      </c>
      <c r="AJ92" s="147"/>
      <c r="AK92" s="166">
        <f t="shared" ref="AK92:AK102" si="140">+AJ92-AJ78</f>
        <v>0</v>
      </c>
      <c r="AL92" s="147"/>
      <c r="AM92" s="166">
        <f t="shared" ref="AM92:AM102" si="141">+AL92-AL78</f>
        <v>0</v>
      </c>
      <c r="AN92" s="147"/>
      <c r="AO92" s="166">
        <f t="shared" ref="AO92:AO102" si="142">+AN92-AN78</f>
        <v>0</v>
      </c>
      <c r="AP92" s="147"/>
      <c r="AQ92" s="166">
        <f t="shared" ref="AQ92:AQ102" si="143">+AP92-AP78</f>
        <v>0</v>
      </c>
      <c r="AR92" s="147"/>
      <c r="AS92" s="166">
        <f t="shared" ref="AS92:AS102" si="144">+AR92-AR78</f>
        <v>0</v>
      </c>
      <c r="AT92" s="147"/>
      <c r="AU92" s="166">
        <f t="shared" ref="AU92:AU102" si="145">+AT92-AT78</f>
        <v>0</v>
      </c>
      <c r="AV92" s="147"/>
      <c r="AW92" s="166">
        <f t="shared" ref="AW92:AW102" si="146">+AV92-AV78</f>
        <v>0</v>
      </c>
      <c r="AX92" s="147"/>
      <c r="AY92" s="166">
        <f t="shared" ref="AY92:AY102" si="147">+AX92-AX78</f>
        <v>0</v>
      </c>
      <c r="AZ92" s="147"/>
      <c r="BA92" s="166">
        <f t="shared" ref="BA92:BA102" si="148">+AZ92-AZ78</f>
        <v>0</v>
      </c>
      <c r="BB92" s="147"/>
      <c r="BC92" s="166">
        <f t="shared" ref="BC92:BC102" si="149">+BB92-BB78</f>
        <v>0</v>
      </c>
      <c r="BD92" s="147"/>
      <c r="BE92" s="166">
        <f t="shared" ref="BE92:BE102" si="150">+BD92-BD78</f>
        <v>0</v>
      </c>
      <c r="BF92" s="147"/>
      <c r="BG92" s="166">
        <f t="shared" ref="BG92:BG102" si="151">+BF92-BF78</f>
        <v>0</v>
      </c>
      <c r="BH92" s="147"/>
      <c r="BI92" s="166">
        <f t="shared" ref="BI92:BI102" si="152">+BH92-BH78</f>
        <v>0</v>
      </c>
      <c r="BJ92" s="147"/>
      <c r="BK92" s="166">
        <f t="shared" ref="BK92:BK102" si="153">+BJ92-BJ78</f>
        <v>0</v>
      </c>
      <c r="BL92" s="147"/>
      <c r="BM92" s="48"/>
      <c r="BN92" s="50"/>
      <c r="BO92" s="170">
        <f t="shared" si="125"/>
        <v>1635669.9100000001</v>
      </c>
      <c r="BP92" s="87"/>
      <c r="BQ92" s="172" t="e">
        <f t="shared" si="126"/>
        <v>#VALUE!</v>
      </c>
    </row>
    <row r="93" spans="1:69" x14ac:dyDescent="0.35">
      <c r="A93" s="134" t="s">
        <v>77</v>
      </c>
      <c r="B93" s="54" t="s">
        <v>67</v>
      </c>
      <c r="C93" s="144"/>
      <c r="D93" s="146">
        <v>31.47</v>
      </c>
      <c r="E93" s="166">
        <f t="shared" si="127"/>
        <v>0.46999999999999886</v>
      </c>
      <c r="F93" s="147">
        <v>99.03</v>
      </c>
      <c r="G93" s="166">
        <f t="shared" si="127"/>
        <v>-0.96999999999999886</v>
      </c>
      <c r="H93" s="204">
        <v>71</v>
      </c>
      <c r="I93" s="166">
        <f t="shared" si="127"/>
        <v>0</v>
      </c>
      <c r="J93" s="204">
        <v>63.52</v>
      </c>
      <c r="K93" s="166">
        <f t="shared" si="127"/>
        <v>0.52000000000000313</v>
      </c>
      <c r="L93" s="204">
        <v>67.34</v>
      </c>
      <c r="M93" s="166">
        <f t="shared" si="128"/>
        <v>0.34000000000000341</v>
      </c>
      <c r="N93" s="204">
        <v>97.01</v>
      </c>
      <c r="O93" s="166">
        <f t="shared" si="129"/>
        <v>1.0000000000005116E-2</v>
      </c>
      <c r="P93" s="147">
        <v>114.72</v>
      </c>
      <c r="Q93" s="166">
        <f t="shared" si="130"/>
        <v>-0.28000000000000114</v>
      </c>
      <c r="R93" s="147">
        <v>23.55</v>
      </c>
      <c r="S93" s="166">
        <f t="shared" si="131"/>
        <v>-0.44999999999999929</v>
      </c>
      <c r="T93" s="147">
        <v>48.57</v>
      </c>
      <c r="U93" s="166">
        <f t="shared" si="132"/>
        <v>0.57000000000000028</v>
      </c>
      <c r="V93" s="147">
        <v>832277</v>
      </c>
      <c r="W93" s="166">
        <f t="shared" si="133"/>
        <v>832215</v>
      </c>
      <c r="X93" s="147">
        <v>91.17</v>
      </c>
      <c r="Y93" s="166">
        <f t="shared" si="134"/>
        <v>0.17000000000000171</v>
      </c>
      <c r="Z93" s="147"/>
      <c r="AA93" s="166">
        <f t="shared" si="135"/>
        <v>-88</v>
      </c>
      <c r="AB93" s="147"/>
      <c r="AC93" s="166">
        <f t="shared" si="136"/>
        <v>-90</v>
      </c>
      <c r="AD93" s="147"/>
      <c r="AE93" s="166">
        <f t="shared" si="137"/>
        <v>-92</v>
      </c>
      <c r="AF93" s="147"/>
      <c r="AG93" s="166">
        <f t="shared" si="138"/>
        <v>-58</v>
      </c>
      <c r="AH93" s="147"/>
      <c r="AI93" s="166">
        <f t="shared" si="139"/>
        <v>832696</v>
      </c>
      <c r="AJ93" s="147"/>
      <c r="AK93" s="166">
        <f t="shared" si="140"/>
        <v>0</v>
      </c>
      <c r="AL93" s="147"/>
      <c r="AM93" s="166">
        <f t="shared" si="141"/>
        <v>0</v>
      </c>
      <c r="AN93" s="147"/>
      <c r="AO93" s="48"/>
      <c r="AP93" s="147"/>
      <c r="AQ93" s="166">
        <f t="shared" si="143"/>
        <v>0</v>
      </c>
      <c r="AR93" s="147"/>
      <c r="AS93" s="166">
        <f t="shared" si="144"/>
        <v>0</v>
      </c>
      <c r="AT93" s="147"/>
      <c r="AU93" s="166">
        <f t="shared" si="145"/>
        <v>0</v>
      </c>
      <c r="AV93" s="147"/>
      <c r="AW93" s="166">
        <f t="shared" si="146"/>
        <v>0</v>
      </c>
      <c r="AX93" s="147"/>
      <c r="AY93" s="166">
        <f t="shared" si="147"/>
        <v>0</v>
      </c>
      <c r="AZ93" s="147"/>
      <c r="BA93" s="166">
        <f t="shared" si="148"/>
        <v>0</v>
      </c>
      <c r="BB93" s="147"/>
      <c r="BC93" s="166">
        <f t="shared" si="149"/>
        <v>0</v>
      </c>
      <c r="BD93" s="147"/>
      <c r="BE93" s="166">
        <f t="shared" si="150"/>
        <v>0</v>
      </c>
      <c r="BF93" s="147"/>
      <c r="BG93" s="166">
        <f t="shared" si="151"/>
        <v>0</v>
      </c>
      <c r="BH93" s="147"/>
      <c r="BI93" s="166">
        <f t="shared" si="152"/>
        <v>0</v>
      </c>
      <c r="BJ93" s="147"/>
      <c r="BK93" s="166">
        <f t="shared" si="153"/>
        <v>0</v>
      </c>
      <c r="BL93" s="147"/>
      <c r="BM93" s="48"/>
      <c r="BN93" s="50"/>
      <c r="BO93" s="170">
        <f t="shared" si="125"/>
        <v>1664583.38</v>
      </c>
      <c r="BP93" s="87"/>
      <c r="BQ93" s="172" t="e">
        <f t="shared" si="126"/>
        <v>#VALUE!</v>
      </c>
    </row>
    <row r="94" spans="1:69" x14ac:dyDescent="0.35">
      <c r="A94" s="132" t="s">
        <v>78</v>
      </c>
      <c r="B94" s="54" t="s">
        <v>65</v>
      </c>
      <c r="C94" s="144"/>
      <c r="D94" s="146">
        <v>1011.26</v>
      </c>
      <c r="E94" s="166">
        <f t="shared" si="127"/>
        <v>0.25999999999999091</v>
      </c>
      <c r="F94" s="147">
        <v>263.66000000000003</v>
      </c>
      <c r="G94" s="166">
        <f t="shared" si="127"/>
        <v>-0.33999999999997499</v>
      </c>
      <c r="H94" s="204">
        <v>281.47000000000003</v>
      </c>
      <c r="I94" s="166">
        <f t="shared" si="127"/>
        <v>0.47000000000002728</v>
      </c>
      <c r="J94" s="204">
        <v>132.44999999999999</v>
      </c>
      <c r="K94" s="166">
        <f t="shared" si="127"/>
        <v>-0.55000000000001137</v>
      </c>
      <c r="L94" s="204">
        <v>447.22</v>
      </c>
      <c r="M94" s="166">
        <f t="shared" si="128"/>
        <v>0.22000000000002728</v>
      </c>
      <c r="N94" s="204">
        <v>222.68</v>
      </c>
      <c r="O94" s="166">
        <f t="shared" si="129"/>
        <v>-0.31999999999999318</v>
      </c>
      <c r="P94" s="147">
        <v>573.14</v>
      </c>
      <c r="Q94" s="166">
        <f t="shared" si="130"/>
        <v>0.13999999999998636</v>
      </c>
      <c r="R94" s="147">
        <v>268.12</v>
      </c>
      <c r="S94" s="166">
        <f t="shared" si="131"/>
        <v>0.12000000000000455</v>
      </c>
      <c r="T94" s="147">
        <v>156.59</v>
      </c>
      <c r="U94" s="166">
        <f t="shared" si="132"/>
        <v>-0.40999999999999659</v>
      </c>
      <c r="V94" s="147">
        <v>26681</v>
      </c>
      <c r="W94" s="166">
        <f t="shared" si="133"/>
        <v>26512</v>
      </c>
      <c r="X94" s="147">
        <v>308.35000000000002</v>
      </c>
      <c r="Y94" s="166">
        <f t="shared" si="134"/>
        <v>0.35000000000002274</v>
      </c>
      <c r="Z94" s="147"/>
      <c r="AA94" s="166">
        <f t="shared" si="135"/>
        <v>-208</v>
      </c>
      <c r="AB94" s="147"/>
      <c r="AC94" s="166">
        <f t="shared" si="136"/>
        <v>-73</v>
      </c>
      <c r="AD94" s="147"/>
      <c r="AE94" s="166">
        <f t="shared" si="137"/>
        <v>-791</v>
      </c>
      <c r="AF94" s="147"/>
      <c r="AG94" s="166">
        <f t="shared" si="138"/>
        <v>-381</v>
      </c>
      <c r="AH94" s="147"/>
      <c r="AI94" s="166">
        <f t="shared" si="139"/>
        <v>28442</v>
      </c>
      <c r="AJ94" s="147"/>
      <c r="AK94" s="166">
        <f t="shared" si="140"/>
        <v>0</v>
      </c>
      <c r="AL94" s="147"/>
      <c r="AM94" s="166">
        <f t="shared" si="141"/>
        <v>0</v>
      </c>
      <c r="AN94" s="147"/>
      <c r="AO94" s="166">
        <f t="shared" si="142"/>
        <v>0</v>
      </c>
      <c r="AP94" s="147"/>
      <c r="AQ94" s="166">
        <f t="shared" si="143"/>
        <v>0</v>
      </c>
      <c r="AR94" s="147"/>
      <c r="AS94" s="166">
        <f t="shared" si="144"/>
        <v>0</v>
      </c>
      <c r="AT94" s="147"/>
      <c r="AU94" s="166">
        <f t="shared" si="145"/>
        <v>0</v>
      </c>
      <c r="AV94" s="147"/>
      <c r="AW94" s="166">
        <f t="shared" si="146"/>
        <v>0</v>
      </c>
      <c r="AX94" s="147"/>
      <c r="AY94" s="166">
        <f t="shared" si="147"/>
        <v>0</v>
      </c>
      <c r="AZ94" s="147"/>
      <c r="BA94" s="166">
        <f t="shared" si="148"/>
        <v>0</v>
      </c>
      <c r="BB94" s="147"/>
      <c r="BC94" s="166">
        <f t="shared" si="149"/>
        <v>0</v>
      </c>
      <c r="BD94" s="147"/>
      <c r="BE94" s="166">
        <f t="shared" si="150"/>
        <v>0</v>
      </c>
      <c r="BF94" s="147"/>
      <c r="BG94" s="166">
        <f t="shared" si="151"/>
        <v>0</v>
      </c>
      <c r="BH94" s="147"/>
      <c r="BI94" s="166">
        <f t="shared" si="152"/>
        <v>0</v>
      </c>
      <c r="BJ94" s="147"/>
      <c r="BK94" s="166">
        <f t="shared" si="153"/>
        <v>0</v>
      </c>
      <c r="BL94" s="147"/>
      <c r="BM94" s="48"/>
      <c r="BN94" s="50"/>
      <c r="BO94" s="170">
        <f t="shared" si="125"/>
        <v>53500.94</v>
      </c>
      <c r="BP94" s="87"/>
      <c r="BQ94" s="172" t="e">
        <f t="shared" si="126"/>
        <v>#VALUE!</v>
      </c>
    </row>
    <row r="95" spans="1:69" x14ac:dyDescent="0.35">
      <c r="A95" s="136"/>
      <c r="B95" s="54" t="s">
        <v>66</v>
      </c>
      <c r="C95" s="144"/>
      <c r="D95" s="146">
        <v>310.58</v>
      </c>
      <c r="E95" s="166">
        <f t="shared" si="127"/>
        <v>-0.42000000000001592</v>
      </c>
      <c r="F95" s="147">
        <v>82.57</v>
      </c>
      <c r="G95" s="166">
        <f t="shared" si="127"/>
        <v>-0.43000000000000682</v>
      </c>
      <c r="H95" s="204">
        <v>162.84</v>
      </c>
      <c r="I95" s="166">
        <f t="shared" si="127"/>
        <v>0.84000000000000341</v>
      </c>
      <c r="J95" s="204">
        <v>154.19999999999999</v>
      </c>
      <c r="K95" s="166">
        <f t="shared" si="127"/>
        <v>-0.80000000000001137</v>
      </c>
      <c r="L95" s="204">
        <v>221.87</v>
      </c>
      <c r="M95" s="166">
        <f t="shared" si="128"/>
        <v>-0.12999999999999545</v>
      </c>
      <c r="N95" s="204">
        <v>111.05</v>
      </c>
      <c r="O95" s="166">
        <f t="shared" si="129"/>
        <v>4.9999999999997158E-2</v>
      </c>
      <c r="P95" s="147">
        <v>269.61</v>
      </c>
      <c r="Q95" s="166">
        <f t="shared" si="130"/>
        <v>0.61000000000001364</v>
      </c>
      <c r="R95" s="147">
        <v>218.99</v>
      </c>
      <c r="S95" s="166">
        <f t="shared" si="131"/>
        <v>-9.9999999999909051E-3</v>
      </c>
      <c r="T95" s="147">
        <v>63.15</v>
      </c>
      <c r="U95" s="166">
        <f t="shared" si="132"/>
        <v>0.14999999999999858</v>
      </c>
      <c r="V95" s="147">
        <v>74437</v>
      </c>
      <c r="W95" s="166">
        <f t="shared" si="133"/>
        <v>74240</v>
      </c>
      <c r="X95" s="147">
        <v>217.26</v>
      </c>
      <c r="Y95" s="166">
        <f t="shared" si="134"/>
        <v>-0.74000000000000909</v>
      </c>
      <c r="Z95" s="147"/>
      <c r="AA95" s="166">
        <f t="shared" si="135"/>
        <v>-293</v>
      </c>
      <c r="AB95" s="147"/>
      <c r="AC95" s="166">
        <f t="shared" si="136"/>
        <v>-211</v>
      </c>
      <c r="AD95" s="147"/>
      <c r="AE95" s="166">
        <f t="shared" si="137"/>
        <v>-227</v>
      </c>
      <c r="AF95" s="147"/>
      <c r="AG95" s="166">
        <f t="shared" si="138"/>
        <v>-119</v>
      </c>
      <c r="AH95" s="147"/>
      <c r="AI95" s="166">
        <f t="shared" si="139"/>
        <v>745505</v>
      </c>
      <c r="AJ95" s="147"/>
      <c r="AK95" s="166">
        <f t="shared" si="140"/>
        <v>0</v>
      </c>
      <c r="AL95" s="147"/>
      <c r="AM95" s="166">
        <f t="shared" si="141"/>
        <v>0</v>
      </c>
      <c r="AN95" s="147"/>
      <c r="AO95" s="166">
        <f t="shared" si="142"/>
        <v>0</v>
      </c>
      <c r="AP95" s="147"/>
      <c r="AQ95" s="166">
        <f t="shared" si="143"/>
        <v>0</v>
      </c>
      <c r="AR95" s="147"/>
      <c r="AS95" s="166">
        <f t="shared" si="144"/>
        <v>0</v>
      </c>
      <c r="AT95" s="147"/>
      <c r="AU95" s="166">
        <f t="shared" si="145"/>
        <v>0</v>
      </c>
      <c r="AV95" s="147"/>
      <c r="AW95" s="166">
        <f t="shared" si="146"/>
        <v>0</v>
      </c>
      <c r="AX95" s="147"/>
      <c r="AY95" s="166">
        <f t="shared" si="147"/>
        <v>0</v>
      </c>
      <c r="AZ95" s="147"/>
      <c r="BA95" s="166">
        <f t="shared" si="148"/>
        <v>0</v>
      </c>
      <c r="BB95" s="147"/>
      <c r="BC95" s="166">
        <f t="shared" si="149"/>
        <v>0</v>
      </c>
      <c r="BD95" s="147"/>
      <c r="BE95" s="166">
        <f t="shared" si="150"/>
        <v>0</v>
      </c>
      <c r="BF95" s="147"/>
      <c r="BG95" s="166">
        <f t="shared" si="151"/>
        <v>0</v>
      </c>
      <c r="BH95" s="147"/>
      <c r="BI95" s="166">
        <f t="shared" si="152"/>
        <v>0</v>
      </c>
      <c r="BJ95" s="147"/>
      <c r="BK95" s="166">
        <f t="shared" si="153"/>
        <v>0</v>
      </c>
      <c r="BL95" s="147"/>
      <c r="BM95" s="48"/>
      <c r="BN95" s="50"/>
      <c r="BO95" s="170">
        <f t="shared" si="125"/>
        <v>818894.12</v>
      </c>
      <c r="BP95" s="87"/>
      <c r="BQ95" s="172" t="e">
        <f t="shared" si="126"/>
        <v>#VALUE!</v>
      </c>
    </row>
    <row r="96" spans="1:69" x14ac:dyDescent="0.35">
      <c r="A96" s="134" t="s">
        <v>80</v>
      </c>
      <c r="B96" s="54" t="s">
        <v>67</v>
      </c>
      <c r="C96" s="144"/>
      <c r="D96" s="146">
        <v>79.84</v>
      </c>
      <c r="E96" s="166">
        <f t="shared" si="127"/>
        <v>-0.15999999999999659</v>
      </c>
      <c r="F96" s="147">
        <v>85.37</v>
      </c>
      <c r="G96" s="166">
        <f t="shared" si="127"/>
        <v>-0.62999999999999545</v>
      </c>
      <c r="H96" s="204">
        <v>144.97</v>
      </c>
      <c r="I96" s="166">
        <f t="shared" si="127"/>
        <v>-3.0000000000001137E-2</v>
      </c>
      <c r="J96" s="204">
        <v>50.44</v>
      </c>
      <c r="K96" s="166">
        <f t="shared" si="127"/>
        <v>0.43999999999999773</v>
      </c>
      <c r="L96" s="204">
        <v>62.02</v>
      </c>
      <c r="M96" s="166">
        <f t="shared" si="128"/>
        <v>2.0000000000003126E-2</v>
      </c>
      <c r="N96" s="204">
        <v>37.369999999999997</v>
      </c>
      <c r="O96" s="166">
        <f t="shared" si="129"/>
        <v>0.36999999999999744</v>
      </c>
      <c r="P96" s="147">
        <v>152.77000000000001</v>
      </c>
      <c r="Q96" s="166">
        <f t="shared" si="130"/>
        <v>-0.22999999999998977</v>
      </c>
      <c r="R96" s="147">
        <v>212.16</v>
      </c>
      <c r="S96" s="166">
        <f t="shared" si="131"/>
        <v>0.15999999999999659</v>
      </c>
      <c r="T96" s="147">
        <v>57.18</v>
      </c>
      <c r="U96" s="166">
        <f t="shared" si="132"/>
        <v>0.17999999999999972</v>
      </c>
      <c r="V96" s="147">
        <v>740452</v>
      </c>
      <c r="W96" s="166">
        <f t="shared" si="133"/>
        <v>740409</v>
      </c>
      <c r="X96" s="147">
        <v>93.47</v>
      </c>
      <c r="Y96" s="166">
        <f t="shared" si="134"/>
        <v>-0.53000000000000114</v>
      </c>
      <c r="Z96" s="147"/>
      <c r="AA96" s="166">
        <f t="shared" si="135"/>
        <v>-68</v>
      </c>
      <c r="AB96" s="147"/>
      <c r="AC96" s="166">
        <f t="shared" si="136"/>
        <v>-26</v>
      </c>
      <c r="AD96" s="147"/>
      <c r="AE96" s="166">
        <f t="shared" si="137"/>
        <v>-89</v>
      </c>
      <c r="AF96" s="147"/>
      <c r="AG96" s="166">
        <f t="shared" si="138"/>
        <v>-17</v>
      </c>
      <c r="AH96" s="147"/>
      <c r="AI96" s="166">
        <f t="shared" si="139"/>
        <v>740746</v>
      </c>
      <c r="AJ96" s="147"/>
      <c r="AK96" s="166">
        <f t="shared" si="140"/>
        <v>0</v>
      </c>
      <c r="AL96" s="147"/>
      <c r="AM96" s="166">
        <f t="shared" si="141"/>
        <v>0</v>
      </c>
      <c r="AN96" s="147"/>
      <c r="AO96" s="166">
        <f t="shared" si="142"/>
        <v>0</v>
      </c>
      <c r="AP96" s="147"/>
      <c r="AQ96" s="166">
        <f t="shared" si="143"/>
        <v>0</v>
      </c>
      <c r="AR96" s="147"/>
      <c r="AS96" s="166">
        <f t="shared" si="144"/>
        <v>0</v>
      </c>
      <c r="AT96" s="147"/>
      <c r="AU96" s="166">
        <f t="shared" si="145"/>
        <v>0</v>
      </c>
      <c r="AV96" s="147"/>
      <c r="AW96" s="166">
        <f t="shared" si="146"/>
        <v>0</v>
      </c>
      <c r="AX96" s="147"/>
      <c r="AY96" s="166">
        <f t="shared" si="147"/>
        <v>0</v>
      </c>
      <c r="AZ96" s="147"/>
      <c r="BA96" s="166">
        <f t="shared" si="148"/>
        <v>0</v>
      </c>
      <c r="BB96" s="147"/>
      <c r="BC96" s="166">
        <f t="shared" si="149"/>
        <v>0</v>
      </c>
      <c r="BD96" s="147"/>
      <c r="BE96" s="166">
        <f t="shared" si="150"/>
        <v>0</v>
      </c>
      <c r="BF96" s="147"/>
      <c r="BG96" s="166">
        <f t="shared" si="151"/>
        <v>0</v>
      </c>
      <c r="BH96" s="147"/>
      <c r="BI96" s="166">
        <f t="shared" si="152"/>
        <v>0</v>
      </c>
      <c r="BJ96" s="147"/>
      <c r="BK96" s="166">
        <f t="shared" si="153"/>
        <v>0</v>
      </c>
      <c r="BL96" s="147"/>
      <c r="BM96" s="48"/>
      <c r="BN96" s="50"/>
      <c r="BO96" s="170">
        <f t="shared" si="125"/>
        <v>1480954.5899999999</v>
      </c>
      <c r="BP96" s="87"/>
      <c r="BQ96" s="172" t="e">
        <f t="shared" si="126"/>
        <v>#VALUE!</v>
      </c>
    </row>
    <row r="97" spans="1:76" x14ac:dyDescent="0.35">
      <c r="A97" s="135"/>
      <c r="B97" s="54" t="s">
        <v>67</v>
      </c>
      <c r="C97" s="144"/>
      <c r="D97" s="146">
        <v>74.569999999999993</v>
      </c>
      <c r="E97" s="166">
        <f t="shared" si="127"/>
        <v>-0.43000000000000682</v>
      </c>
      <c r="F97" s="147">
        <v>26.82</v>
      </c>
      <c r="G97" s="166">
        <f t="shared" si="127"/>
        <v>-0.17999999999999972</v>
      </c>
      <c r="H97" s="204">
        <v>54.55</v>
      </c>
      <c r="I97" s="166">
        <f t="shared" si="127"/>
        <v>0.54999999999999716</v>
      </c>
      <c r="J97" s="204">
        <v>86.48</v>
      </c>
      <c r="K97" s="166">
        <f t="shared" si="127"/>
        <v>-0.51999999999999602</v>
      </c>
      <c r="L97" s="204">
        <v>75.11</v>
      </c>
      <c r="M97" s="166">
        <f t="shared" si="128"/>
        <v>0.10999999999999943</v>
      </c>
      <c r="N97" s="204">
        <v>44.84</v>
      </c>
      <c r="O97" s="166">
        <f t="shared" si="129"/>
        <v>-0.15999999999999659</v>
      </c>
      <c r="P97" s="147">
        <v>2.0499999999999998</v>
      </c>
      <c r="Q97" s="166">
        <f t="shared" si="130"/>
        <v>4.9999999999999822E-2</v>
      </c>
      <c r="R97" s="147">
        <v>26.62</v>
      </c>
      <c r="S97" s="166">
        <f t="shared" si="131"/>
        <v>0.62000000000000099</v>
      </c>
      <c r="T97" s="147">
        <v>28.02</v>
      </c>
      <c r="U97" s="166">
        <f t="shared" si="132"/>
        <v>1.9999999999999574E-2</v>
      </c>
      <c r="V97" s="147">
        <v>2614</v>
      </c>
      <c r="W97" s="166">
        <f t="shared" si="133"/>
        <v>2554</v>
      </c>
      <c r="X97" s="147">
        <v>79.22</v>
      </c>
      <c r="Y97" s="166">
        <f t="shared" si="134"/>
        <v>19.22</v>
      </c>
      <c r="Z97" s="147"/>
      <c r="AA97" s="166">
        <f t="shared" si="135"/>
        <v>-1</v>
      </c>
      <c r="AB97" s="147"/>
      <c r="AC97" s="166">
        <f t="shared" si="136"/>
        <v>-1</v>
      </c>
      <c r="AD97" s="147"/>
      <c r="AE97" s="166">
        <f t="shared" si="137"/>
        <v>0</v>
      </c>
      <c r="AF97" s="147"/>
      <c r="AG97" s="166">
        <f t="shared" si="138"/>
        <v>0</v>
      </c>
      <c r="AH97" s="147"/>
      <c r="AI97" s="166">
        <f t="shared" si="139"/>
        <v>2676</v>
      </c>
      <c r="AJ97" s="147"/>
      <c r="AK97" s="166">
        <f t="shared" si="140"/>
        <v>0</v>
      </c>
      <c r="AL97" s="147"/>
      <c r="AM97" s="166">
        <f t="shared" si="141"/>
        <v>0</v>
      </c>
      <c r="AN97" s="147"/>
      <c r="AO97" s="166">
        <f t="shared" si="142"/>
        <v>0</v>
      </c>
      <c r="AP97" s="147"/>
      <c r="AQ97" s="166">
        <f t="shared" si="143"/>
        <v>0</v>
      </c>
      <c r="AR97" s="147"/>
      <c r="AS97" s="166">
        <f t="shared" si="144"/>
        <v>0</v>
      </c>
      <c r="AT97" s="147"/>
      <c r="AU97" s="166">
        <f t="shared" si="145"/>
        <v>0</v>
      </c>
      <c r="AV97" s="147"/>
      <c r="AW97" s="166">
        <f t="shared" si="146"/>
        <v>0</v>
      </c>
      <c r="AX97" s="147"/>
      <c r="AY97" s="166">
        <f t="shared" si="147"/>
        <v>0</v>
      </c>
      <c r="AZ97" s="147"/>
      <c r="BA97" s="166">
        <f t="shared" si="148"/>
        <v>0</v>
      </c>
      <c r="BB97" s="147"/>
      <c r="BC97" s="166">
        <f t="shared" si="149"/>
        <v>0</v>
      </c>
      <c r="BD97" s="147"/>
      <c r="BE97" s="166">
        <f t="shared" si="150"/>
        <v>0</v>
      </c>
      <c r="BF97" s="147"/>
      <c r="BG97" s="166">
        <f t="shared" si="151"/>
        <v>0</v>
      </c>
      <c r="BH97" s="147"/>
      <c r="BI97" s="166">
        <f t="shared" si="152"/>
        <v>0</v>
      </c>
      <c r="BJ97" s="147"/>
      <c r="BK97" s="166">
        <f t="shared" si="153"/>
        <v>0</v>
      </c>
      <c r="BL97" s="147"/>
      <c r="BM97" s="48"/>
      <c r="BN97" s="50"/>
      <c r="BO97" s="170">
        <f t="shared" si="125"/>
        <v>5247.28</v>
      </c>
      <c r="BP97" s="87"/>
      <c r="BQ97" s="172" t="e">
        <f t="shared" si="126"/>
        <v>#VALUE!</v>
      </c>
    </row>
    <row r="98" spans="1:76" x14ac:dyDescent="0.35">
      <c r="A98" s="136" t="s">
        <v>82</v>
      </c>
      <c r="B98" s="54" t="s">
        <v>66</v>
      </c>
      <c r="C98" s="144"/>
      <c r="D98" s="146">
        <v>175.45</v>
      </c>
      <c r="E98" s="166">
        <f t="shared" si="127"/>
        <v>4.4499999999999886</v>
      </c>
      <c r="F98" s="147">
        <v>107.38</v>
      </c>
      <c r="G98" s="166">
        <f t="shared" si="127"/>
        <v>4.3799999999999955</v>
      </c>
      <c r="H98" s="204">
        <v>92.1</v>
      </c>
      <c r="I98" s="166">
        <f t="shared" si="127"/>
        <v>2.0999999999999943</v>
      </c>
      <c r="J98" s="204">
        <v>136.31</v>
      </c>
      <c r="K98" s="166">
        <f t="shared" si="127"/>
        <v>3.3100000000000023</v>
      </c>
      <c r="L98" s="204">
        <v>65.38</v>
      </c>
      <c r="M98" s="166">
        <f t="shared" si="128"/>
        <v>2.3799999999999955</v>
      </c>
      <c r="N98" s="204">
        <v>22.29</v>
      </c>
      <c r="O98" s="166">
        <f t="shared" si="129"/>
        <v>1.2899999999999991</v>
      </c>
      <c r="P98" s="147">
        <v>19.46</v>
      </c>
      <c r="Q98" s="166">
        <f t="shared" si="130"/>
        <v>2.4600000000000009</v>
      </c>
      <c r="R98" s="147">
        <v>57.19</v>
      </c>
      <c r="S98" s="166">
        <f t="shared" si="131"/>
        <v>2.1899999999999977</v>
      </c>
      <c r="T98" s="147">
        <v>143.29</v>
      </c>
      <c r="U98" s="166">
        <f t="shared" si="132"/>
        <v>4.289999999999992</v>
      </c>
      <c r="V98" s="147">
        <v>85397</v>
      </c>
      <c r="W98" s="166">
        <f t="shared" si="133"/>
        <v>85152</v>
      </c>
      <c r="X98" s="147">
        <v>40.630000000000003</v>
      </c>
      <c r="Y98" s="166">
        <f t="shared" si="134"/>
        <v>1.6300000000000026</v>
      </c>
      <c r="Z98" s="147"/>
      <c r="AA98" s="166">
        <f t="shared" si="135"/>
        <v>-48</v>
      </c>
      <c r="AB98" s="147"/>
      <c r="AC98" s="166">
        <f t="shared" si="136"/>
        <v>-57</v>
      </c>
      <c r="AD98" s="147"/>
      <c r="AE98" s="166">
        <f t="shared" si="137"/>
        <v>-133</v>
      </c>
      <c r="AF98" s="147"/>
      <c r="AG98" s="166">
        <f t="shared" si="138"/>
        <v>-167</v>
      </c>
      <c r="AH98" s="147"/>
      <c r="AI98" s="166">
        <f t="shared" si="139"/>
        <v>85841</v>
      </c>
      <c r="AJ98" s="147"/>
      <c r="AK98" s="166">
        <f t="shared" si="140"/>
        <v>0</v>
      </c>
      <c r="AL98" s="147"/>
      <c r="AM98" s="166">
        <f t="shared" si="141"/>
        <v>0</v>
      </c>
      <c r="AN98" s="147"/>
      <c r="AO98" s="166">
        <f t="shared" si="142"/>
        <v>0</v>
      </c>
      <c r="AP98" s="147"/>
      <c r="AQ98" s="166">
        <f t="shared" si="143"/>
        <v>0</v>
      </c>
      <c r="AR98" s="147"/>
      <c r="AS98" s="166">
        <f t="shared" si="144"/>
        <v>0</v>
      </c>
      <c r="AT98" s="147"/>
      <c r="AU98" s="166">
        <f t="shared" si="145"/>
        <v>0</v>
      </c>
      <c r="AV98" s="147"/>
      <c r="AW98" s="166">
        <f t="shared" si="146"/>
        <v>0</v>
      </c>
      <c r="AX98" s="147"/>
      <c r="AY98" s="166">
        <f t="shared" si="147"/>
        <v>0</v>
      </c>
      <c r="AZ98" s="147"/>
      <c r="BA98" s="166">
        <f t="shared" si="148"/>
        <v>0</v>
      </c>
      <c r="BB98" s="147"/>
      <c r="BC98" s="166">
        <f t="shared" si="149"/>
        <v>0</v>
      </c>
      <c r="BD98" s="147"/>
      <c r="BE98" s="166">
        <f t="shared" si="150"/>
        <v>0</v>
      </c>
      <c r="BF98" s="147"/>
      <c r="BG98" s="166">
        <f t="shared" si="151"/>
        <v>0</v>
      </c>
      <c r="BH98" s="147"/>
      <c r="BI98" s="166">
        <f t="shared" si="152"/>
        <v>0</v>
      </c>
      <c r="BJ98" s="147"/>
      <c r="BK98" s="166">
        <f t="shared" si="153"/>
        <v>0</v>
      </c>
      <c r="BL98" s="147"/>
      <c r="BM98" s="48"/>
      <c r="BN98" s="50"/>
      <c r="BO98" s="170">
        <f t="shared" si="125"/>
        <v>170616.48</v>
      </c>
      <c r="BP98" s="87"/>
      <c r="BQ98" s="172" t="e">
        <f t="shared" si="126"/>
        <v>#VALUE!</v>
      </c>
    </row>
    <row r="99" spans="1:76" x14ac:dyDescent="0.35">
      <c r="A99" s="44"/>
      <c r="B99" s="54" t="s">
        <v>65</v>
      </c>
      <c r="C99" s="144"/>
      <c r="D99" s="146">
        <v>997.65</v>
      </c>
      <c r="E99" s="166">
        <f t="shared" si="127"/>
        <v>-0.35000000000002274</v>
      </c>
      <c r="F99" s="147">
        <v>289.79000000000002</v>
      </c>
      <c r="G99" s="166">
        <f t="shared" si="127"/>
        <v>-0.20999999999997954</v>
      </c>
      <c r="H99" s="204">
        <v>246.21</v>
      </c>
      <c r="I99" s="166">
        <f t="shared" si="127"/>
        <v>0.21000000000000796</v>
      </c>
      <c r="J99" s="204">
        <v>111.72</v>
      </c>
      <c r="K99" s="166">
        <f t="shared" si="127"/>
        <v>-0.28000000000000114</v>
      </c>
      <c r="L99" s="204">
        <v>239.53</v>
      </c>
      <c r="M99" s="166">
        <f t="shared" si="128"/>
        <v>0.53000000000000114</v>
      </c>
      <c r="N99" s="204">
        <v>95.43</v>
      </c>
      <c r="O99" s="166">
        <f t="shared" si="129"/>
        <v>-0.56999999999999318</v>
      </c>
      <c r="P99" s="147">
        <v>5.71</v>
      </c>
      <c r="Q99" s="166">
        <f t="shared" si="130"/>
        <v>0.71</v>
      </c>
      <c r="R99" s="147">
        <v>216.19</v>
      </c>
      <c r="S99" s="166">
        <f t="shared" si="131"/>
        <v>-0.81000000000000227</v>
      </c>
      <c r="T99" s="147">
        <v>258.48</v>
      </c>
      <c r="U99" s="166">
        <f t="shared" si="132"/>
        <v>0.48000000000001819</v>
      </c>
      <c r="V99" s="147">
        <v>100998</v>
      </c>
      <c r="W99" s="166">
        <f t="shared" si="133"/>
        <v>100944</v>
      </c>
      <c r="X99" s="147">
        <v>249</v>
      </c>
      <c r="Y99" s="166">
        <f t="shared" si="134"/>
        <v>0</v>
      </c>
      <c r="Z99" s="147"/>
      <c r="AA99" s="166">
        <f t="shared" si="135"/>
        <v>-152</v>
      </c>
      <c r="AB99" s="147"/>
      <c r="AC99" s="166">
        <f t="shared" si="136"/>
        <v>-146</v>
      </c>
      <c r="AD99" s="147"/>
      <c r="AE99" s="166">
        <f t="shared" si="137"/>
        <v>-390</v>
      </c>
      <c r="AF99" s="147"/>
      <c r="AG99" s="166">
        <f t="shared" si="138"/>
        <v>-401</v>
      </c>
      <c r="AH99" s="147"/>
      <c r="AI99" s="166">
        <f t="shared" si="139"/>
        <v>102336</v>
      </c>
      <c r="AJ99" s="147"/>
      <c r="AK99" s="166">
        <f t="shared" si="140"/>
        <v>0</v>
      </c>
      <c r="AL99" s="147"/>
      <c r="AM99" s="166">
        <f t="shared" si="141"/>
        <v>0</v>
      </c>
      <c r="AN99" s="147"/>
      <c r="AO99" s="166">
        <f t="shared" si="142"/>
        <v>0</v>
      </c>
      <c r="AP99" s="147"/>
      <c r="AQ99" s="166">
        <f t="shared" si="143"/>
        <v>0</v>
      </c>
      <c r="AR99" s="147"/>
      <c r="AS99" s="166">
        <f t="shared" si="144"/>
        <v>0</v>
      </c>
      <c r="AT99" s="147"/>
      <c r="AU99" s="166">
        <f t="shared" si="145"/>
        <v>0</v>
      </c>
      <c r="AV99" s="147"/>
      <c r="AW99" s="166">
        <f t="shared" si="146"/>
        <v>0</v>
      </c>
      <c r="AX99" s="147"/>
      <c r="AY99" s="166">
        <f t="shared" si="147"/>
        <v>0</v>
      </c>
      <c r="AZ99" s="147"/>
      <c r="BA99" s="166">
        <f t="shared" si="148"/>
        <v>0</v>
      </c>
      <c r="BB99" s="147"/>
      <c r="BC99" s="166">
        <f t="shared" si="149"/>
        <v>0</v>
      </c>
      <c r="BD99" s="147"/>
      <c r="BE99" s="166">
        <f t="shared" si="150"/>
        <v>0</v>
      </c>
      <c r="BF99" s="147"/>
      <c r="BG99" s="166">
        <f t="shared" si="151"/>
        <v>0</v>
      </c>
      <c r="BH99" s="147"/>
      <c r="BI99" s="166">
        <f t="shared" si="152"/>
        <v>0</v>
      </c>
      <c r="BJ99" s="147"/>
      <c r="BK99" s="166">
        <f t="shared" si="153"/>
        <v>0</v>
      </c>
      <c r="BL99" s="147"/>
      <c r="BM99" s="48"/>
      <c r="BN99" s="50"/>
      <c r="BO99" s="170">
        <f t="shared" si="125"/>
        <v>202190.71000000002</v>
      </c>
      <c r="BP99" s="87"/>
      <c r="BQ99" s="172" t="e">
        <f t="shared" si="126"/>
        <v>#VALUE!</v>
      </c>
    </row>
    <row r="100" spans="1:76" x14ac:dyDescent="0.35">
      <c r="A100" s="135" t="s">
        <v>84</v>
      </c>
      <c r="B100" s="54" t="s">
        <v>67</v>
      </c>
      <c r="C100" s="144"/>
      <c r="D100" s="146">
        <v>118.61</v>
      </c>
      <c r="E100" s="166">
        <f t="shared" si="127"/>
        <v>-0.39000000000000057</v>
      </c>
      <c r="F100" s="147">
        <v>99.36</v>
      </c>
      <c r="G100" s="166">
        <f t="shared" si="127"/>
        <v>0.35999999999999943</v>
      </c>
      <c r="H100" s="204">
        <v>49.92</v>
      </c>
      <c r="I100" s="166">
        <f t="shared" si="127"/>
        <v>-7.9999999999998295E-2</v>
      </c>
      <c r="J100" s="204">
        <v>115.1</v>
      </c>
      <c r="K100" s="166">
        <f t="shared" si="127"/>
        <v>9.9999999999994316E-2</v>
      </c>
      <c r="L100" s="204">
        <v>136.52000000000001</v>
      </c>
      <c r="M100" s="166">
        <f t="shared" si="128"/>
        <v>-0.47999999999998977</v>
      </c>
      <c r="N100" s="204">
        <v>11.21</v>
      </c>
      <c r="O100" s="166">
        <f t="shared" si="129"/>
        <v>0.21000000000000085</v>
      </c>
      <c r="P100" s="147">
        <v>26.18</v>
      </c>
      <c r="Q100" s="166">
        <f t="shared" si="130"/>
        <v>0.17999999999999972</v>
      </c>
      <c r="R100" s="147">
        <v>48.84</v>
      </c>
      <c r="S100" s="166">
        <f t="shared" si="131"/>
        <v>-0.15999999999999659</v>
      </c>
      <c r="T100" s="147">
        <v>19.62</v>
      </c>
      <c r="U100" s="166">
        <f t="shared" si="132"/>
        <v>-0.37999999999999901</v>
      </c>
      <c r="V100" s="147">
        <v>68353</v>
      </c>
      <c r="W100" s="166">
        <f t="shared" si="133"/>
        <v>68164</v>
      </c>
      <c r="X100" s="147">
        <v>88.46</v>
      </c>
      <c r="Y100" s="166">
        <f t="shared" si="134"/>
        <v>0.45999999999999375</v>
      </c>
      <c r="Z100" s="147"/>
      <c r="AA100" s="166">
        <f t="shared" si="135"/>
        <v>-14</v>
      </c>
      <c r="AB100" s="147"/>
      <c r="AC100" s="166">
        <f t="shared" si="136"/>
        <v>-18</v>
      </c>
      <c r="AD100" s="147"/>
      <c r="AE100" s="166">
        <f t="shared" si="137"/>
        <v>-75</v>
      </c>
      <c r="AF100" s="147"/>
      <c r="AG100" s="166">
        <f t="shared" si="138"/>
        <v>-145</v>
      </c>
      <c r="AH100" s="147"/>
      <c r="AI100" s="166">
        <f t="shared" si="139"/>
        <v>68693</v>
      </c>
      <c r="AJ100" s="147"/>
      <c r="AK100" s="166">
        <f t="shared" si="140"/>
        <v>0</v>
      </c>
      <c r="AL100" s="147"/>
      <c r="AM100" s="166">
        <f t="shared" si="141"/>
        <v>0</v>
      </c>
      <c r="AN100" s="147"/>
      <c r="AO100" s="166">
        <f t="shared" si="142"/>
        <v>0</v>
      </c>
      <c r="AP100" s="147"/>
      <c r="AQ100" s="166">
        <f t="shared" si="143"/>
        <v>0</v>
      </c>
      <c r="AR100" s="147"/>
      <c r="AS100" s="166">
        <f t="shared" si="144"/>
        <v>0</v>
      </c>
      <c r="AT100" s="147"/>
      <c r="AU100" s="166">
        <f t="shared" si="145"/>
        <v>0</v>
      </c>
      <c r="AV100" s="147"/>
      <c r="AW100" s="166">
        <f t="shared" si="146"/>
        <v>0</v>
      </c>
      <c r="AX100" s="147"/>
      <c r="AY100" s="166">
        <f t="shared" si="147"/>
        <v>0</v>
      </c>
      <c r="AZ100" s="147"/>
      <c r="BA100" s="166">
        <f t="shared" si="148"/>
        <v>0</v>
      </c>
      <c r="BB100" s="147"/>
      <c r="BC100" s="166">
        <f t="shared" si="149"/>
        <v>0</v>
      </c>
      <c r="BD100" s="147"/>
      <c r="BE100" s="166">
        <f t="shared" si="150"/>
        <v>0</v>
      </c>
      <c r="BF100" s="147"/>
      <c r="BG100" s="166">
        <f t="shared" si="151"/>
        <v>0</v>
      </c>
      <c r="BH100" s="147"/>
      <c r="BI100" s="166">
        <f t="shared" si="152"/>
        <v>0</v>
      </c>
      <c r="BJ100" s="147"/>
      <c r="BK100" s="166">
        <f t="shared" si="153"/>
        <v>0</v>
      </c>
      <c r="BL100" s="147"/>
      <c r="BM100" s="48"/>
      <c r="BN100" s="50"/>
      <c r="BO100" s="170">
        <f t="shared" si="125"/>
        <v>136604.82</v>
      </c>
      <c r="BP100" s="87"/>
      <c r="BQ100" s="172" t="e">
        <f t="shared" si="126"/>
        <v>#VALUE!</v>
      </c>
    </row>
    <row r="101" spans="1:76" x14ac:dyDescent="0.35">
      <c r="A101" s="136" t="s">
        <v>85</v>
      </c>
      <c r="B101" s="54" t="s">
        <v>66</v>
      </c>
      <c r="C101" s="144"/>
      <c r="D101" s="146">
        <v>276.05</v>
      </c>
      <c r="E101" s="166">
        <f t="shared" si="127"/>
        <v>5.0000000000011369E-2</v>
      </c>
      <c r="F101" s="147">
        <v>152.28</v>
      </c>
      <c r="G101" s="166">
        <f t="shared" si="127"/>
        <v>12.280000000000001</v>
      </c>
      <c r="H101" s="204">
        <v>235.45</v>
      </c>
      <c r="I101" s="166">
        <f t="shared" si="127"/>
        <v>0.44999999999998863</v>
      </c>
      <c r="J101" s="204">
        <v>112.7</v>
      </c>
      <c r="K101" s="166">
        <f t="shared" si="127"/>
        <v>-1.2999999999999972</v>
      </c>
      <c r="L101" s="204">
        <v>124.51</v>
      </c>
      <c r="M101" s="166">
        <f t="shared" si="128"/>
        <v>0.51000000000000512</v>
      </c>
      <c r="N101" s="204">
        <v>50.15</v>
      </c>
      <c r="O101" s="166">
        <f t="shared" si="129"/>
        <v>-0.85000000000000142</v>
      </c>
      <c r="P101" s="147">
        <v>44.31</v>
      </c>
      <c r="Q101" s="166">
        <f t="shared" si="130"/>
        <v>0.31000000000000227</v>
      </c>
      <c r="R101" s="147">
        <v>180.22</v>
      </c>
      <c r="S101" s="166">
        <f t="shared" si="131"/>
        <v>-0.78000000000000114</v>
      </c>
      <c r="T101" s="147">
        <v>134.6</v>
      </c>
      <c r="U101" s="166">
        <f t="shared" si="132"/>
        <v>-0.40000000000000568</v>
      </c>
      <c r="V101" s="147">
        <v>12906</v>
      </c>
      <c r="W101" s="166">
        <f t="shared" si="133"/>
        <v>12856</v>
      </c>
      <c r="X101" s="147">
        <v>211.09</v>
      </c>
      <c r="Y101" s="166">
        <f t="shared" si="134"/>
        <v>9.0000000000003411E-2</v>
      </c>
      <c r="Z101" s="147"/>
      <c r="AA101" s="166">
        <f t="shared" si="135"/>
        <v>-159</v>
      </c>
      <c r="AB101" s="147"/>
      <c r="AC101" s="166">
        <f t="shared" si="136"/>
        <v>-61</v>
      </c>
      <c r="AD101" s="147"/>
      <c r="AE101" s="166">
        <f t="shared" si="137"/>
        <v>-185</v>
      </c>
      <c r="AF101" s="147"/>
      <c r="AG101" s="166">
        <f t="shared" si="138"/>
        <v>-286</v>
      </c>
      <c r="AH101" s="147"/>
      <c r="AI101" s="166">
        <f t="shared" si="139"/>
        <v>13808</v>
      </c>
      <c r="AJ101" s="147"/>
      <c r="AK101" s="166">
        <f t="shared" si="140"/>
        <v>0</v>
      </c>
      <c r="AL101" s="147"/>
      <c r="AM101" s="166">
        <f t="shared" si="141"/>
        <v>0</v>
      </c>
      <c r="AN101" s="147"/>
      <c r="AO101" s="166">
        <f t="shared" si="142"/>
        <v>0</v>
      </c>
      <c r="AP101" s="147"/>
      <c r="AQ101" s="166">
        <f t="shared" si="143"/>
        <v>0</v>
      </c>
      <c r="AR101" s="147"/>
      <c r="AS101" s="166">
        <f t="shared" si="144"/>
        <v>0</v>
      </c>
      <c r="AT101" s="147"/>
      <c r="AU101" s="166">
        <f t="shared" si="145"/>
        <v>0</v>
      </c>
      <c r="AV101" s="147"/>
      <c r="AW101" s="166">
        <f t="shared" si="146"/>
        <v>0</v>
      </c>
      <c r="AX101" s="147"/>
      <c r="AY101" s="166">
        <f t="shared" si="147"/>
        <v>0</v>
      </c>
      <c r="AZ101" s="147"/>
      <c r="BA101" s="166">
        <f t="shared" si="148"/>
        <v>0</v>
      </c>
      <c r="BB101" s="147"/>
      <c r="BC101" s="166">
        <f t="shared" si="149"/>
        <v>0</v>
      </c>
      <c r="BD101" s="147"/>
      <c r="BE101" s="166">
        <f t="shared" si="150"/>
        <v>0</v>
      </c>
      <c r="BF101" s="147"/>
      <c r="BG101" s="166">
        <f t="shared" si="151"/>
        <v>0</v>
      </c>
      <c r="BH101" s="147"/>
      <c r="BI101" s="166">
        <f t="shared" si="152"/>
        <v>0</v>
      </c>
      <c r="BJ101" s="147"/>
      <c r="BK101" s="166">
        <f t="shared" si="153"/>
        <v>0</v>
      </c>
      <c r="BL101" s="147"/>
      <c r="BM101" s="48"/>
      <c r="BN101" s="50"/>
      <c r="BO101" s="170">
        <f t="shared" si="125"/>
        <v>25983.360000000001</v>
      </c>
      <c r="BP101" s="87"/>
      <c r="BQ101" s="172" t="e">
        <f t="shared" si="126"/>
        <v>#VALUE!</v>
      </c>
    </row>
    <row r="102" spans="1:76" x14ac:dyDescent="0.35">
      <c r="A102" s="44" t="s">
        <v>86</v>
      </c>
      <c r="B102" s="54" t="s">
        <v>65</v>
      </c>
      <c r="C102" s="144"/>
      <c r="D102" s="146">
        <v>1734.27</v>
      </c>
      <c r="E102" s="166">
        <f t="shared" si="127"/>
        <v>1734.27</v>
      </c>
      <c r="F102" s="147">
        <v>411.19</v>
      </c>
      <c r="G102" s="166">
        <f t="shared" si="127"/>
        <v>287.19</v>
      </c>
      <c r="H102" s="204">
        <v>186.37</v>
      </c>
      <c r="I102" s="166">
        <f t="shared" si="127"/>
        <v>-0.62999999999999545</v>
      </c>
      <c r="J102" s="204">
        <v>215.54</v>
      </c>
      <c r="K102" s="166">
        <f t="shared" si="127"/>
        <v>-1.460000000000008</v>
      </c>
      <c r="L102" s="204">
        <v>194.46</v>
      </c>
      <c r="M102" s="166">
        <f t="shared" si="128"/>
        <v>0.46000000000000796</v>
      </c>
      <c r="N102" s="204">
        <v>51.7</v>
      </c>
      <c r="O102" s="166">
        <f t="shared" si="129"/>
        <v>-0.29999999999999716</v>
      </c>
      <c r="P102" s="147"/>
      <c r="Q102" s="166">
        <f t="shared" si="130"/>
        <v>0</v>
      </c>
      <c r="R102" s="147">
        <v>41.52</v>
      </c>
      <c r="S102" s="166">
        <f t="shared" si="131"/>
        <v>-0.47999999999999687</v>
      </c>
      <c r="T102" s="147">
        <v>282.69</v>
      </c>
      <c r="U102" s="166">
        <f t="shared" si="132"/>
        <v>0.68999999999999773</v>
      </c>
      <c r="V102" s="147">
        <v>24206</v>
      </c>
      <c r="W102" s="166">
        <f t="shared" si="133"/>
        <v>24073</v>
      </c>
      <c r="X102" s="147">
        <v>294.85000000000002</v>
      </c>
      <c r="Y102" s="166">
        <f t="shared" si="134"/>
        <v>-0.14999999999997726</v>
      </c>
      <c r="Z102" s="147"/>
      <c r="AA102" s="166">
        <f t="shared" si="135"/>
        <v>-108</v>
      </c>
      <c r="AB102" s="147"/>
      <c r="AC102" s="166">
        <f t="shared" si="136"/>
        <v>-88</v>
      </c>
      <c r="AD102" s="147"/>
      <c r="AE102" s="166">
        <f t="shared" si="137"/>
        <v>-218</v>
      </c>
      <c r="AF102" s="147"/>
      <c r="AG102" s="166">
        <f t="shared" si="138"/>
        <v>-146</v>
      </c>
      <c r="AH102" s="147"/>
      <c r="AI102" s="166">
        <f t="shared" si="139"/>
        <v>25061</v>
      </c>
      <c r="AJ102" s="147"/>
      <c r="AK102" s="166">
        <f t="shared" si="140"/>
        <v>0</v>
      </c>
      <c r="AL102" s="147"/>
      <c r="AM102" s="166">
        <f t="shared" si="141"/>
        <v>0</v>
      </c>
      <c r="AN102" s="147"/>
      <c r="AO102" s="166">
        <f t="shared" si="142"/>
        <v>0</v>
      </c>
      <c r="AP102" s="147"/>
      <c r="AQ102" s="166">
        <f t="shared" si="143"/>
        <v>0</v>
      </c>
      <c r="AR102" s="147"/>
      <c r="AS102" s="166">
        <f t="shared" si="144"/>
        <v>0</v>
      </c>
      <c r="AT102" s="147"/>
      <c r="AU102" s="166">
        <f t="shared" si="145"/>
        <v>0</v>
      </c>
      <c r="AV102" s="147"/>
      <c r="AW102" s="166">
        <f t="shared" si="146"/>
        <v>0</v>
      </c>
      <c r="AX102" s="147"/>
      <c r="AY102" s="166">
        <f t="shared" si="147"/>
        <v>0</v>
      </c>
      <c r="AZ102" s="147"/>
      <c r="BA102" s="166">
        <f t="shared" si="148"/>
        <v>0</v>
      </c>
      <c r="BB102" s="147"/>
      <c r="BC102" s="166">
        <f t="shared" si="149"/>
        <v>0</v>
      </c>
      <c r="BD102" s="147"/>
      <c r="BE102" s="166">
        <f t="shared" si="150"/>
        <v>0</v>
      </c>
      <c r="BF102" s="147"/>
      <c r="BG102" s="166">
        <f t="shared" si="151"/>
        <v>0</v>
      </c>
      <c r="BH102" s="147"/>
      <c r="BI102" s="166">
        <f t="shared" si="152"/>
        <v>0</v>
      </c>
      <c r="BJ102" s="147"/>
      <c r="BK102" s="166">
        <f t="shared" si="153"/>
        <v>0</v>
      </c>
      <c r="BL102" s="147"/>
      <c r="BM102" s="48"/>
      <c r="BN102" s="50"/>
      <c r="BO102" s="170">
        <f t="shared" si="125"/>
        <v>50593.59</v>
      </c>
      <c r="BP102" s="87"/>
      <c r="BQ102" s="172" t="e">
        <f t="shared" si="126"/>
        <v>#VALUE!</v>
      </c>
    </row>
    <row r="103" spans="1:76" x14ac:dyDescent="0.35">
      <c r="A103" s="53"/>
      <c r="B103" s="54"/>
      <c r="C103" s="144"/>
      <c r="D103" s="189">
        <f>SUM(D91:D102)</f>
        <v>5644.02</v>
      </c>
      <c r="E103" s="166">
        <f t="shared" ref="E103:BP103" si="154">SUM(E91:E102)</f>
        <v>1001737.0199999998</v>
      </c>
      <c r="F103" s="167">
        <f t="shared" si="154"/>
        <v>1989.71</v>
      </c>
      <c r="G103" s="166">
        <f t="shared" si="154"/>
        <v>302.71000000000004</v>
      </c>
      <c r="H103" s="167">
        <f t="shared" si="154"/>
        <v>1966.02</v>
      </c>
      <c r="I103" s="166">
        <f t="shared" si="154"/>
        <v>3.0200000000000387</v>
      </c>
      <c r="J103" s="167">
        <f t="shared" si="154"/>
        <v>1597.8799999999999</v>
      </c>
      <c r="K103" s="166">
        <f t="shared" si="154"/>
        <v>-0.12000000000004007</v>
      </c>
      <c r="L103" s="167">
        <f t="shared" si="154"/>
        <v>2097.1299999999997</v>
      </c>
      <c r="M103" s="166">
        <f t="shared" si="154"/>
        <v>4.1300000000000736</v>
      </c>
      <c r="N103" s="167">
        <f t="shared" si="154"/>
        <v>1043.82</v>
      </c>
      <c r="O103" s="166">
        <f t="shared" si="154"/>
        <v>-0.1799999999999784</v>
      </c>
      <c r="P103" s="167">
        <f t="shared" si="154"/>
        <v>1810.5900000000001</v>
      </c>
      <c r="Q103" s="166">
        <f t="shared" si="154"/>
        <v>3.5899999999999981</v>
      </c>
      <c r="R103" s="167">
        <f t="shared" si="154"/>
        <v>1564.53</v>
      </c>
      <c r="S103" s="166">
        <f t="shared" si="154"/>
        <v>0.53000000000002245</v>
      </c>
      <c r="T103" s="167">
        <f t="shared" si="154"/>
        <v>1516.5699999999997</v>
      </c>
      <c r="U103" s="166">
        <f t="shared" si="154"/>
        <v>5.57</v>
      </c>
      <c r="V103" s="167">
        <f t="shared" si="154"/>
        <v>2689967</v>
      </c>
      <c r="W103" s="166">
        <f t="shared" si="154"/>
        <v>2688438</v>
      </c>
      <c r="X103" s="167">
        <f t="shared" si="154"/>
        <v>194876.02000000002</v>
      </c>
      <c r="Y103" s="166">
        <f t="shared" si="154"/>
        <v>192750.02000000002</v>
      </c>
      <c r="Z103" s="167">
        <f t="shared" si="154"/>
        <v>0</v>
      </c>
      <c r="AA103" s="166">
        <f t="shared" si="154"/>
        <v>-1489</v>
      </c>
      <c r="AB103" s="167">
        <f t="shared" si="154"/>
        <v>0</v>
      </c>
      <c r="AC103" s="166">
        <f t="shared" si="154"/>
        <v>-906</v>
      </c>
      <c r="AD103" s="167">
        <f t="shared" si="154"/>
        <v>0</v>
      </c>
      <c r="AE103" s="166">
        <f t="shared" si="154"/>
        <v>-2457</v>
      </c>
      <c r="AF103" s="167">
        <f t="shared" si="154"/>
        <v>0</v>
      </c>
      <c r="AG103" s="166">
        <f t="shared" si="154"/>
        <v>-2052</v>
      </c>
      <c r="AH103" s="167">
        <f t="shared" si="154"/>
        <v>0</v>
      </c>
      <c r="AI103" s="166">
        <f t="shared" si="154"/>
        <v>3370618</v>
      </c>
      <c r="AJ103" s="167">
        <f t="shared" si="154"/>
        <v>0</v>
      </c>
      <c r="AK103" s="166">
        <f t="shared" si="154"/>
        <v>0</v>
      </c>
      <c r="AL103" s="167">
        <f t="shared" si="154"/>
        <v>0</v>
      </c>
      <c r="AM103" s="166">
        <f t="shared" si="154"/>
        <v>0</v>
      </c>
      <c r="AN103" s="167">
        <f t="shared" si="154"/>
        <v>0</v>
      </c>
      <c r="AO103" s="166">
        <f t="shared" si="154"/>
        <v>0</v>
      </c>
      <c r="AP103" s="167">
        <f t="shared" si="154"/>
        <v>0</v>
      </c>
      <c r="AQ103" s="194">
        <f t="shared" si="154"/>
        <v>0</v>
      </c>
      <c r="AR103" s="167">
        <f t="shared" si="154"/>
        <v>0</v>
      </c>
      <c r="AS103" s="166">
        <f t="shared" si="154"/>
        <v>0</v>
      </c>
      <c r="AT103" s="167">
        <f t="shared" si="154"/>
        <v>0</v>
      </c>
      <c r="AU103" s="166">
        <f t="shared" si="154"/>
        <v>0</v>
      </c>
      <c r="AV103" s="167">
        <f t="shared" si="154"/>
        <v>0</v>
      </c>
      <c r="AW103" s="166">
        <f t="shared" si="154"/>
        <v>0</v>
      </c>
      <c r="AX103" s="167">
        <f t="shared" si="154"/>
        <v>0</v>
      </c>
      <c r="AY103" s="166">
        <f t="shared" si="154"/>
        <v>0</v>
      </c>
      <c r="AZ103" s="167">
        <f t="shared" si="154"/>
        <v>0</v>
      </c>
      <c r="BA103" s="166">
        <f t="shared" si="154"/>
        <v>0</v>
      </c>
      <c r="BB103" s="167">
        <f t="shared" si="154"/>
        <v>0</v>
      </c>
      <c r="BC103" s="166">
        <f t="shared" si="154"/>
        <v>0</v>
      </c>
      <c r="BD103" s="167">
        <f t="shared" si="154"/>
        <v>0</v>
      </c>
      <c r="BE103" s="166">
        <f t="shared" si="154"/>
        <v>0</v>
      </c>
      <c r="BF103" s="167">
        <f t="shared" si="154"/>
        <v>0</v>
      </c>
      <c r="BG103" s="166">
        <f t="shared" si="154"/>
        <v>0</v>
      </c>
      <c r="BH103" s="167">
        <f t="shared" si="154"/>
        <v>0</v>
      </c>
      <c r="BI103" s="166">
        <f t="shared" si="154"/>
        <v>0</v>
      </c>
      <c r="BJ103" s="167">
        <f t="shared" si="154"/>
        <v>0</v>
      </c>
      <c r="BK103" s="166">
        <f t="shared" si="154"/>
        <v>0</v>
      </c>
      <c r="BL103" s="49"/>
      <c r="BM103" s="48"/>
      <c r="BN103" s="50"/>
      <c r="BO103" s="170">
        <f t="shared" si="125"/>
        <v>7246958.2899999991</v>
      </c>
      <c r="BP103" s="173">
        <f t="shared" si="154"/>
        <v>0</v>
      </c>
      <c r="BQ103" s="172" t="e">
        <f>SUM(BQ91:BQ102)</f>
        <v>#VALUE!</v>
      </c>
    </row>
    <row r="104" spans="1:76" x14ac:dyDescent="0.35">
      <c r="A104" s="53"/>
      <c r="B104" s="54"/>
      <c r="C104" s="144"/>
      <c r="D104" s="189">
        <f t="shared" si="123"/>
        <v>0</v>
      </c>
      <c r="E104" s="48"/>
      <c r="F104" s="167">
        <f t="shared" si="92"/>
        <v>0</v>
      </c>
      <c r="G104" s="48"/>
      <c r="H104" s="167">
        <f t="shared" si="93"/>
        <v>0</v>
      </c>
      <c r="I104" s="48"/>
      <c r="J104" s="167">
        <f t="shared" si="94"/>
        <v>0</v>
      </c>
      <c r="K104" s="48"/>
      <c r="L104" s="167">
        <f t="shared" ref="L104" si="155">+M104-K104</f>
        <v>0</v>
      </c>
      <c r="M104" s="48"/>
      <c r="N104" s="167">
        <f t="shared" ref="N104" si="156">+O104-M104</f>
        <v>0</v>
      </c>
      <c r="O104" s="48"/>
      <c r="P104" s="167">
        <f t="shared" ref="P104" si="157">+Q104-O104</f>
        <v>0</v>
      </c>
      <c r="Q104" s="48"/>
      <c r="R104" s="167">
        <f t="shared" ref="R104" si="158">+S104-Q104</f>
        <v>0</v>
      </c>
      <c r="S104" s="48"/>
      <c r="T104" s="167">
        <f t="shared" ref="T104" si="159">+U104-S104</f>
        <v>0</v>
      </c>
      <c r="U104" s="48"/>
      <c r="V104" s="167">
        <f t="shared" ref="V104" si="160">+W104-U104</f>
        <v>0</v>
      </c>
      <c r="W104" s="48"/>
      <c r="X104" s="167">
        <f t="shared" ref="X104" si="161">+Y104-W104</f>
        <v>0</v>
      </c>
      <c r="Y104" s="48"/>
      <c r="Z104" s="167">
        <f t="shared" ref="Z104" si="162">+AA104-Y104</f>
        <v>0</v>
      </c>
      <c r="AA104" s="48"/>
      <c r="AB104" s="167">
        <f t="shared" ref="AB104" si="163">+AC104-AA104</f>
        <v>0</v>
      </c>
      <c r="AC104" s="48"/>
      <c r="AD104" s="167">
        <f t="shared" ref="AD104" si="164">+AE104-AC104</f>
        <v>0</v>
      </c>
      <c r="AE104" s="48"/>
      <c r="AF104" s="167">
        <f t="shared" ref="AF104" si="165">+AG104-AE104</f>
        <v>0</v>
      </c>
      <c r="AG104" s="48"/>
      <c r="AH104" s="167">
        <f t="shared" ref="AH104" si="166">+AI104-AG104</f>
        <v>0</v>
      </c>
      <c r="AI104" s="48"/>
      <c r="AJ104" s="167">
        <f t="shared" ref="AJ104" si="167">+AK104-AI104</f>
        <v>0</v>
      </c>
      <c r="AK104" s="48"/>
      <c r="AL104" s="167">
        <f t="shared" ref="AL104" si="168">+AM104-AK104</f>
        <v>0</v>
      </c>
      <c r="AM104" s="48"/>
      <c r="AN104" s="167">
        <f t="shared" ref="AN104" si="169">+AO104-AM104</f>
        <v>0</v>
      </c>
      <c r="AO104" s="48"/>
      <c r="AP104" s="167">
        <f t="shared" ref="AP104" si="170">+AQ104-AO104</f>
        <v>0</v>
      </c>
      <c r="AQ104" s="48"/>
      <c r="AR104" s="167">
        <f t="shared" ref="AR104" si="171">+AS104-AQ104</f>
        <v>0</v>
      </c>
      <c r="AS104" s="48"/>
      <c r="AT104" s="167">
        <f t="shared" ref="AT104" si="172">+AU104-AS104</f>
        <v>0</v>
      </c>
      <c r="AU104" s="48"/>
      <c r="AV104" s="167">
        <f t="shared" ref="AV104" si="173">+AW104-AU104</f>
        <v>0</v>
      </c>
      <c r="AW104" s="48"/>
      <c r="AX104" s="167">
        <f t="shared" ref="AX104" si="174">+AY104-AW104</f>
        <v>0</v>
      </c>
      <c r="AY104" s="48"/>
      <c r="AZ104" s="167">
        <f t="shared" ref="AZ104" si="175">+BA104-AY104</f>
        <v>0</v>
      </c>
      <c r="BA104" s="48"/>
      <c r="BB104" s="167">
        <f t="shared" ref="BB104" si="176">+BC104-BA104</f>
        <v>0</v>
      </c>
      <c r="BC104" s="48"/>
      <c r="BD104" s="167">
        <f t="shared" ref="BD104" si="177">+BE104-BC104</f>
        <v>0</v>
      </c>
      <c r="BE104" s="48"/>
      <c r="BF104" s="167">
        <f t="shared" ref="BF104" si="178">+BG104-BE104</f>
        <v>0</v>
      </c>
      <c r="BG104" s="48"/>
      <c r="BH104" s="167">
        <f t="shared" ref="BH104" si="179">+BI104-BG104</f>
        <v>0</v>
      </c>
      <c r="BI104" s="48"/>
      <c r="BJ104" s="167">
        <f t="shared" ref="BJ104" si="180">+BK104-BI104</f>
        <v>0</v>
      </c>
      <c r="BK104" s="48"/>
      <c r="BL104" s="49"/>
      <c r="BM104" s="48"/>
      <c r="BN104" s="50"/>
      <c r="BO104" s="51"/>
      <c r="BP104" s="173">
        <f t="shared" ref="BP104" si="181">+BQ104-BM104</f>
        <v>0</v>
      </c>
      <c r="BQ104" s="52"/>
    </row>
    <row r="105" spans="1:76" x14ac:dyDescent="0.35">
      <c r="A105" s="74"/>
      <c r="B105" s="75"/>
      <c r="C105" s="76"/>
      <c r="D105" s="77"/>
      <c r="E105" s="148"/>
      <c r="F105" s="79"/>
      <c r="G105" s="148"/>
      <c r="H105" s="79"/>
      <c r="I105" s="148"/>
      <c r="J105" s="79"/>
      <c r="K105" s="148"/>
      <c r="L105" s="79"/>
      <c r="M105" s="148"/>
      <c r="N105" s="79"/>
      <c r="O105" s="148"/>
      <c r="P105" s="79"/>
      <c r="Q105" s="148"/>
      <c r="R105" s="79"/>
      <c r="S105" s="148"/>
      <c r="T105" s="79"/>
      <c r="U105" s="148"/>
      <c r="V105" s="79"/>
      <c r="W105" s="148"/>
      <c r="X105" s="79"/>
      <c r="Y105" s="148"/>
      <c r="Z105" s="79"/>
      <c r="AA105" s="148"/>
      <c r="AB105" s="79"/>
      <c r="AC105" s="148"/>
      <c r="AD105" s="79"/>
      <c r="AE105" s="148"/>
      <c r="AF105" s="79"/>
      <c r="AG105" s="148"/>
      <c r="AH105" s="79"/>
      <c r="AI105" s="148"/>
      <c r="AJ105" s="79"/>
      <c r="AK105" s="148"/>
      <c r="AL105" s="79"/>
      <c r="AM105" s="148"/>
      <c r="AN105" s="79"/>
      <c r="AO105" s="148"/>
      <c r="AP105" s="79"/>
      <c r="AQ105" s="148"/>
      <c r="AR105" s="79"/>
      <c r="AS105" s="148"/>
      <c r="AT105" s="79"/>
      <c r="AU105" s="148"/>
      <c r="AV105" s="79"/>
      <c r="AW105" s="148"/>
      <c r="AX105" s="79"/>
      <c r="AY105" s="148"/>
      <c r="AZ105" s="79"/>
      <c r="BA105" s="148"/>
      <c r="BB105" s="79"/>
      <c r="BC105" s="148"/>
      <c r="BD105" s="79"/>
      <c r="BE105" s="148"/>
      <c r="BF105" s="79"/>
      <c r="BG105" s="148"/>
      <c r="BH105" s="79"/>
      <c r="BI105" s="148"/>
      <c r="BJ105" s="79"/>
      <c r="BK105" s="148"/>
      <c r="BL105" s="79"/>
      <c r="BM105" s="148"/>
      <c r="BN105" s="80"/>
      <c r="BO105" s="81"/>
      <c r="BP105" s="79"/>
      <c r="BQ105" s="82"/>
    </row>
    <row r="106" spans="1:76" x14ac:dyDescent="0.35">
      <c r="A106" s="53" t="s">
        <v>32</v>
      </c>
      <c r="B106" s="54"/>
      <c r="C106" s="67"/>
      <c r="D106" s="68"/>
      <c r="E106" s="69"/>
      <c r="F106" s="70"/>
      <c r="G106" s="69"/>
      <c r="H106" s="70"/>
      <c r="I106" s="69"/>
      <c r="J106" s="70"/>
      <c r="K106" s="69"/>
      <c r="L106" s="70"/>
      <c r="M106" s="69"/>
      <c r="N106" s="70"/>
      <c r="O106" s="69"/>
      <c r="P106" s="70"/>
      <c r="Q106" s="69"/>
      <c r="R106" s="70"/>
      <c r="S106" s="69"/>
      <c r="T106" s="70"/>
      <c r="U106" s="69"/>
      <c r="V106" s="70"/>
      <c r="W106" s="69"/>
      <c r="X106" s="70"/>
      <c r="Y106" s="69"/>
      <c r="Z106" s="70"/>
      <c r="AA106" s="69"/>
      <c r="AB106" s="70"/>
      <c r="AC106" s="69"/>
      <c r="AD106" s="70"/>
      <c r="AE106" s="69"/>
      <c r="AF106" s="70"/>
      <c r="AG106" s="69"/>
      <c r="AH106" s="70"/>
      <c r="AI106" s="69"/>
      <c r="AJ106" s="70"/>
      <c r="AK106" s="69"/>
      <c r="AL106" s="70"/>
      <c r="AM106" s="69"/>
      <c r="AN106" s="70"/>
      <c r="AO106" s="69"/>
      <c r="AP106" s="70"/>
      <c r="AQ106" s="69"/>
      <c r="AR106" s="70"/>
      <c r="AS106" s="69"/>
      <c r="AT106" s="70"/>
      <c r="AU106" s="69"/>
      <c r="AV106" s="70"/>
      <c r="AW106" s="69"/>
      <c r="AX106" s="70"/>
      <c r="AY106" s="69"/>
      <c r="AZ106" s="70"/>
      <c r="BA106" s="69"/>
      <c r="BB106" s="70"/>
      <c r="BC106" s="69"/>
      <c r="BD106" s="70"/>
      <c r="BE106" s="69"/>
      <c r="BF106" s="70"/>
      <c r="BG106" s="69"/>
      <c r="BH106" s="70"/>
      <c r="BI106" s="69"/>
      <c r="BJ106" s="70"/>
      <c r="BK106" s="69"/>
      <c r="BL106" s="70"/>
      <c r="BM106" s="69"/>
      <c r="BN106" s="71"/>
      <c r="BO106" s="182" t="str">
        <f t="shared" ref="BO106:BO120" si="182">IF(COUNT(E106,G106,I106,K106,M106,O106,Q106,S106,U106,W106,Y106,AA106,AC106,AE106,AG106,AI106,AK106,AM106,AO106,AQ106,AS106,AU106,AW106,AY106,BA106,BC106,BE106,BG106,BI106,BK106,BM106)=0,"",SUM(E106,G106,I106,K106,M106,O106,Q106,S106,U106,W106,Y106,AA106,AC106,AE106,AG106,AI106,AK106,AM106,AO106,AQ106,AS106,AU106,AW106,AY106,BA106,BC106,BE106,BG106,BI106,BK106,BM106))</f>
        <v/>
      </c>
      <c r="BP106" s="70"/>
      <c r="BQ106" s="73"/>
    </row>
    <row r="107" spans="1:76" x14ac:dyDescent="0.35">
      <c r="A107" s="53" t="s">
        <v>33</v>
      </c>
      <c r="B107" s="54"/>
      <c r="C107" s="67"/>
      <c r="D107" s="68"/>
      <c r="E107" s="69"/>
      <c r="F107" s="70"/>
      <c r="G107" s="69"/>
      <c r="H107" s="70"/>
      <c r="I107" s="69"/>
      <c r="J107" s="70"/>
      <c r="K107" s="69"/>
      <c r="L107" s="70"/>
      <c r="M107" s="69"/>
      <c r="N107" s="70"/>
      <c r="O107" s="69"/>
      <c r="P107" s="70"/>
      <c r="Q107" s="69"/>
      <c r="R107" s="70"/>
      <c r="S107" s="69"/>
      <c r="T107" s="70"/>
      <c r="U107" s="69"/>
      <c r="V107" s="70"/>
      <c r="W107" s="69"/>
      <c r="X107" s="70"/>
      <c r="Y107" s="69"/>
      <c r="Z107" s="70"/>
      <c r="AA107" s="69"/>
      <c r="AB107" s="70"/>
      <c r="AC107" s="69"/>
      <c r="AD107" s="70"/>
      <c r="AE107" s="69"/>
      <c r="AF107" s="70"/>
      <c r="AG107" s="69"/>
      <c r="AH107" s="70"/>
      <c r="AI107" s="69"/>
      <c r="AJ107" s="70"/>
      <c r="AK107" s="69"/>
      <c r="AL107" s="70"/>
      <c r="AM107" s="69"/>
      <c r="AN107" s="70"/>
      <c r="AO107" s="69"/>
      <c r="AP107" s="70"/>
      <c r="AQ107" s="69"/>
      <c r="AR107" s="70"/>
      <c r="AS107" s="69"/>
      <c r="AT107" s="70"/>
      <c r="AU107" s="69"/>
      <c r="AV107" s="70"/>
      <c r="AW107" s="69"/>
      <c r="AX107" s="70"/>
      <c r="AY107" s="69"/>
      <c r="AZ107" s="70"/>
      <c r="BA107" s="69"/>
      <c r="BB107" s="70"/>
      <c r="BC107" s="69"/>
      <c r="BD107" s="70"/>
      <c r="BE107" s="69"/>
      <c r="BF107" s="70"/>
      <c r="BG107" s="69"/>
      <c r="BH107" s="70"/>
      <c r="BI107" s="69"/>
      <c r="BJ107" s="70"/>
      <c r="BK107" s="69"/>
      <c r="BL107" s="70"/>
      <c r="BM107" s="69"/>
      <c r="BN107" s="71"/>
      <c r="BO107" s="182" t="str">
        <f t="shared" si="182"/>
        <v/>
      </c>
      <c r="BP107" s="70"/>
      <c r="BQ107" s="73"/>
    </row>
    <row r="108" spans="1:76" x14ac:dyDescent="0.35">
      <c r="A108" s="53" t="s">
        <v>33</v>
      </c>
      <c r="B108" s="54"/>
      <c r="C108" s="67"/>
      <c r="D108" s="68"/>
      <c r="E108" s="69"/>
      <c r="F108" s="70"/>
      <c r="G108" s="69"/>
      <c r="H108" s="70"/>
      <c r="I108" s="69"/>
      <c r="J108" s="70"/>
      <c r="K108" s="69"/>
      <c r="L108" s="70"/>
      <c r="M108" s="69"/>
      <c r="N108" s="70"/>
      <c r="O108" s="69"/>
      <c r="P108" s="70"/>
      <c r="Q108" s="69"/>
      <c r="R108" s="70"/>
      <c r="S108" s="69"/>
      <c r="T108" s="70"/>
      <c r="U108" s="69"/>
      <c r="V108" s="70"/>
      <c r="W108" s="69"/>
      <c r="X108" s="70"/>
      <c r="Y108" s="69"/>
      <c r="Z108" s="70"/>
      <c r="AA108" s="69"/>
      <c r="AB108" s="70"/>
      <c r="AC108" s="69"/>
      <c r="AD108" s="70"/>
      <c r="AE108" s="69"/>
      <c r="AF108" s="70"/>
      <c r="AG108" s="69"/>
      <c r="AH108" s="70"/>
      <c r="AI108" s="69"/>
      <c r="AJ108" s="70"/>
      <c r="AK108" s="69"/>
      <c r="AL108" s="70"/>
      <c r="AM108" s="69"/>
      <c r="AN108" s="70"/>
      <c r="AO108" s="69"/>
      <c r="AP108" s="70"/>
      <c r="AQ108" s="69"/>
      <c r="AR108" s="70"/>
      <c r="AS108" s="69"/>
      <c r="AT108" s="70"/>
      <c r="AU108" s="69"/>
      <c r="AV108" s="70"/>
      <c r="AW108" s="69"/>
      <c r="AX108" s="70"/>
      <c r="AY108" s="69"/>
      <c r="AZ108" s="70"/>
      <c r="BA108" s="69"/>
      <c r="BB108" s="70"/>
      <c r="BC108" s="69"/>
      <c r="BD108" s="70"/>
      <c r="BE108" s="69"/>
      <c r="BF108" s="70"/>
      <c r="BG108" s="69"/>
      <c r="BH108" s="70"/>
      <c r="BI108" s="69"/>
      <c r="BJ108" s="70"/>
      <c r="BK108" s="69"/>
      <c r="BL108" s="70"/>
      <c r="BM108" s="69"/>
      <c r="BN108" s="71"/>
      <c r="BO108" s="182" t="str">
        <f t="shared" si="182"/>
        <v/>
      </c>
      <c r="BP108" s="70"/>
      <c r="BQ108" s="73"/>
    </row>
    <row r="109" spans="1:76" x14ac:dyDescent="0.35">
      <c r="A109" s="53" t="s">
        <v>34</v>
      </c>
      <c r="B109" s="54"/>
      <c r="C109" s="67"/>
      <c r="D109" s="68"/>
      <c r="E109" s="69">
        <v>5000</v>
      </c>
      <c r="F109" s="70"/>
      <c r="G109" s="69"/>
      <c r="H109" s="70"/>
      <c r="I109" s="69"/>
      <c r="J109" s="70"/>
      <c r="K109" s="69"/>
      <c r="L109" s="70"/>
      <c r="M109" s="69"/>
      <c r="N109" s="70"/>
      <c r="O109" s="69"/>
      <c r="P109" s="70"/>
      <c r="Q109" s="69"/>
      <c r="R109" s="70"/>
      <c r="S109" s="69"/>
      <c r="T109" s="70"/>
      <c r="U109" s="69"/>
      <c r="V109" s="70"/>
      <c r="W109" s="69">
        <v>2997</v>
      </c>
      <c r="X109" s="70"/>
      <c r="Y109" s="69"/>
      <c r="Z109" s="70"/>
      <c r="AA109" s="69"/>
      <c r="AB109" s="70"/>
      <c r="AC109" s="69"/>
      <c r="AD109" s="70"/>
      <c r="AE109" s="69"/>
      <c r="AF109" s="70"/>
      <c r="AG109" s="69"/>
      <c r="AH109" s="70"/>
      <c r="AI109" s="69"/>
      <c r="AJ109" s="70"/>
      <c r="AK109" s="69"/>
      <c r="AL109" s="70"/>
      <c r="AM109" s="69"/>
      <c r="AN109" s="70"/>
      <c r="AO109" s="69"/>
      <c r="AP109" s="70"/>
      <c r="AQ109" s="69"/>
      <c r="AR109" s="70"/>
      <c r="AS109" s="69"/>
      <c r="AT109" s="70"/>
      <c r="AU109" s="69"/>
      <c r="AV109" s="70"/>
      <c r="AW109" s="69"/>
      <c r="AX109" s="70"/>
      <c r="AY109" s="69"/>
      <c r="AZ109" s="70"/>
      <c r="BA109" s="69"/>
      <c r="BB109" s="70"/>
      <c r="BC109" s="69"/>
      <c r="BD109" s="70"/>
      <c r="BE109" s="69"/>
      <c r="BF109" s="70"/>
      <c r="BG109" s="69"/>
      <c r="BH109" s="70"/>
      <c r="BI109" s="69"/>
      <c r="BJ109" s="70"/>
      <c r="BK109" s="69"/>
      <c r="BL109" s="70"/>
      <c r="BM109" s="69"/>
      <c r="BN109" s="71"/>
      <c r="BO109" s="182">
        <f t="shared" si="182"/>
        <v>7997</v>
      </c>
      <c r="BP109" s="70"/>
      <c r="BQ109" s="73"/>
    </row>
    <row r="110" spans="1:76" x14ac:dyDescent="0.35">
      <c r="A110" s="53" t="s">
        <v>34</v>
      </c>
      <c r="B110" s="54"/>
      <c r="C110" s="67"/>
      <c r="D110" s="68"/>
      <c r="E110" s="69">
        <v>5967</v>
      </c>
      <c r="F110" s="70"/>
      <c r="G110" s="69"/>
      <c r="H110" s="70"/>
      <c r="I110" s="69"/>
      <c r="J110" s="70"/>
      <c r="K110" s="69"/>
      <c r="L110" s="70"/>
      <c r="M110" s="69"/>
      <c r="N110" s="70"/>
      <c r="O110" s="69"/>
      <c r="P110" s="70"/>
      <c r="Q110" s="69"/>
      <c r="R110" s="70"/>
      <c r="S110" s="69"/>
      <c r="T110" s="70"/>
      <c r="U110" s="69"/>
      <c r="V110" s="70"/>
      <c r="W110" s="69">
        <v>3003</v>
      </c>
      <c r="X110" s="70"/>
      <c r="Y110" s="69"/>
      <c r="Z110" s="70"/>
      <c r="AA110" s="69"/>
      <c r="AB110" s="70"/>
      <c r="AC110" s="69"/>
      <c r="AD110" s="70"/>
      <c r="AE110" s="69"/>
      <c r="AF110" s="70"/>
      <c r="AG110" s="69"/>
      <c r="AH110" s="70"/>
      <c r="AI110" s="69"/>
      <c r="AJ110" s="70"/>
      <c r="AK110" s="69"/>
      <c r="AL110" s="70"/>
      <c r="AM110" s="69"/>
      <c r="AN110" s="70"/>
      <c r="AO110" s="69"/>
      <c r="AP110" s="70"/>
      <c r="AQ110" s="69"/>
      <c r="AR110" s="70"/>
      <c r="AS110" s="69"/>
      <c r="AT110" s="70"/>
      <c r="AU110" s="69"/>
      <c r="AV110" s="70"/>
      <c r="AW110" s="69"/>
      <c r="AX110" s="70"/>
      <c r="AY110" s="69"/>
      <c r="AZ110" s="70"/>
      <c r="BA110" s="69"/>
      <c r="BB110" s="70"/>
      <c r="BC110" s="69"/>
      <c r="BD110" s="70"/>
      <c r="BE110" s="69"/>
      <c r="BF110" s="70"/>
      <c r="BG110" s="69"/>
      <c r="BH110" s="70"/>
      <c r="BI110" s="69"/>
      <c r="BJ110" s="70"/>
      <c r="BK110" s="69"/>
      <c r="BL110" s="70"/>
      <c r="BM110" s="69"/>
      <c r="BN110" s="71"/>
      <c r="BO110" s="182">
        <f t="shared" si="182"/>
        <v>8970</v>
      </c>
      <c r="BP110" s="70"/>
      <c r="BQ110" s="73"/>
    </row>
    <row r="111" spans="1:76" s="6" customFormat="1" x14ac:dyDescent="0.35">
      <c r="A111" s="149" t="s">
        <v>71</v>
      </c>
      <c r="B111" s="150"/>
      <c r="C111" s="67"/>
      <c r="D111" s="151"/>
      <c r="E111" s="69"/>
      <c r="F111" s="152"/>
      <c r="G111" s="69"/>
      <c r="H111" s="152"/>
      <c r="I111" s="69"/>
      <c r="J111" s="152"/>
      <c r="K111" s="69"/>
      <c r="L111" s="152"/>
      <c r="M111" s="69"/>
      <c r="N111" s="152"/>
      <c r="O111" s="69"/>
      <c r="P111" s="152"/>
      <c r="Q111" s="69"/>
      <c r="R111" s="152"/>
      <c r="S111" s="69">
        <v>10290.290000000001</v>
      </c>
      <c r="T111" s="152"/>
      <c r="U111" s="69">
        <v>9613.3799999999992</v>
      </c>
      <c r="V111" s="152"/>
      <c r="W111" s="69">
        <v>9140.1200000000008</v>
      </c>
      <c r="X111" s="152"/>
      <c r="Y111" s="69">
        <v>11011.17</v>
      </c>
      <c r="Z111" s="152"/>
      <c r="AA111" s="69"/>
      <c r="AB111" s="152"/>
      <c r="AC111" s="69"/>
      <c r="AD111" s="152"/>
      <c r="AE111" s="69"/>
      <c r="AF111" s="152"/>
      <c r="AG111" s="69"/>
      <c r="AH111" s="152"/>
      <c r="AI111" s="69"/>
      <c r="AJ111" s="152"/>
      <c r="AK111" s="69"/>
      <c r="AL111" s="152"/>
      <c r="AM111" s="69"/>
      <c r="AN111" s="152"/>
      <c r="AO111" s="69"/>
      <c r="AP111" s="152"/>
      <c r="AQ111" s="69"/>
      <c r="AR111" s="152"/>
      <c r="AS111" s="69"/>
      <c r="AT111" s="152"/>
      <c r="AU111" s="69"/>
      <c r="AV111" s="152"/>
      <c r="AW111" s="69"/>
      <c r="AX111" s="152"/>
      <c r="AY111" s="69"/>
      <c r="AZ111" s="152"/>
      <c r="BA111" s="69"/>
      <c r="BB111" s="152"/>
      <c r="BC111" s="69"/>
      <c r="BD111" s="152"/>
      <c r="BE111" s="69"/>
      <c r="BF111" s="152"/>
      <c r="BG111" s="69"/>
      <c r="BH111" s="152"/>
      <c r="BI111" s="69"/>
      <c r="BJ111" s="152"/>
      <c r="BK111" s="69"/>
      <c r="BL111" s="152"/>
      <c r="BM111" s="69"/>
      <c r="BN111" s="71"/>
      <c r="BO111" s="182">
        <f t="shared" si="182"/>
        <v>40054.959999999999</v>
      </c>
      <c r="BP111" s="152"/>
      <c r="BQ111" s="73"/>
      <c r="BR111"/>
      <c r="BS111"/>
      <c r="BT111"/>
      <c r="BU111"/>
      <c r="BV111"/>
      <c r="BW111"/>
      <c r="BX111"/>
    </row>
    <row r="112" spans="1:76" x14ac:dyDescent="0.35">
      <c r="A112" s="53" t="s">
        <v>72</v>
      </c>
      <c r="B112" s="54"/>
      <c r="C112" s="67"/>
      <c r="D112" s="68"/>
      <c r="E112" s="69">
        <v>0</v>
      </c>
      <c r="F112" s="70"/>
      <c r="G112" s="69">
        <v>0</v>
      </c>
      <c r="H112" s="70"/>
      <c r="I112" s="69">
        <v>0</v>
      </c>
      <c r="J112" s="70"/>
      <c r="K112" s="69">
        <v>0</v>
      </c>
      <c r="L112" s="70"/>
      <c r="M112" s="69">
        <v>0</v>
      </c>
      <c r="N112" s="70"/>
      <c r="O112" s="69">
        <v>0</v>
      </c>
      <c r="P112" s="70"/>
      <c r="Q112" s="69">
        <v>0</v>
      </c>
      <c r="R112" s="70"/>
      <c r="S112" s="69">
        <v>2357.52</v>
      </c>
      <c r="T112" s="70"/>
      <c r="U112" s="69">
        <v>1789.71</v>
      </c>
      <c r="V112" s="70"/>
      <c r="W112" s="69">
        <v>3068.2</v>
      </c>
      <c r="X112" s="70"/>
      <c r="Y112" s="69">
        <v>3546.16</v>
      </c>
      <c r="Z112" s="70"/>
      <c r="AA112" s="69">
        <v>0</v>
      </c>
      <c r="AB112" s="70"/>
      <c r="AC112" s="69">
        <v>0</v>
      </c>
      <c r="AD112" s="70"/>
      <c r="AE112" s="69"/>
      <c r="AF112" s="70"/>
      <c r="AG112" s="69"/>
      <c r="AH112" s="70"/>
      <c r="AI112" s="69"/>
      <c r="AJ112" s="70"/>
      <c r="AK112" s="69"/>
      <c r="AL112" s="70"/>
      <c r="AM112" s="69"/>
      <c r="AN112" s="70"/>
      <c r="AO112" s="69"/>
      <c r="AP112" s="70"/>
      <c r="AQ112" s="69"/>
      <c r="AR112" s="70"/>
      <c r="AS112" s="69"/>
      <c r="AT112" s="70"/>
      <c r="AU112" s="69"/>
      <c r="AV112" s="70"/>
      <c r="AW112" s="69"/>
      <c r="AX112" s="70"/>
      <c r="AY112" s="69"/>
      <c r="AZ112" s="70"/>
      <c r="BA112" s="69"/>
      <c r="BB112" s="70"/>
      <c r="BC112" s="69"/>
      <c r="BD112" s="70"/>
      <c r="BE112" s="69"/>
      <c r="BF112" s="70"/>
      <c r="BG112" s="69"/>
      <c r="BH112" s="70"/>
      <c r="BI112" s="69"/>
      <c r="BJ112" s="70"/>
      <c r="BK112" s="69"/>
      <c r="BL112" s="70"/>
      <c r="BM112" s="69"/>
      <c r="BN112" s="71"/>
      <c r="BO112" s="182">
        <f t="shared" si="182"/>
        <v>10761.59</v>
      </c>
      <c r="BP112" s="70"/>
      <c r="BQ112" s="73"/>
    </row>
    <row r="113" spans="1:69" x14ac:dyDescent="0.35">
      <c r="A113" s="53" t="s">
        <v>73</v>
      </c>
      <c r="B113" s="54"/>
      <c r="C113" s="67"/>
      <c r="D113" s="68">
        <v>0</v>
      </c>
      <c r="E113" s="69"/>
      <c r="F113" s="70">
        <v>0</v>
      </c>
      <c r="G113" s="69"/>
      <c r="H113" s="70">
        <v>0</v>
      </c>
      <c r="I113" s="69"/>
      <c r="J113" s="70">
        <v>0</v>
      </c>
      <c r="K113" s="69"/>
      <c r="L113" s="70">
        <v>0</v>
      </c>
      <c r="M113" s="69"/>
      <c r="N113" s="70">
        <v>0</v>
      </c>
      <c r="O113" s="69"/>
      <c r="P113" s="70">
        <v>0</v>
      </c>
      <c r="Q113" s="69"/>
      <c r="R113" s="70">
        <v>0</v>
      </c>
      <c r="S113" s="69">
        <v>7932.77</v>
      </c>
      <c r="T113" s="70">
        <v>0</v>
      </c>
      <c r="U113" s="69">
        <v>7823.68</v>
      </c>
      <c r="V113" s="70">
        <v>0</v>
      </c>
      <c r="W113" s="69">
        <v>6071.91</v>
      </c>
      <c r="X113" s="70">
        <v>0</v>
      </c>
      <c r="Y113" s="69">
        <v>7465.01</v>
      </c>
      <c r="Z113" s="70">
        <v>0</v>
      </c>
      <c r="AA113" s="69"/>
      <c r="AB113" s="70">
        <v>0</v>
      </c>
      <c r="AC113" s="69"/>
      <c r="AD113" s="70"/>
      <c r="AE113" s="69"/>
      <c r="AF113" s="70"/>
      <c r="AG113" s="69"/>
      <c r="AH113" s="70"/>
      <c r="AI113" s="69"/>
      <c r="AJ113" s="70"/>
      <c r="AK113" s="69"/>
      <c r="AL113" s="70"/>
      <c r="AM113" s="69"/>
      <c r="AN113" s="70"/>
      <c r="AO113" s="69"/>
      <c r="AP113" s="70"/>
      <c r="AQ113" s="69"/>
      <c r="AR113" s="70"/>
      <c r="AS113" s="69"/>
      <c r="AT113" s="70"/>
      <c r="AU113" s="69"/>
      <c r="AV113" s="70"/>
      <c r="AW113" s="69"/>
      <c r="AX113" s="70"/>
      <c r="AY113" s="69"/>
      <c r="AZ113" s="70"/>
      <c r="BA113" s="69"/>
      <c r="BB113" s="70"/>
      <c r="BC113" s="69"/>
      <c r="BD113" s="70"/>
      <c r="BE113" s="69"/>
      <c r="BF113" s="70"/>
      <c r="BG113" s="69"/>
      <c r="BH113" s="70"/>
      <c r="BI113" s="69"/>
      <c r="BJ113" s="70"/>
      <c r="BK113" s="69"/>
      <c r="BL113" s="70"/>
      <c r="BM113" s="69"/>
      <c r="BN113" s="71"/>
      <c r="BO113" s="182">
        <f t="shared" si="182"/>
        <v>29293.370000000003</v>
      </c>
      <c r="BP113" s="70"/>
      <c r="BQ113" s="73"/>
    </row>
    <row r="114" spans="1:69" x14ac:dyDescent="0.35">
      <c r="A114" s="53" t="s">
        <v>70</v>
      </c>
      <c r="B114" s="54"/>
      <c r="C114" s="67"/>
      <c r="D114" s="68"/>
      <c r="E114" s="69"/>
      <c r="F114" s="70"/>
      <c r="G114" s="69"/>
      <c r="H114" s="70"/>
      <c r="I114" s="69"/>
      <c r="J114" s="70"/>
      <c r="K114" s="69"/>
      <c r="L114" s="70"/>
      <c r="M114" s="69"/>
      <c r="N114" s="70"/>
      <c r="O114" s="69"/>
      <c r="P114" s="70"/>
      <c r="Q114" s="69"/>
      <c r="R114" s="70"/>
      <c r="S114" s="69"/>
      <c r="T114" s="70"/>
      <c r="U114" s="69"/>
      <c r="V114" s="70"/>
      <c r="W114" s="69"/>
      <c r="X114" s="70"/>
      <c r="Y114" s="69"/>
      <c r="Z114" s="70"/>
      <c r="AA114" s="69"/>
      <c r="AB114" s="70"/>
      <c r="AC114" s="69"/>
      <c r="AD114" s="70"/>
      <c r="AE114" s="69"/>
      <c r="AF114" s="70"/>
      <c r="AG114" s="69"/>
      <c r="AH114" s="70"/>
      <c r="AI114" s="69"/>
      <c r="AJ114" s="70"/>
      <c r="AK114" s="69"/>
      <c r="AL114" s="70"/>
      <c r="AM114" s="69"/>
      <c r="AN114" s="70"/>
      <c r="AO114" s="69"/>
      <c r="AP114" s="70"/>
      <c r="AQ114" s="69"/>
      <c r="AR114" s="70"/>
      <c r="AS114" s="69"/>
      <c r="AT114" s="70"/>
      <c r="AU114" s="69"/>
      <c r="AV114" s="70"/>
      <c r="AW114" s="69"/>
      <c r="AX114" s="70"/>
      <c r="AY114" s="69"/>
      <c r="AZ114" s="70"/>
      <c r="BA114" s="69"/>
      <c r="BB114" s="70"/>
      <c r="BC114" s="69"/>
      <c r="BD114" s="70"/>
      <c r="BE114" s="69"/>
      <c r="BF114" s="70"/>
      <c r="BG114" s="69"/>
      <c r="BH114" s="70"/>
      <c r="BI114" s="69"/>
      <c r="BJ114" s="70"/>
      <c r="BK114" s="69"/>
      <c r="BL114" s="70"/>
      <c r="BM114" s="69"/>
      <c r="BN114" s="71"/>
      <c r="BO114" s="182" t="str">
        <f t="shared" si="182"/>
        <v/>
      </c>
      <c r="BP114" s="70"/>
      <c r="BQ114" s="73"/>
    </row>
    <row r="115" spans="1:69" x14ac:dyDescent="0.35">
      <c r="A115" s="53" t="s">
        <v>27</v>
      </c>
      <c r="B115" s="54"/>
      <c r="C115" s="67"/>
      <c r="D115" s="68"/>
      <c r="E115" s="69"/>
      <c r="F115" s="70"/>
      <c r="G115" s="69"/>
      <c r="H115" s="70"/>
      <c r="I115" s="69"/>
      <c r="J115" s="70"/>
      <c r="K115" s="69"/>
      <c r="L115" s="70"/>
      <c r="M115" s="69"/>
      <c r="N115" s="70"/>
      <c r="O115" s="69"/>
      <c r="P115" s="70"/>
      <c r="Q115" s="69"/>
      <c r="R115" s="70"/>
      <c r="S115" s="69"/>
      <c r="T115" s="70"/>
      <c r="U115" s="69"/>
      <c r="V115" s="70"/>
      <c r="W115" s="69"/>
      <c r="X115" s="70"/>
      <c r="Y115" s="69"/>
      <c r="Z115" s="70"/>
      <c r="AA115" s="69"/>
      <c r="AB115" s="70"/>
      <c r="AC115" s="69"/>
      <c r="AD115" s="70"/>
      <c r="AE115" s="69"/>
      <c r="AF115" s="70"/>
      <c r="AG115" s="69"/>
      <c r="AH115" s="70"/>
      <c r="AI115" s="69"/>
      <c r="AJ115" s="70"/>
      <c r="AK115" s="69"/>
      <c r="AL115" s="70"/>
      <c r="AM115" s="69"/>
      <c r="AN115" s="70"/>
      <c r="AO115" s="69"/>
      <c r="AP115" s="70"/>
      <c r="AQ115" s="69"/>
      <c r="AR115" s="70"/>
      <c r="AS115" s="69"/>
      <c r="AT115" s="70"/>
      <c r="AU115" s="69"/>
      <c r="AV115" s="70"/>
      <c r="AW115" s="69"/>
      <c r="AX115" s="70"/>
      <c r="AY115" s="69"/>
      <c r="AZ115" s="70"/>
      <c r="BA115" s="69"/>
      <c r="BB115" s="70"/>
      <c r="BC115" s="69"/>
      <c r="BD115" s="70"/>
      <c r="BE115" s="69"/>
      <c r="BF115" s="70"/>
      <c r="BG115" s="69"/>
      <c r="BH115" s="70"/>
      <c r="BI115" s="69"/>
      <c r="BJ115" s="70"/>
      <c r="BK115" s="69"/>
      <c r="BL115" s="70"/>
      <c r="BM115" s="69"/>
      <c r="BN115" s="71"/>
      <c r="BO115" s="182" t="str">
        <f t="shared" si="182"/>
        <v/>
      </c>
      <c r="BP115" s="70"/>
      <c r="BQ115" s="73"/>
    </row>
    <row r="116" spans="1:69" x14ac:dyDescent="0.35">
      <c r="A116" s="53" t="s">
        <v>28</v>
      </c>
      <c r="B116" s="54"/>
      <c r="C116" s="67"/>
      <c r="D116" s="68"/>
      <c r="E116" s="69"/>
      <c r="F116" s="70"/>
      <c r="G116" s="69"/>
      <c r="H116" s="70"/>
      <c r="I116" s="69"/>
      <c r="J116" s="70"/>
      <c r="K116" s="69"/>
      <c r="L116" s="70"/>
      <c r="M116" s="69"/>
      <c r="N116" s="70"/>
      <c r="O116" s="69"/>
      <c r="P116" s="70"/>
      <c r="Q116" s="69"/>
      <c r="R116" s="70"/>
      <c r="S116" s="69"/>
      <c r="T116" s="70"/>
      <c r="U116" s="69"/>
      <c r="V116" s="70"/>
      <c r="W116" s="69"/>
      <c r="X116" s="70"/>
      <c r="Y116" s="69"/>
      <c r="Z116" s="70"/>
      <c r="AA116" s="69"/>
      <c r="AB116" s="70"/>
      <c r="AC116" s="69"/>
      <c r="AD116" s="70"/>
      <c r="AE116" s="69"/>
      <c r="AF116" s="70"/>
      <c r="AG116" s="69"/>
      <c r="AH116" s="70"/>
      <c r="AI116" s="69"/>
      <c r="AJ116" s="70"/>
      <c r="AK116" s="69"/>
      <c r="AL116" s="70"/>
      <c r="AM116" s="69"/>
      <c r="AN116" s="70"/>
      <c r="AO116" s="69"/>
      <c r="AP116" s="70"/>
      <c r="AQ116" s="69"/>
      <c r="AR116" s="70"/>
      <c r="AS116" s="69"/>
      <c r="AT116" s="70"/>
      <c r="AU116" s="69"/>
      <c r="AV116" s="70"/>
      <c r="AW116" s="69"/>
      <c r="AX116" s="70"/>
      <c r="AY116" s="69"/>
      <c r="AZ116" s="70"/>
      <c r="BA116" s="69"/>
      <c r="BB116" s="70"/>
      <c r="BC116" s="69"/>
      <c r="BD116" s="70"/>
      <c r="BE116" s="69"/>
      <c r="BF116" s="70"/>
      <c r="BG116" s="69"/>
      <c r="BH116" s="70"/>
      <c r="BI116" s="69"/>
      <c r="BJ116" s="70"/>
      <c r="BK116" s="69"/>
      <c r="BL116" s="70"/>
      <c r="BM116" s="69"/>
      <c r="BN116" s="71"/>
      <c r="BO116" s="182" t="str">
        <f t="shared" si="182"/>
        <v/>
      </c>
      <c r="BP116" s="70"/>
      <c r="BQ116" s="73"/>
    </row>
    <row r="117" spans="1:69" x14ac:dyDescent="0.35">
      <c r="A117" s="53" t="s">
        <v>29</v>
      </c>
      <c r="B117" s="54"/>
      <c r="C117" s="67"/>
      <c r="D117" s="68"/>
      <c r="E117" s="69"/>
      <c r="F117" s="70"/>
      <c r="G117" s="69"/>
      <c r="H117" s="70"/>
      <c r="I117" s="69"/>
      <c r="J117" s="70"/>
      <c r="K117" s="69"/>
      <c r="L117" s="70"/>
      <c r="M117" s="69"/>
      <c r="N117" s="70"/>
      <c r="O117" s="69"/>
      <c r="P117" s="70"/>
      <c r="Q117" s="69"/>
      <c r="R117" s="70"/>
      <c r="S117" s="69"/>
      <c r="T117" s="70"/>
      <c r="U117" s="69"/>
      <c r="V117" s="70"/>
      <c r="W117" s="69"/>
      <c r="X117" s="70"/>
      <c r="Y117" s="69"/>
      <c r="Z117" s="70"/>
      <c r="AA117" s="69"/>
      <c r="AB117" s="70"/>
      <c r="AC117" s="69"/>
      <c r="AD117" s="70"/>
      <c r="AE117" s="69"/>
      <c r="AF117" s="70"/>
      <c r="AG117" s="69"/>
      <c r="AH117" s="70"/>
      <c r="AI117" s="69"/>
      <c r="AJ117" s="70"/>
      <c r="AK117" s="69"/>
      <c r="AL117" s="70"/>
      <c r="AM117" s="69"/>
      <c r="AN117" s="70"/>
      <c r="AO117" s="69"/>
      <c r="AP117" s="70"/>
      <c r="AQ117" s="69"/>
      <c r="AR117" s="70"/>
      <c r="AS117" s="69"/>
      <c r="AT117" s="70"/>
      <c r="AU117" s="69"/>
      <c r="AV117" s="70"/>
      <c r="AW117" s="69"/>
      <c r="AX117" s="70"/>
      <c r="AY117" s="69"/>
      <c r="AZ117" s="70"/>
      <c r="BA117" s="69"/>
      <c r="BB117" s="70"/>
      <c r="BC117" s="69"/>
      <c r="BD117" s="70"/>
      <c r="BE117" s="69"/>
      <c r="BF117" s="70"/>
      <c r="BG117" s="69"/>
      <c r="BH117" s="70"/>
      <c r="BI117" s="69"/>
      <c r="BJ117" s="70"/>
      <c r="BK117" s="69"/>
      <c r="BL117" s="70"/>
      <c r="BM117" s="69"/>
      <c r="BN117" s="71"/>
      <c r="BO117" s="182" t="str">
        <f t="shared" si="182"/>
        <v/>
      </c>
      <c r="BP117" s="70"/>
      <c r="BQ117" s="73"/>
    </row>
    <row r="118" spans="1:69" x14ac:dyDescent="0.35">
      <c r="A118" s="74"/>
      <c r="B118" s="75"/>
      <c r="C118" s="153"/>
      <c r="D118" s="77"/>
      <c r="E118" s="78"/>
      <c r="F118" s="79"/>
      <c r="G118" s="78"/>
      <c r="H118" s="79"/>
      <c r="I118" s="78"/>
      <c r="J118" s="79"/>
      <c r="K118" s="78"/>
      <c r="L118" s="79"/>
      <c r="M118" s="78"/>
      <c r="N118" s="79"/>
      <c r="O118" s="78"/>
      <c r="P118" s="79"/>
      <c r="Q118" s="78"/>
      <c r="R118" s="79"/>
      <c r="S118" s="78"/>
      <c r="T118" s="79"/>
      <c r="U118" s="78"/>
      <c r="V118" s="79"/>
      <c r="W118" s="78"/>
      <c r="X118" s="79"/>
      <c r="Y118" s="78"/>
      <c r="Z118" s="79"/>
      <c r="AA118" s="78"/>
      <c r="AB118" s="79"/>
      <c r="AC118" s="78"/>
      <c r="AD118" s="79"/>
      <c r="AE118" s="78"/>
      <c r="AF118" s="79"/>
      <c r="AG118" s="78"/>
      <c r="AH118" s="79"/>
      <c r="AI118" s="78"/>
      <c r="AJ118" s="79"/>
      <c r="AK118" s="78"/>
      <c r="AL118" s="79"/>
      <c r="AM118" s="78"/>
      <c r="AN118" s="79"/>
      <c r="AO118" s="78"/>
      <c r="AP118" s="79"/>
      <c r="AQ118" s="78"/>
      <c r="AR118" s="79"/>
      <c r="AS118" s="78"/>
      <c r="AT118" s="79"/>
      <c r="AU118" s="78"/>
      <c r="AV118" s="79"/>
      <c r="AW118" s="78"/>
      <c r="AX118" s="79"/>
      <c r="AY118" s="78"/>
      <c r="AZ118" s="79"/>
      <c r="BA118" s="78"/>
      <c r="BB118" s="79"/>
      <c r="BC118" s="78"/>
      <c r="BD118" s="79"/>
      <c r="BE118" s="78"/>
      <c r="BF118" s="79"/>
      <c r="BG118" s="78"/>
      <c r="BH118" s="79"/>
      <c r="BI118" s="78"/>
      <c r="BJ118" s="79"/>
      <c r="BK118" s="78"/>
      <c r="BL118" s="79"/>
      <c r="BM118" s="78"/>
      <c r="BN118" s="80"/>
      <c r="BO118" s="195" t="str">
        <f t="shared" si="182"/>
        <v/>
      </c>
      <c r="BP118" s="79"/>
      <c r="BQ118" s="82"/>
    </row>
    <row r="119" spans="1:69" x14ac:dyDescent="0.35">
      <c r="A119" s="53" t="s">
        <v>55</v>
      </c>
      <c r="B119" s="54"/>
      <c r="C119" s="67"/>
      <c r="D119" s="68"/>
      <c r="E119" s="69"/>
      <c r="F119" s="70"/>
      <c r="G119" s="69"/>
      <c r="H119" s="70"/>
      <c r="I119" s="69"/>
      <c r="J119" s="70"/>
      <c r="K119" s="69"/>
      <c r="L119" s="70"/>
      <c r="M119" s="69"/>
      <c r="N119" s="70"/>
      <c r="O119" s="69"/>
      <c r="P119" s="70"/>
      <c r="Q119" s="69"/>
      <c r="R119" s="70"/>
      <c r="S119" s="69"/>
      <c r="T119" s="70"/>
      <c r="U119" s="69"/>
      <c r="V119" s="70"/>
      <c r="W119" s="69"/>
      <c r="X119" s="70"/>
      <c r="Y119" s="69"/>
      <c r="Z119" s="70"/>
      <c r="AA119" s="69"/>
      <c r="AB119" s="70"/>
      <c r="AC119" s="69"/>
      <c r="AD119" s="70"/>
      <c r="AE119" s="69"/>
      <c r="AF119" s="70"/>
      <c r="AG119" s="69"/>
      <c r="AH119" s="70"/>
      <c r="AI119" s="69"/>
      <c r="AJ119" s="70"/>
      <c r="AK119" s="69"/>
      <c r="AL119" s="70"/>
      <c r="AM119" s="69"/>
      <c r="AN119" s="70"/>
      <c r="AO119" s="69"/>
      <c r="AP119" s="70"/>
      <c r="AQ119" s="69"/>
      <c r="AR119" s="70"/>
      <c r="AS119" s="69"/>
      <c r="AT119" s="70"/>
      <c r="AU119" s="69"/>
      <c r="AV119" s="70"/>
      <c r="AW119" s="69"/>
      <c r="AX119" s="70"/>
      <c r="AY119" s="69"/>
      <c r="AZ119" s="70"/>
      <c r="BA119" s="69"/>
      <c r="BB119" s="70"/>
      <c r="BC119" s="69"/>
      <c r="BD119" s="70"/>
      <c r="BE119" s="69"/>
      <c r="BF119" s="70"/>
      <c r="BG119" s="69"/>
      <c r="BH119" s="70"/>
      <c r="BI119" s="69"/>
      <c r="BJ119" s="70"/>
      <c r="BK119" s="69"/>
      <c r="BL119" s="70"/>
      <c r="BM119" s="69"/>
      <c r="BN119" s="71"/>
      <c r="BO119" s="182" t="str">
        <f t="shared" si="182"/>
        <v/>
      </c>
      <c r="BP119" s="70"/>
      <c r="BQ119" s="73"/>
    </row>
    <row r="120" spans="1:69" ht="15" thickBot="1" x14ac:dyDescent="0.4">
      <c r="A120" s="154" t="s">
        <v>56</v>
      </c>
      <c r="B120" s="155"/>
      <c r="C120" s="156"/>
      <c r="D120" s="157"/>
      <c r="E120" s="158"/>
      <c r="F120" s="159"/>
      <c r="G120" s="158"/>
      <c r="H120" s="159"/>
      <c r="I120" s="158"/>
      <c r="J120" s="159"/>
      <c r="K120" s="158"/>
      <c r="L120" s="159"/>
      <c r="M120" s="158"/>
      <c r="N120" s="159"/>
      <c r="O120" s="158"/>
      <c r="P120" s="159"/>
      <c r="Q120" s="158"/>
      <c r="R120" s="159"/>
      <c r="S120" s="158"/>
      <c r="T120" s="159"/>
      <c r="U120" s="158"/>
      <c r="V120" s="159"/>
      <c r="W120" s="158"/>
      <c r="X120" s="159"/>
      <c r="Y120" s="158"/>
      <c r="Z120" s="159"/>
      <c r="AA120" s="158"/>
      <c r="AB120" s="159"/>
      <c r="AC120" s="158"/>
      <c r="AD120" s="159"/>
      <c r="AE120" s="158"/>
      <c r="AF120" s="159"/>
      <c r="AG120" s="158"/>
      <c r="AH120" s="159"/>
      <c r="AI120" s="158"/>
      <c r="AJ120" s="159"/>
      <c r="AK120" s="158"/>
      <c r="AL120" s="159"/>
      <c r="AM120" s="158"/>
      <c r="AN120" s="159"/>
      <c r="AO120" s="158"/>
      <c r="AP120" s="159"/>
      <c r="AQ120" s="158"/>
      <c r="AR120" s="159"/>
      <c r="AS120" s="158"/>
      <c r="AT120" s="159"/>
      <c r="AU120" s="158"/>
      <c r="AV120" s="159"/>
      <c r="AW120" s="158"/>
      <c r="AX120" s="159"/>
      <c r="AY120" s="158"/>
      <c r="AZ120" s="159"/>
      <c r="BA120" s="158"/>
      <c r="BB120" s="159"/>
      <c r="BC120" s="158"/>
      <c r="BD120" s="159"/>
      <c r="BE120" s="158"/>
      <c r="BF120" s="159"/>
      <c r="BG120" s="158"/>
      <c r="BH120" s="159"/>
      <c r="BI120" s="158"/>
      <c r="BJ120" s="159"/>
      <c r="BK120" s="158"/>
      <c r="BL120" s="159"/>
      <c r="BM120" s="158"/>
      <c r="BN120" s="160"/>
      <c r="BO120" s="196" t="str">
        <f t="shared" si="182"/>
        <v/>
      </c>
      <c r="BP120" s="159"/>
      <c r="BQ120" s="161"/>
    </row>
    <row r="121" spans="1:69" x14ac:dyDescent="0.35">
      <c r="AT121"/>
      <c r="AU121"/>
      <c r="AW121"/>
      <c r="BA121"/>
    </row>
    <row r="122" spans="1:69" x14ac:dyDescent="0.35">
      <c r="AT122"/>
      <c r="AU122"/>
      <c r="AW122"/>
      <c r="BA122"/>
    </row>
    <row r="123" spans="1:69" x14ac:dyDescent="0.35">
      <c r="AT123"/>
      <c r="AU123"/>
      <c r="AW123"/>
      <c r="BA123"/>
    </row>
    <row r="124" spans="1:69" x14ac:dyDescent="0.35">
      <c r="AT124"/>
      <c r="AU124"/>
      <c r="AW124"/>
      <c r="BA124"/>
    </row>
    <row r="125" spans="1:69" x14ac:dyDescent="0.35">
      <c r="AT125"/>
      <c r="AU125"/>
      <c r="AW125"/>
      <c r="BA125"/>
    </row>
    <row r="126" spans="1:69" x14ac:dyDescent="0.35">
      <c r="AT126"/>
      <c r="AU126"/>
      <c r="AW126"/>
      <c r="BA126"/>
    </row>
    <row r="127" spans="1:69" x14ac:dyDescent="0.35">
      <c r="AT127"/>
      <c r="AU127"/>
      <c r="AW127"/>
      <c r="BA127"/>
    </row>
    <row r="128" spans="1:69" x14ac:dyDescent="0.35">
      <c r="AT128"/>
      <c r="AU128"/>
      <c r="AW128"/>
      <c r="BA128"/>
    </row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</sheetData>
  <mergeCells count="100">
    <mergeCell ref="AD5:AE5"/>
    <mergeCell ref="A1:BQ1"/>
    <mergeCell ref="A2:BQ2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BB5:BC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P5:BQ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BD5:BE5"/>
    <mergeCell ref="BF5:BG5"/>
    <mergeCell ref="BH5:BI5"/>
    <mergeCell ref="BJ5:BK5"/>
    <mergeCell ref="BL5:BM5"/>
    <mergeCell ref="BN5:BO5"/>
    <mergeCell ref="AR6:AS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BP6:BQ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Z12:AA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AX12:AY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BL12:BM12"/>
    <mergeCell ref="BP12:BQ12"/>
    <mergeCell ref="AZ12:BA12"/>
    <mergeCell ref="BB12:BC12"/>
    <mergeCell ref="BD12:BE12"/>
    <mergeCell ref="BF12:BG12"/>
    <mergeCell ref="BH12:BI12"/>
    <mergeCell ref="BJ12:BK12"/>
  </mergeCells>
  <conditionalFormatting sqref="D77:BL88">
    <cfRule type="cellIs" dxfId="119" priority="9" operator="lessThan">
      <formula>0</formula>
    </cfRule>
  </conditionalFormatting>
  <conditionalFormatting sqref="D7:BM11 BP7:BQ104 BO7:BO120">
    <cfRule type="cellIs" dxfId="118" priority="1" operator="lessThan">
      <formula>0</formula>
    </cfRule>
  </conditionalFormatting>
  <conditionalFormatting sqref="D22:BM22">
    <cfRule type="cellIs" dxfId="117" priority="2" operator="lessThan">
      <formula>0</formula>
    </cfRule>
  </conditionalFormatting>
  <conditionalFormatting sqref="D30:BM31">
    <cfRule type="cellIs" dxfId="116" priority="3" operator="lessThan">
      <formula>0</formula>
    </cfRule>
  </conditionalFormatting>
  <conditionalFormatting sqref="D42:BM42">
    <cfRule type="cellIs" dxfId="115" priority="4" operator="lessThan">
      <formula>0</formula>
    </cfRule>
  </conditionalFormatting>
  <conditionalFormatting sqref="D49:BM50">
    <cfRule type="cellIs" dxfId="114" priority="5" operator="lessThan">
      <formula>0</formula>
    </cfRule>
  </conditionalFormatting>
  <conditionalFormatting sqref="D54:BM54">
    <cfRule type="cellIs" dxfId="113" priority="6" operator="lessThan">
      <formula>0</formula>
    </cfRule>
  </conditionalFormatting>
  <conditionalFormatting sqref="D57:BM59">
    <cfRule type="cellIs" dxfId="112" priority="7" operator="lessThan">
      <formula>0</formula>
    </cfRule>
  </conditionalFormatting>
  <conditionalFormatting sqref="D61:BM75">
    <cfRule type="cellIs" dxfId="111" priority="8" operator="lessThan">
      <formula>0</formula>
    </cfRule>
  </conditionalFormatting>
  <conditionalFormatting sqref="E91:BM104">
    <cfRule type="cellIs" dxfId="110" priority="10" operator="lessThan">
      <formula>0</formula>
    </cfRule>
  </conditionalFormatting>
  <pageMargins left="0.25" right="0.25" top="0.75" bottom="0.75" header="0.3" footer="0.3"/>
  <pageSetup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80E1-463B-4169-89D0-C59AFD7CE6D1}">
  <sheetPr>
    <pageSetUpPr fitToPage="1"/>
  </sheetPr>
  <dimension ref="A1:BX134"/>
  <sheetViews>
    <sheetView zoomScaleNormal="100" workbookViewId="0">
      <pane xSplit="1" ySplit="12" topLeftCell="B13" activePane="bottomRight" state="frozen"/>
      <selection pane="topRight" activeCell="B1" sqref="B1"/>
      <selection pane="bottomLeft" activeCell="A9" sqref="A9"/>
      <selection pane="bottomRight" activeCell="A13" sqref="A13:XFD13"/>
    </sheetView>
  </sheetViews>
  <sheetFormatPr defaultRowHeight="14.5" x14ac:dyDescent="0.35"/>
  <cols>
    <col min="1" max="1" width="28.54296875" customWidth="1"/>
    <col min="2" max="2" width="15.26953125" customWidth="1"/>
    <col min="3" max="3" width="18.1796875" customWidth="1"/>
    <col min="4" max="45" width="11.81640625" customWidth="1"/>
    <col min="46" max="47" width="11.81640625" style="3" customWidth="1"/>
    <col min="48" max="48" width="11.81640625" customWidth="1"/>
    <col min="49" max="49" width="11.81640625" style="3" customWidth="1"/>
    <col min="50" max="52" width="11.81640625" customWidth="1"/>
    <col min="53" max="53" width="11.81640625" style="3" customWidth="1"/>
    <col min="54" max="65" width="11.81640625" customWidth="1"/>
    <col min="66" max="69" width="15.54296875" customWidth="1"/>
    <col min="70" max="70" width="12.7265625" customWidth="1"/>
    <col min="71" max="71" width="11.1796875" bestFit="1" customWidth="1"/>
    <col min="72" max="72" width="14.81640625" customWidth="1"/>
    <col min="73" max="73" width="8.81640625" customWidth="1"/>
    <col min="74" max="74" width="11.26953125" customWidth="1"/>
    <col min="75" max="75" width="9.26953125" bestFit="1" customWidth="1"/>
    <col min="76" max="76" width="13.453125" customWidth="1"/>
  </cols>
  <sheetData>
    <row r="1" spans="1:76" ht="48" customHeight="1" x14ac:dyDescent="0.35">
      <c r="A1" s="241" t="str">
        <f>"TEXAN FILLING STATION — "&amp;UPPER(TEXT(B3,"MMMM YYYY"))&amp;" DAILY CONTROL"</f>
        <v>TEXAN FILLING STATION — OCTOBER 2026 DAILY CONTROL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  <c r="BL1" s="233"/>
      <c r="BM1" s="233"/>
      <c r="BN1" s="233"/>
      <c r="BO1" s="233"/>
      <c r="BP1" s="233"/>
      <c r="BQ1" s="233"/>
    </row>
    <row r="2" spans="1:76" ht="24" customHeight="1" x14ac:dyDescent="0.35">
      <c r="A2" s="234" t="s">
        <v>108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  <c r="BP2" s="234"/>
      <c r="BQ2" s="234"/>
    </row>
    <row r="3" spans="1:76" x14ac:dyDescent="0.35">
      <c r="A3" s="26" t="s">
        <v>109</v>
      </c>
      <c r="B3" s="27">
        <v>46296</v>
      </c>
      <c r="C3" s="28" t="s">
        <v>110</v>
      </c>
      <c r="D3" s="28" t="s">
        <v>111</v>
      </c>
      <c r="E3" s="29" t="s">
        <v>112</v>
      </c>
      <c r="F3" s="30" t="s">
        <v>113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2"/>
      <c r="AU3" s="32"/>
      <c r="AV3" s="31"/>
      <c r="AW3" s="32"/>
      <c r="AX3" s="31"/>
      <c r="AY3" s="31"/>
      <c r="AZ3" s="31"/>
      <c r="BA3" s="32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</row>
    <row r="4" spans="1:76" ht="15" thickBot="1" x14ac:dyDescent="0.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2"/>
      <c r="AU4" s="32"/>
      <c r="AV4" s="31"/>
      <c r="AW4" s="32"/>
      <c r="AX4" s="31"/>
      <c r="AY4" s="31"/>
      <c r="AZ4" s="31"/>
      <c r="BA4" s="32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</row>
    <row r="5" spans="1:76" ht="16.149999999999999" customHeight="1" x14ac:dyDescent="0.35">
      <c r="A5" s="164">
        <f>68*0.1</f>
        <v>6.8000000000000007</v>
      </c>
      <c r="B5" s="33"/>
      <c r="C5" s="34" t="s">
        <v>116</v>
      </c>
      <c r="D5" s="235" t="str">
        <f>IF(D6="","",UPPER(TEXT(D6,"dddd")))</f>
        <v>THURSDAY</v>
      </c>
      <c r="E5" s="229"/>
      <c r="F5" s="228" t="str">
        <f>IF(F6="","",UPPER(TEXT(F6,"dddd")))</f>
        <v>FRIDAY</v>
      </c>
      <c r="G5" s="229"/>
      <c r="H5" s="228" t="str">
        <f>IF(H6="","",UPPER(TEXT(H6,"dddd")))</f>
        <v>SATURDAY</v>
      </c>
      <c r="I5" s="229"/>
      <c r="J5" s="228" t="str">
        <f>IF(J6="","",UPPER(TEXT(J6,"dddd")))</f>
        <v>SUNDAY</v>
      </c>
      <c r="K5" s="229"/>
      <c r="L5" s="228" t="str">
        <f>IF(L6="","",UPPER(TEXT(L6,"dddd")))</f>
        <v>MONDAY</v>
      </c>
      <c r="M5" s="229"/>
      <c r="N5" s="228" t="str">
        <f>IF(N6="","",UPPER(TEXT(N6,"dddd")))</f>
        <v>TUESDAY</v>
      </c>
      <c r="O5" s="229"/>
      <c r="P5" s="228" t="str">
        <f>IF(P6="","",UPPER(TEXT(P6,"dddd")))</f>
        <v>WEDNESDAY</v>
      </c>
      <c r="Q5" s="229"/>
      <c r="R5" s="228" t="str">
        <f>IF(R6="","",UPPER(TEXT(R6,"dddd")))</f>
        <v>THURSDAY</v>
      </c>
      <c r="S5" s="229"/>
      <c r="T5" s="228" t="str">
        <f>IF(T6="","",UPPER(TEXT(T6,"dddd")))</f>
        <v>FRIDAY</v>
      </c>
      <c r="U5" s="229"/>
      <c r="V5" s="228" t="str">
        <f>IF(V6="","",UPPER(TEXT(V6,"dddd")))</f>
        <v>SATURDAY</v>
      </c>
      <c r="W5" s="229"/>
      <c r="X5" s="228" t="str">
        <f>IF(X6="","",UPPER(TEXT(X6,"dddd")))</f>
        <v>SUNDAY</v>
      </c>
      <c r="Y5" s="229"/>
      <c r="Z5" s="228" t="str">
        <f>IF(Z6="","",UPPER(TEXT(Z6,"dddd")))</f>
        <v>MONDAY</v>
      </c>
      <c r="AA5" s="229"/>
      <c r="AB5" s="228" t="str">
        <f>IF(AB6="","",UPPER(TEXT(AB6,"dddd")))</f>
        <v>TUESDAY</v>
      </c>
      <c r="AC5" s="229"/>
      <c r="AD5" s="228" t="str">
        <f>IF(AD6="","",UPPER(TEXT(AD6,"dddd")))</f>
        <v>WEDNESDAY</v>
      </c>
      <c r="AE5" s="229"/>
      <c r="AF5" s="228" t="str">
        <f>IF(AF6="","",UPPER(TEXT(AF6,"dddd")))</f>
        <v>THURSDAY</v>
      </c>
      <c r="AG5" s="229"/>
      <c r="AH5" s="228" t="str">
        <f>IF(AH6="","",UPPER(TEXT(AH6,"dddd")))</f>
        <v>FRIDAY</v>
      </c>
      <c r="AI5" s="229"/>
      <c r="AJ5" s="228" t="str">
        <f>IF(AJ6="","",UPPER(TEXT(AJ6,"dddd")))</f>
        <v>SATURDAY</v>
      </c>
      <c r="AK5" s="229"/>
      <c r="AL5" s="228" t="str">
        <f>IF(AL6="","",UPPER(TEXT(AL6,"dddd")))</f>
        <v>SUNDAY</v>
      </c>
      <c r="AM5" s="229"/>
      <c r="AN5" s="228" t="str">
        <f>IF(AN6="","",UPPER(TEXT(AN6,"dddd")))</f>
        <v>MONDAY</v>
      </c>
      <c r="AO5" s="229"/>
      <c r="AP5" s="228" t="str">
        <f>IF(AP6="","",UPPER(TEXT(AP6,"dddd")))</f>
        <v>TUESDAY</v>
      </c>
      <c r="AQ5" s="229"/>
      <c r="AR5" s="228" t="str">
        <f>IF(AR6="","",UPPER(TEXT(AR6,"dddd")))</f>
        <v>WEDNESDAY</v>
      </c>
      <c r="AS5" s="229"/>
      <c r="AT5" s="228" t="str">
        <f>IF(AT6="","",UPPER(TEXT(AT6,"dddd")))</f>
        <v>THURSDAY</v>
      </c>
      <c r="AU5" s="229"/>
      <c r="AV5" s="228" t="str">
        <f>IF(AV6="","",UPPER(TEXT(AV6,"dddd")))</f>
        <v>FRIDAY</v>
      </c>
      <c r="AW5" s="229"/>
      <c r="AX5" s="228" t="str">
        <f>IF(AX6="","",UPPER(TEXT(AX6,"dddd")))</f>
        <v>SATURDAY</v>
      </c>
      <c r="AY5" s="229"/>
      <c r="AZ5" s="228" t="str">
        <f>IF(AZ6="","",UPPER(TEXT(AZ6,"dddd")))</f>
        <v>SUNDAY</v>
      </c>
      <c r="BA5" s="229"/>
      <c r="BB5" s="228" t="str">
        <f>IF(BB6="","",UPPER(TEXT(BB6,"dddd")))</f>
        <v>MONDAY</v>
      </c>
      <c r="BC5" s="229"/>
      <c r="BD5" s="228" t="str">
        <f>IF(BD6="","",UPPER(TEXT(BD6,"dddd")))</f>
        <v>TUESDAY</v>
      </c>
      <c r="BE5" s="229"/>
      <c r="BF5" s="228" t="str">
        <f>IF(BF6="","",UPPER(TEXT(BF6,"dddd")))</f>
        <v>WEDNESDAY</v>
      </c>
      <c r="BG5" s="229"/>
      <c r="BH5" s="228" t="str">
        <f>IF(BH6="","",UPPER(TEXT(BH6,"dddd")))</f>
        <v>THURSDAY</v>
      </c>
      <c r="BI5" s="229"/>
      <c r="BJ5" s="228" t="str">
        <f>IF(BJ6="","",UPPER(TEXT(BJ6,"dddd")))</f>
        <v>FRIDAY</v>
      </c>
      <c r="BK5" s="229"/>
      <c r="BL5" s="228" t="str">
        <f>IF(BL6="","",UPPER(TEXT(BL6,"dddd")))</f>
        <v>SATURDAY</v>
      </c>
      <c r="BM5" s="229"/>
      <c r="BN5" s="230" t="s">
        <v>114</v>
      </c>
      <c r="BO5" s="231"/>
      <c r="BP5" s="225" t="s">
        <v>118</v>
      </c>
      <c r="BQ5" s="226"/>
    </row>
    <row r="6" spans="1:76" x14ac:dyDescent="0.35">
      <c r="A6" s="35"/>
      <c r="B6" s="36"/>
      <c r="C6" s="37" t="s">
        <v>117</v>
      </c>
      <c r="D6" s="227">
        <f>IF($B$3="","",IF(MONTH($B$3+0)=MONTH($B$3),$B$3+0,""))</f>
        <v>46296</v>
      </c>
      <c r="E6" s="222"/>
      <c r="F6" s="220">
        <f>IF($B$3="","",IF(MONTH($B$3+1)=MONTH($B$3),$B$3+1,""))</f>
        <v>46297</v>
      </c>
      <c r="G6" s="222"/>
      <c r="H6" s="220">
        <f>IF($B$3="","",IF(MONTH($B$3+2)=MONTH($B$3),$B$3+2,""))</f>
        <v>46298</v>
      </c>
      <c r="I6" s="222"/>
      <c r="J6" s="220">
        <f>IF($B$3="","",IF(MONTH($B$3+3)=MONTH($B$3),$B$3+3,""))</f>
        <v>46299</v>
      </c>
      <c r="K6" s="222"/>
      <c r="L6" s="220">
        <f>IF($B$3="","",IF(MONTH($B$3+4)=MONTH($B$3),$B$3+4,""))</f>
        <v>46300</v>
      </c>
      <c r="M6" s="222"/>
      <c r="N6" s="220">
        <f>IF($B$3="","",IF(MONTH($B$3+5)=MONTH($B$3),$B$3+5,""))</f>
        <v>46301</v>
      </c>
      <c r="O6" s="222"/>
      <c r="P6" s="220">
        <f>IF($B$3="","",IF(MONTH($B$3+6)=MONTH($B$3),$B$3+6,""))</f>
        <v>46302</v>
      </c>
      <c r="Q6" s="222"/>
      <c r="R6" s="220">
        <f>IF($B$3="","",IF(MONTH($B$3+7)=MONTH($B$3),$B$3+7,""))</f>
        <v>46303</v>
      </c>
      <c r="S6" s="222"/>
      <c r="T6" s="220">
        <f>IF($B$3="","",IF(MONTH($B$3+8)=MONTH($B$3),$B$3+8,""))</f>
        <v>46304</v>
      </c>
      <c r="U6" s="222"/>
      <c r="V6" s="220">
        <f>IF($B$3="","",IF(MONTH($B$3+9)=MONTH($B$3),$B$3+9,""))</f>
        <v>46305</v>
      </c>
      <c r="W6" s="222"/>
      <c r="X6" s="220">
        <f>IF($B$3="","",IF(MONTH($B$3+10)=MONTH($B$3),$B$3+10,""))</f>
        <v>46306</v>
      </c>
      <c r="Y6" s="222"/>
      <c r="Z6" s="220">
        <f>IF($B$3="","",IF(MONTH($B$3+11)=MONTH($B$3),$B$3+11,""))</f>
        <v>46307</v>
      </c>
      <c r="AA6" s="222"/>
      <c r="AB6" s="220">
        <f>IF($B$3="","",IF(MONTH($B$3+12)=MONTH($B$3),$B$3+12,""))</f>
        <v>46308</v>
      </c>
      <c r="AC6" s="222"/>
      <c r="AD6" s="220">
        <f>IF($B$3="","",IF(MONTH($B$3+13)=MONTH($B$3),$B$3+13,""))</f>
        <v>46309</v>
      </c>
      <c r="AE6" s="222"/>
      <c r="AF6" s="220">
        <f>IF($B$3="","",IF(MONTH($B$3+14)=MONTH($B$3),$B$3+14,""))</f>
        <v>46310</v>
      </c>
      <c r="AG6" s="222"/>
      <c r="AH6" s="220">
        <f>IF($B$3="","",IF(MONTH($B$3+15)=MONTH($B$3),$B$3+15,""))</f>
        <v>46311</v>
      </c>
      <c r="AI6" s="222"/>
      <c r="AJ6" s="220">
        <f>IF($B$3="","",IF(MONTH($B$3+16)=MONTH($B$3),$B$3+16,""))</f>
        <v>46312</v>
      </c>
      <c r="AK6" s="222"/>
      <c r="AL6" s="220">
        <f>IF($B$3="","",IF(MONTH($B$3+17)=MONTH($B$3),$B$3+17,""))</f>
        <v>46313</v>
      </c>
      <c r="AM6" s="222"/>
      <c r="AN6" s="220">
        <f>IF($B$3="","",IF(MONTH($B$3+18)=MONTH($B$3),$B$3+18,""))</f>
        <v>46314</v>
      </c>
      <c r="AO6" s="222"/>
      <c r="AP6" s="220">
        <f>IF($B$3="","",IF(MONTH($B$3+19)=MONTH($B$3),$B$3+19,""))</f>
        <v>46315</v>
      </c>
      <c r="AQ6" s="222"/>
      <c r="AR6" s="220">
        <f>IF($B$3="","",IF(MONTH($B$3+20)=MONTH($B$3),$B$3+20,""))</f>
        <v>46316</v>
      </c>
      <c r="AS6" s="222"/>
      <c r="AT6" s="220">
        <f>IF($B$3="","",IF(MONTH($B$3+21)=MONTH($B$3),$B$3+21,""))</f>
        <v>46317</v>
      </c>
      <c r="AU6" s="222"/>
      <c r="AV6" s="220">
        <f>IF($B$3="","",IF(MONTH($B$3+22)=MONTH($B$3),$B$3+22,""))</f>
        <v>46318</v>
      </c>
      <c r="AW6" s="222"/>
      <c r="AX6" s="220">
        <f>IF($B$3="","",IF(MONTH($B$3+23)=MONTH($B$3),$B$3+23,""))</f>
        <v>46319</v>
      </c>
      <c r="AY6" s="222"/>
      <c r="AZ6" s="220">
        <f>IF($B$3="","",IF(MONTH($B$3+24)=MONTH($B$3),$B$3+24,""))</f>
        <v>46320</v>
      </c>
      <c r="BA6" s="222"/>
      <c r="BB6" s="220">
        <f>IF($B$3="","",IF(MONTH($B$3+25)=MONTH($B$3),$B$3+25,""))</f>
        <v>46321</v>
      </c>
      <c r="BC6" s="222"/>
      <c r="BD6" s="220">
        <f>IF($B$3="","",IF(MONTH($B$3+26)=MONTH($B$3),$B$3+26,""))</f>
        <v>46322</v>
      </c>
      <c r="BE6" s="222"/>
      <c r="BF6" s="220">
        <f>IF($B$3="","",IF(MONTH($B$3+27)=MONTH($B$3),$B$3+27,""))</f>
        <v>46323</v>
      </c>
      <c r="BG6" s="222"/>
      <c r="BH6" s="220">
        <f>IF($B$3="","",IF(MONTH($B$3+28)=MONTH($B$3),$B$3+28,""))</f>
        <v>46324</v>
      </c>
      <c r="BI6" s="222"/>
      <c r="BJ6" s="220">
        <f>IF($B$3="","",IF(MONTH($B$3+29)=MONTH($B$3),$B$3+29,""))</f>
        <v>46325</v>
      </c>
      <c r="BK6" s="222"/>
      <c r="BL6" s="220">
        <f>IF($B$3="","",IF(MONTH($B$3+30)=MONTH($B$3),$B$3+30,""))</f>
        <v>46326</v>
      </c>
      <c r="BM6" s="222"/>
      <c r="BN6" s="223" t="s">
        <v>115</v>
      </c>
      <c r="BO6" s="224"/>
      <c r="BP6" s="220">
        <f>IF($B$3="","",EOMONTH($B$3,0)+1)</f>
        <v>46327</v>
      </c>
      <c r="BQ6" s="221"/>
    </row>
    <row r="7" spans="1:76" x14ac:dyDescent="0.35">
      <c r="A7" s="38" t="s">
        <v>20</v>
      </c>
      <c r="B7" s="39"/>
      <c r="C7" s="40"/>
      <c r="D7" s="41"/>
      <c r="E7" s="165">
        <f>E59</f>
        <v>0</v>
      </c>
      <c r="F7" s="42"/>
      <c r="G7" s="165">
        <f>G59</f>
        <v>0</v>
      </c>
      <c r="H7" s="42"/>
      <c r="I7" s="165">
        <f>I59</f>
        <v>0</v>
      </c>
      <c r="J7" s="42"/>
      <c r="K7" s="165">
        <f>K59</f>
        <v>0</v>
      </c>
      <c r="L7" s="42"/>
      <c r="M7" s="165">
        <f>M59</f>
        <v>0</v>
      </c>
      <c r="N7" s="42"/>
      <c r="O7" s="165">
        <f>O59</f>
        <v>0</v>
      </c>
      <c r="P7" s="42"/>
      <c r="Q7" s="165">
        <f>Q59</f>
        <v>0</v>
      </c>
      <c r="R7" s="42"/>
      <c r="S7" s="165">
        <f>S59</f>
        <v>0</v>
      </c>
      <c r="T7" s="42"/>
      <c r="U7" s="165">
        <f>U59</f>
        <v>0</v>
      </c>
      <c r="V7" s="42"/>
      <c r="W7" s="165">
        <f>W59</f>
        <v>0</v>
      </c>
      <c r="X7" s="42"/>
      <c r="Y7" s="165">
        <f>Y59</f>
        <v>0</v>
      </c>
      <c r="Z7" s="42"/>
      <c r="AA7" s="165">
        <f>AA59</f>
        <v>0</v>
      </c>
      <c r="AB7" s="42"/>
      <c r="AC7" s="165">
        <f>AC59</f>
        <v>0</v>
      </c>
      <c r="AD7" s="42"/>
      <c r="AE7" s="165">
        <f>AE59</f>
        <v>0</v>
      </c>
      <c r="AF7" s="42"/>
      <c r="AG7" s="165">
        <f>AG59</f>
        <v>0</v>
      </c>
      <c r="AH7" s="42"/>
      <c r="AI7" s="165">
        <f>AI59</f>
        <v>0</v>
      </c>
      <c r="AJ7" s="42"/>
      <c r="AK7" s="165">
        <f>AK59</f>
        <v>0</v>
      </c>
      <c r="AL7" s="42"/>
      <c r="AM7" s="165">
        <f>AM59</f>
        <v>0</v>
      </c>
      <c r="AN7" s="42"/>
      <c r="AO7" s="165">
        <f>AO59</f>
        <v>0</v>
      </c>
      <c r="AP7" s="42"/>
      <c r="AQ7" s="165">
        <f>AQ59</f>
        <v>0</v>
      </c>
      <c r="AR7" s="42"/>
      <c r="AS7" s="165">
        <f>AS59</f>
        <v>0</v>
      </c>
      <c r="AT7" s="42"/>
      <c r="AU7" s="165">
        <f>AU59</f>
        <v>0</v>
      </c>
      <c r="AV7" s="42"/>
      <c r="AW7" s="165">
        <f>AW59</f>
        <v>0</v>
      </c>
      <c r="AX7" s="42"/>
      <c r="AY7" s="165">
        <f>AY59</f>
        <v>0</v>
      </c>
      <c r="AZ7" s="42"/>
      <c r="BA7" s="165">
        <f>BA59</f>
        <v>0</v>
      </c>
      <c r="BB7" s="42"/>
      <c r="BC7" s="165">
        <f>BC59</f>
        <v>0</v>
      </c>
      <c r="BD7" s="42"/>
      <c r="BE7" s="165">
        <f>BE59</f>
        <v>0</v>
      </c>
      <c r="BF7" s="42"/>
      <c r="BG7" s="165">
        <f>BG59</f>
        <v>0</v>
      </c>
      <c r="BH7" s="42"/>
      <c r="BI7" s="165">
        <f>BI59</f>
        <v>0</v>
      </c>
      <c r="BJ7" s="42"/>
      <c r="BK7" s="165">
        <f>BK59</f>
        <v>0</v>
      </c>
      <c r="BL7" s="42"/>
      <c r="BM7" s="165">
        <f>BM59</f>
        <v>0</v>
      </c>
      <c r="BN7" s="43"/>
      <c r="BO7" s="169">
        <f>IF(COUNT(E7,G7,I7,K7,M7,O7,Q7,S7,U7,W7,Y7,AA7,AC7,AE7,AG7,AI7,AK7,AM7,AO7,AQ7,AS7,AU7,AW7,AY7,BA7,BC7,BE7,BG7,BI7,BK7,BM7)=0,"",SUM(E7,G7,I7,K7,M7,O7,Q7,S7,U7,W7,Y7,AA7,AC7,AE7,AG7,AI7,AK7,AM7,AO7,AQ7,AS7,AU7,AW7,AY7,BA7,BC7,BE7,BG7,BI7,BK7,BM7))</f>
        <v>0</v>
      </c>
      <c r="BP7" s="42"/>
      <c r="BQ7" s="171">
        <f>BQ59</f>
        <v>0</v>
      </c>
    </row>
    <row r="8" spans="1:76" x14ac:dyDescent="0.35">
      <c r="A8" s="38" t="s">
        <v>49</v>
      </c>
      <c r="B8" s="39"/>
      <c r="C8" s="40"/>
      <c r="D8" s="41"/>
      <c r="E8" s="165">
        <f>E58</f>
        <v>0</v>
      </c>
      <c r="F8" s="42"/>
      <c r="G8" s="165">
        <f>G58</f>
        <v>0</v>
      </c>
      <c r="H8" s="42"/>
      <c r="I8" s="165">
        <f>I58</f>
        <v>0</v>
      </c>
      <c r="J8" s="42"/>
      <c r="K8" s="165">
        <f>K58</f>
        <v>0</v>
      </c>
      <c r="L8" s="42"/>
      <c r="M8" s="165">
        <f>M58</f>
        <v>0</v>
      </c>
      <c r="N8" s="42"/>
      <c r="O8" s="165">
        <f>O58</f>
        <v>0</v>
      </c>
      <c r="P8" s="42"/>
      <c r="Q8" s="165">
        <f>Q58</f>
        <v>0</v>
      </c>
      <c r="R8" s="42"/>
      <c r="S8" s="165">
        <f>S58</f>
        <v>0</v>
      </c>
      <c r="T8" s="42"/>
      <c r="U8" s="165">
        <f>U58</f>
        <v>0</v>
      </c>
      <c r="V8" s="42"/>
      <c r="W8" s="165">
        <f>W58</f>
        <v>0</v>
      </c>
      <c r="X8" s="42"/>
      <c r="Y8" s="165">
        <f>Y58</f>
        <v>0</v>
      </c>
      <c r="Z8" s="42"/>
      <c r="AA8" s="165">
        <f>AA58</f>
        <v>0</v>
      </c>
      <c r="AB8" s="42"/>
      <c r="AC8" s="165">
        <f>AC58</f>
        <v>0</v>
      </c>
      <c r="AD8" s="42"/>
      <c r="AE8" s="165">
        <f>AE58</f>
        <v>0</v>
      </c>
      <c r="AF8" s="42"/>
      <c r="AG8" s="165">
        <f>AG58</f>
        <v>0</v>
      </c>
      <c r="AH8" s="42"/>
      <c r="AI8" s="165">
        <f>AI58</f>
        <v>0</v>
      </c>
      <c r="AJ8" s="42"/>
      <c r="AK8" s="165">
        <f>AK58</f>
        <v>0</v>
      </c>
      <c r="AL8" s="42"/>
      <c r="AM8" s="165">
        <f>AM58</f>
        <v>0</v>
      </c>
      <c r="AN8" s="42"/>
      <c r="AO8" s="165">
        <f>AO58</f>
        <v>0</v>
      </c>
      <c r="AP8" s="42"/>
      <c r="AQ8" s="165">
        <f>AQ58</f>
        <v>0</v>
      </c>
      <c r="AR8" s="42"/>
      <c r="AS8" s="165">
        <f>AS58</f>
        <v>0</v>
      </c>
      <c r="AT8" s="42"/>
      <c r="AU8" s="168">
        <f>AU58</f>
        <v>0</v>
      </c>
      <c r="AV8" s="42"/>
      <c r="AW8" s="165">
        <f>AW58</f>
        <v>0</v>
      </c>
      <c r="AX8" s="42"/>
      <c r="AY8" s="165">
        <f>AY58</f>
        <v>0</v>
      </c>
      <c r="AZ8" s="42"/>
      <c r="BA8" s="165">
        <f>BA58</f>
        <v>0</v>
      </c>
      <c r="BB8" s="42"/>
      <c r="BC8" s="165">
        <f>BC58</f>
        <v>0</v>
      </c>
      <c r="BD8" s="42"/>
      <c r="BE8" s="165">
        <f>BE58</f>
        <v>0</v>
      </c>
      <c r="BF8" s="42"/>
      <c r="BG8" s="165">
        <f>BG58</f>
        <v>0</v>
      </c>
      <c r="BH8" s="42"/>
      <c r="BI8" s="165">
        <f>BI58</f>
        <v>0</v>
      </c>
      <c r="BJ8" s="42"/>
      <c r="BK8" s="165">
        <f>BK58</f>
        <v>0</v>
      </c>
      <c r="BL8" s="42"/>
      <c r="BM8" s="165">
        <f>BM58</f>
        <v>0</v>
      </c>
      <c r="BN8" s="43"/>
      <c r="BO8" s="169">
        <f>IF(COUNT(E8,G8,I8,K8,M8,O8,Q8,S8,U8,W8,Y8,AA8,AC8,AE8,AG8,AI8,AK8,AM8,AO8,AQ8,AS8,AU8,AW8,AY8,BA8,BC8,BE8,BG8,BI8,BK8,BM8)=0,"",SUM(E8,G8,I8,K8,M8,O8,Q8,S8,U8,W8,Y8,AA8,AC8,AE8,AG8,AI8,AK8,AM8,AO8,AQ8,AS8,AU8,AW8,AY8,BA8,BC8,BE8,BG8,BI8,BK8,BM8))</f>
        <v>0</v>
      </c>
      <c r="BP8" s="42"/>
      <c r="BQ8" s="171">
        <f>BQ58</f>
        <v>0</v>
      </c>
    </row>
    <row r="9" spans="1:76" x14ac:dyDescent="0.35">
      <c r="A9" s="38" t="s">
        <v>50</v>
      </c>
      <c r="B9" s="39"/>
      <c r="C9" s="40"/>
      <c r="D9" s="41"/>
      <c r="E9" s="165" t="e">
        <f>E61</f>
        <v>#VALUE!</v>
      </c>
      <c r="F9" s="42"/>
      <c r="G9" s="165">
        <f>G61</f>
        <v>0</v>
      </c>
      <c r="H9" s="42"/>
      <c r="I9" s="165">
        <f>I61</f>
        <v>0</v>
      </c>
      <c r="J9" s="42"/>
      <c r="K9" s="165">
        <f>K61</f>
        <v>0</v>
      </c>
      <c r="L9" s="42"/>
      <c r="M9" s="165">
        <f>M61</f>
        <v>0</v>
      </c>
      <c r="N9" s="42"/>
      <c r="O9" s="165">
        <f>O61</f>
        <v>0</v>
      </c>
      <c r="P9" s="42"/>
      <c r="Q9" s="165">
        <f>Q61</f>
        <v>0</v>
      </c>
      <c r="R9" s="42"/>
      <c r="S9" s="165">
        <f>S61</f>
        <v>0</v>
      </c>
      <c r="T9" s="42"/>
      <c r="U9" s="165">
        <f>U61</f>
        <v>0</v>
      </c>
      <c r="V9" s="42"/>
      <c r="W9" s="165">
        <f>W61</f>
        <v>0</v>
      </c>
      <c r="X9" s="42"/>
      <c r="Y9" s="165">
        <f>Y61</f>
        <v>0</v>
      </c>
      <c r="Z9" s="42"/>
      <c r="AA9" s="165">
        <f>AA61</f>
        <v>0</v>
      </c>
      <c r="AB9" s="42"/>
      <c r="AC9" s="165">
        <f>AC61</f>
        <v>0</v>
      </c>
      <c r="AD9" s="42"/>
      <c r="AE9" s="165">
        <f>AE61</f>
        <v>0</v>
      </c>
      <c r="AF9" s="42"/>
      <c r="AG9" s="165">
        <f>AG61</f>
        <v>0</v>
      </c>
      <c r="AH9" s="42"/>
      <c r="AI9" s="165">
        <f>AI61</f>
        <v>0</v>
      </c>
      <c r="AJ9" s="42"/>
      <c r="AK9" s="165">
        <f>AK61</f>
        <v>0</v>
      </c>
      <c r="AL9" s="42"/>
      <c r="AM9" s="165">
        <f>AM61</f>
        <v>0</v>
      </c>
      <c r="AN9" s="42"/>
      <c r="AO9" s="165">
        <f>AO61</f>
        <v>0</v>
      </c>
      <c r="AP9" s="42"/>
      <c r="AQ9" s="165">
        <f>AQ61</f>
        <v>0</v>
      </c>
      <c r="AR9" s="42"/>
      <c r="AS9" s="165">
        <f>AS61</f>
        <v>0</v>
      </c>
      <c r="AT9" s="42"/>
      <c r="AU9" s="165">
        <f>AU61</f>
        <v>0</v>
      </c>
      <c r="AV9" s="42"/>
      <c r="AW9" s="165">
        <f>AW61</f>
        <v>0</v>
      </c>
      <c r="AX9" s="42"/>
      <c r="AY9" s="165">
        <f>AY61</f>
        <v>0</v>
      </c>
      <c r="AZ9" s="42"/>
      <c r="BA9" s="165">
        <f>BA61</f>
        <v>0</v>
      </c>
      <c r="BB9" s="42"/>
      <c r="BC9" s="165">
        <f>BC61</f>
        <v>0</v>
      </c>
      <c r="BD9" s="42"/>
      <c r="BE9" s="165">
        <f>BE61</f>
        <v>0</v>
      </c>
      <c r="BF9" s="42"/>
      <c r="BG9" s="165">
        <f>BG61</f>
        <v>0</v>
      </c>
      <c r="BH9" s="42"/>
      <c r="BI9" s="165">
        <f>BI61</f>
        <v>0</v>
      </c>
      <c r="BJ9" s="42"/>
      <c r="BK9" s="165">
        <f>BK61</f>
        <v>0</v>
      </c>
      <c r="BL9" s="42"/>
      <c r="BM9" s="165">
        <f>BM61</f>
        <v>0</v>
      </c>
      <c r="BN9" s="43"/>
      <c r="BO9" s="169" t="e">
        <f>IF(COUNT(E9,G9,I9,K9,M9,O9,Q9,S9,U9,W9,Y9,AA9,AC9,AE9,AG9,AI9,AK9,AM9,AO9,AQ9,AS9,AU9,AW9,AY9,BA9,BC9,BE9,BG9,BI9,BK9,BM9)=0,"",SUM(E9,G9,I9,K9,M9,O9,Q9,S9,U9,W9,Y9,AA9,AC9,AE9,AG9,AI9,AK9,AM9,AO9,AQ9,AS9,AU9,AW9,AY9,BA9,BC9,BE9,BG9,BI9,BK9,BM9))</f>
        <v>#VALUE!</v>
      </c>
      <c r="BP9" s="42"/>
      <c r="BQ9" s="171" t="e">
        <f>BQ61</f>
        <v>#VALUE!</v>
      </c>
    </row>
    <row r="10" spans="1:76" s="2" customFormat="1" x14ac:dyDescent="0.35">
      <c r="A10" s="44" t="s">
        <v>47</v>
      </c>
      <c r="B10" s="45"/>
      <c r="C10" s="46">
        <v>1413.73</v>
      </c>
      <c r="D10" s="47"/>
      <c r="E10" s="166" t="e">
        <f>E73</f>
        <v>#VALUE!</v>
      </c>
      <c r="F10" s="49"/>
      <c r="G10" s="166">
        <f t="shared" ref="G10:BQ10" si="0">G73</f>
        <v>0</v>
      </c>
      <c r="H10" s="49"/>
      <c r="I10" s="166">
        <f t="shared" si="0"/>
        <v>0</v>
      </c>
      <c r="J10" s="49"/>
      <c r="K10" s="166">
        <f t="shared" si="0"/>
        <v>0</v>
      </c>
      <c r="L10" s="49"/>
      <c r="M10" s="166">
        <f t="shared" si="0"/>
        <v>0</v>
      </c>
      <c r="N10" s="49"/>
      <c r="O10" s="166">
        <f t="shared" si="0"/>
        <v>0</v>
      </c>
      <c r="P10" s="49"/>
      <c r="Q10" s="166">
        <f t="shared" si="0"/>
        <v>0</v>
      </c>
      <c r="R10" s="49"/>
      <c r="S10" s="166">
        <f t="shared" si="0"/>
        <v>0</v>
      </c>
      <c r="T10" s="49"/>
      <c r="U10" s="166">
        <f t="shared" si="0"/>
        <v>0</v>
      </c>
      <c r="V10" s="49"/>
      <c r="W10" s="166">
        <f t="shared" si="0"/>
        <v>0</v>
      </c>
      <c r="X10" s="49"/>
      <c r="Y10" s="166">
        <f t="shared" si="0"/>
        <v>0</v>
      </c>
      <c r="Z10" s="49"/>
      <c r="AA10" s="166">
        <f t="shared" si="0"/>
        <v>0</v>
      </c>
      <c r="AB10" s="49"/>
      <c r="AC10" s="166">
        <f t="shared" si="0"/>
        <v>0</v>
      </c>
      <c r="AD10" s="49"/>
      <c r="AE10" s="166">
        <f t="shared" si="0"/>
        <v>0</v>
      </c>
      <c r="AF10" s="49"/>
      <c r="AG10" s="166">
        <f t="shared" si="0"/>
        <v>0</v>
      </c>
      <c r="AH10" s="49"/>
      <c r="AI10" s="166">
        <f t="shared" si="0"/>
        <v>0</v>
      </c>
      <c r="AJ10" s="49"/>
      <c r="AK10" s="166">
        <f t="shared" si="0"/>
        <v>0</v>
      </c>
      <c r="AL10" s="49"/>
      <c r="AM10" s="166">
        <f t="shared" si="0"/>
        <v>0</v>
      </c>
      <c r="AN10" s="49"/>
      <c r="AO10" s="166">
        <f t="shared" si="0"/>
        <v>0</v>
      </c>
      <c r="AP10" s="49"/>
      <c r="AQ10" s="166">
        <f t="shared" si="0"/>
        <v>0</v>
      </c>
      <c r="AR10" s="49"/>
      <c r="AS10" s="166">
        <f t="shared" si="0"/>
        <v>0</v>
      </c>
      <c r="AT10" s="49"/>
      <c r="AU10" s="166">
        <f t="shared" si="0"/>
        <v>0</v>
      </c>
      <c r="AV10" s="49"/>
      <c r="AW10" s="166">
        <f t="shared" si="0"/>
        <v>0</v>
      </c>
      <c r="AX10" s="49"/>
      <c r="AY10" s="166">
        <f t="shared" si="0"/>
        <v>0</v>
      </c>
      <c r="AZ10" s="49"/>
      <c r="BA10" s="166">
        <f t="shared" si="0"/>
        <v>0</v>
      </c>
      <c r="BB10" s="49"/>
      <c r="BC10" s="166">
        <f t="shared" si="0"/>
        <v>0</v>
      </c>
      <c r="BD10" s="49"/>
      <c r="BE10" s="166">
        <f t="shared" si="0"/>
        <v>0</v>
      </c>
      <c r="BF10" s="49"/>
      <c r="BG10" s="166">
        <f t="shared" si="0"/>
        <v>0</v>
      </c>
      <c r="BH10" s="49"/>
      <c r="BI10" s="166">
        <f t="shared" si="0"/>
        <v>0</v>
      </c>
      <c r="BJ10" s="49"/>
      <c r="BK10" s="166">
        <f t="shared" si="0"/>
        <v>0</v>
      </c>
      <c r="BL10" s="49"/>
      <c r="BM10" s="166">
        <f t="shared" si="0"/>
        <v>0</v>
      </c>
      <c r="BN10" s="50"/>
      <c r="BO10" s="170" t="e">
        <f>IF(COUNT(E10,G10,I10,K10,M10,O10,Q10,S10,U10,W10,Y10,AA10,AC10,AE10,AG10,AI10,AK10,AM10,AO10,AQ10,AS10,AU10,AW10,AY10,BA10,BC10,BE10,BG10,BI10,BK10,BM10)=0,"",SUM(E10,G10,I10,K10,M10,O10,Q10,S10,U10,W10,Y10,AA10,AC10,AE10,AG10,AI10,AK10,AM10,AO10,AQ10,AS10,AU10,AW10,AY10,BA10,BC10,BE10,BG10,BI10,BK10,BM10))</f>
        <v>#VALUE!</v>
      </c>
      <c r="BP10" s="49"/>
      <c r="BQ10" s="172" t="e">
        <f t="shared" si="0"/>
        <v>#VALUE!</v>
      </c>
      <c r="BR10"/>
      <c r="BS10"/>
      <c r="BT10"/>
      <c r="BU10"/>
      <c r="BV10"/>
      <c r="BW10"/>
      <c r="BX10"/>
    </row>
    <row r="11" spans="1:76" s="2" customFormat="1" x14ac:dyDescent="0.35">
      <c r="A11" s="44" t="s">
        <v>48</v>
      </c>
      <c r="B11" s="45"/>
      <c r="C11" s="46">
        <v>5252.8</v>
      </c>
      <c r="D11" s="47"/>
      <c r="E11" s="166">
        <f>E75+E56</f>
        <v>0</v>
      </c>
      <c r="F11" s="49"/>
      <c r="G11" s="166">
        <f>G75+G56</f>
        <v>0</v>
      </c>
      <c r="H11" s="49"/>
      <c r="I11" s="166">
        <f>I75+I56</f>
        <v>0</v>
      </c>
      <c r="J11" s="49"/>
      <c r="K11" s="166">
        <f>K75+K56</f>
        <v>0</v>
      </c>
      <c r="L11" s="49"/>
      <c r="M11" s="166">
        <f>M75+M56</f>
        <v>0</v>
      </c>
      <c r="N11" s="49"/>
      <c r="O11" s="166">
        <f>O75+O56</f>
        <v>0</v>
      </c>
      <c r="P11" s="49"/>
      <c r="Q11" s="166">
        <f>Q75+Q56</f>
        <v>0</v>
      </c>
      <c r="R11" s="49"/>
      <c r="S11" s="166">
        <f>S75+S56</f>
        <v>0</v>
      </c>
      <c r="T11" s="49"/>
      <c r="U11" s="166">
        <f>U75+U56</f>
        <v>0</v>
      </c>
      <c r="V11" s="49"/>
      <c r="W11" s="166">
        <f>W75+W56</f>
        <v>0</v>
      </c>
      <c r="X11" s="167">
        <f t="shared" ref="X11:AL11" si="1">X75</f>
        <v>0</v>
      </c>
      <c r="Y11" s="166">
        <f>Y75+Y56</f>
        <v>0</v>
      </c>
      <c r="Z11" s="167">
        <f t="shared" si="1"/>
        <v>0</v>
      </c>
      <c r="AA11" s="166">
        <f>AA75+AA56</f>
        <v>0</v>
      </c>
      <c r="AB11" s="167">
        <f t="shared" si="1"/>
        <v>0</v>
      </c>
      <c r="AC11" s="166">
        <f>AC75+AC56</f>
        <v>0</v>
      </c>
      <c r="AD11" s="167">
        <f t="shared" si="1"/>
        <v>0</v>
      </c>
      <c r="AE11" s="166">
        <f>AE75+AE56</f>
        <v>0</v>
      </c>
      <c r="AF11" s="167">
        <f t="shared" si="1"/>
        <v>0</v>
      </c>
      <c r="AG11" s="166">
        <f>AG75+AG56</f>
        <v>0</v>
      </c>
      <c r="AH11" s="167">
        <f t="shared" si="1"/>
        <v>0</v>
      </c>
      <c r="AI11" s="166">
        <f>AI75+AI56</f>
        <v>0</v>
      </c>
      <c r="AJ11" s="167">
        <f t="shared" si="1"/>
        <v>0</v>
      </c>
      <c r="AK11" s="166">
        <f>AK75+AK56</f>
        <v>0</v>
      </c>
      <c r="AL11" s="167">
        <f t="shared" si="1"/>
        <v>0</v>
      </c>
      <c r="AM11" s="166">
        <f>AM75+AM56</f>
        <v>0</v>
      </c>
      <c r="AN11" s="49"/>
      <c r="AO11" s="166">
        <f>AO75+AO56</f>
        <v>0</v>
      </c>
      <c r="AP11" s="49"/>
      <c r="AQ11" s="166">
        <f>AQ75+AQ56</f>
        <v>0</v>
      </c>
      <c r="AR11" s="49"/>
      <c r="AS11" s="166">
        <f>AS75+AS56</f>
        <v>0</v>
      </c>
      <c r="AT11" s="49"/>
      <c r="AU11" s="166">
        <f>AU75+AU56</f>
        <v>0</v>
      </c>
      <c r="AV11" s="49"/>
      <c r="AW11" s="166">
        <f>AW75+AW56</f>
        <v>0</v>
      </c>
      <c r="AX11" s="49"/>
      <c r="AY11" s="166">
        <f>AY75+AY56</f>
        <v>0</v>
      </c>
      <c r="AZ11" s="49"/>
      <c r="BA11" s="166">
        <f>BA75+BA56</f>
        <v>0</v>
      </c>
      <c r="BB11" s="49"/>
      <c r="BC11" s="166">
        <f>BC75+BC56</f>
        <v>0</v>
      </c>
      <c r="BD11" s="49"/>
      <c r="BE11" s="166">
        <f>BE75+BE56</f>
        <v>0</v>
      </c>
      <c r="BF11" s="49"/>
      <c r="BG11" s="166">
        <f>BG75+BG56</f>
        <v>0</v>
      </c>
      <c r="BH11" s="49"/>
      <c r="BI11" s="166">
        <f>BI75+BI56</f>
        <v>0</v>
      </c>
      <c r="BJ11" s="49"/>
      <c r="BK11" s="166">
        <f>BK75+BK56</f>
        <v>0</v>
      </c>
      <c r="BL11" s="49"/>
      <c r="BM11" s="166">
        <f>BM75+BM56</f>
        <v>0</v>
      </c>
      <c r="BN11" s="50"/>
      <c r="BO11" s="170">
        <f>IF(COUNT(E11,G11,I11,K11,M11,O11,Q11,S11,U11,W11,Y11,AA11,AC11,AE11,AG11,AI11,AK11,AM11,AO11,AQ11,AS11,AU11,AW11,AY11,BA11,BC11,BE11,BG11,BI11,BK11,BM11)=0,"",SUM(E11,G11,I11,K11,M11,O11,Q11,S11,U11,W11,Y11,AA11,AC11,AE11,AG11,AI11,AK11,AM11,AO11,AQ11,AS11,AU11,AW11,AY11,BA11,BC11,BE11,BG11,BI11,BK11,BM11))</f>
        <v>0</v>
      </c>
      <c r="BP11" s="49"/>
      <c r="BQ11" s="172" t="e">
        <f>BQ75+BQ56</f>
        <v>#VALUE!</v>
      </c>
      <c r="BR11"/>
      <c r="BS11"/>
      <c r="BT11"/>
      <c r="BU11"/>
      <c r="BV11"/>
      <c r="BW11"/>
      <c r="BX11"/>
    </row>
    <row r="12" spans="1:76" ht="13.5" customHeight="1" x14ac:dyDescent="0.35">
      <c r="A12" s="53"/>
      <c r="B12" s="54"/>
      <c r="C12" s="55"/>
      <c r="D12" s="219"/>
      <c r="E12" s="217"/>
      <c r="F12" s="216"/>
      <c r="G12" s="217"/>
      <c r="H12" s="216"/>
      <c r="I12" s="217"/>
      <c r="J12" s="216"/>
      <c r="K12" s="217"/>
      <c r="L12" s="216"/>
      <c r="M12" s="217"/>
      <c r="N12" s="216"/>
      <c r="O12" s="217"/>
      <c r="P12" s="216"/>
      <c r="Q12" s="217"/>
      <c r="R12" s="216"/>
      <c r="S12" s="217"/>
      <c r="T12" s="216"/>
      <c r="U12" s="217"/>
      <c r="V12" s="216"/>
      <c r="W12" s="217"/>
      <c r="X12" s="216"/>
      <c r="Y12" s="217"/>
      <c r="Z12" s="216"/>
      <c r="AA12" s="217"/>
      <c r="AB12" s="216"/>
      <c r="AC12" s="217"/>
      <c r="AD12" s="216"/>
      <c r="AE12" s="217"/>
      <c r="AF12" s="216"/>
      <c r="AG12" s="217"/>
      <c r="AH12" s="216"/>
      <c r="AI12" s="217"/>
      <c r="AJ12" s="216"/>
      <c r="AK12" s="217"/>
      <c r="AL12" s="216"/>
      <c r="AM12" s="217"/>
      <c r="AN12" s="216"/>
      <c r="AO12" s="217"/>
      <c r="AP12" s="216"/>
      <c r="AQ12" s="217"/>
      <c r="AR12" s="216"/>
      <c r="AS12" s="217"/>
      <c r="AT12" s="216"/>
      <c r="AU12" s="217"/>
      <c r="AV12" s="216"/>
      <c r="AW12" s="217"/>
      <c r="AX12" s="216"/>
      <c r="AY12" s="217"/>
      <c r="AZ12" s="216"/>
      <c r="BA12" s="217"/>
      <c r="BB12" s="216"/>
      <c r="BC12" s="217"/>
      <c r="BD12" s="216"/>
      <c r="BE12" s="217"/>
      <c r="BF12" s="216"/>
      <c r="BG12" s="217"/>
      <c r="BH12" s="216"/>
      <c r="BI12" s="217"/>
      <c r="BJ12" s="216"/>
      <c r="BK12" s="217"/>
      <c r="BL12" s="216"/>
      <c r="BM12" s="217"/>
      <c r="BN12" s="56"/>
      <c r="BO12" s="57"/>
      <c r="BP12" s="216"/>
      <c r="BQ12" s="218"/>
    </row>
    <row r="13" spans="1:76" x14ac:dyDescent="0.35">
      <c r="A13" s="58" t="s">
        <v>39</v>
      </c>
      <c r="B13" s="59"/>
      <c r="C13" s="205" t="str">
        <f>IF('September 2026 Log'!BK13="","",'September 2026 Log'!BK13)</f>
        <v/>
      </c>
      <c r="D13" s="61" t="s">
        <v>52</v>
      </c>
      <c r="E13" s="62"/>
      <c r="F13" s="63" t="s">
        <v>52</v>
      </c>
      <c r="G13" s="62"/>
      <c r="H13" s="63" t="s">
        <v>52</v>
      </c>
      <c r="I13" s="62"/>
      <c r="J13" s="63" t="s">
        <v>52</v>
      </c>
      <c r="K13" s="62"/>
      <c r="L13" s="63" t="s">
        <v>52</v>
      </c>
      <c r="M13" s="62"/>
      <c r="N13" s="63" t="s">
        <v>52</v>
      </c>
      <c r="O13" s="62"/>
      <c r="P13" s="63" t="s">
        <v>52</v>
      </c>
      <c r="Q13" s="62"/>
      <c r="R13" s="63" t="s">
        <v>52</v>
      </c>
      <c r="S13" s="62"/>
      <c r="T13" s="63" t="s">
        <v>52</v>
      </c>
      <c r="U13" s="62"/>
      <c r="V13" s="63" t="s">
        <v>52</v>
      </c>
      <c r="W13" s="62"/>
      <c r="X13" s="63" t="s">
        <v>52</v>
      </c>
      <c r="Y13" s="62"/>
      <c r="Z13" s="63" t="s">
        <v>52</v>
      </c>
      <c r="AA13" s="62"/>
      <c r="AB13" s="63" t="s">
        <v>52</v>
      </c>
      <c r="AC13" s="62"/>
      <c r="AD13" s="63" t="s">
        <v>52</v>
      </c>
      <c r="AE13" s="62"/>
      <c r="AF13" s="63" t="s">
        <v>52</v>
      </c>
      <c r="AG13" s="62"/>
      <c r="AH13" s="63" t="s">
        <v>52</v>
      </c>
      <c r="AI13" s="62"/>
      <c r="AJ13" s="63" t="s">
        <v>52</v>
      </c>
      <c r="AK13" s="62"/>
      <c r="AL13" s="63" t="s">
        <v>52</v>
      </c>
      <c r="AM13" s="62"/>
      <c r="AN13" s="63" t="s">
        <v>52</v>
      </c>
      <c r="AO13" s="62"/>
      <c r="AP13" s="63" t="s">
        <v>52</v>
      </c>
      <c r="AQ13" s="62"/>
      <c r="AR13" s="63" t="s">
        <v>52</v>
      </c>
      <c r="AS13" s="62"/>
      <c r="AT13" s="63" t="s">
        <v>52</v>
      </c>
      <c r="AU13" s="62"/>
      <c r="AV13" s="63" t="s">
        <v>52</v>
      </c>
      <c r="AW13" s="62"/>
      <c r="AX13" s="63" t="s">
        <v>52</v>
      </c>
      <c r="AY13" s="62"/>
      <c r="AZ13" s="63" t="s">
        <v>52</v>
      </c>
      <c r="BA13" s="62"/>
      <c r="BB13" s="63" t="s">
        <v>52</v>
      </c>
      <c r="BC13" s="62"/>
      <c r="BD13" s="63" t="s">
        <v>52</v>
      </c>
      <c r="BE13" s="62"/>
      <c r="BF13" s="63" t="s">
        <v>52</v>
      </c>
      <c r="BG13" s="62"/>
      <c r="BH13" s="63" t="s">
        <v>52</v>
      </c>
      <c r="BI13" s="62"/>
      <c r="BJ13" s="63" t="s">
        <v>52</v>
      </c>
      <c r="BK13" s="62"/>
      <c r="BL13" s="63" t="s">
        <v>52</v>
      </c>
      <c r="BM13" s="62"/>
      <c r="BN13" s="64"/>
      <c r="BO13" s="65"/>
      <c r="BP13" s="63" t="s">
        <v>52</v>
      </c>
      <c r="BQ13" s="207" t="str">
        <f>IF(BM13="","",BM13)</f>
        <v/>
      </c>
    </row>
    <row r="14" spans="1:76" x14ac:dyDescent="0.35">
      <c r="A14" s="53" t="s">
        <v>40</v>
      </c>
      <c r="B14" s="59"/>
      <c r="C14" s="206" t="str">
        <f>IF('September 2026 Log'!BK14="","",'September 2026 Log'!BK14)</f>
        <v/>
      </c>
      <c r="D14" s="68" t="s">
        <v>40</v>
      </c>
      <c r="E14" s="69"/>
      <c r="F14" s="70" t="s">
        <v>40</v>
      </c>
      <c r="G14" s="69"/>
      <c r="H14" s="70" t="s">
        <v>40</v>
      </c>
      <c r="I14" s="69"/>
      <c r="J14" s="70" t="s">
        <v>40</v>
      </c>
      <c r="K14" s="69"/>
      <c r="L14" s="70" t="s">
        <v>40</v>
      </c>
      <c r="M14" s="69"/>
      <c r="N14" s="70" t="s">
        <v>40</v>
      </c>
      <c r="O14" s="69"/>
      <c r="P14" s="70" t="s">
        <v>40</v>
      </c>
      <c r="Q14" s="69"/>
      <c r="R14" s="70" t="s">
        <v>40</v>
      </c>
      <c r="S14" s="69"/>
      <c r="T14" s="70" t="s">
        <v>40</v>
      </c>
      <c r="U14" s="69"/>
      <c r="V14" s="70" t="s">
        <v>40</v>
      </c>
      <c r="W14" s="69"/>
      <c r="X14" s="70" t="s">
        <v>40</v>
      </c>
      <c r="Y14" s="69"/>
      <c r="Z14" s="70" t="s">
        <v>40</v>
      </c>
      <c r="AA14" s="69"/>
      <c r="AB14" s="70" t="s">
        <v>40</v>
      </c>
      <c r="AC14" s="69"/>
      <c r="AD14" s="70" t="s">
        <v>40</v>
      </c>
      <c r="AE14" s="69"/>
      <c r="AF14" s="70" t="s">
        <v>40</v>
      </c>
      <c r="AG14" s="69"/>
      <c r="AH14" s="70" t="s">
        <v>40</v>
      </c>
      <c r="AI14" s="69"/>
      <c r="AJ14" s="70" t="s">
        <v>40</v>
      </c>
      <c r="AK14" s="69"/>
      <c r="AL14" s="70" t="s">
        <v>40</v>
      </c>
      <c r="AM14" s="69"/>
      <c r="AN14" s="70" t="s">
        <v>40</v>
      </c>
      <c r="AO14" s="69"/>
      <c r="AP14" s="70" t="s">
        <v>40</v>
      </c>
      <c r="AQ14" s="69"/>
      <c r="AR14" s="70" t="s">
        <v>40</v>
      </c>
      <c r="AS14" s="69"/>
      <c r="AT14" s="70" t="s">
        <v>40</v>
      </c>
      <c r="AU14" s="69"/>
      <c r="AV14" s="70" t="s">
        <v>40</v>
      </c>
      <c r="AW14" s="69"/>
      <c r="AX14" s="70" t="s">
        <v>40</v>
      </c>
      <c r="AY14" s="69"/>
      <c r="AZ14" s="70" t="s">
        <v>40</v>
      </c>
      <c r="BA14" s="69"/>
      <c r="BB14" s="70" t="s">
        <v>40</v>
      </c>
      <c r="BC14" s="69"/>
      <c r="BD14" s="70" t="s">
        <v>40</v>
      </c>
      <c r="BE14" s="69"/>
      <c r="BF14" s="70" t="s">
        <v>40</v>
      </c>
      <c r="BG14" s="69"/>
      <c r="BH14" s="70" t="s">
        <v>40</v>
      </c>
      <c r="BI14" s="69"/>
      <c r="BJ14" s="70" t="s">
        <v>40</v>
      </c>
      <c r="BK14" s="69"/>
      <c r="BL14" s="70" t="s">
        <v>40</v>
      </c>
      <c r="BM14" s="69"/>
      <c r="BN14" s="71"/>
      <c r="BO14" s="72"/>
      <c r="BP14" s="70" t="s">
        <v>40</v>
      </c>
      <c r="BQ14" s="208" t="str">
        <f>IF(BM14="","",BM14)</f>
        <v/>
      </c>
    </row>
    <row r="15" spans="1:76" x14ac:dyDescent="0.35">
      <c r="A15" s="53" t="s">
        <v>38</v>
      </c>
      <c r="B15" s="54"/>
      <c r="C15" s="206" t="str">
        <f>IF('September 2026 Log'!BK15="","",'September 2026 Log'!BK15)</f>
        <v/>
      </c>
      <c r="D15" s="68" t="s">
        <v>53</v>
      </c>
      <c r="E15" s="69"/>
      <c r="F15" s="70" t="s">
        <v>53</v>
      </c>
      <c r="G15" s="69"/>
      <c r="H15" s="70" t="s">
        <v>53</v>
      </c>
      <c r="I15" s="69"/>
      <c r="J15" s="70" t="s">
        <v>53</v>
      </c>
      <c r="K15" s="69"/>
      <c r="L15" s="70" t="s">
        <v>53</v>
      </c>
      <c r="M15" s="69"/>
      <c r="N15" s="70" t="s">
        <v>53</v>
      </c>
      <c r="O15" s="69"/>
      <c r="P15" s="70" t="s">
        <v>53</v>
      </c>
      <c r="Q15" s="69"/>
      <c r="R15" s="70" t="s">
        <v>53</v>
      </c>
      <c r="S15" s="69"/>
      <c r="T15" s="70" t="s">
        <v>53</v>
      </c>
      <c r="U15" s="69"/>
      <c r="V15" s="70" t="s">
        <v>53</v>
      </c>
      <c r="W15" s="69"/>
      <c r="X15" s="70" t="s">
        <v>53</v>
      </c>
      <c r="Y15" s="69"/>
      <c r="Z15" s="70" t="s">
        <v>53</v>
      </c>
      <c r="AA15" s="69"/>
      <c r="AB15" s="70" t="s">
        <v>53</v>
      </c>
      <c r="AC15" s="69"/>
      <c r="AD15" s="70" t="s">
        <v>53</v>
      </c>
      <c r="AE15" s="69"/>
      <c r="AF15" s="70" t="s">
        <v>53</v>
      </c>
      <c r="AG15" s="69"/>
      <c r="AH15" s="70" t="s">
        <v>53</v>
      </c>
      <c r="AI15" s="69"/>
      <c r="AJ15" s="70" t="s">
        <v>53</v>
      </c>
      <c r="AK15" s="69"/>
      <c r="AL15" s="70" t="s">
        <v>53</v>
      </c>
      <c r="AM15" s="69"/>
      <c r="AN15" s="70" t="s">
        <v>53</v>
      </c>
      <c r="AO15" s="69"/>
      <c r="AP15" s="70" t="s">
        <v>53</v>
      </c>
      <c r="AQ15" s="69"/>
      <c r="AR15" s="70" t="s">
        <v>53</v>
      </c>
      <c r="AS15" s="69"/>
      <c r="AT15" s="70" t="s">
        <v>53</v>
      </c>
      <c r="AU15" s="69"/>
      <c r="AV15" s="70" t="s">
        <v>53</v>
      </c>
      <c r="AW15" s="69"/>
      <c r="AX15" s="70" t="s">
        <v>53</v>
      </c>
      <c r="AY15" s="69"/>
      <c r="AZ15" s="70" t="s">
        <v>53</v>
      </c>
      <c r="BA15" s="69"/>
      <c r="BB15" s="70" t="s">
        <v>53</v>
      </c>
      <c r="BC15" s="69"/>
      <c r="BD15" s="70" t="s">
        <v>53</v>
      </c>
      <c r="BE15" s="69"/>
      <c r="BF15" s="70" t="s">
        <v>53</v>
      </c>
      <c r="BG15" s="69"/>
      <c r="BH15" s="70" t="s">
        <v>53</v>
      </c>
      <c r="BI15" s="69"/>
      <c r="BJ15" s="70" t="s">
        <v>53</v>
      </c>
      <c r="BK15" s="69"/>
      <c r="BL15" s="70" t="s">
        <v>53</v>
      </c>
      <c r="BM15" s="69"/>
      <c r="BN15" s="71"/>
      <c r="BO15" s="72"/>
      <c r="BP15" s="70" t="s">
        <v>53</v>
      </c>
      <c r="BQ15" s="208" t="str">
        <f>IF(BM15="","",BM15)</f>
        <v/>
      </c>
    </row>
    <row r="16" spans="1:76" x14ac:dyDescent="0.35">
      <c r="A16" s="74" t="s">
        <v>51</v>
      </c>
      <c r="B16" s="75"/>
      <c r="C16" s="76"/>
      <c r="D16" s="77"/>
      <c r="E16" s="78"/>
      <c r="F16" s="79"/>
      <c r="G16" s="78"/>
      <c r="H16" s="79"/>
      <c r="I16" s="78"/>
      <c r="J16" s="79"/>
      <c r="K16" s="78"/>
      <c r="L16" s="79"/>
      <c r="M16" s="78"/>
      <c r="N16" s="79"/>
      <c r="O16" s="78"/>
      <c r="P16" s="79"/>
      <c r="Q16" s="78"/>
      <c r="R16" s="79"/>
      <c r="S16" s="78"/>
      <c r="T16" s="79"/>
      <c r="U16" s="78"/>
      <c r="V16" s="79"/>
      <c r="W16" s="78"/>
      <c r="X16" s="79"/>
      <c r="Y16" s="78"/>
      <c r="Z16" s="79"/>
      <c r="AA16" s="78"/>
      <c r="AB16" s="79"/>
      <c r="AC16" s="78"/>
      <c r="AD16" s="79"/>
      <c r="AE16" s="78"/>
      <c r="AF16" s="79"/>
      <c r="AG16" s="78"/>
      <c r="AH16" s="79"/>
      <c r="AI16" s="78"/>
      <c r="AJ16" s="79"/>
      <c r="AK16" s="78"/>
      <c r="AL16" s="79"/>
      <c r="AM16" s="78"/>
      <c r="AN16" s="79"/>
      <c r="AO16" s="78"/>
      <c r="AP16" s="79"/>
      <c r="AQ16" s="78"/>
      <c r="AR16" s="79"/>
      <c r="AS16" s="78"/>
      <c r="AT16" s="79"/>
      <c r="AU16" s="78"/>
      <c r="AV16" s="79"/>
      <c r="AW16" s="78"/>
      <c r="AX16" s="79"/>
      <c r="AY16" s="78"/>
      <c r="AZ16" s="79"/>
      <c r="BA16" s="78"/>
      <c r="BB16" s="79"/>
      <c r="BC16" s="78"/>
      <c r="BD16" s="79"/>
      <c r="BE16" s="78"/>
      <c r="BF16" s="79"/>
      <c r="BG16" s="78"/>
      <c r="BH16" s="79"/>
      <c r="BI16" s="78"/>
      <c r="BJ16" s="79"/>
      <c r="BK16" s="78"/>
      <c r="BL16" s="79"/>
      <c r="BM16" s="78"/>
      <c r="BN16" s="80"/>
      <c r="BO16" s="81"/>
      <c r="BP16" s="79"/>
      <c r="BQ16" s="82"/>
    </row>
    <row r="17" spans="1:76" x14ac:dyDescent="0.35">
      <c r="A17" s="53" t="s">
        <v>45</v>
      </c>
      <c r="B17" s="54"/>
      <c r="C17" s="206" t="str">
        <f>IF('September 2026 Log'!BK17="","",'September 2026 Log'!BK17)</f>
        <v/>
      </c>
      <c r="D17" s="68"/>
      <c r="E17" s="69"/>
      <c r="F17" s="70"/>
      <c r="G17" s="69"/>
      <c r="H17" s="70"/>
      <c r="I17" s="69"/>
      <c r="J17" s="70"/>
      <c r="K17" s="69"/>
      <c r="L17" s="70"/>
      <c r="M17" s="69"/>
      <c r="N17" s="70"/>
      <c r="O17" s="69"/>
      <c r="P17" s="70"/>
      <c r="Q17" s="69"/>
      <c r="R17" s="70"/>
      <c r="S17" s="69"/>
      <c r="T17" s="70"/>
      <c r="U17" s="69"/>
      <c r="V17" s="70"/>
      <c r="W17" s="69"/>
      <c r="X17" s="70"/>
      <c r="Y17" s="69"/>
      <c r="Z17" s="70"/>
      <c r="AA17" s="69"/>
      <c r="AB17" s="70"/>
      <c r="AC17" s="69"/>
      <c r="AD17" s="70"/>
      <c r="AE17" s="69"/>
      <c r="AF17" s="70"/>
      <c r="AG17" s="69"/>
      <c r="AH17" s="70"/>
      <c r="AI17" s="69"/>
      <c r="AJ17" s="70"/>
      <c r="AK17" s="69"/>
      <c r="AL17" s="70"/>
      <c r="AM17" s="69"/>
      <c r="AN17" s="70"/>
      <c r="AO17" s="69"/>
      <c r="AP17" s="70"/>
      <c r="AQ17" s="69"/>
      <c r="AR17" s="70"/>
      <c r="AS17" s="69"/>
      <c r="AT17" s="70"/>
      <c r="AU17" s="69"/>
      <c r="AV17" s="70"/>
      <c r="AW17" s="69"/>
      <c r="AX17" s="70"/>
      <c r="AY17" s="69"/>
      <c r="AZ17" s="70"/>
      <c r="BA17" s="69"/>
      <c r="BB17" s="70"/>
      <c r="BC17" s="69"/>
      <c r="BD17" s="70"/>
      <c r="BE17" s="69"/>
      <c r="BF17" s="70"/>
      <c r="BG17" s="69"/>
      <c r="BH17" s="70"/>
      <c r="BI17" s="69"/>
      <c r="BJ17" s="70"/>
      <c r="BK17" s="69"/>
      <c r="BL17" s="70"/>
      <c r="BM17" s="69"/>
      <c r="BN17" s="71"/>
      <c r="BO17" s="182" t="str">
        <f t="shared" ref="BO17:BO59" si="2">IF(COUNT(E17,G17,I17,K17,M17,O17,Q17,S17,U17,W17,Y17,AA17,AC17,AE17,AG17,AI17,AK17,AM17,AO17,AQ17,AS17,AU17,AW17,AY17,BA17,BC17,BE17,BG17,BI17,BK17,BM17)=0,"",SUM(E17,G17,I17,K17,M17,O17,Q17,S17,U17,W17,Y17,AA17,AC17,AE17,AG17,AI17,AK17,AM17,AO17,AQ17,AS17,AU17,AW17,AY17,BA17,BC17,BE17,BG17,BI17,BK17,BM17))</f>
        <v/>
      </c>
      <c r="BP17" s="70"/>
      <c r="BQ17" s="208" t="str">
        <f>IF(BM17="","",BM17)</f>
        <v/>
      </c>
    </row>
    <row r="18" spans="1:76" x14ac:dyDescent="0.35">
      <c r="A18" s="53" t="s">
        <v>46</v>
      </c>
      <c r="B18" s="54"/>
      <c r="C18" s="67"/>
      <c r="D18" s="68"/>
      <c r="E18" s="69"/>
      <c r="F18" s="70"/>
      <c r="G18" s="69"/>
      <c r="H18" s="70"/>
      <c r="I18" s="69"/>
      <c r="J18" s="70"/>
      <c r="K18" s="69"/>
      <c r="L18" s="70"/>
      <c r="M18" s="69"/>
      <c r="N18" s="70"/>
      <c r="O18" s="69"/>
      <c r="P18" s="70"/>
      <c r="Q18" s="69"/>
      <c r="R18" s="70"/>
      <c r="S18" s="69"/>
      <c r="T18" s="70"/>
      <c r="U18" s="69"/>
      <c r="V18" s="70"/>
      <c r="W18" s="69"/>
      <c r="X18" s="70"/>
      <c r="Y18" s="69"/>
      <c r="Z18" s="70"/>
      <c r="AA18" s="69"/>
      <c r="AB18" s="70"/>
      <c r="AC18" s="69"/>
      <c r="AD18" s="70"/>
      <c r="AE18" s="69"/>
      <c r="AF18" s="70"/>
      <c r="AG18" s="69"/>
      <c r="AH18" s="70"/>
      <c r="AI18" s="69"/>
      <c r="AJ18" s="70"/>
      <c r="AK18" s="69"/>
      <c r="AL18" s="70"/>
      <c r="AM18" s="69"/>
      <c r="AN18" s="70"/>
      <c r="AO18" s="69"/>
      <c r="AP18" s="70"/>
      <c r="AQ18" s="69"/>
      <c r="AR18" s="70"/>
      <c r="AS18" s="69"/>
      <c r="AT18" s="70"/>
      <c r="AU18" s="69"/>
      <c r="AV18" s="70"/>
      <c r="AW18" s="69"/>
      <c r="AX18" s="70"/>
      <c r="AY18" s="69"/>
      <c r="AZ18" s="70"/>
      <c r="BA18" s="69"/>
      <c r="BB18" s="70"/>
      <c r="BC18" s="69"/>
      <c r="BD18" s="70"/>
      <c r="BE18" s="69"/>
      <c r="BF18" s="70"/>
      <c r="BG18" s="69"/>
      <c r="BH18" s="70"/>
      <c r="BI18" s="69"/>
      <c r="BJ18" s="70"/>
      <c r="BK18" s="69"/>
      <c r="BL18" s="70"/>
      <c r="BM18" s="69"/>
      <c r="BN18" s="71"/>
      <c r="BO18" s="182" t="str">
        <f t="shared" si="2"/>
        <v/>
      </c>
      <c r="BP18" s="70"/>
      <c r="BQ18" s="73"/>
    </row>
    <row r="19" spans="1:76" x14ac:dyDescent="0.35">
      <c r="A19" s="53" t="s">
        <v>69</v>
      </c>
      <c r="B19" s="54"/>
      <c r="C19" s="67"/>
      <c r="D19" s="68"/>
      <c r="E19" s="69"/>
      <c r="F19" s="70"/>
      <c r="G19" s="69"/>
      <c r="H19" s="70"/>
      <c r="I19" s="69"/>
      <c r="J19" s="70"/>
      <c r="K19" s="69"/>
      <c r="L19" s="70"/>
      <c r="M19" s="69"/>
      <c r="N19" s="70"/>
      <c r="O19" s="69"/>
      <c r="P19" s="70"/>
      <c r="Q19" s="69"/>
      <c r="R19" s="70"/>
      <c r="S19" s="69"/>
      <c r="T19" s="70"/>
      <c r="U19" s="69"/>
      <c r="V19" s="70"/>
      <c r="W19" s="69"/>
      <c r="X19" s="70"/>
      <c r="Y19" s="69"/>
      <c r="Z19" s="70"/>
      <c r="AA19" s="69"/>
      <c r="AB19" s="70"/>
      <c r="AC19" s="69"/>
      <c r="AD19" s="70"/>
      <c r="AE19" s="69"/>
      <c r="AF19" s="70"/>
      <c r="AG19" s="69"/>
      <c r="AH19" s="70"/>
      <c r="AI19" s="69"/>
      <c r="AJ19" s="70"/>
      <c r="AK19" s="69"/>
      <c r="AL19" s="70"/>
      <c r="AM19" s="69"/>
      <c r="AN19" s="70"/>
      <c r="AO19" s="69"/>
      <c r="AP19" s="70"/>
      <c r="AQ19" s="69"/>
      <c r="AR19" s="70"/>
      <c r="AS19" s="69"/>
      <c r="AT19" s="70"/>
      <c r="AU19" s="69"/>
      <c r="AV19" s="70"/>
      <c r="AW19" s="69"/>
      <c r="AX19" s="70"/>
      <c r="AY19" s="69"/>
      <c r="AZ19" s="70"/>
      <c r="BA19" s="69"/>
      <c r="BB19" s="70"/>
      <c r="BC19" s="69"/>
      <c r="BD19" s="70"/>
      <c r="BE19" s="69"/>
      <c r="BF19" s="70"/>
      <c r="BG19" s="69"/>
      <c r="BH19" s="70"/>
      <c r="BI19" s="69"/>
      <c r="BJ19" s="70"/>
      <c r="BK19" s="69"/>
      <c r="BL19" s="70"/>
      <c r="BM19" s="69"/>
      <c r="BN19" s="71"/>
      <c r="BO19" s="182" t="str">
        <f t="shared" si="2"/>
        <v/>
      </c>
      <c r="BP19" s="70"/>
      <c r="BQ19" s="73"/>
    </row>
    <row r="20" spans="1:76" x14ac:dyDescent="0.35">
      <c r="A20" s="83" t="s">
        <v>0</v>
      </c>
      <c r="B20" s="54"/>
      <c r="C20" s="84"/>
      <c r="D20" s="85"/>
      <c r="E20" s="86"/>
      <c r="F20" s="87"/>
      <c r="G20" s="86"/>
      <c r="H20" s="87"/>
      <c r="I20" s="86"/>
      <c r="J20" s="87"/>
      <c r="K20" s="86"/>
      <c r="L20" s="87"/>
      <c r="M20" s="86"/>
      <c r="N20" s="87"/>
      <c r="O20" s="86"/>
      <c r="P20" s="87"/>
      <c r="Q20" s="86"/>
      <c r="R20" s="87"/>
      <c r="S20" s="86"/>
      <c r="T20" s="87"/>
      <c r="U20" s="86"/>
      <c r="V20" s="87"/>
      <c r="W20" s="86"/>
      <c r="X20" s="87"/>
      <c r="Y20" s="86"/>
      <c r="Z20" s="87"/>
      <c r="AA20" s="86"/>
      <c r="AB20" s="87"/>
      <c r="AC20" s="86"/>
      <c r="AD20" s="87"/>
      <c r="AE20" s="86"/>
      <c r="AF20" s="87"/>
      <c r="AG20" s="86"/>
      <c r="AH20" s="87"/>
      <c r="AI20" s="86"/>
      <c r="AJ20" s="87"/>
      <c r="AK20" s="86"/>
      <c r="AL20" s="87"/>
      <c r="AM20" s="86"/>
      <c r="AN20" s="87"/>
      <c r="AO20" s="86"/>
      <c r="AP20" s="87"/>
      <c r="AQ20" s="86"/>
      <c r="AR20" s="87"/>
      <c r="AS20" s="86"/>
      <c r="AT20" s="87"/>
      <c r="AU20" s="86"/>
      <c r="AV20" s="87"/>
      <c r="AW20" s="86"/>
      <c r="AX20" s="87"/>
      <c r="AY20" s="86"/>
      <c r="AZ20" s="87"/>
      <c r="BA20" s="86"/>
      <c r="BB20" s="87"/>
      <c r="BC20" s="86"/>
      <c r="BD20" s="87"/>
      <c r="BE20" s="86"/>
      <c r="BF20" s="87"/>
      <c r="BG20" s="86"/>
      <c r="BH20" s="87"/>
      <c r="BI20" s="86"/>
      <c r="BJ20" s="87"/>
      <c r="BK20" s="86"/>
      <c r="BL20" s="87"/>
      <c r="BM20" s="86"/>
      <c r="BN20" s="50"/>
      <c r="BO20" s="170" t="str">
        <f t="shared" si="2"/>
        <v/>
      </c>
      <c r="BP20" s="87"/>
      <c r="BQ20" s="88"/>
    </row>
    <row r="21" spans="1:76" x14ac:dyDescent="0.35">
      <c r="A21" s="83" t="s">
        <v>1</v>
      </c>
      <c r="B21" s="54"/>
      <c r="C21" s="174" t="str">
        <f>IF('September 2026 Log'!BK21="","",'September 2026 Log'!BK21)</f>
        <v/>
      </c>
      <c r="D21" s="85"/>
      <c r="E21" s="86"/>
      <c r="F21" s="87"/>
      <c r="G21" s="86"/>
      <c r="H21" s="87"/>
      <c r="I21" s="86"/>
      <c r="J21" s="87"/>
      <c r="K21" s="86"/>
      <c r="L21" s="87"/>
      <c r="M21" s="86"/>
      <c r="N21" s="87"/>
      <c r="O21" s="86"/>
      <c r="P21" s="87"/>
      <c r="Q21" s="86"/>
      <c r="R21" s="87"/>
      <c r="S21" s="86"/>
      <c r="T21" s="87"/>
      <c r="U21" s="86"/>
      <c r="V21" s="87"/>
      <c r="W21" s="86"/>
      <c r="X21" s="87"/>
      <c r="Y21" s="86"/>
      <c r="Z21" s="87"/>
      <c r="AA21" s="86"/>
      <c r="AB21" s="87"/>
      <c r="AC21" s="86"/>
      <c r="AD21" s="87"/>
      <c r="AE21" s="86"/>
      <c r="AF21" s="87"/>
      <c r="AG21" s="86"/>
      <c r="AH21" s="87"/>
      <c r="AI21" s="86"/>
      <c r="AJ21" s="87"/>
      <c r="AK21" s="86"/>
      <c r="AL21" s="87"/>
      <c r="AM21" s="86"/>
      <c r="AN21" s="87"/>
      <c r="AO21" s="86"/>
      <c r="AP21" s="87"/>
      <c r="AQ21" s="86"/>
      <c r="AR21" s="87"/>
      <c r="AS21" s="86"/>
      <c r="AT21" s="87"/>
      <c r="AU21" s="86"/>
      <c r="AV21" s="87"/>
      <c r="AW21" s="86"/>
      <c r="AX21" s="87"/>
      <c r="AY21" s="86"/>
      <c r="AZ21" s="87"/>
      <c r="BA21" s="86"/>
      <c r="BB21" s="87"/>
      <c r="BC21" s="86"/>
      <c r="BD21" s="87"/>
      <c r="BE21" s="86"/>
      <c r="BF21" s="87"/>
      <c r="BG21" s="86"/>
      <c r="BH21" s="87"/>
      <c r="BI21" s="86"/>
      <c r="BJ21" s="87"/>
      <c r="BK21" s="86"/>
      <c r="BL21" s="87"/>
      <c r="BM21" s="86"/>
      <c r="BN21" s="50"/>
      <c r="BO21" s="170" t="str">
        <f t="shared" si="2"/>
        <v/>
      </c>
      <c r="BP21" s="87"/>
      <c r="BQ21" s="178" t="str">
        <f>IF(BM21="","",BM21)</f>
        <v/>
      </c>
    </row>
    <row r="22" spans="1:76" s="1" customFormat="1" ht="15" thickBot="1" x14ac:dyDescent="0.4">
      <c r="A22" s="89" t="s">
        <v>41</v>
      </c>
      <c r="B22" s="90"/>
      <c r="C22" s="175">
        <f>IF('September 2026 Log'!BK22="","",'September 2026 Log'!BK22)</f>
        <v>0</v>
      </c>
      <c r="D22" s="47"/>
      <c r="E22" s="177">
        <f t="shared" ref="E22" si="3">SUM(E20:E21)</f>
        <v>0</v>
      </c>
      <c r="F22" s="49"/>
      <c r="G22" s="177">
        <f t="shared" ref="G22" si="4">SUM(G20:G21)</f>
        <v>0</v>
      </c>
      <c r="H22" s="49"/>
      <c r="I22" s="177">
        <f t="shared" ref="I22" si="5">SUM(I20:I21)</f>
        <v>0</v>
      </c>
      <c r="J22" s="49"/>
      <c r="K22" s="177">
        <f t="shared" ref="K22" si="6">SUM(K20:K21)</f>
        <v>0</v>
      </c>
      <c r="L22" s="49"/>
      <c r="M22" s="177">
        <f t="shared" ref="M22" si="7">SUM(M20:M21)</f>
        <v>0</v>
      </c>
      <c r="N22" s="49"/>
      <c r="O22" s="177">
        <f t="shared" ref="O22" si="8">SUM(O20:O21)</f>
        <v>0</v>
      </c>
      <c r="P22" s="49"/>
      <c r="Q22" s="177">
        <f t="shared" ref="Q22" si="9">SUM(Q20:Q21)</f>
        <v>0</v>
      </c>
      <c r="R22" s="49"/>
      <c r="S22" s="177">
        <f t="shared" ref="S22" si="10">SUM(S20:S21)</f>
        <v>0</v>
      </c>
      <c r="T22" s="49"/>
      <c r="U22" s="177">
        <f t="shared" ref="U22" si="11">SUM(U20:U21)</f>
        <v>0</v>
      </c>
      <c r="V22" s="49"/>
      <c r="W22" s="177">
        <f t="shared" ref="W22" si="12">SUM(W20:W21)</f>
        <v>0</v>
      </c>
      <c r="X22" s="49"/>
      <c r="Y22" s="177">
        <f t="shared" ref="Y22" si="13">SUM(Y20:Y21)</f>
        <v>0</v>
      </c>
      <c r="Z22" s="49"/>
      <c r="AA22" s="177">
        <f t="shared" ref="AA22" si="14">SUM(AA20:AA21)</f>
        <v>0</v>
      </c>
      <c r="AB22" s="49"/>
      <c r="AC22" s="177">
        <f t="shared" ref="AC22" si="15">SUM(AC20:AC21)</f>
        <v>0</v>
      </c>
      <c r="AD22" s="49"/>
      <c r="AE22" s="177">
        <f t="shared" ref="AE22" si="16">SUM(AE20:AE21)</f>
        <v>0</v>
      </c>
      <c r="AF22" s="49"/>
      <c r="AG22" s="177">
        <f t="shared" ref="AG22" si="17">SUM(AG20:AG21)</f>
        <v>0</v>
      </c>
      <c r="AH22" s="49"/>
      <c r="AI22" s="177">
        <f t="shared" ref="AI22" si="18">SUM(AI20:AI21)</f>
        <v>0</v>
      </c>
      <c r="AJ22" s="49"/>
      <c r="AK22" s="177">
        <f t="shared" ref="AK22" si="19">SUM(AK20:AK21)</f>
        <v>0</v>
      </c>
      <c r="AL22" s="49"/>
      <c r="AM22" s="177">
        <f t="shared" ref="AM22" si="20">SUM(AM20:AM21)</f>
        <v>0</v>
      </c>
      <c r="AN22" s="49"/>
      <c r="AO22" s="177">
        <f t="shared" ref="AO22" si="21">SUM(AO20:AO21)</f>
        <v>0</v>
      </c>
      <c r="AP22" s="49"/>
      <c r="AQ22" s="177">
        <f t="shared" ref="AQ22" si="22">SUM(AQ20:AQ21)</f>
        <v>0</v>
      </c>
      <c r="AR22" s="49"/>
      <c r="AS22" s="177">
        <f t="shared" ref="AS22" si="23">SUM(AS20:AS21)</f>
        <v>0</v>
      </c>
      <c r="AT22" s="49"/>
      <c r="AU22" s="177">
        <f t="shared" ref="AU22" si="24">SUM(AU20:AU21)</f>
        <v>0</v>
      </c>
      <c r="AV22" s="49"/>
      <c r="AW22" s="177">
        <f t="shared" ref="AW22" si="25">SUM(AW20:AW21)</f>
        <v>0</v>
      </c>
      <c r="AX22" s="49"/>
      <c r="AY22" s="177">
        <f t="shared" ref="AY22" si="26">SUM(AY20:AY21)</f>
        <v>0</v>
      </c>
      <c r="AZ22" s="49"/>
      <c r="BA22" s="177">
        <f t="shared" ref="BA22" si="27">SUM(BA20:BA21)</f>
        <v>0</v>
      </c>
      <c r="BB22" s="49"/>
      <c r="BC22" s="177">
        <f t="shared" ref="BC22" si="28">SUM(BC20:BC21)</f>
        <v>0</v>
      </c>
      <c r="BD22" s="49"/>
      <c r="BE22" s="177">
        <f t="shared" ref="BE22" si="29">SUM(BE20:BE21)</f>
        <v>0</v>
      </c>
      <c r="BF22" s="49"/>
      <c r="BG22" s="177">
        <f t="shared" ref="BG22" si="30">SUM(BG20:BG21)</f>
        <v>0</v>
      </c>
      <c r="BH22" s="49"/>
      <c r="BI22" s="177">
        <f t="shared" ref="BI22" si="31">SUM(BI20:BI21)</f>
        <v>0</v>
      </c>
      <c r="BJ22" s="49"/>
      <c r="BK22" s="177">
        <f t="shared" ref="BK22" si="32">SUM(BK20:BK21)</f>
        <v>0</v>
      </c>
      <c r="BL22" s="49"/>
      <c r="BM22" s="177">
        <f t="shared" ref="BM22" si="33">SUM(BM20:BM21)</f>
        <v>0</v>
      </c>
      <c r="BN22" s="92"/>
      <c r="BO22" s="170">
        <f t="shared" si="2"/>
        <v>0</v>
      </c>
      <c r="BP22" s="49"/>
      <c r="BQ22" s="179">
        <f>IF(BM22="","",BM22)</f>
        <v>0</v>
      </c>
      <c r="BR22"/>
      <c r="BS22"/>
      <c r="BT22"/>
      <c r="BU22"/>
      <c r="BV22"/>
      <c r="BW22"/>
      <c r="BX22"/>
    </row>
    <row r="23" spans="1:76" ht="15" hidden="1" thickBot="1" x14ac:dyDescent="0.4">
      <c r="A23" s="83" t="s">
        <v>2</v>
      </c>
      <c r="B23" s="54"/>
      <c r="C23" s="84"/>
      <c r="D23" s="85"/>
      <c r="E23" s="86"/>
      <c r="F23" s="87"/>
      <c r="G23" s="86"/>
      <c r="H23" s="87"/>
      <c r="I23" s="86"/>
      <c r="J23" s="87"/>
      <c r="K23" s="86"/>
      <c r="L23" s="87"/>
      <c r="M23" s="86"/>
      <c r="N23" s="87"/>
      <c r="O23" s="86"/>
      <c r="P23" s="87"/>
      <c r="Q23" s="86"/>
      <c r="R23" s="87"/>
      <c r="S23" s="86"/>
      <c r="T23" s="87"/>
      <c r="U23" s="86"/>
      <c r="V23" s="87"/>
      <c r="W23" s="86"/>
      <c r="X23" s="87"/>
      <c r="Y23" s="86"/>
      <c r="Z23" s="87"/>
      <c r="AA23" s="86"/>
      <c r="AB23" s="87"/>
      <c r="AC23" s="86"/>
      <c r="AD23" s="87"/>
      <c r="AE23" s="86"/>
      <c r="AF23" s="87"/>
      <c r="AG23" s="86"/>
      <c r="AH23" s="87"/>
      <c r="AI23" s="86"/>
      <c r="AJ23" s="87"/>
      <c r="AK23" s="86"/>
      <c r="AL23" s="87"/>
      <c r="AM23" s="86"/>
      <c r="AN23" s="87"/>
      <c r="AO23" s="86"/>
      <c r="AP23" s="87"/>
      <c r="AQ23" s="86"/>
      <c r="AR23" s="87"/>
      <c r="AS23" s="86"/>
      <c r="AT23" s="87"/>
      <c r="AU23" s="86"/>
      <c r="AV23" s="87"/>
      <c r="AW23" s="86"/>
      <c r="AX23" s="87"/>
      <c r="AY23" s="86"/>
      <c r="AZ23" s="87"/>
      <c r="BA23" s="86"/>
      <c r="BB23" s="87"/>
      <c r="BC23" s="86"/>
      <c r="BD23" s="87"/>
      <c r="BE23" s="86"/>
      <c r="BF23" s="87"/>
      <c r="BG23" s="86"/>
      <c r="BH23" s="87"/>
      <c r="BI23" s="86"/>
      <c r="BJ23" s="87"/>
      <c r="BK23" s="86"/>
      <c r="BL23" s="87"/>
      <c r="BM23" s="86"/>
      <c r="BN23" s="50"/>
      <c r="BO23" s="170" t="str">
        <f t="shared" si="2"/>
        <v/>
      </c>
      <c r="BP23" s="87"/>
      <c r="BQ23" s="88"/>
    </row>
    <row r="24" spans="1:76" ht="15" hidden="1" thickBot="1" x14ac:dyDescent="0.4">
      <c r="A24" s="83" t="s">
        <v>3</v>
      </c>
      <c r="B24" s="54"/>
      <c r="C24" s="84"/>
      <c r="D24" s="85"/>
      <c r="E24" s="86"/>
      <c r="F24" s="87"/>
      <c r="G24" s="86"/>
      <c r="H24" s="87"/>
      <c r="I24" s="86"/>
      <c r="J24" s="87"/>
      <c r="K24" s="86"/>
      <c r="L24" s="87"/>
      <c r="M24" s="86"/>
      <c r="N24" s="87"/>
      <c r="O24" s="86"/>
      <c r="P24" s="87"/>
      <c r="Q24" s="86"/>
      <c r="R24" s="87"/>
      <c r="S24" s="86"/>
      <c r="T24" s="87"/>
      <c r="U24" s="86"/>
      <c r="V24" s="87"/>
      <c r="W24" s="86"/>
      <c r="X24" s="87"/>
      <c r="Y24" s="86"/>
      <c r="Z24" s="87"/>
      <c r="AA24" s="86"/>
      <c r="AB24" s="87"/>
      <c r="AC24" s="86"/>
      <c r="AD24" s="87"/>
      <c r="AE24" s="86"/>
      <c r="AF24" s="87"/>
      <c r="AG24" s="86"/>
      <c r="AH24" s="87"/>
      <c r="AI24" s="86"/>
      <c r="AJ24" s="87"/>
      <c r="AK24" s="86"/>
      <c r="AL24" s="87"/>
      <c r="AM24" s="86"/>
      <c r="AN24" s="87"/>
      <c r="AO24" s="86"/>
      <c r="AP24" s="87"/>
      <c r="AQ24" s="86"/>
      <c r="AR24" s="87"/>
      <c r="AS24" s="86"/>
      <c r="AT24" s="87"/>
      <c r="AU24" s="86"/>
      <c r="AV24" s="87"/>
      <c r="AW24" s="86"/>
      <c r="AX24" s="87"/>
      <c r="AY24" s="86"/>
      <c r="AZ24" s="87"/>
      <c r="BA24" s="86"/>
      <c r="BB24" s="87"/>
      <c r="BC24" s="86"/>
      <c r="BD24" s="87"/>
      <c r="BE24" s="86"/>
      <c r="BF24" s="87"/>
      <c r="BG24" s="86"/>
      <c r="BH24" s="87"/>
      <c r="BI24" s="86"/>
      <c r="BJ24" s="87"/>
      <c r="BK24" s="86"/>
      <c r="BL24" s="87"/>
      <c r="BM24" s="86"/>
      <c r="BN24" s="50"/>
      <c r="BO24" s="170" t="str">
        <f t="shared" si="2"/>
        <v/>
      </c>
      <c r="BP24" s="87"/>
      <c r="BQ24" s="88"/>
    </row>
    <row r="25" spans="1:76" s="7" customFormat="1" x14ac:dyDescent="0.35">
      <c r="A25" s="83" t="s">
        <v>37</v>
      </c>
      <c r="B25" s="54"/>
      <c r="C25" s="174" t="str">
        <f>IF('September 2026 Log'!BK25="","",'September 2026 Log'!BK25)</f>
        <v/>
      </c>
      <c r="D25" s="85"/>
      <c r="E25" s="86"/>
      <c r="F25" s="87"/>
      <c r="G25" s="86"/>
      <c r="H25" s="87"/>
      <c r="I25" s="86"/>
      <c r="J25" s="87"/>
      <c r="K25" s="86"/>
      <c r="L25" s="87"/>
      <c r="M25" s="86"/>
      <c r="N25" s="87"/>
      <c r="O25" s="86"/>
      <c r="P25" s="87"/>
      <c r="Q25" s="86"/>
      <c r="R25" s="87"/>
      <c r="S25" s="86"/>
      <c r="T25" s="87"/>
      <c r="U25" s="86"/>
      <c r="V25" s="87"/>
      <c r="W25" s="86"/>
      <c r="X25" s="87"/>
      <c r="Y25" s="86"/>
      <c r="Z25" s="87"/>
      <c r="AA25" s="86"/>
      <c r="AB25" s="87"/>
      <c r="AC25" s="86"/>
      <c r="AD25" s="87"/>
      <c r="AE25" s="86"/>
      <c r="AF25" s="87"/>
      <c r="AG25" s="86"/>
      <c r="AH25" s="87"/>
      <c r="AI25" s="86"/>
      <c r="AJ25" s="87"/>
      <c r="AK25" s="86"/>
      <c r="AL25" s="87"/>
      <c r="AM25" s="86"/>
      <c r="AN25" s="87"/>
      <c r="AO25" s="86"/>
      <c r="AP25" s="87"/>
      <c r="AQ25" s="86"/>
      <c r="AR25" s="87"/>
      <c r="AS25" s="86"/>
      <c r="AT25" s="87"/>
      <c r="AU25" s="86"/>
      <c r="AV25" s="87"/>
      <c r="AW25" s="86"/>
      <c r="AX25" s="87"/>
      <c r="AY25" s="86"/>
      <c r="AZ25" s="87"/>
      <c r="BA25" s="86"/>
      <c r="BB25" s="87"/>
      <c r="BC25" s="86"/>
      <c r="BD25" s="87"/>
      <c r="BE25" s="86"/>
      <c r="BF25" s="87"/>
      <c r="BG25" s="86"/>
      <c r="BH25" s="87"/>
      <c r="BI25" s="86"/>
      <c r="BJ25" s="87"/>
      <c r="BK25" s="86"/>
      <c r="BL25" s="87"/>
      <c r="BM25" s="86"/>
      <c r="BN25" s="50"/>
      <c r="BO25" s="170" t="str">
        <f t="shared" si="2"/>
        <v/>
      </c>
      <c r="BP25" s="87"/>
      <c r="BQ25" s="178" t="str">
        <f>IF(BM25="","",BM25)</f>
        <v/>
      </c>
      <c r="BR25"/>
      <c r="BS25"/>
      <c r="BT25"/>
      <c r="BU25"/>
      <c r="BV25"/>
      <c r="BW25"/>
      <c r="BX25"/>
    </row>
    <row r="26" spans="1:76" ht="15" thickBot="1" x14ac:dyDescent="0.4">
      <c r="A26" s="94" t="s">
        <v>4</v>
      </c>
      <c r="B26" s="95"/>
      <c r="C26" s="174" t="str">
        <f>IF('September 2026 Log'!BK26="","",'September 2026 Log'!BK26)</f>
        <v/>
      </c>
      <c r="D26" s="96"/>
      <c r="E26" s="86"/>
      <c r="F26" s="97"/>
      <c r="G26" s="86"/>
      <c r="H26" s="97"/>
      <c r="I26" s="86"/>
      <c r="J26" s="97"/>
      <c r="K26" s="86"/>
      <c r="L26" s="97"/>
      <c r="M26" s="86"/>
      <c r="N26" s="97"/>
      <c r="O26" s="86"/>
      <c r="P26" s="97"/>
      <c r="Q26" s="86"/>
      <c r="R26" s="97"/>
      <c r="S26" s="86"/>
      <c r="T26" s="97"/>
      <c r="U26" s="86"/>
      <c r="V26" s="97"/>
      <c r="W26" s="86"/>
      <c r="X26" s="97"/>
      <c r="Y26" s="86"/>
      <c r="Z26" s="97"/>
      <c r="AA26" s="86"/>
      <c r="AB26" s="97"/>
      <c r="AC26" s="86"/>
      <c r="AD26" s="97"/>
      <c r="AE26" s="86"/>
      <c r="AF26" s="97"/>
      <c r="AG26" s="86"/>
      <c r="AH26" s="97"/>
      <c r="AI26" s="86"/>
      <c r="AJ26" s="97"/>
      <c r="AK26" s="86"/>
      <c r="AL26" s="97"/>
      <c r="AM26" s="86"/>
      <c r="AN26" s="97"/>
      <c r="AO26" s="86"/>
      <c r="AP26" s="97"/>
      <c r="AQ26" s="86"/>
      <c r="AR26" s="97"/>
      <c r="AS26" s="86"/>
      <c r="AT26" s="97"/>
      <c r="AU26" s="86"/>
      <c r="AV26" s="97"/>
      <c r="AW26" s="86"/>
      <c r="AX26" s="97"/>
      <c r="AY26" s="86"/>
      <c r="AZ26" s="97"/>
      <c r="BA26" s="86"/>
      <c r="BB26" s="97"/>
      <c r="BC26" s="86"/>
      <c r="BD26" s="97"/>
      <c r="BE26" s="86"/>
      <c r="BF26" s="97"/>
      <c r="BG26" s="86"/>
      <c r="BH26" s="97"/>
      <c r="BI26" s="86"/>
      <c r="BJ26" s="97"/>
      <c r="BK26" s="86"/>
      <c r="BL26" s="97"/>
      <c r="BM26" s="86"/>
      <c r="BN26" s="50"/>
      <c r="BO26" s="170" t="str">
        <f t="shared" si="2"/>
        <v/>
      </c>
      <c r="BP26" s="97"/>
      <c r="BQ26" s="178" t="str">
        <f>IF(BM26="","",BM26)</f>
        <v/>
      </c>
    </row>
    <row r="27" spans="1:76" s="7" customFormat="1" x14ac:dyDescent="0.35">
      <c r="A27" s="53" t="s">
        <v>21</v>
      </c>
      <c r="B27" s="54"/>
      <c r="C27" s="174" t="str">
        <f>IF('September 2026 Log'!BK27="","",'September 2026 Log'!BK27)</f>
        <v/>
      </c>
      <c r="D27" s="85"/>
      <c r="E27" s="86"/>
      <c r="F27" s="87"/>
      <c r="G27" s="86"/>
      <c r="H27" s="87"/>
      <c r="I27" s="86"/>
      <c r="J27" s="87"/>
      <c r="K27" s="86"/>
      <c r="L27" s="87"/>
      <c r="M27" s="86"/>
      <c r="N27" s="87"/>
      <c r="O27" s="86"/>
      <c r="P27" s="87"/>
      <c r="Q27" s="86"/>
      <c r="R27" s="87"/>
      <c r="S27" s="86"/>
      <c r="T27" s="87"/>
      <c r="U27" s="86"/>
      <c r="V27" s="87"/>
      <c r="W27" s="86"/>
      <c r="X27" s="87"/>
      <c r="Y27" s="86"/>
      <c r="Z27" s="87"/>
      <c r="AA27" s="86"/>
      <c r="AB27" s="87"/>
      <c r="AC27" s="86"/>
      <c r="AD27" s="87"/>
      <c r="AE27" s="86"/>
      <c r="AF27" s="87"/>
      <c r="AG27" s="86"/>
      <c r="AH27" s="87"/>
      <c r="AI27" s="86"/>
      <c r="AJ27" s="87"/>
      <c r="AK27" s="86"/>
      <c r="AL27" s="87"/>
      <c r="AM27" s="86"/>
      <c r="AN27" s="87"/>
      <c r="AO27" s="86"/>
      <c r="AP27" s="87"/>
      <c r="AQ27" s="86"/>
      <c r="AR27" s="87"/>
      <c r="AS27" s="86"/>
      <c r="AT27" s="87"/>
      <c r="AU27" s="86"/>
      <c r="AV27" s="87"/>
      <c r="AW27" s="86"/>
      <c r="AX27" s="87"/>
      <c r="AY27" s="86"/>
      <c r="AZ27" s="87"/>
      <c r="BA27" s="86"/>
      <c r="BB27" s="87"/>
      <c r="BC27" s="86"/>
      <c r="BD27" s="87"/>
      <c r="BE27" s="86"/>
      <c r="BF27" s="87"/>
      <c r="BG27" s="86"/>
      <c r="BH27" s="87"/>
      <c r="BI27" s="86"/>
      <c r="BJ27" s="87"/>
      <c r="BK27" s="86"/>
      <c r="BL27" s="87"/>
      <c r="BM27" s="86"/>
      <c r="BN27" s="50"/>
      <c r="BO27" s="170" t="str">
        <f t="shared" si="2"/>
        <v/>
      </c>
      <c r="BP27" s="87"/>
      <c r="BQ27" s="178" t="str">
        <f>IF(BM27="","",BM27)</f>
        <v/>
      </c>
      <c r="BR27"/>
      <c r="BS27"/>
      <c r="BT27"/>
      <c r="BU27"/>
      <c r="BV27"/>
      <c r="BW27"/>
      <c r="BX27"/>
    </row>
    <row r="28" spans="1:76" x14ac:dyDescent="0.35">
      <c r="A28" s="53" t="s">
        <v>22</v>
      </c>
      <c r="B28" s="54"/>
      <c r="C28" s="174" t="str">
        <f>IF('September 2026 Log'!BK28="","",'September 2026 Log'!BK28)</f>
        <v/>
      </c>
      <c r="D28" s="85"/>
      <c r="E28" s="86"/>
      <c r="F28" s="87"/>
      <c r="G28" s="86"/>
      <c r="H28" s="87"/>
      <c r="I28" s="86"/>
      <c r="J28" s="87"/>
      <c r="K28" s="86"/>
      <c r="L28" s="87"/>
      <c r="M28" s="86"/>
      <c r="N28" s="87"/>
      <c r="O28" s="86"/>
      <c r="P28" s="87"/>
      <c r="Q28" s="86"/>
      <c r="R28" s="87"/>
      <c r="S28" s="86"/>
      <c r="T28" s="87"/>
      <c r="U28" s="86"/>
      <c r="V28" s="87"/>
      <c r="W28" s="86"/>
      <c r="X28" s="87"/>
      <c r="Y28" s="86"/>
      <c r="Z28" s="87"/>
      <c r="AA28" s="86"/>
      <c r="AB28" s="87"/>
      <c r="AC28" s="86"/>
      <c r="AD28" s="87"/>
      <c r="AE28" s="86"/>
      <c r="AF28" s="87"/>
      <c r="AG28" s="86"/>
      <c r="AH28" s="87"/>
      <c r="AI28" s="86"/>
      <c r="AJ28" s="87"/>
      <c r="AK28" s="86"/>
      <c r="AL28" s="87"/>
      <c r="AM28" s="86"/>
      <c r="AN28" s="87"/>
      <c r="AO28" s="86"/>
      <c r="AP28" s="87"/>
      <c r="AQ28" s="86"/>
      <c r="AR28" s="87"/>
      <c r="AS28" s="86"/>
      <c r="AT28" s="87"/>
      <c r="AU28" s="86"/>
      <c r="AV28" s="87"/>
      <c r="AW28" s="86"/>
      <c r="AX28" s="87"/>
      <c r="AY28" s="86"/>
      <c r="AZ28" s="87"/>
      <c r="BA28" s="86"/>
      <c r="BB28" s="87"/>
      <c r="BC28" s="86"/>
      <c r="BD28" s="87"/>
      <c r="BE28" s="86"/>
      <c r="BF28" s="87"/>
      <c r="BG28" s="86"/>
      <c r="BH28" s="87"/>
      <c r="BI28" s="86"/>
      <c r="BJ28" s="87"/>
      <c r="BK28" s="86"/>
      <c r="BL28" s="87"/>
      <c r="BM28" s="86"/>
      <c r="BN28" s="50"/>
      <c r="BO28" s="170" t="str">
        <f t="shared" si="2"/>
        <v/>
      </c>
      <c r="BP28" s="87"/>
      <c r="BQ28" s="178" t="str">
        <f>IF(BM28="","",BM28)</f>
        <v/>
      </c>
    </row>
    <row r="29" spans="1:76" s="4" customFormat="1" ht="15" thickBot="1" x14ac:dyDescent="0.4">
      <c r="A29" s="53" t="s">
        <v>23</v>
      </c>
      <c r="B29" s="54"/>
      <c r="C29" s="84"/>
      <c r="D29" s="85"/>
      <c r="E29" s="86"/>
      <c r="F29" s="87"/>
      <c r="G29" s="86"/>
      <c r="H29" s="87"/>
      <c r="I29" s="86"/>
      <c r="J29" s="87"/>
      <c r="K29" s="86"/>
      <c r="L29" s="87"/>
      <c r="M29" s="86"/>
      <c r="N29" s="87"/>
      <c r="O29" s="86"/>
      <c r="P29" s="87"/>
      <c r="Q29" s="86"/>
      <c r="R29" s="87"/>
      <c r="S29" s="86"/>
      <c r="T29" s="87"/>
      <c r="U29" s="86"/>
      <c r="V29" s="87"/>
      <c r="W29" s="86"/>
      <c r="X29" s="87"/>
      <c r="Y29" s="86"/>
      <c r="Z29" s="87"/>
      <c r="AA29" s="86"/>
      <c r="AB29" s="87"/>
      <c r="AC29" s="86"/>
      <c r="AD29" s="87"/>
      <c r="AE29" s="86"/>
      <c r="AF29" s="87"/>
      <c r="AG29" s="86"/>
      <c r="AH29" s="87"/>
      <c r="AI29" s="86"/>
      <c r="AJ29" s="87"/>
      <c r="AK29" s="86"/>
      <c r="AL29" s="87"/>
      <c r="AM29" s="86"/>
      <c r="AN29" s="87"/>
      <c r="AO29" s="86"/>
      <c r="AP29" s="87"/>
      <c r="AQ29" s="86"/>
      <c r="AR29" s="87"/>
      <c r="AS29" s="86"/>
      <c r="AT29" s="87"/>
      <c r="AU29" s="86"/>
      <c r="AV29" s="87"/>
      <c r="AW29" s="86"/>
      <c r="AX29" s="87"/>
      <c r="AY29" s="86"/>
      <c r="AZ29" s="87"/>
      <c r="BA29" s="86"/>
      <c r="BB29" s="87"/>
      <c r="BC29" s="86"/>
      <c r="BD29" s="87"/>
      <c r="BE29" s="86"/>
      <c r="BF29" s="87"/>
      <c r="BG29" s="86"/>
      <c r="BH29" s="87"/>
      <c r="BI29" s="86"/>
      <c r="BJ29" s="87"/>
      <c r="BK29" s="86"/>
      <c r="BL29" s="87"/>
      <c r="BM29" s="86"/>
      <c r="BN29" s="50"/>
      <c r="BO29" s="170" t="str">
        <f t="shared" si="2"/>
        <v/>
      </c>
      <c r="BP29" s="87"/>
      <c r="BQ29" s="88"/>
      <c r="BR29"/>
      <c r="BS29"/>
      <c r="BT29"/>
      <c r="BU29"/>
      <c r="BV29"/>
      <c r="BW29"/>
      <c r="BX29"/>
    </row>
    <row r="30" spans="1:76" s="5" customFormat="1" ht="15" thickBot="1" x14ac:dyDescent="0.4">
      <c r="A30" s="98"/>
      <c r="B30" s="90"/>
      <c r="C30" s="84"/>
      <c r="D30" s="47"/>
      <c r="E30" s="180" t="e">
        <f>E28-(C28-E25+E29)</f>
        <v>#VALUE!</v>
      </c>
      <c r="F30" s="49"/>
      <c r="G30" s="166">
        <f>G28-(E28-G25+G29)</f>
        <v>0</v>
      </c>
      <c r="H30" s="49"/>
      <c r="I30" s="166">
        <f>I28-(G28-I25+I29)</f>
        <v>0</v>
      </c>
      <c r="J30" s="49"/>
      <c r="K30" s="180">
        <f>K28-(I28-K25+K29)</f>
        <v>0</v>
      </c>
      <c r="L30" s="49"/>
      <c r="M30" s="166">
        <f>M28-(K28-M25+M29)</f>
        <v>0</v>
      </c>
      <c r="N30" s="49"/>
      <c r="O30" s="166">
        <f>O28-(M28-O25+O29)</f>
        <v>0</v>
      </c>
      <c r="P30" s="49"/>
      <c r="Q30" s="166">
        <f>Q28-(O28-Q25+Q29)</f>
        <v>0</v>
      </c>
      <c r="R30" s="49"/>
      <c r="S30" s="166">
        <f>S28-(Q28-S25+S29)</f>
        <v>0</v>
      </c>
      <c r="T30" s="49"/>
      <c r="U30" s="166">
        <f>U28-(S28-U25+U29)</f>
        <v>0</v>
      </c>
      <c r="V30" s="49"/>
      <c r="W30" s="166">
        <f>W28-(U28-W25+W29)</f>
        <v>0</v>
      </c>
      <c r="X30" s="49"/>
      <c r="Y30" s="166">
        <f>Y28-(W28-Y25+Y29)</f>
        <v>0</v>
      </c>
      <c r="Z30" s="49"/>
      <c r="AA30" s="166">
        <f>AA28-(Y28-AA25+AA29)</f>
        <v>0</v>
      </c>
      <c r="AB30" s="49"/>
      <c r="AC30" s="166">
        <f>AC28-(AA28-AC25+AC29)</f>
        <v>0</v>
      </c>
      <c r="AD30" s="49"/>
      <c r="AE30" s="166">
        <f>AE28-(AC28-AE25+AE29)</f>
        <v>0</v>
      </c>
      <c r="AF30" s="49"/>
      <c r="AG30" s="166">
        <f>AG28-(AE28-AG25+AG29)</f>
        <v>0</v>
      </c>
      <c r="AH30" s="49"/>
      <c r="AI30" s="166">
        <f>AI28-(AG28-AI25+AI29)</f>
        <v>0</v>
      </c>
      <c r="AJ30" s="49"/>
      <c r="AK30" s="166">
        <f>AK28-(AI28-AK25+AK29)</f>
        <v>0</v>
      </c>
      <c r="AL30" s="49"/>
      <c r="AM30" s="166">
        <f>AM28-(AK28-AM25+AM29)</f>
        <v>0</v>
      </c>
      <c r="AN30" s="49"/>
      <c r="AO30" s="166">
        <f>AO28-(AM28-AO25+AO29)</f>
        <v>0</v>
      </c>
      <c r="AP30" s="49"/>
      <c r="AQ30" s="166">
        <f>AQ28-(AO28-AQ25+AQ29)</f>
        <v>0</v>
      </c>
      <c r="AR30" s="49"/>
      <c r="AS30" s="166">
        <f>AS28-(AQ28-AS25+AS29)</f>
        <v>0</v>
      </c>
      <c r="AT30" s="49"/>
      <c r="AU30" s="166">
        <f>AU28-(AS28-AU25+AU29)</f>
        <v>0</v>
      </c>
      <c r="AV30" s="49"/>
      <c r="AW30" s="166">
        <f>AW28-(AU28-AW25+AW29)</f>
        <v>0</v>
      </c>
      <c r="AX30" s="49"/>
      <c r="AY30" s="166">
        <f>AY28-(AW28-AY25+AY29)</f>
        <v>0</v>
      </c>
      <c r="AZ30" s="49"/>
      <c r="BA30" s="166">
        <f>BA28-(AY28-BA25+BA29)</f>
        <v>0</v>
      </c>
      <c r="BB30" s="49"/>
      <c r="BC30" s="166">
        <f>BC28-(BA28-BC25+BC29)</f>
        <v>0</v>
      </c>
      <c r="BD30" s="49"/>
      <c r="BE30" s="166">
        <f>BE28-(BC28-BE25+BE29)</f>
        <v>0</v>
      </c>
      <c r="BF30" s="49"/>
      <c r="BG30" s="166">
        <f>BG28-(BE28-BG25+BG29)</f>
        <v>0</v>
      </c>
      <c r="BH30" s="49"/>
      <c r="BI30" s="166">
        <f>BI28-(BG28-BI25+BI29)</f>
        <v>0</v>
      </c>
      <c r="BJ30" s="49"/>
      <c r="BK30" s="166">
        <f>BK28-(BI28-BK25+BK29)</f>
        <v>0</v>
      </c>
      <c r="BL30" s="49"/>
      <c r="BM30" s="166">
        <f>BM28-(BK28-BM25+BM29)</f>
        <v>0</v>
      </c>
      <c r="BN30" s="50"/>
      <c r="BO30" s="170" t="e">
        <f t="shared" si="2"/>
        <v>#VALUE!</v>
      </c>
      <c r="BP30" s="49"/>
      <c r="BQ30" s="172" t="e">
        <f>BQ28-(BM28-BQ25+BQ29)</f>
        <v>#VALUE!</v>
      </c>
      <c r="BR30"/>
      <c r="BS30"/>
      <c r="BT30"/>
      <c r="BU30"/>
      <c r="BV30"/>
      <c r="BW30"/>
      <c r="BX30"/>
    </row>
    <row r="31" spans="1:76" s="5" customFormat="1" ht="15" thickBot="1" x14ac:dyDescent="0.4">
      <c r="A31" s="98"/>
      <c r="B31" s="90"/>
      <c r="C31" s="84"/>
      <c r="D31" s="47"/>
      <c r="E31" s="166" t="str">
        <f>IF(E25=0,"",E30/E25*100)</f>
        <v/>
      </c>
      <c r="F31" s="49"/>
      <c r="G31" s="166" t="str">
        <f>IF(G25=0,"",G30/G25*100)</f>
        <v/>
      </c>
      <c r="H31" s="49"/>
      <c r="I31" s="166" t="str">
        <f>IF(I25=0,"",I30/I25*100)</f>
        <v/>
      </c>
      <c r="J31" s="49"/>
      <c r="K31" s="166" t="str">
        <f>IF(K25=0,"",K30/K25*100)</f>
        <v/>
      </c>
      <c r="L31" s="49"/>
      <c r="M31" s="166" t="str">
        <f>IF(M25=0,"",M30/M25*100)</f>
        <v/>
      </c>
      <c r="N31" s="49"/>
      <c r="O31" s="166" t="str">
        <f>IF(O25=0,"",O30/O25*100)</f>
        <v/>
      </c>
      <c r="P31" s="49"/>
      <c r="Q31" s="166" t="str">
        <f>IF(Q25=0,"",Q30/Q25*100)</f>
        <v/>
      </c>
      <c r="R31" s="49"/>
      <c r="S31" s="166" t="str">
        <f>IF(S25=0,"",S30/S25*100)</f>
        <v/>
      </c>
      <c r="T31" s="49"/>
      <c r="U31" s="166" t="str">
        <f>IF(U25=0,"",U30/U25*100)</f>
        <v/>
      </c>
      <c r="V31" s="49"/>
      <c r="W31" s="166" t="str">
        <f>IF(W25=0,"",W30/W25*100)</f>
        <v/>
      </c>
      <c r="X31" s="49"/>
      <c r="Y31" s="166" t="str">
        <f>IF(Y25=0,"",Y30/Y25*100)</f>
        <v/>
      </c>
      <c r="Z31" s="49"/>
      <c r="AA31" s="166" t="str">
        <f>IF(AA25=0,"",AA30/AA25*100)</f>
        <v/>
      </c>
      <c r="AB31" s="49"/>
      <c r="AC31" s="166" t="str">
        <f>IF(AC25=0,"",AC30/AC25*100)</f>
        <v/>
      </c>
      <c r="AD31" s="49"/>
      <c r="AE31" s="166" t="str">
        <f>IF(AE25=0,"",AE30/AE25*100)</f>
        <v/>
      </c>
      <c r="AF31" s="49"/>
      <c r="AG31" s="166" t="str">
        <f>IF(AG25=0,"",AG30/AG25*100)</f>
        <v/>
      </c>
      <c r="AH31" s="49"/>
      <c r="AI31" s="166" t="str">
        <f>IF(AI25=0,"",AI30/AI25*100)</f>
        <v/>
      </c>
      <c r="AJ31" s="49"/>
      <c r="AK31" s="166" t="str">
        <f>IF(AK25=0,"",AK30/AK25*100)</f>
        <v/>
      </c>
      <c r="AL31" s="49"/>
      <c r="AM31" s="166" t="str">
        <f>IF(AM25=0,"",AM30/AM25*100)</f>
        <v/>
      </c>
      <c r="AN31" s="49"/>
      <c r="AO31" s="166" t="str">
        <f>IF(AO25=0,"",AO30/AO25*100)</f>
        <v/>
      </c>
      <c r="AP31" s="49"/>
      <c r="AQ31" s="166" t="str">
        <f>IF(AQ25=0,"",AQ30/AQ25*100)</f>
        <v/>
      </c>
      <c r="AR31" s="49"/>
      <c r="AS31" s="166" t="str">
        <f>IF(AS25=0,"",AS30/AS25*100)</f>
        <v/>
      </c>
      <c r="AT31" s="49"/>
      <c r="AU31" s="166" t="str">
        <f>IF(AU25=0,"",AU30/AU25*100)</f>
        <v/>
      </c>
      <c r="AV31" s="49"/>
      <c r="AW31" s="166" t="str">
        <f>IF(AW25=0,"",AW30/AW25*100)</f>
        <v/>
      </c>
      <c r="AX31" s="49"/>
      <c r="AY31" s="166" t="str">
        <f>IF(AY25=0,"",AY30/AY25*100)</f>
        <v/>
      </c>
      <c r="AZ31" s="49"/>
      <c r="BA31" s="166" t="str">
        <f>IF(BA25=0,"",BA30/BA25*100)</f>
        <v/>
      </c>
      <c r="BB31" s="49"/>
      <c r="BC31" s="166" t="str">
        <f>IF(BC25=0,"",BC30/BC25*100)</f>
        <v/>
      </c>
      <c r="BD31" s="49"/>
      <c r="BE31" s="166" t="str">
        <f>IF(BE25=0,"",BE30/BE25*100)</f>
        <v/>
      </c>
      <c r="BF31" s="49"/>
      <c r="BG31" s="166" t="str">
        <f>IF(BG25=0,"",BG30/BG25*100)</f>
        <v/>
      </c>
      <c r="BH31" s="49"/>
      <c r="BI31" s="166" t="str">
        <f>IF(BI25=0,"",BI30/BI25*100)</f>
        <v/>
      </c>
      <c r="BJ31" s="49"/>
      <c r="BK31" s="166" t="str">
        <f>IF(BK25=0,"",BK30/BK25*100)</f>
        <v/>
      </c>
      <c r="BL31" s="49"/>
      <c r="BM31" s="166" t="str">
        <f>IF(BM25=0,"",BM30/BM25*100)</f>
        <v/>
      </c>
      <c r="BN31" s="50"/>
      <c r="BO31" s="170" t="str">
        <f t="shared" si="2"/>
        <v/>
      </c>
      <c r="BP31" s="49"/>
      <c r="BQ31" s="172" t="e">
        <f>IF(BQ25=0,"",BQ30/BQ25*100)</f>
        <v>#VALUE!</v>
      </c>
      <c r="BR31"/>
      <c r="BS31"/>
      <c r="BT31"/>
      <c r="BU31"/>
      <c r="BV31"/>
      <c r="BW31"/>
      <c r="BX31"/>
    </row>
    <row r="32" spans="1:76" x14ac:dyDescent="0.35">
      <c r="A32" s="83" t="s">
        <v>5</v>
      </c>
      <c r="B32" s="54"/>
      <c r="C32" s="174" t="str">
        <f>IF('September 2026 Log'!BK32="","",'September 2026 Log'!BK32)</f>
        <v/>
      </c>
      <c r="D32" s="85"/>
      <c r="E32" s="86"/>
      <c r="F32" s="87"/>
      <c r="G32" s="86"/>
      <c r="H32" s="87"/>
      <c r="I32" s="86"/>
      <c r="J32" s="87"/>
      <c r="K32" s="86"/>
      <c r="L32" s="87"/>
      <c r="M32" s="86"/>
      <c r="N32" s="87"/>
      <c r="O32" s="86"/>
      <c r="P32" s="87"/>
      <c r="Q32" s="86"/>
      <c r="R32" s="87"/>
      <c r="S32" s="86"/>
      <c r="T32" s="87"/>
      <c r="U32" s="86"/>
      <c r="V32" s="87"/>
      <c r="W32" s="86"/>
      <c r="X32" s="87"/>
      <c r="Y32" s="86"/>
      <c r="Z32" s="87"/>
      <c r="AA32" s="86"/>
      <c r="AB32" s="87"/>
      <c r="AC32" s="86"/>
      <c r="AD32" s="87"/>
      <c r="AE32" s="86"/>
      <c r="AF32" s="87"/>
      <c r="AG32" s="86"/>
      <c r="AH32" s="87"/>
      <c r="AI32" s="86"/>
      <c r="AJ32" s="87"/>
      <c r="AK32" s="86"/>
      <c r="AL32" s="87"/>
      <c r="AM32" s="86"/>
      <c r="AN32" s="87"/>
      <c r="AO32" s="86"/>
      <c r="AP32" s="87"/>
      <c r="AQ32" s="86"/>
      <c r="AR32" s="87"/>
      <c r="AS32" s="86"/>
      <c r="AT32" s="87"/>
      <c r="AU32" s="86"/>
      <c r="AV32" s="87"/>
      <c r="AW32" s="86"/>
      <c r="AX32" s="87"/>
      <c r="AY32" s="86"/>
      <c r="AZ32" s="87"/>
      <c r="BA32" s="86"/>
      <c r="BB32" s="87"/>
      <c r="BC32" s="86"/>
      <c r="BD32" s="87"/>
      <c r="BE32" s="86"/>
      <c r="BF32" s="87"/>
      <c r="BG32" s="86"/>
      <c r="BH32" s="87"/>
      <c r="BI32" s="86"/>
      <c r="BJ32" s="87"/>
      <c r="BK32" s="86"/>
      <c r="BL32" s="87"/>
      <c r="BM32" s="86"/>
      <c r="BN32" s="50"/>
      <c r="BO32" s="170" t="str">
        <f t="shared" si="2"/>
        <v/>
      </c>
      <c r="BP32" s="87"/>
      <c r="BQ32" s="178" t="str">
        <f>IF(BM32="","",BM32)</f>
        <v/>
      </c>
    </row>
    <row r="33" spans="1:76" x14ac:dyDescent="0.35">
      <c r="A33" s="83" t="s">
        <v>6</v>
      </c>
      <c r="B33" s="54"/>
      <c r="C33" s="174" t="str">
        <f>IF('September 2026 Log'!BK33="","",'September 2026 Log'!BK33)</f>
        <v/>
      </c>
      <c r="D33" s="85"/>
      <c r="E33" s="86"/>
      <c r="F33" s="87"/>
      <c r="G33" s="86"/>
      <c r="H33" s="87"/>
      <c r="I33" s="86"/>
      <c r="J33" s="87"/>
      <c r="K33" s="86"/>
      <c r="L33" s="87"/>
      <c r="M33" s="86"/>
      <c r="N33" s="87"/>
      <c r="O33" s="86"/>
      <c r="P33" s="87"/>
      <c r="Q33" s="86"/>
      <c r="R33" s="87"/>
      <c r="S33" s="86"/>
      <c r="T33" s="87"/>
      <c r="U33" s="86"/>
      <c r="V33" s="87"/>
      <c r="W33" s="86"/>
      <c r="X33" s="87"/>
      <c r="Y33" s="86"/>
      <c r="Z33" s="87"/>
      <c r="AA33" s="86"/>
      <c r="AB33" s="87"/>
      <c r="AC33" s="86"/>
      <c r="AD33" s="87"/>
      <c r="AE33" s="86"/>
      <c r="AF33" s="87"/>
      <c r="AG33" s="86"/>
      <c r="AH33" s="87"/>
      <c r="AI33" s="86"/>
      <c r="AJ33" s="87"/>
      <c r="AK33" s="86"/>
      <c r="AL33" s="87"/>
      <c r="AM33" s="86"/>
      <c r="AN33" s="87"/>
      <c r="AO33" s="86"/>
      <c r="AP33" s="87"/>
      <c r="AQ33" s="86"/>
      <c r="AR33" s="87"/>
      <c r="AS33" s="86"/>
      <c r="AT33" s="87"/>
      <c r="AU33" s="86"/>
      <c r="AV33" s="87"/>
      <c r="AW33" s="86"/>
      <c r="AX33" s="87"/>
      <c r="AY33" s="86"/>
      <c r="AZ33" s="87"/>
      <c r="BA33" s="86"/>
      <c r="BB33" s="87"/>
      <c r="BC33" s="86"/>
      <c r="BD33" s="87"/>
      <c r="BE33" s="86"/>
      <c r="BF33" s="87"/>
      <c r="BG33" s="86"/>
      <c r="BH33" s="87"/>
      <c r="BI33" s="86"/>
      <c r="BJ33" s="87"/>
      <c r="BK33" s="86"/>
      <c r="BL33" s="87"/>
      <c r="BM33" s="86"/>
      <c r="BN33" s="50"/>
      <c r="BO33" s="170" t="str">
        <f t="shared" si="2"/>
        <v/>
      </c>
      <c r="BP33" s="87"/>
      <c r="BQ33" s="178" t="str">
        <f>IF(BM33="","",BM33)</f>
        <v/>
      </c>
    </row>
    <row r="34" spans="1:76" x14ac:dyDescent="0.35">
      <c r="A34" s="83" t="s">
        <v>7</v>
      </c>
      <c r="B34" s="54"/>
      <c r="C34" s="174" t="str">
        <f>IF('September 2026 Log'!BK34="","",'September 2026 Log'!BK34)</f>
        <v/>
      </c>
      <c r="D34" s="85"/>
      <c r="E34" s="86"/>
      <c r="F34" s="87"/>
      <c r="G34" s="86"/>
      <c r="H34" s="87"/>
      <c r="I34" s="86"/>
      <c r="J34" s="87"/>
      <c r="K34" s="86"/>
      <c r="L34" s="87"/>
      <c r="M34" s="86"/>
      <c r="N34" s="87"/>
      <c r="O34" s="86"/>
      <c r="P34" s="87"/>
      <c r="Q34" s="86"/>
      <c r="R34" s="87"/>
      <c r="S34" s="86"/>
      <c r="T34" s="87"/>
      <c r="U34" s="86"/>
      <c r="V34" s="87"/>
      <c r="W34" s="86"/>
      <c r="X34" s="87"/>
      <c r="Y34" s="86"/>
      <c r="Z34" s="87"/>
      <c r="AA34" s="86"/>
      <c r="AB34" s="87"/>
      <c r="AC34" s="86"/>
      <c r="AD34" s="87"/>
      <c r="AE34" s="86"/>
      <c r="AF34" s="87"/>
      <c r="AG34" s="86"/>
      <c r="AH34" s="87"/>
      <c r="AI34" s="86"/>
      <c r="AJ34" s="87"/>
      <c r="AK34" s="86"/>
      <c r="AL34" s="87"/>
      <c r="AM34" s="86"/>
      <c r="AN34" s="87"/>
      <c r="AO34" s="86"/>
      <c r="AP34" s="87"/>
      <c r="AQ34" s="86"/>
      <c r="AR34" s="87"/>
      <c r="AS34" s="86"/>
      <c r="AT34" s="99"/>
      <c r="AU34" s="86"/>
      <c r="AV34" s="87"/>
      <c r="AW34" s="86"/>
      <c r="AX34" s="87"/>
      <c r="AY34" s="86"/>
      <c r="AZ34" s="87"/>
      <c r="BA34" s="86"/>
      <c r="BB34" s="87"/>
      <c r="BC34" s="86"/>
      <c r="BD34" s="87"/>
      <c r="BE34" s="86"/>
      <c r="BF34" s="87"/>
      <c r="BG34" s="86"/>
      <c r="BH34" s="87"/>
      <c r="BI34" s="86"/>
      <c r="BJ34" s="87"/>
      <c r="BK34" s="86"/>
      <c r="BL34" s="87"/>
      <c r="BM34" s="86"/>
      <c r="BN34" s="50"/>
      <c r="BO34" s="170" t="str">
        <f t="shared" si="2"/>
        <v/>
      </c>
      <c r="BP34" s="87"/>
      <c r="BQ34" s="178" t="str">
        <f>IF(BM34="","",BM34)</f>
        <v/>
      </c>
    </row>
    <row r="35" spans="1:76" x14ac:dyDescent="0.35">
      <c r="A35" s="100"/>
      <c r="B35" s="75"/>
      <c r="C35" s="101"/>
      <c r="D35" s="102"/>
      <c r="E35" s="103"/>
      <c r="F35" s="104"/>
      <c r="G35" s="103"/>
      <c r="H35" s="104"/>
      <c r="I35" s="103"/>
      <c r="J35" s="104"/>
      <c r="K35" s="103"/>
      <c r="L35" s="104"/>
      <c r="M35" s="103"/>
      <c r="N35" s="104"/>
      <c r="O35" s="103"/>
      <c r="P35" s="104"/>
      <c r="Q35" s="103"/>
      <c r="R35" s="104"/>
      <c r="S35" s="103"/>
      <c r="T35" s="104"/>
      <c r="U35" s="103"/>
      <c r="V35" s="104"/>
      <c r="W35" s="103"/>
      <c r="X35" s="104"/>
      <c r="Y35" s="103"/>
      <c r="Z35" s="104"/>
      <c r="AA35" s="103"/>
      <c r="AB35" s="104"/>
      <c r="AC35" s="103"/>
      <c r="AD35" s="104"/>
      <c r="AE35" s="103"/>
      <c r="AF35" s="104"/>
      <c r="AG35" s="103"/>
      <c r="AH35" s="104"/>
      <c r="AI35" s="103"/>
      <c r="AJ35" s="104"/>
      <c r="AK35" s="103"/>
      <c r="AL35" s="104"/>
      <c r="AM35" s="103"/>
      <c r="AN35" s="104"/>
      <c r="AO35" s="103"/>
      <c r="AP35" s="104"/>
      <c r="AQ35" s="103"/>
      <c r="AR35" s="104"/>
      <c r="AS35" s="103"/>
      <c r="AT35" s="104"/>
      <c r="AU35" s="103"/>
      <c r="AV35" s="104"/>
      <c r="AW35" s="103"/>
      <c r="AX35" s="104"/>
      <c r="AY35" s="103"/>
      <c r="AZ35" s="104"/>
      <c r="BA35" s="103"/>
      <c r="BB35" s="104"/>
      <c r="BC35" s="103"/>
      <c r="BD35" s="104"/>
      <c r="BE35" s="103"/>
      <c r="BF35" s="104"/>
      <c r="BG35" s="103"/>
      <c r="BH35" s="104"/>
      <c r="BI35" s="103"/>
      <c r="BJ35" s="104"/>
      <c r="BK35" s="103"/>
      <c r="BL35" s="104"/>
      <c r="BM35" s="103"/>
      <c r="BN35" s="105"/>
      <c r="BO35" s="183" t="str">
        <f t="shared" si="2"/>
        <v/>
      </c>
      <c r="BP35" s="104"/>
      <c r="BQ35" s="107"/>
    </row>
    <row r="36" spans="1:76" x14ac:dyDescent="0.35">
      <c r="A36" s="83" t="s">
        <v>59</v>
      </c>
      <c r="B36" s="54" t="s">
        <v>58</v>
      </c>
      <c r="C36" s="174" t="str">
        <f>IF('September 2026 Log'!BK36="","",'September 2026 Log'!BK36)</f>
        <v/>
      </c>
      <c r="D36" s="85"/>
      <c r="E36" s="86"/>
      <c r="F36" s="87"/>
      <c r="G36" s="86"/>
      <c r="H36" s="87"/>
      <c r="I36" s="86"/>
      <c r="J36" s="87"/>
      <c r="K36" s="86"/>
      <c r="L36" s="87"/>
      <c r="M36" s="86"/>
      <c r="N36" s="87"/>
      <c r="O36" s="86"/>
      <c r="P36" s="87"/>
      <c r="Q36" s="86"/>
      <c r="R36" s="87"/>
      <c r="S36" s="86"/>
      <c r="T36" s="87"/>
      <c r="U36" s="86"/>
      <c r="V36" s="87"/>
      <c r="W36" s="86"/>
      <c r="X36" s="87"/>
      <c r="Y36" s="86"/>
      <c r="Z36" s="87"/>
      <c r="AA36" s="86"/>
      <c r="AB36" s="87"/>
      <c r="AC36" s="86"/>
      <c r="AD36" s="87"/>
      <c r="AE36" s="86"/>
      <c r="AF36" s="87"/>
      <c r="AG36" s="86"/>
      <c r="AH36" s="87"/>
      <c r="AI36" s="86"/>
      <c r="AJ36" s="87"/>
      <c r="AK36" s="86"/>
      <c r="AL36" s="87"/>
      <c r="AM36" s="86"/>
      <c r="AN36" s="87"/>
      <c r="AO36" s="86"/>
      <c r="AP36" s="87"/>
      <c r="AQ36" s="86"/>
      <c r="AR36" s="87"/>
      <c r="AS36" s="86"/>
      <c r="AT36" s="87"/>
      <c r="AU36" s="86"/>
      <c r="AV36" s="87"/>
      <c r="AW36" s="86"/>
      <c r="AX36" s="87"/>
      <c r="AY36" s="86"/>
      <c r="AZ36" s="87"/>
      <c r="BA36" s="86"/>
      <c r="BB36" s="87"/>
      <c r="BC36" s="86"/>
      <c r="BD36" s="87"/>
      <c r="BE36" s="86"/>
      <c r="BF36" s="87"/>
      <c r="BG36" s="86"/>
      <c r="BH36" s="87"/>
      <c r="BI36" s="86"/>
      <c r="BJ36" s="87"/>
      <c r="BK36" s="86"/>
      <c r="BL36" s="87"/>
      <c r="BM36" s="86"/>
      <c r="BN36" s="50"/>
      <c r="BO36" s="170" t="str">
        <f t="shared" si="2"/>
        <v/>
      </c>
      <c r="BP36" s="87"/>
      <c r="BQ36" s="178" t="str">
        <f>IF(BM36="","",BM36)</f>
        <v/>
      </c>
    </row>
    <row r="37" spans="1:76" x14ac:dyDescent="0.35">
      <c r="A37" s="83"/>
      <c r="B37" s="54"/>
      <c r="C37" s="84"/>
      <c r="D37" s="85"/>
      <c r="E37" s="86"/>
      <c r="F37" s="87"/>
      <c r="G37" s="86"/>
      <c r="H37" s="87"/>
      <c r="I37" s="86"/>
      <c r="J37" s="87"/>
      <c r="K37" s="86"/>
      <c r="L37" s="87"/>
      <c r="M37" s="86"/>
      <c r="N37" s="87"/>
      <c r="O37" s="86"/>
      <c r="P37" s="87"/>
      <c r="Q37" s="86"/>
      <c r="R37" s="87"/>
      <c r="S37" s="86"/>
      <c r="T37" s="87"/>
      <c r="U37" s="86"/>
      <c r="V37" s="87"/>
      <c r="W37" s="86"/>
      <c r="X37" s="87"/>
      <c r="Y37" s="86"/>
      <c r="Z37" s="87"/>
      <c r="AA37" s="86"/>
      <c r="AB37" s="87"/>
      <c r="AC37" s="86"/>
      <c r="AD37" s="87"/>
      <c r="AE37" s="86"/>
      <c r="AF37" s="87"/>
      <c r="AG37" s="86"/>
      <c r="AH37" s="87"/>
      <c r="AI37" s="86"/>
      <c r="AJ37" s="87"/>
      <c r="AK37" s="86"/>
      <c r="AL37" s="87"/>
      <c r="AM37" s="86"/>
      <c r="AN37" s="87"/>
      <c r="AO37" s="86"/>
      <c r="AP37" s="87"/>
      <c r="AQ37" s="86"/>
      <c r="AR37" s="87"/>
      <c r="AS37" s="86"/>
      <c r="AT37" s="87"/>
      <c r="AU37" s="86"/>
      <c r="AV37" s="87"/>
      <c r="AW37" s="86"/>
      <c r="AX37" s="87"/>
      <c r="AY37" s="86"/>
      <c r="AZ37" s="87"/>
      <c r="BA37" s="86"/>
      <c r="BB37" s="87"/>
      <c r="BC37" s="86"/>
      <c r="BD37" s="87"/>
      <c r="BE37" s="86"/>
      <c r="BF37" s="87"/>
      <c r="BG37" s="86"/>
      <c r="BH37" s="87"/>
      <c r="BI37" s="86"/>
      <c r="BJ37" s="87"/>
      <c r="BK37" s="86"/>
      <c r="BL37" s="87"/>
      <c r="BM37" s="86"/>
      <c r="BN37" s="50"/>
      <c r="BO37" s="170" t="str">
        <f t="shared" si="2"/>
        <v/>
      </c>
      <c r="BP37" s="87"/>
      <c r="BQ37" s="88"/>
    </row>
    <row r="38" spans="1:76" x14ac:dyDescent="0.35">
      <c r="A38" s="83" t="s">
        <v>62</v>
      </c>
      <c r="B38" s="54" t="s">
        <v>63</v>
      </c>
      <c r="C38" s="174" t="str">
        <f>IF('September 2026 Log'!BK38="","",'September 2026 Log'!BK38)</f>
        <v/>
      </c>
      <c r="D38" s="85"/>
      <c r="E38" s="86"/>
      <c r="F38" s="87"/>
      <c r="G38" s="86"/>
      <c r="H38" s="87"/>
      <c r="I38" s="86"/>
      <c r="J38" s="87"/>
      <c r="K38" s="86"/>
      <c r="L38" s="87"/>
      <c r="M38" s="86"/>
      <c r="N38" s="87"/>
      <c r="O38" s="86"/>
      <c r="P38" s="87"/>
      <c r="Q38" s="86"/>
      <c r="R38" s="87"/>
      <c r="S38" s="86"/>
      <c r="T38" s="87"/>
      <c r="U38" s="86"/>
      <c r="V38" s="87"/>
      <c r="W38" s="86"/>
      <c r="X38" s="87"/>
      <c r="Y38" s="86"/>
      <c r="Z38" s="87"/>
      <c r="AA38" s="86"/>
      <c r="AB38" s="87"/>
      <c r="AC38" s="86"/>
      <c r="AD38" s="87"/>
      <c r="AE38" s="86"/>
      <c r="AF38" s="87"/>
      <c r="AG38" s="86"/>
      <c r="AH38" s="87"/>
      <c r="AI38" s="86"/>
      <c r="AJ38" s="87"/>
      <c r="AK38" s="86"/>
      <c r="AL38" s="87"/>
      <c r="AM38" s="86"/>
      <c r="AN38" s="87"/>
      <c r="AO38" s="86"/>
      <c r="AP38" s="87"/>
      <c r="AQ38" s="86"/>
      <c r="AR38" s="87"/>
      <c r="AS38" s="86"/>
      <c r="AT38" s="87"/>
      <c r="AU38" s="86"/>
      <c r="AV38" s="87"/>
      <c r="AW38" s="86"/>
      <c r="AX38" s="87"/>
      <c r="AY38" s="86"/>
      <c r="AZ38" s="87"/>
      <c r="BA38" s="86"/>
      <c r="BB38" s="87"/>
      <c r="BC38" s="86"/>
      <c r="BD38" s="87"/>
      <c r="BE38" s="86"/>
      <c r="BF38" s="87"/>
      <c r="BG38" s="86"/>
      <c r="BH38" s="87"/>
      <c r="BI38" s="86"/>
      <c r="BJ38" s="87"/>
      <c r="BK38" s="86"/>
      <c r="BL38" s="87"/>
      <c r="BM38" s="86"/>
      <c r="BN38" s="50"/>
      <c r="BO38" s="170" t="str">
        <f t="shared" si="2"/>
        <v/>
      </c>
      <c r="BP38" s="87"/>
      <c r="BQ38" s="178" t="str">
        <f>IF(BM38="","",BM38)</f>
        <v/>
      </c>
    </row>
    <row r="39" spans="1:76" x14ac:dyDescent="0.35">
      <c r="A39" s="83" t="s">
        <v>64</v>
      </c>
      <c r="B39" s="54" t="s">
        <v>63</v>
      </c>
      <c r="C39" s="174" t="str">
        <f>IF('September 2026 Log'!BK39="","",'September 2026 Log'!BK39)</f>
        <v/>
      </c>
      <c r="D39" s="85"/>
      <c r="E39" s="86"/>
      <c r="F39" s="87"/>
      <c r="G39" s="86"/>
      <c r="H39" s="87"/>
      <c r="I39" s="86"/>
      <c r="J39" s="87"/>
      <c r="K39" s="86"/>
      <c r="L39" s="87"/>
      <c r="M39" s="86"/>
      <c r="N39" s="87"/>
      <c r="O39" s="86"/>
      <c r="P39" s="87"/>
      <c r="Q39" s="86"/>
      <c r="R39" s="87"/>
      <c r="S39" s="86"/>
      <c r="T39" s="87"/>
      <c r="U39" s="86"/>
      <c r="V39" s="87"/>
      <c r="W39" s="86"/>
      <c r="X39" s="87"/>
      <c r="Y39" s="86"/>
      <c r="Z39" s="87"/>
      <c r="AA39" s="86"/>
      <c r="AB39" s="87"/>
      <c r="AC39" s="86"/>
      <c r="AD39" s="87"/>
      <c r="AE39" s="86"/>
      <c r="AF39" s="87"/>
      <c r="AG39" s="86"/>
      <c r="AH39" s="87"/>
      <c r="AI39" s="86"/>
      <c r="AJ39" s="87"/>
      <c r="AK39" s="86"/>
      <c r="AL39" s="87"/>
      <c r="AM39" s="86"/>
      <c r="AN39" s="87"/>
      <c r="AO39" s="86"/>
      <c r="AP39" s="87"/>
      <c r="AQ39" s="86"/>
      <c r="AR39" s="87"/>
      <c r="AS39" s="86"/>
      <c r="AT39" s="87"/>
      <c r="AU39" s="86"/>
      <c r="AV39" s="87"/>
      <c r="AW39" s="86"/>
      <c r="AX39" s="87"/>
      <c r="AY39" s="86"/>
      <c r="AZ39" s="87"/>
      <c r="BA39" s="86"/>
      <c r="BB39" s="87"/>
      <c r="BC39" s="86"/>
      <c r="BD39" s="87"/>
      <c r="BE39" s="86"/>
      <c r="BF39" s="87"/>
      <c r="BG39" s="86"/>
      <c r="BH39" s="87"/>
      <c r="BI39" s="86"/>
      <c r="BJ39" s="87"/>
      <c r="BK39" s="86"/>
      <c r="BL39" s="87"/>
      <c r="BM39" s="86"/>
      <c r="BN39" s="50"/>
      <c r="BO39" s="170" t="str">
        <f t="shared" si="2"/>
        <v/>
      </c>
      <c r="BP39" s="87"/>
      <c r="BQ39" s="178" t="str">
        <f>IF(BM39="","",BM39)</f>
        <v/>
      </c>
    </row>
    <row r="40" spans="1:76" x14ac:dyDescent="0.35">
      <c r="A40" s="83" t="s">
        <v>44</v>
      </c>
      <c r="B40" s="54"/>
      <c r="C40" s="84"/>
      <c r="D40" s="85"/>
      <c r="E40" s="86"/>
      <c r="F40" s="87"/>
      <c r="G40" s="86"/>
      <c r="H40" s="87"/>
      <c r="I40" s="86"/>
      <c r="J40" s="87"/>
      <c r="K40" s="86"/>
      <c r="L40" s="87"/>
      <c r="M40" s="86"/>
      <c r="N40" s="87"/>
      <c r="O40" s="86"/>
      <c r="P40" s="87"/>
      <c r="Q40" s="86"/>
      <c r="R40" s="87"/>
      <c r="S40" s="86"/>
      <c r="T40" s="87"/>
      <c r="U40" s="86"/>
      <c r="V40" s="87"/>
      <c r="W40" s="86"/>
      <c r="X40" s="87"/>
      <c r="Y40" s="86"/>
      <c r="Z40" s="87"/>
      <c r="AA40" s="86"/>
      <c r="AB40" s="87"/>
      <c r="AC40" s="86"/>
      <c r="AD40" s="87"/>
      <c r="AE40" s="86"/>
      <c r="AF40" s="87"/>
      <c r="AG40" s="86"/>
      <c r="AH40" s="87"/>
      <c r="AI40" s="86"/>
      <c r="AJ40" s="87"/>
      <c r="AK40" s="86"/>
      <c r="AL40" s="87"/>
      <c r="AM40" s="86"/>
      <c r="AN40" s="87"/>
      <c r="AO40" s="86"/>
      <c r="AP40" s="87"/>
      <c r="AQ40" s="86"/>
      <c r="AR40" s="87"/>
      <c r="AS40" s="86"/>
      <c r="AT40" s="87"/>
      <c r="AU40" s="86"/>
      <c r="AV40" s="87"/>
      <c r="AW40" s="86"/>
      <c r="AX40" s="87"/>
      <c r="AY40" s="86"/>
      <c r="AZ40" s="87"/>
      <c r="BA40" s="86"/>
      <c r="BB40" s="87"/>
      <c r="BC40" s="86"/>
      <c r="BD40" s="87"/>
      <c r="BE40" s="86"/>
      <c r="BF40" s="87"/>
      <c r="BG40" s="86"/>
      <c r="BH40" s="87"/>
      <c r="BI40" s="86"/>
      <c r="BJ40" s="87"/>
      <c r="BK40" s="86"/>
      <c r="BL40" s="87"/>
      <c r="BM40" s="86"/>
      <c r="BN40" s="50"/>
      <c r="BO40" s="170" t="str">
        <f t="shared" si="2"/>
        <v/>
      </c>
      <c r="BP40" s="87"/>
      <c r="BQ40" s="88"/>
    </row>
    <row r="41" spans="1:76" x14ac:dyDescent="0.35">
      <c r="A41" s="83" t="s">
        <v>54</v>
      </c>
      <c r="B41" s="54"/>
      <c r="C41" s="84"/>
      <c r="D41" s="85"/>
      <c r="E41" s="86"/>
      <c r="F41" s="87"/>
      <c r="G41" s="86"/>
      <c r="H41" s="87"/>
      <c r="I41" s="86"/>
      <c r="J41" s="87"/>
      <c r="K41" s="86"/>
      <c r="L41" s="87"/>
      <c r="M41" s="86"/>
      <c r="N41" s="87"/>
      <c r="O41" s="86"/>
      <c r="P41" s="87"/>
      <c r="Q41" s="86"/>
      <c r="R41" s="87"/>
      <c r="S41" s="86"/>
      <c r="T41" s="87"/>
      <c r="U41" s="86"/>
      <c r="V41" s="87"/>
      <c r="W41" s="86"/>
      <c r="X41" s="87"/>
      <c r="Y41" s="86"/>
      <c r="Z41" s="87"/>
      <c r="AA41" s="86"/>
      <c r="AB41" s="87"/>
      <c r="AC41" s="86"/>
      <c r="AD41" s="87"/>
      <c r="AE41" s="86"/>
      <c r="AF41" s="87"/>
      <c r="AG41" s="86"/>
      <c r="AH41" s="87"/>
      <c r="AI41" s="86"/>
      <c r="AJ41" s="87"/>
      <c r="AK41" s="86"/>
      <c r="AL41" s="87"/>
      <c r="AM41" s="86"/>
      <c r="AN41" s="87"/>
      <c r="AO41" s="86"/>
      <c r="AP41" s="87"/>
      <c r="AQ41" s="86"/>
      <c r="AR41" s="87"/>
      <c r="AS41" s="86"/>
      <c r="AT41" s="87"/>
      <c r="AU41" s="86"/>
      <c r="AV41" s="87"/>
      <c r="AW41" s="86"/>
      <c r="AX41" s="87"/>
      <c r="AY41" s="86"/>
      <c r="AZ41" s="87"/>
      <c r="BA41" s="86"/>
      <c r="BB41" s="87"/>
      <c r="BC41" s="86"/>
      <c r="BD41" s="87"/>
      <c r="BE41" s="86"/>
      <c r="BF41" s="87"/>
      <c r="BG41" s="86"/>
      <c r="BH41" s="87"/>
      <c r="BI41" s="86"/>
      <c r="BJ41" s="87"/>
      <c r="BK41" s="86"/>
      <c r="BL41" s="87"/>
      <c r="BM41" s="86"/>
      <c r="BN41" s="50"/>
      <c r="BO41" s="170" t="str">
        <f t="shared" si="2"/>
        <v/>
      </c>
      <c r="BP41" s="87"/>
      <c r="BQ41" s="88"/>
    </row>
    <row r="42" spans="1:76" s="1" customFormat="1" x14ac:dyDescent="0.35">
      <c r="A42" s="89" t="s">
        <v>35</v>
      </c>
      <c r="B42" s="90"/>
      <c r="C42" s="174">
        <f>IF('September 2026 Log'!BK42="","",'September 2026 Log'!BK42)</f>
        <v>0</v>
      </c>
      <c r="D42" s="47"/>
      <c r="E42" s="166">
        <f>SUM(E36:E41)</f>
        <v>0</v>
      </c>
      <c r="F42" s="49"/>
      <c r="G42" s="166">
        <f>SUM(G36:G41)</f>
        <v>0</v>
      </c>
      <c r="H42" s="49"/>
      <c r="I42" s="166">
        <f>SUM(I36:I41)</f>
        <v>0</v>
      </c>
      <c r="J42" s="49"/>
      <c r="K42" s="166">
        <f>SUM(K36:K41)</f>
        <v>0</v>
      </c>
      <c r="L42" s="49"/>
      <c r="M42" s="166">
        <f>SUM(M36:M41)</f>
        <v>0</v>
      </c>
      <c r="N42" s="49"/>
      <c r="O42" s="166">
        <f>SUM(O36:O41)</f>
        <v>0</v>
      </c>
      <c r="P42" s="49"/>
      <c r="Q42" s="166">
        <f>SUM(Q36:Q41)</f>
        <v>0</v>
      </c>
      <c r="R42" s="49"/>
      <c r="S42" s="166">
        <f>SUM(S36:S41)</f>
        <v>0</v>
      </c>
      <c r="T42" s="49"/>
      <c r="U42" s="166">
        <f>SUM(U36:U41)</f>
        <v>0</v>
      </c>
      <c r="V42" s="49"/>
      <c r="W42" s="166">
        <f>SUM(W36:W41)</f>
        <v>0</v>
      </c>
      <c r="X42" s="49"/>
      <c r="Y42" s="166">
        <f>SUM(Y36:Y41)</f>
        <v>0</v>
      </c>
      <c r="Z42" s="49"/>
      <c r="AA42" s="166">
        <f>SUM(AA36:AA41)</f>
        <v>0</v>
      </c>
      <c r="AB42" s="49"/>
      <c r="AC42" s="166">
        <f>SUM(AC36:AC41)</f>
        <v>0</v>
      </c>
      <c r="AD42" s="49"/>
      <c r="AE42" s="166">
        <f>SUM(AE36:AE41)</f>
        <v>0</v>
      </c>
      <c r="AF42" s="49"/>
      <c r="AG42" s="166">
        <f>SUM(AG36:AG41)</f>
        <v>0</v>
      </c>
      <c r="AH42" s="49"/>
      <c r="AI42" s="166">
        <f>SUM(AI36:AI41)</f>
        <v>0</v>
      </c>
      <c r="AJ42" s="49"/>
      <c r="AK42" s="166">
        <f>SUM(AK36:AK41)</f>
        <v>0</v>
      </c>
      <c r="AL42" s="49"/>
      <c r="AM42" s="166">
        <f>SUM(AM36:AM41)</f>
        <v>0</v>
      </c>
      <c r="AN42" s="49"/>
      <c r="AO42" s="166">
        <f>SUM(AO36:AO41)</f>
        <v>0</v>
      </c>
      <c r="AP42" s="49"/>
      <c r="AQ42" s="166">
        <f>SUM(AQ36:AQ41)</f>
        <v>0</v>
      </c>
      <c r="AR42" s="49"/>
      <c r="AS42" s="166">
        <f>SUM(AS36:AS41)</f>
        <v>0</v>
      </c>
      <c r="AT42" s="49"/>
      <c r="AU42" s="166">
        <f>SUM(AU36:AU41)</f>
        <v>0</v>
      </c>
      <c r="AV42" s="49"/>
      <c r="AW42" s="166">
        <f>SUM(AW36:AW41)</f>
        <v>0</v>
      </c>
      <c r="AX42" s="49"/>
      <c r="AY42" s="166">
        <f>SUM(AY36:AY41)</f>
        <v>0</v>
      </c>
      <c r="AZ42" s="49"/>
      <c r="BA42" s="166">
        <f>SUM(BA36:BA41)</f>
        <v>0</v>
      </c>
      <c r="BB42" s="49"/>
      <c r="BC42" s="166">
        <f>SUM(BC36:BC41)</f>
        <v>0</v>
      </c>
      <c r="BD42" s="49"/>
      <c r="BE42" s="166">
        <f>SUM(BE36:BE41)</f>
        <v>0</v>
      </c>
      <c r="BF42" s="49"/>
      <c r="BG42" s="166">
        <f>SUM(BG36:BG41)</f>
        <v>0</v>
      </c>
      <c r="BH42" s="49"/>
      <c r="BI42" s="166">
        <f>SUM(BI36:BI41)</f>
        <v>0</v>
      </c>
      <c r="BJ42" s="49"/>
      <c r="BK42" s="166">
        <f>SUM(BK36:BK41)</f>
        <v>0</v>
      </c>
      <c r="BL42" s="49"/>
      <c r="BM42" s="166">
        <f>SUM(BM36:BM41)</f>
        <v>0</v>
      </c>
      <c r="BN42" s="50"/>
      <c r="BO42" s="170">
        <f t="shared" si="2"/>
        <v>0</v>
      </c>
      <c r="BP42" s="49"/>
      <c r="BQ42" s="172">
        <f>IF(BM42="","",BM42)</f>
        <v>0</v>
      </c>
      <c r="BR42"/>
      <c r="BS42"/>
      <c r="BT42"/>
      <c r="BU42"/>
      <c r="BV42"/>
      <c r="BW42"/>
      <c r="BX42"/>
    </row>
    <row r="43" spans="1:76" x14ac:dyDescent="0.35">
      <c r="A43" s="83" t="s">
        <v>61</v>
      </c>
      <c r="B43" s="54" t="s">
        <v>60</v>
      </c>
      <c r="C43" s="174" t="str">
        <f>IF('September 2026 Log'!BK43="","",'September 2026 Log'!BK43)</f>
        <v/>
      </c>
      <c r="D43" s="85"/>
      <c r="E43" s="86"/>
      <c r="F43" s="87"/>
      <c r="G43" s="86"/>
      <c r="H43" s="87"/>
      <c r="I43" s="86"/>
      <c r="J43" s="87"/>
      <c r="K43" s="86"/>
      <c r="L43" s="87"/>
      <c r="M43" s="86"/>
      <c r="N43" s="87"/>
      <c r="O43" s="86"/>
      <c r="P43" s="87"/>
      <c r="Q43" s="86"/>
      <c r="R43" s="87"/>
      <c r="S43" s="86"/>
      <c r="T43" s="87"/>
      <c r="U43" s="86"/>
      <c r="V43" s="87"/>
      <c r="W43" s="86"/>
      <c r="X43" s="87"/>
      <c r="Y43" s="86"/>
      <c r="Z43" s="87"/>
      <c r="AA43" s="86"/>
      <c r="AB43" s="87"/>
      <c r="AC43" s="86"/>
      <c r="AD43" s="87"/>
      <c r="AE43" s="86"/>
      <c r="AF43" s="87"/>
      <c r="AG43" s="86"/>
      <c r="AH43" s="87"/>
      <c r="AI43" s="86"/>
      <c r="AJ43" s="87"/>
      <c r="AK43" s="86"/>
      <c r="AL43" s="87"/>
      <c r="AM43" s="86"/>
      <c r="AN43" s="87"/>
      <c r="AO43" s="86"/>
      <c r="AP43" s="87"/>
      <c r="AQ43" s="86"/>
      <c r="AR43" s="87"/>
      <c r="AS43" s="86"/>
      <c r="AT43" s="87"/>
      <c r="AU43" s="86"/>
      <c r="AV43" s="87"/>
      <c r="AW43" s="86"/>
      <c r="AX43" s="87"/>
      <c r="AY43" s="86"/>
      <c r="AZ43" s="87"/>
      <c r="BA43" s="86"/>
      <c r="BB43" s="87"/>
      <c r="BC43" s="86"/>
      <c r="BD43" s="87"/>
      <c r="BE43" s="86"/>
      <c r="BF43" s="87"/>
      <c r="BG43" s="86"/>
      <c r="BH43" s="87"/>
      <c r="BI43" s="86"/>
      <c r="BJ43" s="87"/>
      <c r="BK43" s="86"/>
      <c r="BL43" s="87"/>
      <c r="BM43" s="86"/>
      <c r="BN43" s="50"/>
      <c r="BO43" s="170" t="str">
        <f t="shared" si="2"/>
        <v/>
      </c>
      <c r="BP43" s="87"/>
      <c r="BQ43" s="178" t="str">
        <f>IF(BM43="","",BM43)</f>
        <v/>
      </c>
    </row>
    <row r="44" spans="1:76" hidden="1" x14ac:dyDescent="0.35">
      <c r="A44" s="83" t="s">
        <v>8</v>
      </c>
      <c r="B44" s="54"/>
      <c r="C44" s="84"/>
      <c r="D44" s="85"/>
      <c r="E44" s="86"/>
      <c r="F44" s="87"/>
      <c r="G44" s="86"/>
      <c r="H44" s="87"/>
      <c r="I44" s="86"/>
      <c r="J44" s="87"/>
      <c r="K44" s="86"/>
      <c r="L44" s="87"/>
      <c r="M44" s="86"/>
      <c r="N44" s="87"/>
      <c r="O44" s="86"/>
      <c r="P44" s="87"/>
      <c r="Q44" s="86"/>
      <c r="R44" s="87"/>
      <c r="S44" s="86"/>
      <c r="T44" s="87"/>
      <c r="U44" s="86"/>
      <c r="V44" s="87"/>
      <c r="W44" s="86"/>
      <c r="X44" s="87"/>
      <c r="Y44" s="86"/>
      <c r="Z44" s="87"/>
      <c r="AA44" s="86"/>
      <c r="AB44" s="87"/>
      <c r="AC44" s="86"/>
      <c r="AD44" s="87"/>
      <c r="AE44" s="86"/>
      <c r="AF44" s="87"/>
      <c r="AG44" s="86"/>
      <c r="AH44" s="87"/>
      <c r="AI44" s="86"/>
      <c r="AJ44" s="87"/>
      <c r="AK44" s="86"/>
      <c r="AL44" s="87"/>
      <c r="AM44" s="86"/>
      <c r="AN44" s="87"/>
      <c r="AO44" s="86"/>
      <c r="AP44" s="87"/>
      <c r="AQ44" s="86"/>
      <c r="AR44" s="87"/>
      <c r="AS44" s="86"/>
      <c r="AT44" s="87"/>
      <c r="AU44" s="86"/>
      <c r="AV44" s="87"/>
      <c r="AW44" s="86"/>
      <c r="AX44" s="87"/>
      <c r="AY44" s="86"/>
      <c r="AZ44" s="87"/>
      <c r="BA44" s="86"/>
      <c r="BB44" s="87"/>
      <c r="BC44" s="86"/>
      <c r="BD44" s="87"/>
      <c r="BE44" s="86"/>
      <c r="BF44" s="87"/>
      <c r="BG44" s="86"/>
      <c r="BH44" s="87"/>
      <c r="BI44" s="86"/>
      <c r="BJ44" s="87"/>
      <c r="BK44" s="86"/>
      <c r="BL44" s="87"/>
      <c r="BM44" s="86"/>
      <c r="BN44" s="50"/>
      <c r="BO44" s="170" t="str">
        <f t="shared" si="2"/>
        <v/>
      </c>
      <c r="BP44" s="87"/>
      <c r="BQ44" s="88"/>
    </row>
    <row r="45" spans="1:76" hidden="1" x14ac:dyDescent="0.35">
      <c r="A45" s="83" t="s">
        <v>9</v>
      </c>
      <c r="B45" s="54"/>
      <c r="C45" s="84"/>
      <c r="D45" s="85"/>
      <c r="E45" s="86"/>
      <c r="F45" s="87"/>
      <c r="G45" s="86"/>
      <c r="H45" s="87"/>
      <c r="I45" s="86"/>
      <c r="J45" s="87"/>
      <c r="K45" s="86"/>
      <c r="L45" s="87"/>
      <c r="M45" s="86"/>
      <c r="N45" s="87"/>
      <c r="O45" s="86"/>
      <c r="P45" s="87"/>
      <c r="Q45" s="86"/>
      <c r="R45" s="87"/>
      <c r="S45" s="86"/>
      <c r="T45" s="87"/>
      <c r="U45" s="86"/>
      <c r="V45" s="87"/>
      <c r="W45" s="86"/>
      <c r="X45" s="87"/>
      <c r="Y45" s="86"/>
      <c r="Z45" s="87"/>
      <c r="AA45" s="86"/>
      <c r="AB45" s="87"/>
      <c r="AC45" s="86"/>
      <c r="AD45" s="87"/>
      <c r="AE45" s="86"/>
      <c r="AF45" s="87"/>
      <c r="AG45" s="86"/>
      <c r="AH45" s="87"/>
      <c r="AI45" s="86"/>
      <c r="AJ45" s="87"/>
      <c r="AK45" s="86"/>
      <c r="AL45" s="87"/>
      <c r="AM45" s="86"/>
      <c r="AN45" s="87"/>
      <c r="AO45" s="86"/>
      <c r="AP45" s="87"/>
      <c r="AQ45" s="86"/>
      <c r="AR45" s="87"/>
      <c r="AS45" s="86"/>
      <c r="AT45" s="87"/>
      <c r="AU45" s="86"/>
      <c r="AV45" s="87"/>
      <c r="AW45" s="86"/>
      <c r="AX45" s="87"/>
      <c r="AY45" s="86"/>
      <c r="AZ45" s="87"/>
      <c r="BA45" s="86"/>
      <c r="BB45" s="87"/>
      <c r="BC45" s="86"/>
      <c r="BD45" s="87"/>
      <c r="BE45" s="86"/>
      <c r="BF45" s="87"/>
      <c r="BG45" s="86"/>
      <c r="BH45" s="87"/>
      <c r="BI45" s="86"/>
      <c r="BJ45" s="87"/>
      <c r="BK45" s="86"/>
      <c r="BL45" s="87"/>
      <c r="BM45" s="86"/>
      <c r="BN45" s="50"/>
      <c r="BO45" s="170" t="str">
        <f t="shared" si="2"/>
        <v/>
      </c>
      <c r="BP45" s="87"/>
      <c r="BQ45" s="88"/>
    </row>
    <row r="46" spans="1:76" hidden="1" x14ac:dyDescent="0.35">
      <c r="A46" s="83" t="s">
        <v>43</v>
      </c>
      <c r="B46" s="54"/>
      <c r="C46" s="84"/>
      <c r="D46" s="85"/>
      <c r="E46" s="86"/>
      <c r="F46" s="87"/>
      <c r="G46" s="86"/>
      <c r="H46" s="87"/>
      <c r="I46" s="86"/>
      <c r="J46" s="87"/>
      <c r="K46" s="86"/>
      <c r="L46" s="87"/>
      <c r="M46" s="86"/>
      <c r="N46" s="87"/>
      <c r="O46" s="86"/>
      <c r="P46" s="87"/>
      <c r="Q46" s="86"/>
      <c r="R46" s="87"/>
      <c r="S46" s="86"/>
      <c r="T46" s="87"/>
      <c r="U46" s="86"/>
      <c r="V46" s="87"/>
      <c r="W46" s="86"/>
      <c r="X46" s="87"/>
      <c r="Y46" s="86"/>
      <c r="Z46" s="87"/>
      <c r="AA46" s="86"/>
      <c r="AB46" s="87"/>
      <c r="AC46" s="86"/>
      <c r="AD46" s="87"/>
      <c r="AE46" s="86"/>
      <c r="AF46" s="87"/>
      <c r="AG46" s="86"/>
      <c r="AH46" s="87"/>
      <c r="AI46" s="86"/>
      <c r="AJ46" s="87"/>
      <c r="AK46" s="86"/>
      <c r="AL46" s="87"/>
      <c r="AM46" s="86"/>
      <c r="AN46" s="87"/>
      <c r="AO46" s="86"/>
      <c r="AP46" s="87"/>
      <c r="AQ46" s="86"/>
      <c r="AR46" s="87"/>
      <c r="AS46" s="86"/>
      <c r="AT46" s="87"/>
      <c r="AU46" s="86"/>
      <c r="AV46" s="87"/>
      <c r="AW46" s="86"/>
      <c r="AX46" s="87"/>
      <c r="AY46" s="86"/>
      <c r="AZ46" s="87"/>
      <c r="BA46" s="86"/>
      <c r="BB46" s="87"/>
      <c r="BC46" s="86"/>
      <c r="BD46" s="87"/>
      <c r="BE46" s="86"/>
      <c r="BF46" s="87"/>
      <c r="BG46" s="86"/>
      <c r="BH46" s="87"/>
      <c r="BI46" s="86"/>
      <c r="BJ46" s="87"/>
      <c r="BK46" s="86"/>
      <c r="BL46" s="87"/>
      <c r="BM46" s="86"/>
      <c r="BN46" s="50"/>
      <c r="BO46" s="170" t="str">
        <f t="shared" si="2"/>
        <v/>
      </c>
      <c r="BP46" s="87"/>
      <c r="BQ46" s="88"/>
    </row>
    <row r="47" spans="1:76" hidden="1" x14ac:dyDescent="0.35">
      <c r="A47" s="83" t="s">
        <v>10</v>
      </c>
      <c r="B47" s="54"/>
      <c r="C47" s="84"/>
      <c r="D47" s="85"/>
      <c r="E47" s="86"/>
      <c r="F47" s="87"/>
      <c r="G47" s="86"/>
      <c r="H47" s="87"/>
      <c r="I47" s="86"/>
      <c r="J47" s="87"/>
      <c r="K47" s="86"/>
      <c r="L47" s="87"/>
      <c r="M47" s="86"/>
      <c r="N47" s="87"/>
      <c r="O47" s="86"/>
      <c r="P47" s="87"/>
      <c r="Q47" s="86"/>
      <c r="R47" s="87"/>
      <c r="S47" s="86"/>
      <c r="T47" s="87"/>
      <c r="U47" s="86"/>
      <c r="V47" s="87"/>
      <c r="W47" s="86"/>
      <c r="X47" s="87"/>
      <c r="Y47" s="86"/>
      <c r="Z47" s="87"/>
      <c r="AA47" s="86"/>
      <c r="AB47" s="87"/>
      <c r="AC47" s="86"/>
      <c r="AD47" s="87"/>
      <c r="AE47" s="86"/>
      <c r="AF47" s="87"/>
      <c r="AG47" s="86"/>
      <c r="AH47" s="87"/>
      <c r="AI47" s="86"/>
      <c r="AJ47" s="87"/>
      <c r="AK47" s="86"/>
      <c r="AL47" s="87"/>
      <c r="AM47" s="86"/>
      <c r="AN47" s="87"/>
      <c r="AO47" s="86"/>
      <c r="AP47" s="87"/>
      <c r="AQ47" s="86"/>
      <c r="AR47" s="87"/>
      <c r="AS47" s="86"/>
      <c r="AT47" s="87"/>
      <c r="AU47" s="86"/>
      <c r="AV47" s="87"/>
      <c r="AW47" s="86"/>
      <c r="AX47" s="87"/>
      <c r="AY47" s="86"/>
      <c r="AZ47" s="87"/>
      <c r="BA47" s="86"/>
      <c r="BB47" s="87"/>
      <c r="BC47" s="86"/>
      <c r="BD47" s="87"/>
      <c r="BE47" s="86"/>
      <c r="BF47" s="87"/>
      <c r="BG47" s="86"/>
      <c r="BH47" s="87"/>
      <c r="BI47" s="86"/>
      <c r="BJ47" s="87"/>
      <c r="BK47" s="86"/>
      <c r="BL47" s="87"/>
      <c r="BM47" s="86"/>
      <c r="BN47" s="50"/>
      <c r="BO47" s="170" t="str">
        <f t="shared" si="2"/>
        <v/>
      </c>
      <c r="BP47" s="87"/>
      <c r="BQ47" s="88"/>
    </row>
    <row r="48" spans="1:76" hidden="1" x14ac:dyDescent="0.35">
      <c r="A48" s="83" t="s">
        <v>11</v>
      </c>
      <c r="B48" s="54"/>
      <c r="C48" s="84"/>
      <c r="D48" s="85"/>
      <c r="E48" s="86"/>
      <c r="F48" s="87"/>
      <c r="G48" s="86"/>
      <c r="H48" s="87"/>
      <c r="I48" s="86"/>
      <c r="J48" s="87"/>
      <c r="K48" s="86"/>
      <c r="L48" s="87"/>
      <c r="M48" s="86"/>
      <c r="N48" s="87"/>
      <c r="O48" s="86"/>
      <c r="P48" s="87"/>
      <c r="Q48" s="86"/>
      <c r="R48" s="87"/>
      <c r="S48" s="86"/>
      <c r="T48" s="87"/>
      <c r="U48" s="86"/>
      <c r="V48" s="87"/>
      <c r="W48" s="86"/>
      <c r="X48" s="87"/>
      <c r="Y48" s="86"/>
      <c r="Z48" s="87"/>
      <c r="AA48" s="86"/>
      <c r="AB48" s="87"/>
      <c r="AC48" s="86"/>
      <c r="AD48" s="87"/>
      <c r="AE48" s="86"/>
      <c r="AF48" s="87"/>
      <c r="AG48" s="86"/>
      <c r="AH48" s="87"/>
      <c r="AI48" s="86"/>
      <c r="AJ48" s="87"/>
      <c r="AK48" s="86"/>
      <c r="AL48" s="87"/>
      <c r="AM48" s="86"/>
      <c r="AN48" s="87"/>
      <c r="AO48" s="86"/>
      <c r="AP48" s="87"/>
      <c r="AQ48" s="86"/>
      <c r="AR48" s="87"/>
      <c r="AS48" s="86"/>
      <c r="AT48" s="87"/>
      <c r="AU48" s="86"/>
      <c r="AV48" s="87"/>
      <c r="AW48" s="86"/>
      <c r="AX48" s="87"/>
      <c r="AY48" s="86"/>
      <c r="AZ48" s="87"/>
      <c r="BA48" s="86"/>
      <c r="BB48" s="87"/>
      <c r="BC48" s="86"/>
      <c r="BD48" s="87"/>
      <c r="BE48" s="86"/>
      <c r="BF48" s="87"/>
      <c r="BG48" s="86"/>
      <c r="BH48" s="87"/>
      <c r="BI48" s="86"/>
      <c r="BJ48" s="87"/>
      <c r="BK48" s="86"/>
      <c r="BL48" s="87"/>
      <c r="BM48" s="86"/>
      <c r="BN48" s="50"/>
      <c r="BO48" s="170" t="str">
        <f t="shared" si="2"/>
        <v/>
      </c>
      <c r="BP48" s="87"/>
      <c r="BQ48" s="88"/>
    </row>
    <row r="49" spans="1:76" s="1" customFormat="1" x14ac:dyDescent="0.35">
      <c r="A49" s="89" t="s">
        <v>36</v>
      </c>
      <c r="B49" s="90"/>
      <c r="C49" s="174">
        <f>IF('September 2026 Log'!BK49="","",'September 2026 Log'!BK49)</f>
        <v>0</v>
      </c>
      <c r="D49" s="47"/>
      <c r="E49" s="166">
        <f>SUM(E43:E48)</f>
        <v>0</v>
      </c>
      <c r="F49" s="49"/>
      <c r="G49" s="166">
        <f>SUM(G43:G48)</f>
        <v>0</v>
      </c>
      <c r="H49" s="49"/>
      <c r="I49" s="166">
        <f>SUM(I43:I48)</f>
        <v>0</v>
      </c>
      <c r="J49" s="49"/>
      <c r="K49" s="166">
        <f>SUM(K43:K48)</f>
        <v>0</v>
      </c>
      <c r="L49" s="49"/>
      <c r="M49" s="166">
        <f>SUM(M43:M48)</f>
        <v>0</v>
      </c>
      <c r="N49" s="49"/>
      <c r="O49" s="166">
        <f>SUM(O43:O48)</f>
        <v>0</v>
      </c>
      <c r="P49" s="49"/>
      <c r="Q49" s="166">
        <f>SUM(Q43:Q48)</f>
        <v>0</v>
      </c>
      <c r="R49" s="49"/>
      <c r="S49" s="166">
        <f>SUM(S43:S48)</f>
        <v>0</v>
      </c>
      <c r="T49" s="49"/>
      <c r="U49" s="166">
        <f>SUM(U43:U48)</f>
        <v>0</v>
      </c>
      <c r="V49" s="49"/>
      <c r="W49" s="166">
        <f>SUM(W43:W48)</f>
        <v>0</v>
      </c>
      <c r="X49" s="49"/>
      <c r="Y49" s="166">
        <f>SUM(Y43:Y48)</f>
        <v>0</v>
      </c>
      <c r="Z49" s="49"/>
      <c r="AA49" s="166">
        <f>SUM(AA43:AA48)</f>
        <v>0</v>
      </c>
      <c r="AB49" s="49"/>
      <c r="AC49" s="166">
        <f>SUM(AC43:AC48)</f>
        <v>0</v>
      </c>
      <c r="AD49" s="49"/>
      <c r="AE49" s="166">
        <f>SUM(AE43:AE48)</f>
        <v>0</v>
      </c>
      <c r="AF49" s="49"/>
      <c r="AG49" s="166">
        <f>SUM(AG43:AG48)</f>
        <v>0</v>
      </c>
      <c r="AH49" s="49"/>
      <c r="AI49" s="166">
        <f>SUM(AI43:AI48)</f>
        <v>0</v>
      </c>
      <c r="AJ49" s="49"/>
      <c r="AK49" s="166">
        <f>SUM(AK43:AK48)</f>
        <v>0</v>
      </c>
      <c r="AL49" s="49"/>
      <c r="AM49" s="166">
        <f>SUM(AM43:AM48)</f>
        <v>0</v>
      </c>
      <c r="AN49" s="49"/>
      <c r="AO49" s="166">
        <f>SUM(AO43:AO48)</f>
        <v>0</v>
      </c>
      <c r="AP49" s="49"/>
      <c r="AQ49" s="166">
        <f>SUM(AQ43:AQ48)</f>
        <v>0</v>
      </c>
      <c r="AR49" s="49"/>
      <c r="AS49" s="166">
        <f>SUM(AS43:AS48)</f>
        <v>0</v>
      </c>
      <c r="AT49" s="49"/>
      <c r="AU49" s="166">
        <f>SUM(AU43:AU48)</f>
        <v>0</v>
      </c>
      <c r="AV49" s="49"/>
      <c r="AW49" s="166">
        <f>SUM(AW43:AW48)</f>
        <v>0</v>
      </c>
      <c r="AX49" s="49"/>
      <c r="AY49" s="166">
        <f>SUM(AY43:AY48)</f>
        <v>0</v>
      </c>
      <c r="AZ49" s="49"/>
      <c r="BA49" s="166">
        <f>SUM(BA43:BA48)</f>
        <v>0</v>
      </c>
      <c r="BB49" s="49"/>
      <c r="BC49" s="166">
        <f>SUM(BC43:BC48)</f>
        <v>0</v>
      </c>
      <c r="BD49" s="49"/>
      <c r="BE49" s="166">
        <f>SUM(BE43:BE48)</f>
        <v>0</v>
      </c>
      <c r="BF49" s="49"/>
      <c r="BG49" s="166">
        <f>SUM(BG43:BG48)</f>
        <v>0</v>
      </c>
      <c r="BH49" s="49"/>
      <c r="BI49" s="166">
        <f>SUM(BI43:BI48)</f>
        <v>0</v>
      </c>
      <c r="BJ49" s="49"/>
      <c r="BK49" s="166">
        <f>SUM(BK43:BK48)</f>
        <v>0</v>
      </c>
      <c r="BL49" s="49"/>
      <c r="BM49" s="166">
        <f>SUM(BM43:BM48)</f>
        <v>0</v>
      </c>
      <c r="BN49" s="50"/>
      <c r="BO49" s="170">
        <f t="shared" si="2"/>
        <v>0</v>
      </c>
      <c r="BP49" s="49"/>
      <c r="BQ49" s="172">
        <f>IF(BM49="","",BM49)</f>
        <v>0</v>
      </c>
      <c r="BR49"/>
      <c r="BS49"/>
      <c r="BT49"/>
      <c r="BU49"/>
      <c r="BV49"/>
      <c r="BW49"/>
      <c r="BX49"/>
    </row>
    <row r="50" spans="1:76" s="1" customFormat="1" x14ac:dyDescent="0.35">
      <c r="A50" s="89" t="s">
        <v>12</v>
      </c>
      <c r="B50" s="90"/>
      <c r="C50" s="174">
        <f>IF('September 2026 Log'!BK50="","",'September 2026 Log'!BK50)</f>
        <v>0</v>
      </c>
      <c r="D50" s="47"/>
      <c r="E50" s="166">
        <f t="shared" ref="E50" si="34">+E42+E49</f>
        <v>0</v>
      </c>
      <c r="F50" s="49"/>
      <c r="G50" s="166">
        <f t="shared" ref="G50" si="35">+G42+G49</f>
        <v>0</v>
      </c>
      <c r="H50" s="49"/>
      <c r="I50" s="166">
        <f t="shared" ref="I50" si="36">+I42+I49</f>
        <v>0</v>
      </c>
      <c r="J50" s="49"/>
      <c r="K50" s="166">
        <f t="shared" ref="K50" si="37">+K42+K49</f>
        <v>0</v>
      </c>
      <c r="L50" s="49"/>
      <c r="M50" s="166">
        <f t="shared" ref="M50" si="38">+M42+M49</f>
        <v>0</v>
      </c>
      <c r="N50" s="49"/>
      <c r="O50" s="166">
        <f t="shared" ref="O50" si="39">+O42+O49</f>
        <v>0</v>
      </c>
      <c r="P50" s="49"/>
      <c r="Q50" s="166">
        <f t="shared" ref="Q50" si="40">+Q42+Q49</f>
        <v>0</v>
      </c>
      <c r="R50" s="49"/>
      <c r="S50" s="166">
        <f t="shared" ref="S50" si="41">+S42+S49</f>
        <v>0</v>
      </c>
      <c r="T50" s="49"/>
      <c r="U50" s="166">
        <f t="shared" ref="U50" si="42">+U42+U49</f>
        <v>0</v>
      </c>
      <c r="V50" s="49"/>
      <c r="W50" s="166">
        <f t="shared" ref="W50" si="43">+W42+W49</f>
        <v>0</v>
      </c>
      <c r="X50" s="49"/>
      <c r="Y50" s="166">
        <f t="shared" ref="Y50" si="44">+Y42+Y49</f>
        <v>0</v>
      </c>
      <c r="Z50" s="49"/>
      <c r="AA50" s="166">
        <f t="shared" ref="AA50" si="45">+AA42+AA49</f>
        <v>0</v>
      </c>
      <c r="AB50" s="49"/>
      <c r="AC50" s="166">
        <f t="shared" ref="AC50" si="46">+AC42+AC49</f>
        <v>0</v>
      </c>
      <c r="AD50" s="49"/>
      <c r="AE50" s="166">
        <f t="shared" ref="AE50" si="47">+AE42+AE49</f>
        <v>0</v>
      </c>
      <c r="AF50" s="49"/>
      <c r="AG50" s="166">
        <f t="shared" ref="AG50" si="48">+AG42+AG49</f>
        <v>0</v>
      </c>
      <c r="AH50" s="49"/>
      <c r="AI50" s="166">
        <f t="shared" ref="AI50" si="49">+AI42+AI49</f>
        <v>0</v>
      </c>
      <c r="AJ50" s="49"/>
      <c r="AK50" s="166">
        <f t="shared" ref="AK50" si="50">+AK42+AK49</f>
        <v>0</v>
      </c>
      <c r="AL50" s="49"/>
      <c r="AM50" s="166">
        <f t="shared" ref="AM50" si="51">+AM42+AM49</f>
        <v>0</v>
      </c>
      <c r="AN50" s="49"/>
      <c r="AO50" s="166">
        <f t="shared" ref="AO50" si="52">+AO42+AO49</f>
        <v>0</v>
      </c>
      <c r="AP50" s="49"/>
      <c r="AQ50" s="166">
        <f t="shared" ref="AQ50" si="53">+AQ42+AQ49</f>
        <v>0</v>
      </c>
      <c r="AR50" s="49"/>
      <c r="AS50" s="166">
        <f t="shared" ref="AS50" si="54">+AS42+AS49</f>
        <v>0</v>
      </c>
      <c r="AT50" s="49"/>
      <c r="AU50" s="166">
        <f t="shared" ref="AU50" si="55">+AU42+AU49</f>
        <v>0</v>
      </c>
      <c r="AV50" s="49"/>
      <c r="AW50" s="166">
        <f t="shared" ref="AW50" si="56">+AW42+AW49</f>
        <v>0</v>
      </c>
      <c r="AX50" s="49"/>
      <c r="AY50" s="166">
        <f t="shared" ref="AY50" si="57">+AY42+AY49</f>
        <v>0</v>
      </c>
      <c r="AZ50" s="49"/>
      <c r="BA50" s="166">
        <f t="shared" ref="BA50" si="58">+BA42+BA49</f>
        <v>0</v>
      </c>
      <c r="BB50" s="49"/>
      <c r="BC50" s="166">
        <f t="shared" ref="BC50" si="59">+BC42+BC49</f>
        <v>0</v>
      </c>
      <c r="BD50" s="49"/>
      <c r="BE50" s="166">
        <f t="shared" ref="BE50" si="60">+BE42+BE49</f>
        <v>0</v>
      </c>
      <c r="BF50" s="49"/>
      <c r="BG50" s="166">
        <f t="shared" ref="BG50" si="61">+BG42+BG49</f>
        <v>0</v>
      </c>
      <c r="BH50" s="49"/>
      <c r="BI50" s="166">
        <f t="shared" ref="BI50" si="62">+BI42+BI49</f>
        <v>0</v>
      </c>
      <c r="BJ50" s="49"/>
      <c r="BK50" s="166">
        <f t="shared" ref="BK50" si="63">+BK42+BK49</f>
        <v>0</v>
      </c>
      <c r="BL50" s="49"/>
      <c r="BM50" s="166">
        <f t="shared" ref="BM50" si="64">+BM42+BM49</f>
        <v>0</v>
      </c>
      <c r="BN50" s="50"/>
      <c r="BO50" s="170">
        <f t="shared" si="2"/>
        <v>0</v>
      </c>
      <c r="BP50" s="49"/>
      <c r="BQ50" s="172">
        <f>IF(BM50="","",BM50)</f>
        <v>0</v>
      </c>
      <c r="BR50"/>
      <c r="BS50"/>
      <c r="BT50"/>
      <c r="BU50"/>
      <c r="BV50"/>
      <c r="BW50"/>
      <c r="BX50"/>
    </row>
    <row r="51" spans="1:76" x14ac:dyDescent="0.35">
      <c r="A51" s="83" t="s">
        <v>13</v>
      </c>
      <c r="B51" s="54"/>
      <c r="C51" s="84"/>
      <c r="D51" s="85"/>
      <c r="E51" s="86"/>
      <c r="F51" s="87"/>
      <c r="G51" s="86"/>
      <c r="H51" s="87"/>
      <c r="I51" s="86"/>
      <c r="J51" s="87"/>
      <c r="K51" s="86"/>
      <c r="L51" s="87"/>
      <c r="M51" s="86"/>
      <c r="N51" s="87"/>
      <c r="O51" s="86"/>
      <c r="P51" s="87"/>
      <c r="Q51" s="86"/>
      <c r="R51" s="87"/>
      <c r="S51" s="86"/>
      <c r="T51" s="87"/>
      <c r="U51" s="86"/>
      <c r="V51" s="87"/>
      <c r="W51" s="86"/>
      <c r="X51" s="87"/>
      <c r="Y51" s="86"/>
      <c r="Z51" s="87"/>
      <c r="AA51" s="86"/>
      <c r="AB51" s="87"/>
      <c r="AC51" s="86"/>
      <c r="AD51" s="87"/>
      <c r="AE51" s="86"/>
      <c r="AF51" s="87"/>
      <c r="AG51" s="86"/>
      <c r="AH51" s="87"/>
      <c r="AI51" s="86"/>
      <c r="AJ51" s="87"/>
      <c r="AK51" s="86"/>
      <c r="AL51" s="87"/>
      <c r="AM51" s="86"/>
      <c r="AN51" s="87"/>
      <c r="AO51" s="86"/>
      <c r="AP51" s="87"/>
      <c r="AQ51" s="86"/>
      <c r="AR51" s="87"/>
      <c r="AS51" s="86"/>
      <c r="AT51" s="87"/>
      <c r="AU51" s="86"/>
      <c r="AV51" s="87"/>
      <c r="AW51" s="86"/>
      <c r="AX51" s="87"/>
      <c r="AY51" s="86"/>
      <c r="AZ51" s="87"/>
      <c r="BA51" s="86"/>
      <c r="BB51" s="87"/>
      <c r="BC51" s="86"/>
      <c r="BD51" s="87"/>
      <c r="BE51" s="86"/>
      <c r="BF51" s="87"/>
      <c r="BG51" s="86"/>
      <c r="BH51" s="87"/>
      <c r="BI51" s="86"/>
      <c r="BJ51" s="87"/>
      <c r="BK51" s="86"/>
      <c r="BL51" s="87"/>
      <c r="BM51" s="86"/>
      <c r="BN51" s="50"/>
      <c r="BO51" s="170" t="str">
        <f t="shared" si="2"/>
        <v/>
      </c>
      <c r="BP51" s="87"/>
      <c r="BQ51" s="88"/>
    </row>
    <row r="52" spans="1:76" x14ac:dyDescent="0.35">
      <c r="A52" s="83" t="s">
        <v>14</v>
      </c>
      <c r="B52" s="54"/>
      <c r="C52" s="84"/>
      <c r="D52" s="85"/>
      <c r="E52" s="86"/>
      <c r="F52" s="87"/>
      <c r="G52" s="86"/>
      <c r="H52" s="87"/>
      <c r="I52" s="86"/>
      <c r="J52" s="87"/>
      <c r="K52" s="86"/>
      <c r="L52" s="87"/>
      <c r="M52" s="86"/>
      <c r="N52" s="87"/>
      <c r="O52" s="86"/>
      <c r="P52" s="87"/>
      <c r="Q52" s="86"/>
      <c r="R52" s="87"/>
      <c r="S52" s="86"/>
      <c r="T52" s="87"/>
      <c r="U52" s="86"/>
      <c r="V52" s="87"/>
      <c r="W52" s="86"/>
      <c r="X52" s="87"/>
      <c r="Y52" s="86"/>
      <c r="Z52" s="87"/>
      <c r="AA52" s="86"/>
      <c r="AB52" s="87"/>
      <c r="AC52" s="86"/>
      <c r="AD52" s="87"/>
      <c r="AE52" s="86"/>
      <c r="AF52" s="87"/>
      <c r="AG52" s="86"/>
      <c r="AH52" s="87"/>
      <c r="AI52" s="86"/>
      <c r="AJ52" s="87"/>
      <c r="AK52" s="86"/>
      <c r="AL52" s="87"/>
      <c r="AM52" s="86"/>
      <c r="AN52" s="87"/>
      <c r="AO52" s="86"/>
      <c r="AP52" s="87"/>
      <c r="AQ52" s="86"/>
      <c r="AR52" s="87"/>
      <c r="AS52" s="86"/>
      <c r="AT52" s="87"/>
      <c r="AU52" s="86"/>
      <c r="AV52" s="87"/>
      <c r="AW52" s="86"/>
      <c r="AX52" s="87"/>
      <c r="AY52" s="86"/>
      <c r="AZ52" s="87"/>
      <c r="BA52" s="86"/>
      <c r="BB52" s="87"/>
      <c r="BC52" s="86"/>
      <c r="BD52" s="87"/>
      <c r="BE52" s="86"/>
      <c r="BF52" s="87"/>
      <c r="BG52" s="86"/>
      <c r="BH52" s="87"/>
      <c r="BI52" s="86"/>
      <c r="BJ52" s="87"/>
      <c r="BK52" s="86"/>
      <c r="BL52" s="87"/>
      <c r="BM52" s="86"/>
      <c r="BN52" s="50"/>
      <c r="BO52" s="170" t="str">
        <f t="shared" si="2"/>
        <v/>
      </c>
      <c r="BP52" s="87"/>
      <c r="BQ52" s="88"/>
    </row>
    <row r="53" spans="1:76" x14ac:dyDescent="0.35">
      <c r="A53" s="83" t="s">
        <v>42</v>
      </c>
      <c r="B53" s="54"/>
      <c r="C53" s="84"/>
      <c r="D53" s="85"/>
      <c r="E53" s="86"/>
      <c r="F53" s="87"/>
      <c r="G53" s="86"/>
      <c r="H53" s="87"/>
      <c r="I53" s="86"/>
      <c r="J53" s="87"/>
      <c r="K53" s="86"/>
      <c r="L53" s="87"/>
      <c r="M53" s="86"/>
      <c r="N53" s="87"/>
      <c r="O53" s="86"/>
      <c r="P53" s="87"/>
      <c r="Q53" s="86"/>
      <c r="R53" s="87"/>
      <c r="S53" s="86"/>
      <c r="T53" s="87"/>
      <c r="U53" s="86"/>
      <c r="V53" s="87"/>
      <c r="W53" s="86"/>
      <c r="X53" s="87"/>
      <c r="Y53" s="86"/>
      <c r="Z53" s="87"/>
      <c r="AA53" s="86"/>
      <c r="AB53" s="87"/>
      <c r="AC53" s="86"/>
      <c r="AD53" s="87"/>
      <c r="AE53" s="86"/>
      <c r="AF53" s="87"/>
      <c r="AG53" s="86"/>
      <c r="AH53" s="87"/>
      <c r="AI53" s="86"/>
      <c r="AJ53" s="87"/>
      <c r="AK53" s="86"/>
      <c r="AL53" s="87"/>
      <c r="AM53" s="86"/>
      <c r="AN53" s="87"/>
      <c r="AO53" s="86"/>
      <c r="AP53" s="87"/>
      <c r="AQ53" s="86"/>
      <c r="AR53" s="87"/>
      <c r="AS53" s="86"/>
      <c r="AT53" s="87"/>
      <c r="AU53" s="86"/>
      <c r="AV53" s="87"/>
      <c r="AW53" s="86"/>
      <c r="AX53" s="87"/>
      <c r="AY53" s="86"/>
      <c r="AZ53" s="87"/>
      <c r="BA53" s="86"/>
      <c r="BB53" s="87"/>
      <c r="BC53" s="86"/>
      <c r="BD53" s="87"/>
      <c r="BE53" s="86"/>
      <c r="BF53" s="87"/>
      <c r="BG53" s="86"/>
      <c r="BH53" s="87"/>
      <c r="BI53" s="86"/>
      <c r="BJ53" s="87"/>
      <c r="BK53" s="86"/>
      <c r="BL53" s="87"/>
      <c r="BM53" s="86"/>
      <c r="BN53" s="50"/>
      <c r="BO53" s="170" t="str">
        <f t="shared" si="2"/>
        <v/>
      </c>
      <c r="BP53" s="87"/>
      <c r="BQ53" s="88"/>
    </row>
    <row r="54" spans="1:76" x14ac:dyDescent="0.35">
      <c r="A54" s="89" t="s">
        <v>15</v>
      </c>
      <c r="B54" s="90"/>
      <c r="C54" s="174">
        <f>IF('September 2026 Log'!BK54="","",'September 2026 Log'!BK54)</f>
        <v>0</v>
      </c>
      <c r="D54" s="47"/>
      <c r="E54" s="166">
        <f>E22+E23+E32+E34+E50+E51+E52-E33+E24+E53+E112</f>
        <v>0</v>
      </c>
      <c r="F54" s="49"/>
      <c r="G54" s="166">
        <f>G22+G23+G32+G34+G50+G51+G52-G33+G24+G53+G112</f>
        <v>0</v>
      </c>
      <c r="H54" s="49"/>
      <c r="I54" s="166">
        <f>I22+I23+I32+I34+I50+I51+I52-I33+I24+I53+I112</f>
        <v>0</v>
      </c>
      <c r="J54" s="49"/>
      <c r="K54" s="166">
        <f>K22+K23+K32+K34+K50+K51+K52-K33+K24+K53+K112</f>
        <v>0</v>
      </c>
      <c r="L54" s="49"/>
      <c r="M54" s="166">
        <f>M22+M23+M32+M34+M50+M51+M52-M33+M24+M53+M112</f>
        <v>0</v>
      </c>
      <c r="N54" s="49"/>
      <c r="O54" s="166">
        <f>O22+O23+O32+O34+O50+O51+O52-O33+O24+O53+O112</f>
        <v>0</v>
      </c>
      <c r="P54" s="49"/>
      <c r="Q54" s="166">
        <f>Q22+Q23+Q32+Q34+Q50+Q51+Q52-Q33+Q24+Q53+Q112</f>
        <v>0</v>
      </c>
      <c r="R54" s="49"/>
      <c r="S54" s="166">
        <f>S22+S23+S32+S34+S50+S51+S52-S33+S24+S53+S112</f>
        <v>0</v>
      </c>
      <c r="T54" s="49"/>
      <c r="U54" s="166">
        <f>U22+U23+U32+U34+U50+U51+U52-U33+U24+U53+U112</f>
        <v>0</v>
      </c>
      <c r="V54" s="49"/>
      <c r="W54" s="166">
        <f>W22+W23+W32+W34+W50+W51+W52-W33+W24+W53+W112</f>
        <v>0</v>
      </c>
      <c r="X54" s="49"/>
      <c r="Y54" s="166">
        <f>Y22+Y23+Y32+Y34+Y50+Y51+Y52-Y33+Y24+Y53+Y112</f>
        <v>0</v>
      </c>
      <c r="Z54" s="49"/>
      <c r="AA54" s="166">
        <f>AA22+AA23+AA32+AA34+AA50+AA51+AA52-AA33+AA24+AA53+AA112</f>
        <v>0</v>
      </c>
      <c r="AB54" s="49"/>
      <c r="AC54" s="166">
        <f>AC22+AC23+AC32+AC34+AC50+AC51+AC52-AC33+AC24+AC53+AC112</f>
        <v>0</v>
      </c>
      <c r="AD54" s="49"/>
      <c r="AE54" s="166">
        <f>AE22+AE23+AE32+AE34+AE50+AE51+AE52-AE33+AE24+AE53+AE112</f>
        <v>0</v>
      </c>
      <c r="AF54" s="49"/>
      <c r="AG54" s="166">
        <f>AG22+AG23+AG32+AG34+AG50+AG51+AG52-AG33+AG24+AG53+AG112</f>
        <v>0</v>
      </c>
      <c r="AH54" s="49"/>
      <c r="AI54" s="166">
        <f>AI22+AI23+AI32+AI34+AI50+AI51+AI52-AI33+AI24+AI53+AI112</f>
        <v>0</v>
      </c>
      <c r="AJ54" s="49"/>
      <c r="AK54" s="166">
        <f>AK22+AK23+AK32+AK34+AK50+AK51+AK52-AK33+AK24+AK53+AK112</f>
        <v>0</v>
      </c>
      <c r="AL54" s="49"/>
      <c r="AM54" s="166">
        <f>AM22+AM23+AM32+AM34+AM50+AM51+AM52-AM33+AM24+AM53+AM112</f>
        <v>0</v>
      </c>
      <c r="AN54" s="49"/>
      <c r="AO54" s="166">
        <f>AO22+AO23+AO32+AO34+AO50+AO51+AO52-AO33+AO24+AO53+AO112</f>
        <v>0</v>
      </c>
      <c r="AP54" s="49"/>
      <c r="AQ54" s="166">
        <f>AQ22+AQ23+AQ32+AQ34+AQ50+AQ51+AQ52-AQ33+AQ24+AQ53+AQ112</f>
        <v>0</v>
      </c>
      <c r="AR54" s="49"/>
      <c r="AS54" s="166">
        <f>AS22+AS23+AS32+AS34+AS50+AS51+AS52-AS33+AS24+AS53+AS112</f>
        <v>0</v>
      </c>
      <c r="AT54" s="49"/>
      <c r="AU54" s="166">
        <f>AU22+AU23+AU32+AU34+AU50+AU51+AU52-AU33+AU24+AU53+AU112</f>
        <v>0</v>
      </c>
      <c r="AV54" s="49"/>
      <c r="AW54" s="166">
        <f>AW22+AW23+AW32+AW34+AW50+AW51+AW52-AW33+AW24+AW53+AW112</f>
        <v>0</v>
      </c>
      <c r="AX54" s="49"/>
      <c r="AY54" s="166">
        <f>AY22+AY23+AY32+AY34+AY50+AY51+AY52-AY33+AY24+AY53+AY112</f>
        <v>0</v>
      </c>
      <c r="AZ54" s="49"/>
      <c r="BA54" s="166">
        <f>BA22+BA23+BA32+BA34+BA50+BA51+BA52-BA33+BA24+BA53+BA112</f>
        <v>0</v>
      </c>
      <c r="BB54" s="49"/>
      <c r="BC54" s="166">
        <f>BC22+BC23+BC32+BC34+BC50+BC51+BC52-BC33+BC24+BC53+BC112</f>
        <v>0</v>
      </c>
      <c r="BD54" s="49"/>
      <c r="BE54" s="166">
        <f>BE22+BE23+BE32+BE34+BE50+BE51+BE52-BE33+BE24+BE53+BE112</f>
        <v>0</v>
      </c>
      <c r="BF54" s="49"/>
      <c r="BG54" s="166">
        <f>BG22+BG23+BG32+BG34+BG50+BG51+BG52-BG33+BG24+BG53+BG112</f>
        <v>0</v>
      </c>
      <c r="BH54" s="49"/>
      <c r="BI54" s="166">
        <f>BI22+BI23+BI32+BI34+BI50+BI51+BI52-BI33+BI24+BI53+BI112</f>
        <v>0</v>
      </c>
      <c r="BJ54" s="49"/>
      <c r="BK54" s="166">
        <f>BK22+BK23+BK32+BK34+BK50+BK51+BK52-BK33+BK24+BK53+BK112</f>
        <v>0</v>
      </c>
      <c r="BL54" s="49"/>
      <c r="BM54" s="166">
        <f>BM22+BM23+BM32+BM34+BM50+BM51+BM52-BM33+BM24+BM53+BM112</f>
        <v>0</v>
      </c>
      <c r="BN54" s="50"/>
      <c r="BO54" s="170">
        <f t="shared" si="2"/>
        <v>0</v>
      </c>
      <c r="BP54" s="49"/>
      <c r="BQ54" s="172">
        <f t="shared" ref="BQ54:BQ59" si="65">IF(BM54="","",BM54)</f>
        <v>0</v>
      </c>
    </row>
    <row r="55" spans="1:76" x14ac:dyDescent="0.35">
      <c r="A55" s="83" t="s">
        <v>16</v>
      </c>
      <c r="B55" s="54"/>
      <c r="C55" s="174" t="str">
        <f>IF('September 2026 Log'!BK55="","",'September 2026 Log'!BK55)</f>
        <v/>
      </c>
      <c r="D55" s="85"/>
      <c r="E55" s="86"/>
      <c r="F55" s="87"/>
      <c r="G55" s="86"/>
      <c r="H55" s="87"/>
      <c r="I55" s="86"/>
      <c r="J55" s="87"/>
      <c r="K55" s="86"/>
      <c r="L55" s="87"/>
      <c r="M55" s="86"/>
      <c r="N55" s="87"/>
      <c r="O55" s="86"/>
      <c r="P55" s="87"/>
      <c r="Q55" s="86"/>
      <c r="R55" s="87"/>
      <c r="S55" s="86"/>
      <c r="T55" s="87"/>
      <c r="U55" s="86"/>
      <c r="V55" s="87"/>
      <c r="W55" s="86"/>
      <c r="X55" s="87"/>
      <c r="Y55" s="86"/>
      <c r="Z55" s="87"/>
      <c r="AA55" s="86"/>
      <c r="AB55" s="87"/>
      <c r="AC55" s="86"/>
      <c r="AD55" s="87"/>
      <c r="AE55" s="86"/>
      <c r="AF55" s="87"/>
      <c r="AG55" s="86"/>
      <c r="AH55" s="87"/>
      <c r="AI55" s="86"/>
      <c r="AJ55" s="87"/>
      <c r="AK55" s="86"/>
      <c r="AL55" s="87"/>
      <c r="AM55" s="86"/>
      <c r="AN55" s="87"/>
      <c r="AO55" s="86"/>
      <c r="AP55" s="87"/>
      <c r="AQ55" s="86"/>
      <c r="AR55" s="87"/>
      <c r="AS55" s="86"/>
      <c r="AT55" s="87"/>
      <c r="AU55" s="86"/>
      <c r="AV55" s="87"/>
      <c r="AW55" s="86"/>
      <c r="AX55" s="87"/>
      <c r="AY55" s="86"/>
      <c r="AZ55" s="87"/>
      <c r="BA55" s="86"/>
      <c r="BB55" s="87"/>
      <c r="BC55" s="86"/>
      <c r="BD55" s="87"/>
      <c r="BE55" s="86"/>
      <c r="BF55" s="87"/>
      <c r="BG55" s="86"/>
      <c r="BH55" s="87"/>
      <c r="BI55" s="86"/>
      <c r="BJ55" s="87"/>
      <c r="BK55" s="86"/>
      <c r="BL55" s="87"/>
      <c r="BM55" s="86"/>
      <c r="BN55" s="50"/>
      <c r="BO55" s="170" t="str">
        <f t="shared" si="2"/>
        <v/>
      </c>
      <c r="BP55" s="87"/>
      <c r="BQ55" s="178" t="str">
        <f t="shared" si="65"/>
        <v/>
      </c>
    </row>
    <row r="56" spans="1:76" x14ac:dyDescent="0.35">
      <c r="A56" s="83" t="s">
        <v>17</v>
      </c>
      <c r="B56" s="54"/>
      <c r="C56" s="174" t="str">
        <f>IF('September 2026 Log'!BK56="","",'September 2026 Log'!BK56)</f>
        <v/>
      </c>
      <c r="D56" s="85"/>
      <c r="E56" s="86"/>
      <c r="F56" s="87"/>
      <c r="G56" s="86"/>
      <c r="H56" s="87"/>
      <c r="I56" s="86"/>
      <c r="J56" s="87"/>
      <c r="K56" s="86"/>
      <c r="L56" s="87"/>
      <c r="M56" s="86"/>
      <c r="N56" s="87"/>
      <c r="O56" s="86"/>
      <c r="P56" s="87"/>
      <c r="Q56" s="86"/>
      <c r="R56" s="87"/>
      <c r="S56" s="86"/>
      <c r="T56" s="87"/>
      <c r="U56" s="86"/>
      <c r="V56" s="87"/>
      <c r="W56" s="86"/>
      <c r="X56" s="87"/>
      <c r="Y56" s="86"/>
      <c r="Z56" s="87"/>
      <c r="AA56" s="86"/>
      <c r="AB56" s="87"/>
      <c r="AC56" s="86"/>
      <c r="AD56" s="87"/>
      <c r="AE56" s="86"/>
      <c r="AF56" s="87"/>
      <c r="AG56" s="86"/>
      <c r="AH56" s="87"/>
      <c r="AI56" s="86"/>
      <c r="AJ56" s="87"/>
      <c r="AK56" s="86"/>
      <c r="AL56" s="87"/>
      <c r="AM56" s="86"/>
      <c r="AN56" s="87"/>
      <c r="AO56" s="86"/>
      <c r="AP56" s="87"/>
      <c r="AQ56" s="86"/>
      <c r="AR56" s="87"/>
      <c r="AS56" s="86"/>
      <c r="AT56" s="87"/>
      <c r="AU56" s="86"/>
      <c r="AV56" s="87"/>
      <c r="AW56" s="86"/>
      <c r="AX56" s="87"/>
      <c r="AY56" s="86"/>
      <c r="AZ56" s="87"/>
      <c r="BA56" s="86"/>
      <c r="BB56" s="87"/>
      <c r="BC56" s="86"/>
      <c r="BD56" s="87"/>
      <c r="BE56" s="86"/>
      <c r="BF56" s="87"/>
      <c r="BG56" s="86"/>
      <c r="BH56" s="87"/>
      <c r="BI56" s="86"/>
      <c r="BJ56" s="87"/>
      <c r="BK56" s="86"/>
      <c r="BL56" s="87"/>
      <c r="BM56" s="86"/>
      <c r="BN56" s="50"/>
      <c r="BO56" s="170" t="str">
        <f t="shared" si="2"/>
        <v/>
      </c>
      <c r="BP56" s="87"/>
      <c r="BQ56" s="178" t="str">
        <f t="shared" si="65"/>
        <v/>
      </c>
    </row>
    <row r="57" spans="1:76" x14ac:dyDescent="0.35">
      <c r="A57" s="89" t="s">
        <v>18</v>
      </c>
      <c r="B57" s="90"/>
      <c r="C57" s="174">
        <f>IF('September 2026 Log'!BK57="","",'September 2026 Log'!BK57)</f>
        <v>0</v>
      </c>
      <c r="D57" s="47"/>
      <c r="E57" s="166">
        <f>SUM(E55:E56)</f>
        <v>0</v>
      </c>
      <c r="F57" s="49"/>
      <c r="G57" s="166">
        <f>SUM(G55:G56)</f>
        <v>0</v>
      </c>
      <c r="H57" s="49"/>
      <c r="I57" s="166">
        <f>SUM(I55:I56)</f>
        <v>0</v>
      </c>
      <c r="J57" s="49"/>
      <c r="K57" s="166">
        <f>SUM(K55:K56)</f>
        <v>0</v>
      </c>
      <c r="L57" s="49"/>
      <c r="M57" s="166">
        <f>SUM(M55:M56)</f>
        <v>0</v>
      </c>
      <c r="N57" s="49"/>
      <c r="O57" s="166">
        <f>SUM(O55:O56)</f>
        <v>0</v>
      </c>
      <c r="P57" s="49"/>
      <c r="Q57" s="166">
        <f>SUM(Q55:Q56)</f>
        <v>0</v>
      </c>
      <c r="R57" s="49"/>
      <c r="S57" s="166">
        <f>SUM(S55:S56)</f>
        <v>0</v>
      </c>
      <c r="T57" s="49"/>
      <c r="U57" s="166">
        <f>SUM(U55:U56)</f>
        <v>0</v>
      </c>
      <c r="V57" s="49"/>
      <c r="W57" s="166">
        <f>SUM(W55:W56)</f>
        <v>0</v>
      </c>
      <c r="X57" s="49"/>
      <c r="Y57" s="166">
        <f>SUM(Y55:Y56)</f>
        <v>0</v>
      </c>
      <c r="Z57" s="49"/>
      <c r="AA57" s="166">
        <f>SUM(AA55:AA56)</f>
        <v>0</v>
      </c>
      <c r="AB57" s="49"/>
      <c r="AC57" s="166">
        <f>SUM(AC55:AC56)</f>
        <v>0</v>
      </c>
      <c r="AD57" s="49"/>
      <c r="AE57" s="166">
        <f>SUM(AE55:AE56)</f>
        <v>0</v>
      </c>
      <c r="AF57" s="49"/>
      <c r="AG57" s="166">
        <f>SUM(AG55:AG56)</f>
        <v>0</v>
      </c>
      <c r="AH57" s="49"/>
      <c r="AI57" s="166">
        <f>SUM(AI55:AI56)</f>
        <v>0</v>
      </c>
      <c r="AJ57" s="49"/>
      <c r="AK57" s="166">
        <f>SUM(AK55:AK56)</f>
        <v>0</v>
      </c>
      <c r="AL57" s="49"/>
      <c r="AM57" s="166">
        <f>SUM(AM55:AM56)</f>
        <v>0</v>
      </c>
      <c r="AN57" s="49"/>
      <c r="AO57" s="166">
        <f>SUM(AO55:AO56)</f>
        <v>0</v>
      </c>
      <c r="AP57" s="49"/>
      <c r="AQ57" s="166">
        <f>SUM(AQ55:AQ56)</f>
        <v>0</v>
      </c>
      <c r="AR57" s="49"/>
      <c r="AS57" s="166">
        <f>SUM(AS55:AS56)</f>
        <v>0</v>
      </c>
      <c r="AT57" s="49"/>
      <c r="AU57" s="166">
        <f>SUM(AU55:AU56)</f>
        <v>0</v>
      </c>
      <c r="AV57" s="49"/>
      <c r="AW57" s="166">
        <f>SUM(AW55:AW56)</f>
        <v>0</v>
      </c>
      <c r="AX57" s="49"/>
      <c r="AY57" s="166">
        <f>SUM(AY55:AY56)</f>
        <v>0</v>
      </c>
      <c r="AZ57" s="49"/>
      <c r="BA57" s="166">
        <f>SUM(BA55:BA56)</f>
        <v>0</v>
      </c>
      <c r="BB57" s="49"/>
      <c r="BC57" s="166">
        <f>SUM(BC55:BC56)</f>
        <v>0</v>
      </c>
      <c r="BD57" s="49"/>
      <c r="BE57" s="166">
        <f>SUM(BE55:BE56)</f>
        <v>0</v>
      </c>
      <c r="BF57" s="49"/>
      <c r="BG57" s="166">
        <f>SUM(BG55:BG56)</f>
        <v>0</v>
      </c>
      <c r="BH57" s="49"/>
      <c r="BI57" s="166">
        <f>SUM(BI55:BI56)</f>
        <v>0</v>
      </c>
      <c r="BJ57" s="49"/>
      <c r="BK57" s="166">
        <f>SUM(BK55:BK56)</f>
        <v>0</v>
      </c>
      <c r="BL57" s="49"/>
      <c r="BM57" s="166">
        <f>SUM(BM55:BM56)</f>
        <v>0</v>
      </c>
      <c r="BN57" s="50"/>
      <c r="BO57" s="170">
        <f t="shared" si="2"/>
        <v>0</v>
      </c>
      <c r="BP57" s="49"/>
      <c r="BQ57" s="172">
        <f t="shared" si="65"/>
        <v>0</v>
      </c>
    </row>
    <row r="58" spans="1:76" x14ac:dyDescent="0.35">
      <c r="A58" s="108" t="s">
        <v>19</v>
      </c>
      <c r="B58" s="109"/>
      <c r="C58" s="174">
        <f>IF('September 2026 Log'!BK58="","",'September 2026 Log'!BK58)</f>
        <v>0</v>
      </c>
      <c r="D58" s="47"/>
      <c r="E58" s="166">
        <f>+E54-E57</f>
        <v>0</v>
      </c>
      <c r="F58" s="49"/>
      <c r="G58" s="166">
        <f>+G54-G57</f>
        <v>0</v>
      </c>
      <c r="H58" s="49"/>
      <c r="I58" s="166">
        <f>+I54-I57</f>
        <v>0</v>
      </c>
      <c r="J58" s="49"/>
      <c r="K58" s="166">
        <f>+K54-K57</f>
        <v>0</v>
      </c>
      <c r="L58" s="49"/>
      <c r="M58" s="166">
        <f>+M54-M57</f>
        <v>0</v>
      </c>
      <c r="N58" s="49"/>
      <c r="O58" s="166">
        <f>+O54-O57</f>
        <v>0</v>
      </c>
      <c r="P58" s="49"/>
      <c r="Q58" s="166">
        <f>+Q54-Q57</f>
        <v>0</v>
      </c>
      <c r="R58" s="49"/>
      <c r="S58" s="166">
        <f>+S54-S57</f>
        <v>0</v>
      </c>
      <c r="T58" s="49"/>
      <c r="U58" s="166">
        <f>+U54-U57</f>
        <v>0</v>
      </c>
      <c r="V58" s="49"/>
      <c r="W58" s="166">
        <f>+W54-W57</f>
        <v>0</v>
      </c>
      <c r="X58" s="49"/>
      <c r="Y58" s="166">
        <f>+Y54-Y57</f>
        <v>0</v>
      </c>
      <c r="Z58" s="49"/>
      <c r="AA58" s="166">
        <f>+AA54-AA57</f>
        <v>0</v>
      </c>
      <c r="AB58" s="49"/>
      <c r="AC58" s="166">
        <f>+AC54-AC57</f>
        <v>0</v>
      </c>
      <c r="AD58" s="49"/>
      <c r="AE58" s="166">
        <f>+AE54-AE57</f>
        <v>0</v>
      </c>
      <c r="AF58" s="49"/>
      <c r="AG58" s="166">
        <f>+AG54-AG57</f>
        <v>0</v>
      </c>
      <c r="AH58" s="49"/>
      <c r="AI58" s="166">
        <f>+AI54-AI57</f>
        <v>0</v>
      </c>
      <c r="AJ58" s="49"/>
      <c r="AK58" s="166">
        <f>+AK54-AK57</f>
        <v>0</v>
      </c>
      <c r="AL58" s="49"/>
      <c r="AM58" s="166">
        <f>+AM54-AM57</f>
        <v>0</v>
      </c>
      <c r="AN58" s="49"/>
      <c r="AO58" s="166">
        <f>+AO54-AO57</f>
        <v>0</v>
      </c>
      <c r="AP58" s="49"/>
      <c r="AQ58" s="166">
        <f>+AQ54-AQ57</f>
        <v>0</v>
      </c>
      <c r="AR58" s="49"/>
      <c r="AS58" s="166">
        <f>+AS54-AS57</f>
        <v>0</v>
      </c>
      <c r="AT58" s="49"/>
      <c r="AU58" s="166">
        <f>+AU54-AU57</f>
        <v>0</v>
      </c>
      <c r="AV58" s="49"/>
      <c r="AW58" s="166">
        <f>+AW54-AW57</f>
        <v>0</v>
      </c>
      <c r="AX58" s="49"/>
      <c r="AY58" s="166">
        <f>+AY54-AY57</f>
        <v>0</v>
      </c>
      <c r="AZ58" s="49"/>
      <c r="BA58" s="166">
        <f>+BA54-BA57</f>
        <v>0</v>
      </c>
      <c r="BB58" s="49"/>
      <c r="BC58" s="166">
        <f>+BC54-BC57</f>
        <v>0</v>
      </c>
      <c r="BD58" s="49"/>
      <c r="BE58" s="166">
        <f>+BE54-BE57</f>
        <v>0</v>
      </c>
      <c r="BF58" s="49"/>
      <c r="BG58" s="166">
        <f>+BG54-BG57</f>
        <v>0</v>
      </c>
      <c r="BH58" s="49"/>
      <c r="BI58" s="166">
        <f>+BI54-BI57</f>
        <v>0</v>
      </c>
      <c r="BJ58" s="49"/>
      <c r="BK58" s="166">
        <f>+BK54-BK57</f>
        <v>0</v>
      </c>
      <c r="BL58" s="49"/>
      <c r="BM58" s="166">
        <f>+BM54-BM57</f>
        <v>0</v>
      </c>
      <c r="BN58" s="50"/>
      <c r="BO58" s="170">
        <f t="shared" si="2"/>
        <v>0</v>
      </c>
      <c r="BP58" s="49"/>
      <c r="BQ58" s="172">
        <f t="shared" si="65"/>
        <v>0</v>
      </c>
    </row>
    <row r="59" spans="1:76" x14ac:dyDescent="0.35">
      <c r="A59" s="108" t="s">
        <v>20</v>
      </c>
      <c r="B59" s="109"/>
      <c r="C59" s="174">
        <f>IF('September 2026 Log'!BK59="","",'September 2026 Log'!BK59)</f>
        <v>0</v>
      </c>
      <c r="D59" s="47"/>
      <c r="E59" s="166">
        <f>-E25+E26</f>
        <v>0</v>
      </c>
      <c r="F59" s="49"/>
      <c r="G59" s="166">
        <f>-G25+G26</f>
        <v>0</v>
      </c>
      <c r="H59" s="49"/>
      <c r="I59" s="166">
        <f>-I25+I26</f>
        <v>0</v>
      </c>
      <c r="J59" s="49"/>
      <c r="K59" s="166">
        <f>-K25+K26</f>
        <v>0</v>
      </c>
      <c r="L59" s="49"/>
      <c r="M59" s="166">
        <f>-M25+M26</f>
        <v>0</v>
      </c>
      <c r="N59" s="49"/>
      <c r="O59" s="166">
        <f>-O25+O26</f>
        <v>0</v>
      </c>
      <c r="P59" s="49"/>
      <c r="Q59" s="166">
        <f>-Q25+Q26</f>
        <v>0</v>
      </c>
      <c r="R59" s="49"/>
      <c r="S59" s="166">
        <f>-S25+S26</f>
        <v>0</v>
      </c>
      <c r="T59" s="49"/>
      <c r="U59" s="166">
        <f>-U25+U26</f>
        <v>0</v>
      </c>
      <c r="V59" s="49"/>
      <c r="W59" s="166">
        <f>-W25+W26</f>
        <v>0</v>
      </c>
      <c r="X59" s="49"/>
      <c r="Y59" s="166">
        <f>-Y25+Y26</f>
        <v>0</v>
      </c>
      <c r="Z59" s="49"/>
      <c r="AA59" s="166">
        <f>-AA25+AA26</f>
        <v>0</v>
      </c>
      <c r="AB59" s="49"/>
      <c r="AC59" s="166">
        <f>-AC25+AC26</f>
        <v>0</v>
      </c>
      <c r="AD59" s="49"/>
      <c r="AE59" s="166">
        <f>-AE25+AE26</f>
        <v>0</v>
      </c>
      <c r="AF59" s="49"/>
      <c r="AG59" s="166">
        <f>-AG25+AG26</f>
        <v>0</v>
      </c>
      <c r="AH59" s="49"/>
      <c r="AI59" s="166">
        <f>-AI25+AI26</f>
        <v>0</v>
      </c>
      <c r="AJ59" s="49"/>
      <c r="AK59" s="166">
        <f>-AK25+AK26</f>
        <v>0</v>
      </c>
      <c r="AL59" s="49"/>
      <c r="AM59" s="166">
        <f>-AM25+AM26</f>
        <v>0</v>
      </c>
      <c r="AN59" s="49"/>
      <c r="AO59" s="166">
        <f>-AO25+AO26</f>
        <v>0</v>
      </c>
      <c r="AP59" s="49"/>
      <c r="AQ59" s="166">
        <f>-AQ25+AQ26</f>
        <v>0</v>
      </c>
      <c r="AR59" s="49"/>
      <c r="AS59" s="166">
        <f>-AS25+AS26</f>
        <v>0</v>
      </c>
      <c r="AT59" s="49"/>
      <c r="AU59" s="166">
        <f>-AU25+AU26</f>
        <v>0</v>
      </c>
      <c r="AV59" s="49"/>
      <c r="AW59" s="166">
        <f>-AW25+AW26</f>
        <v>0</v>
      </c>
      <c r="AX59" s="49"/>
      <c r="AY59" s="166">
        <f>-AY25+AY26</f>
        <v>0</v>
      </c>
      <c r="AZ59" s="49"/>
      <c r="BA59" s="166">
        <f>-BA25+BA26</f>
        <v>0</v>
      </c>
      <c r="BB59" s="49"/>
      <c r="BC59" s="166">
        <f>-BC25+BC26</f>
        <v>0</v>
      </c>
      <c r="BD59" s="49"/>
      <c r="BE59" s="166">
        <f>-BE25+BE26</f>
        <v>0</v>
      </c>
      <c r="BF59" s="49"/>
      <c r="BG59" s="166">
        <f>-BG25+BG26</f>
        <v>0</v>
      </c>
      <c r="BH59" s="49"/>
      <c r="BI59" s="166">
        <f>-BI25+BI26</f>
        <v>0</v>
      </c>
      <c r="BJ59" s="49"/>
      <c r="BK59" s="166">
        <f>-BK25+BK26</f>
        <v>0</v>
      </c>
      <c r="BL59" s="49"/>
      <c r="BM59" s="166">
        <f>-BM25+BM26</f>
        <v>0</v>
      </c>
      <c r="BN59" s="50"/>
      <c r="BO59" s="170">
        <f t="shared" si="2"/>
        <v>0</v>
      </c>
      <c r="BP59" s="49"/>
      <c r="BQ59" s="172">
        <f t="shared" si="65"/>
        <v>0</v>
      </c>
    </row>
    <row r="60" spans="1:76" x14ac:dyDescent="0.35">
      <c r="A60" s="74"/>
      <c r="B60" s="75"/>
      <c r="C60" s="141"/>
      <c r="D60" s="102"/>
      <c r="E60" s="142"/>
      <c r="F60" s="104"/>
      <c r="G60" s="142"/>
      <c r="H60" s="104"/>
      <c r="I60" s="142"/>
      <c r="J60" s="104"/>
      <c r="K60" s="142"/>
      <c r="L60" s="104"/>
      <c r="M60" s="142"/>
      <c r="N60" s="104"/>
      <c r="O60" s="142"/>
      <c r="P60" s="104"/>
      <c r="Q60" s="142"/>
      <c r="R60" s="104"/>
      <c r="S60" s="142"/>
      <c r="T60" s="104"/>
      <c r="U60" s="142"/>
      <c r="V60" s="104"/>
      <c r="W60" s="142"/>
      <c r="X60" s="104"/>
      <c r="Y60" s="142"/>
      <c r="Z60" s="104"/>
      <c r="AA60" s="142"/>
      <c r="AB60" s="104"/>
      <c r="AC60" s="142"/>
      <c r="AD60" s="104"/>
      <c r="AE60" s="142"/>
      <c r="AF60" s="104"/>
      <c r="AG60" s="142"/>
      <c r="AH60" s="104"/>
      <c r="AI60" s="142"/>
      <c r="AJ60" s="104"/>
      <c r="AK60" s="142"/>
      <c r="AL60" s="104"/>
      <c r="AM60" s="142"/>
      <c r="AN60" s="104"/>
      <c r="AO60" s="142"/>
      <c r="AP60" s="104"/>
      <c r="AQ60" s="142"/>
      <c r="AR60" s="104"/>
      <c r="AS60" s="142"/>
      <c r="AT60" s="104"/>
      <c r="AU60" s="142"/>
      <c r="AV60" s="104"/>
      <c r="AW60" s="142"/>
      <c r="AX60" s="104"/>
      <c r="AY60" s="142"/>
      <c r="AZ60" s="104"/>
      <c r="BA60" s="142"/>
      <c r="BB60" s="104"/>
      <c r="BC60" s="142"/>
      <c r="BD60" s="104"/>
      <c r="BE60" s="142"/>
      <c r="BF60" s="104"/>
      <c r="BG60" s="142"/>
      <c r="BH60" s="104"/>
      <c r="BI60" s="142"/>
      <c r="BJ60" s="104"/>
      <c r="BK60" s="142"/>
      <c r="BL60" s="104"/>
      <c r="BM60" s="142"/>
      <c r="BN60" s="105"/>
      <c r="BO60" s="106"/>
      <c r="BP60" s="104"/>
      <c r="BQ60" s="107"/>
    </row>
    <row r="61" spans="1:76" s="8" customFormat="1" x14ac:dyDescent="0.35">
      <c r="A61" s="213" t="s">
        <v>68</v>
      </c>
      <c r="B61" s="214"/>
      <c r="C61" s="215"/>
      <c r="D61" s="47"/>
      <c r="E61" s="166" t="e">
        <f t="shared" ref="E61" si="66">+E73-D67</f>
        <v>#VALUE!</v>
      </c>
      <c r="F61" s="49"/>
      <c r="G61" s="166">
        <f t="shared" ref="G61" si="67">+G73-F67</f>
        <v>0</v>
      </c>
      <c r="H61" s="49"/>
      <c r="I61" s="166">
        <f t="shared" ref="I61" si="68">+I73-H67</f>
        <v>0</v>
      </c>
      <c r="J61" s="49"/>
      <c r="K61" s="166">
        <f t="shared" ref="K61" si="69">+K73-J67</f>
        <v>0</v>
      </c>
      <c r="L61" s="49"/>
      <c r="M61" s="166">
        <f t="shared" ref="M61" si="70">+M73-L67</f>
        <v>0</v>
      </c>
      <c r="N61" s="49"/>
      <c r="O61" s="166">
        <f t="shared" ref="O61" si="71">+O73-N67</f>
        <v>0</v>
      </c>
      <c r="P61" s="49"/>
      <c r="Q61" s="166">
        <f t="shared" ref="Q61" si="72">+Q73-P67</f>
        <v>0</v>
      </c>
      <c r="R61" s="49"/>
      <c r="S61" s="166">
        <f t="shared" ref="S61" si="73">+S73-R67</f>
        <v>0</v>
      </c>
      <c r="T61" s="49"/>
      <c r="U61" s="166">
        <f t="shared" ref="U61" si="74">+U73-T67</f>
        <v>0</v>
      </c>
      <c r="V61" s="49"/>
      <c r="W61" s="166">
        <f t="shared" ref="W61" si="75">+W73-V67</f>
        <v>0</v>
      </c>
      <c r="X61" s="49"/>
      <c r="Y61" s="166">
        <f t="shared" ref="Y61" si="76">+Y73-X67</f>
        <v>0</v>
      </c>
      <c r="Z61" s="49"/>
      <c r="AA61" s="166">
        <f t="shared" ref="AA61" si="77">+AA73-Z67</f>
        <v>0</v>
      </c>
      <c r="AB61" s="49"/>
      <c r="AC61" s="166">
        <f t="shared" ref="AC61" si="78">+AC73-AB67</f>
        <v>0</v>
      </c>
      <c r="AD61" s="49"/>
      <c r="AE61" s="166">
        <f t="shared" ref="AE61" si="79">+AE73-AD67</f>
        <v>0</v>
      </c>
      <c r="AF61" s="49"/>
      <c r="AG61" s="166">
        <f t="shared" ref="AG61" si="80">+AG73-AF67</f>
        <v>0</v>
      </c>
      <c r="AH61" s="49"/>
      <c r="AI61" s="166">
        <f t="shared" ref="AI61" si="81">+AI73-AH67</f>
        <v>0</v>
      </c>
      <c r="AJ61" s="49"/>
      <c r="AK61" s="166">
        <f t="shared" ref="AK61" si="82">+AK73-AJ67</f>
        <v>0</v>
      </c>
      <c r="AL61" s="49"/>
      <c r="AM61" s="166">
        <f t="shared" ref="AM61" si="83">+AM73-AL67</f>
        <v>0</v>
      </c>
      <c r="AN61" s="49"/>
      <c r="AO61" s="166">
        <f t="shared" ref="AO61" si="84">+AO73-AN67</f>
        <v>0</v>
      </c>
      <c r="AP61" s="49"/>
      <c r="AQ61" s="166">
        <f t="shared" ref="AQ61" si="85">+AQ73-AP67</f>
        <v>0</v>
      </c>
      <c r="AR61" s="49"/>
      <c r="AS61" s="166">
        <f t="shared" ref="AS61" si="86">+AS73-AR67</f>
        <v>0</v>
      </c>
      <c r="AT61" s="49"/>
      <c r="AU61" s="166">
        <f t="shared" ref="AU61" si="87">+AU73-AT67</f>
        <v>0</v>
      </c>
      <c r="AV61" s="49"/>
      <c r="AW61" s="166">
        <f t="shared" ref="AW61" si="88">+AW73-AV67</f>
        <v>0</v>
      </c>
      <c r="AX61" s="49"/>
      <c r="AY61" s="166">
        <f t="shared" ref="AY61" si="89">+AY73-AX67</f>
        <v>0</v>
      </c>
      <c r="AZ61" s="49"/>
      <c r="BA61" s="166">
        <f t="shared" ref="BA61" si="90">+BA73-AZ67</f>
        <v>0</v>
      </c>
      <c r="BB61" s="49"/>
      <c r="BC61" s="166">
        <f t="shared" ref="BC61" si="91">+BC73-BB67</f>
        <v>0</v>
      </c>
      <c r="BD61" s="49"/>
      <c r="BE61" s="166">
        <f t="shared" ref="BE61" si="92">+BE73-BD67</f>
        <v>0</v>
      </c>
      <c r="BF61" s="49"/>
      <c r="BG61" s="166">
        <f>+BG73-BF67</f>
        <v>0</v>
      </c>
      <c r="BH61" s="49"/>
      <c r="BI61" s="166">
        <f>+BI73-BH67</f>
        <v>0</v>
      </c>
      <c r="BJ61" s="49"/>
      <c r="BK61" s="166">
        <f t="shared" ref="BK61" si="93">+BK73-BJ67</f>
        <v>0</v>
      </c>
      <c r="BL61" s="49"/>
      <c r="BM61" s="166">
        <f t="shared" ref="BM61" si="94">+BM73-BL67</f>
        <v>0</v>
      </c>
      <c r="BN61" s="50"/>
      <c r="BO61" s="170" t="e">
        <f>IF(COUNT(E61,G61,I61,K61,M61,O61,Q61,S61,U61,W61,Y61,AA61,AC61,AE61,AG61,AI61,AK61,AM61,AO61,AQ61,AS61,AU61,AW61,AY61,BA61,BC61,BE61,BG61,BI61,BK61,BM61)=0,"",SUM(E61,G61,I61,K61,M61,O61,Q61,S61,U61,W61,Y61,AA61,AC61,AE61,AG61,AI61,AK61,AM61,AO61,AQ61,AS61,AU61,AW61,AY61,BA61,BC61,BE61,BG61,BI61,BK61,BM61))</f>
        <v>#VALUE!</v>
      </c>
      <c r="BP61" s="49"/>
      <c r="BQ61" s="172" t="e">
        <f>+BQ73-BP67</f>
        <v>#VALUE!</v>
      </c>
      <c r="BR61"/>
      <c r="BS61"/>
      <c r="BT61"/>
      <c r="BU61"/>
      <c r="BV61"/>
      <c r="BW61"/>
      <c r="BX61"/>
    </row>
    <row r="62" spans="1:76" x14ac:dyDescent="0.35">
      <c r="A62" s="53" t="s">
        <v>24</v>
      </c>
      <c r="B62" s="187" t="e">
        <f>C62-C106</f>
        <v>#VALUE!</v>
      </c>
      <c r="C62" s="174" t="str">
        <f>IF('September 2026 Log'!BK62="","",'September 2026 Log'!BK62)</f>
        <v/>
      </c>
      <c r="D62" s="189" t="e">
        <f>+C62-E62+E106</f>
        <v>#VALUE!</v>
      </c>
      <c r="E62" s="48"/>
      <c r="F62" s="167">
        <f>+E62-G62+G106</f>
        <v>0</v>
      </c>
      <c r="G62" s="48"/>
      <c r="H62" s="167">
        <f>+G62-I62+I106</f>
        <v>0</v>
      </c>
      <c r="I62" s="48"/>
      <c r="J62" s="167">
        <f>+I62-K62+K106</f>
        <v>0</v>
      </c>
      <c r="K62" s="48"/>
      <c r="L62" s="167">
        <f>+K62-M62+M106</f>
        <v>0</v>
      </c>
      <c r="M62" s="48"/>
      <c r="N62" s="167">
        <f>+M62-O62+O106</f>
        <v>0</v>
      </c>
      <c r="O62" s="48"/>
      <c r="P62" s="167">
        <f>+O62-Q62+Q106</f>
        <v>0</v>
      </c>
      <c r="Q62" s="48"/>
      <c r="R62" s="167">
        <f>+Q62-S62+S106</f>
        <v>0</v>
      </c>
      <c r="S62" s="48"/>
      <c r="T62" s="167">
        <f>+S62-U62+U106</f>
        <v>0</v>
      </c>
      <c r="U62" s="48"/>
      <c r="V62" s="167">
        <f>+U62-W62+W106</f>
        <v>0</v>
      </c>
      <c r="W62" s="48"/>
      <c r="X62" s="167">
        <f>+W62-Y62+Y106</f>
        <v>0</v>
      </c>
      <c r="Y62" s="48"/>
      <c r="Z62" s="167">
        <f>+Y62-AA62+AA106</f>
        <v>0</v>
      </c>
      <c r="AA62" s="48"/>
      <c r="AB62" s="167">
        <f>+AA62-AC62+AC106</f>
        <v>0</v>
      </c>
      <c r="AC62" s="48"/>
      <c r="AD62" s="167">
        <f>+AC62-AE62+AE106</f>
        <v>0</v>
      </c>
      <c r="AE62" s="48"/>
      <c r="AF62" s="167">
        <f>+AE62-AG62+AG106</f>
        <v>0</v>
      </c>
      <c r="AG62" s="48"/>
      <c r="AH62" s="167">
        <f>+AG62-AI62+AI106</f>
        <v>0</v>
      </c>
      <c r="AI62" s="48"/>
      <c r="AJ62" s="167">
        <f>+AI62-AK62+AK106</f>
        <v>0</v>
      </c>
      <c r="AK62" s="48"/>
      <c r="AL62" s="167">
        <f>+AK62-AM62+AM106</f>
        <v>0</v>
      </c>
      <c r="AM62" s="48"/>
      <c r="AN62" s="167">
        <f>+AM62-AO62+AO106</f>
        <v>0</v>
      </c>
      <c r="AO62" s="48"/>
      <c r="AP62" s="167">
        <f>+AO62-AQ62+AQ106</f>
        <v>0</v>
      </c>
      <c r="AQ62" s="48"/>
      <c r="AR62" s="167">
        <f>+AQ62-AS62+AS106</f>
        <v>0</v>
      </c>
      <c r="AS62" s="48"/>
      <c r="AT62" s="167">
        <f>+AS62-AU62+AU106</f>
        <v>0</v>
      </c>
      <c r="AU62" s="48"/>
      <c r="AV62" s="167">
        <f>+AU62-AW62+AW106</f>
        <v>0</v>
      </c>
      <c r="AW62" s="48"/>
      <c r="AX62" s="167">
        <f>+AW62-AY62+AY106</f>
        <v>0</v>
      </c>
      <c r="AY62" s="48"/>
      <c r="AZ62" s="167">
        <f>+AY62-BA62+BA106</f>
        <v>0</v>
      </c>
      <c r="BA62" s="48"/>
      <c r="BB62" s="167">
        <f>+BA62-BC62+BC106</f>
        <v>0</v>
      </c>
      <c r="BC62" s="48"/>
      <c r="BD62" s="167">
        <f>+BC62-BE62+BE106</f>
        <v>0</v>
      </c>
      <c r="BE62" s="48"/>
      <c r="BF62" s="167">
        <f>+BE62-BG62+BG106</f>
        <v>0</v>
      </c>
      <c r="BG62" s="48"/>
      <c r="BH62" s="167">
        <f>+BG62-BI62+BI106</f>
        <v>0</v>
      </c>
      <c r="BI62" s="48"/>
      <c r="BJ62" s="167">
        <f>+BI62-BK62+BK106</f>
        <v>0</v>
      </c>
      <c r="BK62" s="48"/>
      <c r="BL62" s="167">
        <f>+BK62-BM62+BM106</f>
        <v>0</v>
      </c>
      <c r="BM62" s="48"/>
      <c r="BN62" s="50"/>
      <c r="BO62" s="170" t="e">
        <f>IF(COUNT(D62,F62,H62,J62,L62,N62,P62,R62,T62,V62,X62,Z62,AB62,AD62,AF62,AH62,AJ62,AL62,AN62,AP62,AR62,AT62,AV62,AX62,AZ62,BB62,BD62,BF62,BH62,BJ62,BL62)=0,"",SUM(D62,F62,H62,J62,L62,N62,P62,R62,T62,V62,X62,Z62,AB62,AD62,AF62,AH62,AJ62,AL62,AN62,AP62,AR62,AT62,AV62,AX62,AZ62,BB62,BD62,BF62,BH62,BJ62,BL62))</f>
        <v>#VALUE!</v>
      </c>
      <c r="BP62" s="167" t="e">
        <f>+BM62-BQ62+BQ106</f>
        <v>#VALUE!</v>
      </c>
      <c r="BQ62" s="178" t="str">
        <f>IF(BM62="","",BM62)</f>
        <v/>
      </c>
    </row>
    <row r="63" spans="1:76" x14ac:dyDescent="0.35">
      <c r="A63" s="53" t="s">
        <v>25</v>
      </c>
      <c r="B63" s="187" t="e">
        <f>C63-C107</f>
        <v>#VALUE!</v>
      </c>
      <c r="C63" s="174" t="str">
        <f>IF('September 2026 Log'!BK63="","",'September 2026 Log'!BK63)</f>
        <v/>
      </c>
      <c r="D63" s="189" t="e">
        <f>+C63-E63+E107</f>
        <v>#VALUE!</v>
      </c>
      <c r="E63" s="48"/>
      <c r="F63" s="167">
        <f>+E63-G63+G107</f>
        <v>0</v>
      </c>
      <c r="G63" s="48"/>
      <c r="H63" s="167">
        <f>+G63-I63+I107</f>
        <v>0</v>
      </c>
      <c r="I63" s="48"/>
      <c r="J63" s="167">
        <f>+I63-K63+K107</f>
        <v>0</v>
      </c>
      <c r="K63" s="48"/>
      <c r="L63" s="167">
        <f>+K63-M63+M107</f>
        <v>0</v>
      </c>
      <c r="M63" s="48"/>
      <c r="N63" s="167">
        <f>+M63-O63+O107</f>
        <v>0</v>
      </c>
      <c r="O63" s="48"/>
      <c r="P63" s="167">
        <f>+O63-Q63+Q107</f>
        <v>0</v>
      </c>
      <c r="Q63" s="48"/>
      <c r="R63" s="167">
        <f>+Q63-S63+S107</f>
        <v>0</v>
      </c>
      <c r="S63" s="48"/>
      <c r="T63" s="167">
        <f>+S63-U63+U107</f>
        <v>0</v>
      </c>
      <c r="U63" s="48"/>
      <c r="V63" s="167">
        <f>+U63-W63+W107</f>
        <v>0</v>
      </c>
      <c r="W63" s="48"/>
      <c r="X63" s="167">
        <f>+W63-Y63+Y107</f>
        <v>0</v>
      </c>
      <c r="Y63" s="48"/>
      <c r="Z63" s="167">
        <f>+Y63-AA63+AA107</f>
        <v>0</v>
      </c>
      <c r="AA63" s="48"/>
      <c r="AB63" s="167">
        <f>+AA63-AC63+AC107</f>
        <v>0</v>
      </c>
      <c r="AC63" s="48"/>
      <c r="AD63" s="167">
        <f>+AC63-AE63+AE107</f>
        <v>0</v>
      </c>
      <c r="AE63" s="48"/>
      <c r="AF63" s="167">
        <f>+AE63-AG63+AG107</f>
        <v>0</v>
      </c>
      <c r="AG63" s="48"/>
      <c r="AH63" s="167">
        <f>+AG63-AI63+AI107</f>
        <v>0</v>
      </c>
      <c r="AI63" s="48"/>
      <c r="AJ63" s="167">
        <f>+AI63-AK63+AK107</f>
        <v>0</v>
      </c>
      <c r="AK63" s="48"/>
      <c r="AL63" s="167">
        <f>+AK63-AM63+AM107</f>
        <v>0</v>
      </c>
      <c r="AM63" s="48"/>
      <c r="AN63" s="167">
        <f>+AM63-AO63+AO107</f>
        <v>0</v>
      </c>
      <c r="AO63" s="48"/>
      <c r="AP63" s="167">
        <f>+AO63-AQ63+AQ107</f>
        <v>0</v>
      </c>
      <c r="AQ63" s="48"/>
      <c r="AR63" s="167">
        <f>+AQ63-AS63+AS107</f>
        <v>0</v>
      </c>
      <c r="AS63" s="48"/>
      <c r="AT63" s="167">
        <f>+AS63-AU63+AU107</f>
        <v>0</v>
      </c>
      <c r="AU63" s="48"/>
      <c r="AV63" s="167">
        <f>+AU63-AW63+AW107</f>
        <v>0</v>
      </c>
      <c r="AW63" s="48"/>
      <c r="AX63" s="167">
        <f>+AW63-AY63+AY107</f>
        <v>0</v>
      </c>
      <c r="AY63" s="48"/>
      <c r="AZ63" s="167">
        <f>+AY63-BA63+BA107</f>
        <v>0</v>
      </c>
      <c r="BA63" s="48"/>
      <c r="BB63" s="167">
        <f>+BA63-BC63+BC107</f>
        <v>0</v>
      </c>
      <c r="BC63" s="48"/>
      <c r="BD63" s="167">
        <f>+BC63-BE63+BE107</f>
        <v>0</v>
      </c>
      <c r="BE63" s="48"/>
      <c r="BF63" s="167">
        <f>+BE63-BG63+BG107</f>
        <v>0</v>
      </c>
      <c r="BG63" s="48"/>
      <c r="BH63" s="167">
        <f>+BG63-BI63+BI107</f>
        <v>0</v>
      </c>
      <c r="BI63" s="48"/>
      <c r="BJ63" s="167">
        <f>+BI63-BK63+BK107</f>
        <v>0</v>
      </c>
      <c r="BK63" s="48"/>
      <c r="BL63" s="167">
        <f>+BK63-BM63+BM107</f>
        <v>0</v>
      </c>
      <c r="BM63" s="48"/>
      <c r="BN63" s="50"/>
      <c r="BO63" s="170" t="e">
        <f>IF(COUNT(D63,F63,H63,J63,L63,N63,P63,R63,T63,V63,X63,Z63,AB63,AD63,AF63,AH63,AJ63,AL63,AN63,AP63,AR63,AT63,AV63,AX63,AZ63,BB63,BD63,BF63,BH63,BJ63,BL63)=0,"",SUM(D63,F63,H63,J63,L63,N63,P63,R63,T63,V63,X63,Z63,AB63,AD63,AF63,AH63,AJ63,AL63,AN63,AP63,AR63,AT63,AV63,AX63,AZ63,BB63,BD63,BF63,BH63,BJ63,BL63))</f>
        <v>#VALUE!</v>
      </c>
      <c r="BP63" s="167" t="e">
        <f>+BM63-BQ63+BQ107</f>
        <v>#VALUE!</v>
      </c>
      <c r="BQ63" s="178" t="str">
        <f>IF(BM63="","",BM63)</f>
        <v/>
      </c>
    </row>
    <row r="64" spans="1:76" x14ac:dyDescent="0.35">
      <c r="A64" s="53" t="s">
        <v>25</v>
      </c>
      <c r="B64" s="187" t="e">
        <f>C64-C108</f>
        <v>#VALUE!</v>
      </c>
      <c r="C64" s="174" t="str">
        <f>IF('September 2026 Log'!BK64="","",'September 2026 Log'!BK64)</f>
        <v/>
      </c>
      <c r="D64" s="189" t="e">
        <f>+C64-E64+E108</f>
        <v>#VALUE!</v>
      </c>
      <c r="E64" s="48"/>
      <c r="F64" s="167">
        <f>+E64-G64+G108</f>
        <v>0</v>
      </c>
      <c r="G64" s="48"/>
      <c r="H64" s="167">
        <f>+G64-I64+I108</f>
        <v>0</v>
      </c>
      <c r="I64" s="48"/>
      <c r="J64" s="167">
        <f>+I64-K64+K108</f>
        <v>0</v>
      </c>
      <c r="K64" s="48"/>
      <c r="L64" s="167">
        <f>+K64-M64+M108</f>
        <v>0</v>
      </c>
      <c r="M64" s="48"/>
      <c r="N64" s="167">
        <f>+M64-O64+O108</f>
        <v>0</v>
      </c>
      <c r="O64" s="48"/>
      <c r="P64" s="167">
        <f>+O64-Q64+Q108</f>
        <v>0</v>
      </c>
      <c r="Q64" s="48"/>
      <c r="R64" s="167">
        <f>+Q64-S64+S108</f>
        <v>0</v>
      </c>
      <c r="S64" s="48"/>
      <c r="T64" s="167">
        <f>+S64-U64+U108</f>
        <v>0</v>
      </c>
      <c r="U64" s="48"/>
      <c r="V64" s="167">
        <f>+U64-W64+W108</f>
        <v>0</v>
      </c>
      <c r="W64" s="48"/>
      <c r="X64" s="167">
        <f>+W64-Y64+Y108</f>
        <v>0</v>
      </c>
      <c r="Y64" s="48"/>
      <c r="Z64" s="167">
        <f>+Y64-AA64+AA108</f>
        <v>0</v>
      </c>
      <c r="AA64" s="48"/>
      <c r="AB64" s="167">
        <f>+AA64-AC64+AC108</f>
        <v>0</v>
      </c>
      <c r="AC64" s="48"/>
      <c r="AD64" s="167">
        <f>+AC64-AE64+AE108</f>
        <v>0</v>
      </c>
      <c r="AE64" s="48"/>
      <c r="AF64" s="167">
        <f>+AE64-AG64+AG108</f>
        <v>0</v>
      </c>
      <c r="AG64" s="48"/>
      <c r="AH64" s="167">
        <f>+AG64-AI64+AI108</f>
        <v>0</v>
      </c>
      <c r="AI64" s="48"/>
      <c r="AJ64" s="167">
        <f>+AI64-AK64+AK108</f>
        <v>0</v>
      </c>
      <c r="AK64" s="48"/>
      <c r="AL64" s="167">
        <f>+AK64-AM64+AM108</f>
        <v>0</v>
      </c>
      <c r="AM64" s="48"/>
      <c r="AN64" s="167">
        <f>+AM64-AO64+AO108</f>
        <v>0</v>
      </c>
      <c r="AO64" s="48"/>
      <c r="AP64" s="167">
        <f>+AO64-AQ64+AQ108</f>
        <v>0</v>
      </c>
      <c r="AQ64" s="48"/>
      <c r="AR64" s="167">
        <f>+AQ64-AS64+AS108</f>
        <v>0</v>
      </c>
      <c r="AS64" s="48"/>
      <c r="AT64" s="167">
        <f>+AS64-AU64+AU108</f>
        <v>0</v>
      </c>
      <c r="AU64" s="48"/>
      <c r="AV64" s="167">
        <f>+AU64-AW64+AW108</f>
        <v>0</v>
      </c>
      <c r="AW64" s="48"/>
      <c r="AX64" s="167">
        <f>+AW64-AY64+AY108</f>
        <v>0</v>
      </c>
      <c r="AY64" s="48"/>
      <c r="AZ64" s="167">
        <f>+AY64-BA64+BA108</f>
        <v>0</v>
      </c>
      <c r="BA64" s="48"/>
      <c r="BB64" s="167">
        <f>+BA64-BC64+BC108</f>
        <v>0</v>
      </c>
      <c r="BC64" s="48"/>
      <c r="BD64" s="167">
        <f>+BC64-BE64+BE108</f>
        <v>0</v>
      </c>
      <c r="BE64" s="48"/>
      <c r="BF64" s="167">
        <f>+BE64-BG64+BG108</f>
        <v>0</v>
      </c>
      <c r="BG64" s="48"/>
      <c r="BH64" s="167">
        <f>+BG64-BI64+BI108</f>
        <v>0</v>
      </c>
      <c r="BI64" s="48"/>
      <c r="BJ64" s="167">
        <f>+BI64-BK64+BK108</f>
        <v>0</v>
      </c>
      <c r="BK64" s="48"/>
      <c r="BL64" s="167">
        <f>+BK64-BM64+BM108</f>
        <v>0</v>
      </c>
      <c r="BM64" s="48"/>
      <c r="BN64" s="50"/>
      <c r="BO64" s="170" t="e">
        <f>IF(COUNT(D64,F64,H64,J64,L64,N64,P64,R64,T64,V64,X64,Z64,AB64,AD64,AF64,AH64,AJ64,AL64,AN64,AP64,AR64,AT64,AV64,AX64,AZ64,BB64,BD64,BF64,BH64,BJ64,BL64)=0,"",SUM(D64,F64,H64,J64,L64,N64,P64,R64,T64,V64,X64,Z64,AB64,AD64,AF64,AH64,AJ64,AL64,AN64,AP64,AR64,AT64,AV64,AX64,AZ64,BB64,BD64,BF64,BH64,BJ64,BL64))</f>
        <v>#VALUE!</v>
      </c>
      <c r="BP64" s="167" t="e">
        <f>+BM64-BQ64+BQ108</f>
        <v>#VALUE!</v>
      </c>
      <c r="BQ64" s="178" t="str">
        <f>IF(BM64="","",BM64)</f>
        <v/>
      </c>
    </row>
    <row r="65" spans="1:69" x14ac:dyDescent="0.35">
      <c r="A65" s="53" t="s">
        <v>26</v>
      </c>
      <c r="B65" s="187" t="e">
        <f>C65-C109</f>
        <v>#VALUE!</v>
      </c>
      <c r="C65" s="174" t="str">
        <f>IF('September 2026 Log'!BK65="","",'September 2026 Log'!BK65)</f>
        <v/>
      </c>
      <c r="D65" s="189" t="e">
        <f>+C65-E65+E109</f>
        <v>#VALUE!</v>
      </c>
      <c r="E65" s="48"/>
      <c r="F65" s="167">
        <f>+E65-G65+G109</f>
        <v>0</v>
      </c>
      <c r="G65" s="48"/>
      <c r="H65" s="167">
        <f>+G65-I65+I109</f>
        <v>0</v>
      </c>
      <c r="I65" s="48"/>
      <c r="J65" s="167">
        <f>+I65-K65+K109</f>
        <v>0</v>
      </c>
      <c r="K65" s="48"/>
      <c r="L65" s="167">
        <f>+K65-M65+M109</f>
        <v>0</v>
      </c>
      <c r="M65" s="48"/>
      <c r="N65" s="167">
        <f>+M65-O65+O109</f>
        <v>0</v>
      </c>
      <c r="O65" s="48"/>
      <c r="P65" s="167">
        <f>+O65-Q65+Q109</f>
        <v>0</v>
      </c>
      <c r="Q65" s="48"/>
      <c r="R65" s="167">
        <f>+Q65-S65+S109</f>
        <v>0</v>
      </c>
      <c r="S65" s="48"/>
      <c r="T65" s="167">
        <f>+S65-U65+U109</f>
        <v>0</v>
      </c>
      <c r="U65" s="48"/>
      <c r="V65" s="167">
        <f>+U65-W65+W109</f>
        <v>0</v>
      </c>
      <c r="W65" s="48"/>
      <c r="X65" s="167">
        <f>+W65-Y65+Y109</f>
        <v>0</v>
      </c>
      <c r="Y65" s="48"/>
      <c r="Z65" s="167">
        <f>+Y65-AA65+AA109</f>
        <v>0</v>
      </c>
      <c r="AA65" s="48"/>
      <c r="AB65" s="167">
        <f>+AA65-AC65+AC109</f>
        <v>0</v>
      </c>
      <c r="AC65" s="48"/>
      <c r="AD65" s="167">
        <f>+AC65-AE65+AE109</f>
        <v>0</v>
      </c>
      <c r="AE65" s="48"/>
      <c r="AF65" s="167">
        <f>+AE65-AG65+AG109</f>
        <v>0</v>
      </c>
      <c r="AG65" s="48"/>
      <c r="AH65" s="167">
        <f>+AG65-AI65+AI109</f>
        <v>0</v>
      </c>
      <c r="AI65" s="48"/>
      <c r="AJ65" s="167">
        <f>+AI65-AK65+AK109</f>
        <v>0</v>
      </c>
      <c r="AK65" s="48"/>
      <c r="AL65" s="167">
        <f>+AK65-AM65+AM109</f>
        <v>0</v>
      </c>
      <c r="AM65" s="48"/>
      <c r="AN65" s="167">
        <f>+AM65-AO65+AO109</f>
        <v>0</v>
      </c>
      <c r="AO65" s="48"/>
      <c r="AP65" s="167">
        <f>+AO65-AQ65+AQ109</f>
        <v>0</v>
      </c>
      <c r="AQ65" s="48"/>
      <c r="AR65" s="167">
        <f>+AQ65-AS65+AS109</f>
        <v>0</v>
      </c>
      <c r="AS65" s="48"/>
      <c r="AT65" s="167">
        <f>+AS65-AU65+AU109</f>
        <v>0</v>
      </c>
      <c r="AU65" s="48"/>
      <c r="AV65" s="167">
        <f>+AU65-AW65+AW109</f>
        <v>0</v>
      </c>
      <c r="AW65" s="48"/>
      <c r="AX65" s="167">
        <f>+AW65-AY65+AY109</f>
        <v>0</v>
      </c>
      <c r="AY65" s="48"/>
      <c r="AZ65" s="167">
        <f>+AY65-BA65+BA109</f>
        <v>0</v>
      </c>
      <c r="BA65" s="48"/>
      <c r="BB65" s="167">
        <f>+BA65-BC65+BC109</f>
        <v>0</v>
      </c>
      <c r="BC65" s="48"/>
      <c r="BD65" s="167">
        <f>+BC65-BE65+BE109</f>
        <v>0</v>
      </c>
      <c r="BE65" s="48"/>
      <c r="BF65" s="167">
        <f>+BE65-BG65+BG109</f>
        <v>0</v>
      </c>
      <c r="BG65" s="48"/>
      <c r="BH65" s="167">
        <f>+BG65-BI65+BI109</f>
        <v>0</v>
      </c>
      <c r="BI65" s="48"/>
      <c r="BJ65" s="167">
        <f>+BI65-BK65+BK109</f>
        <v>0</v>
      </c>
      <c r="BK65" s="48"/>
      <c r="BL65" s="167">
        <f>+BK65-BM65+BM109</f>
        <v>0</v>
      </c>
      <c r="BM65" s="48"/>
      <c r="BN65" s="50"/>
      <c r="BO65" s="170" t="e">
        <f>IF(COUNT(D65,F65,H65,J65,L65,N65,P65,R65,T65,V65,X65,Z65,AB65,AD65,AF65,AH65,AJ65,AL65,AN65,AP65,AR65,AT65,AV65,AX65,AZ65,BB65,BD65,BF65,BH65,BJ65,BL65)=0,"",SUM(D65,F65,H65,J65,L65,N65,P65,R65,T65,V65,X65,Z65,AB65,AD65,AF65,AH65,AJ65,AL65,AN65,AP65,AR65,AT65,AV65,AX65,AZ65,BB65,BD65,BF65,BH65,BJ65,BL65))</f>
        <v>#VALUE!</v>
      </c>
      <c r="BP65" s="167" t="e">
        <f>+BM65-BQ65+BQ109</f>
        <v>#VALUE!</v>
      </c>
      <c r="BQ65" s="178" t="str">
        <f>IF(BM65="","",BM65)</f>
        <v/>
      </c>
    </row>
    <row r="66" spans="1:69" x14ac:dyDescent="0.35">
      <c r="A66" s="53" t="s">
        <v>26</v>
      </c>
      <c r="B66" s="187" t="e">
        <f>C66-C110</f>
        <v>#VALUE!</v>
      </c>
      <c r="C66" s="174" t="str">
        <f>IF('September 2026 Log'!BK66="","",'September 2026 Log'!BK66)</f>
        <v/>
      </c>
      <c r="D66" s="189" t="e">
        <f>+C66-E66+E110</f>
        <v>#VALUE!</v>
      </c>
      <c r="E66" s="48"/>
      <c r="F66" s="167">
        <f>+E66-G66+G110</f>
        <v>0</v>
      </c>
      <c r="G66" s="48"/>
      <c r="H66" s="167">
        <f>+G66-I66+I110</f>
        <v>0</v>
      </c>
      <c r="I66" s="48"/>
      <c r="J66" s="167">
        <f>+I66-K66+K110</f>
        <v>0</v>
      </c>
      <c r="K66" s="48"/>
      <c r="L66" s="167">
        <f>+K66-M66+M110</f>
        <v>0</v>
      </c>
      <c r="M66" s="48"/>
      <c r="N66" s="167">
        <f>+M66-O66+O110</f>
        <v>0</v>
      </c>
      <c r="O66" s="48"/>
      <c r="P66" s="167">
        <f>+O66-Q66+Q110</f>
        <v>0</v>
      </c>
      <c r="Q66" s="48"/>
      <c r="R66" s="167">
        <f>+Q66-S66+S110</f>
        <v>0</v>
      </c>
      <c r="S66" s="48"/>
      <c r="T66" s="167">
        <f>+S66-U66+U110</f>
        <v>0</v>
      </c>
      <c r="U66" s="48"/>
      <c r="V66" s="167">
        <f>+U66-W66+W110</f>
        <v>0</v>
      </c>
      <c r="W66" s="48"/>
      <c r="X66" s="167">
        <f>+W66-Y66+Y110</f>
        <v>0</v>
      </c>
      <c r="Y66" s="48"/>
      <c r="Z66" s="167">
        <f>+Y66-AA66+AA110</f>
        <v>0</v>
      </c>
      <c r="AA66" s="48"/>
      <c r="AB66" s="167">
        <f>+AA66-AC66+AC110</f>
        <v>0</v>
      </c>
      <c r="AC66" s="48"/>
      <c r="AD66" s="167">
        <f>+AC66-AE66+AE110</f>
        <v>0</v>
      </c>
      <c r="AE66" s="48"/>
      <c r="AF66" s="167">
        <f>+AE66-AG66+AG110</f>
        <v>0</v>
      </c>
      <c r="AG66" s="48"/>
      <c r="AH66" s="167">
        <f>+AG66-AI66+AI110</f>
        <v>0</v>
      </c>
      <c r="AI66" s="48"/>
      <c r="AJ66" s="167">
        <f>+AI66-AK66+AK110</f>
        <v>0</v>
      </c>
      <c r="AK66" s="48"/>
      <c r="AL66" s="167">
        <f>+AK66-AM66+AM110</f>
        <v>0</v>
      </c>
      <c r="AM66" s="48"/>
      <c r="AN66" s="167">
        <f>+AM66-AO66+AO110</f>
        <v>0</v>
      </c>
      <c r="AO66" s="48"/>
      <c r="AP66" s="167">
        <f>+AO66-AQ66+AQ110</f>
        <v>0</v>
      </c>
      <c r="AQ66" s="48"/>
      <c r="AR66" s="167">
        <f>+AQ66-AS66+AS110</f>
        <v>0</v>
      </c>
      <c r="AS66" s="48"/>
      <c r="AT66" s="167">
        <f>+AS66-AU66+AU110</f>
        <v>0</v>
      </c>
      <c r="AU66" s="48"/>
      <c r="AV66" s="167">
        <f>+AU66-AW66+AW110</f>
        <v>0</v>
      </c>
      <c r="AW66" s="48"/>
      <c r="AX66" s="167">
        <f>+AW66-AY66+AY110</f>
        <v>0</v>
      </c>
      <c r="AY66" s="48"/>
      <c r="AZ66" s="167">
        <f>+AY66-BA66+BA110</f>
        <v>0</v>
      </c>
      <c r="BA66" s="48"/>
      <c r="BB66" s="167">
        <f>+BA66-BC66+BC110</f>
        <v>0</v>
      </c>
      <c r="BC66" s="48"/>
      <c r="BD66" s="167">
        <f>+BC66-BE66+BE110</f>
        <v>0</v>
      </c>
      <c r="BE66" s="48"/>
      <c r="BF66" s="167">
        <f>+BE66-BG66+BG110</f>
        <v>0</v>
      </c>
      <c r="BG66" s="48"/>
      <c r="BH66" s="167">
        <f>+BG66-BI66+BI110</f>
        <v>0</v>
      </c>
      <c r="BI66" s="48"/>
      <c r="BJ66" s="167">
        <f>+BI66-BK66+BK110</f>
        <v>0</v>
      </c>
      <c r="BK66" s="48"/>
      <c r="BL66" s="167">
        <f>+BK66-BM66+BM110</f>
        <v>0</v>
      </c>
      <c r="BM66" s="48"/>
      <c r="BN66" s="50"/>
      <c r="BO66" s="170" t="e">
        <f>IF(COUNT(D66,F66,H66,J66,L66,N66,P66,R66,T66,V66,X66,Z66,AB66,AD66,AF66,AH66,AJ66,AL66,AN66,AP66,AR66,AT66,AV66,AX66,AZ66,BB66,BD66,BF66,BH66,BJ66,BL66)=0,"",SUM(D66,F66,H66,J66,L66,N66,P66,R66,T66,V66,X66,Z66,AB66,AD66,AF66,AH66,AJ66,AL66,AN66,AP66,AR66,AT66,AV66,AX66,AZ66,BB66,BD66,BF66,BH66,BJ66,BL66))</f>
        <v>#VALUE!</v>
      </c>
      <c r="BP66" s="167" t="e">
        <f>+BM66-BQ66+BQ110</f>
        <v>#VALUE!</v>
      </c>
      <c r="BQ66" s="178" t="str">
        <f>IF(BM66="","",BM66)</f>
        <v/>
      </c>
    </row>
    <row r="67" spans="1:69" x14ac:dyDescent="0.35">
      <c r="A67" s="98"/>
      <c r="B67" s="90"/>
      <c r="C67" s="131"/>
      <c r="D67" s="189" t="e">
        <f>SUM(D62:D66)</f>
        <v>#VALUE!</v>
      </c>
      <c r="E67" s="166" t="e">
        <f>+E73-D73</f>
        <v>#VALUE!</v>
      </c>
      <c r="F67" s="167">
        <f>SUM(F62:F66)</f>
        <v>0</v>
      </c>
      <c r="G67" s="166">
        <f>+G73-F73</f>
        <v>0</v>
      </c>
      <c r="H67" s="167">
        <f>SUM(H62:H66)</f>
        <v>0</v>
      </c>
      <c r="I67" s="166">
        <f>+I73-H73</f>
        <v>0</v>
      </c>
      <c r="J67" s="167">
        <f>SUM(J62:J66)</f>
        <v>0</v>
      </c>
      <c r="K67" s="166">
        <f>+K73-J73</f>
        <v>0</v>
      </c>
      <c r="L67" s="167">
        <f>SUM(L62:L66)</f>
        <v>0</v>
      </c>
      <c r="M67" s="166">
        <f>+M73-L73</f>
        <v>0</v>
      </c>
      <c r="N67" s="167">
        <f>SUM(N62:N66)</f>
        <v>0</v>
      </c>
      <c r="O67" s="166">
        <f>+O73-N73</f>
        <v>0</v>
      </c>
      <c r="P67" s="167">
        <f>SUM(P62:P66)</f>
        <v>0</v>
      </c>
      <c r="Q67" s="166">
        <f>+Q73-P73</f>
        <v>0</v>
      </c>
      <c r="R67" s="167">
        <f>SUM(R62:R66)</f>
        <v>0</v>
      </c>
      <c r="S67" s="166">
        <f>+S73-R73</f>
        <v>0</v>
      </c>
      <c r="T67" s="167">
        <f>SUM(T62:T66)</f>
        <v>0</v>
      </c>
      <c r="U67" s="166">
        <f>+U73-T73</f>
        <v>0</v>
      </c>
      <c r="V67" s="167">
        <f>SUM(V62:V66)</f>
        <v>0</v>
      </c>
      <c r="W67" s="166">
        <f>+W73-V73</f>
        <v>0</v>
      </c>
      <c r="X67" s="167">
        <f>SUM(X62:X66)</f>
        <v>0</v>
      </c>
      <c r="Y67" s="166">
        <f>+Y73-X73</f>
        <v>0</v>
      </c>
      <c r="Z67" s="167">
        <f>SUM(Z62:Z66)</f>
        <v>0</v>
      </c>
      <c r="AA67" s="166">
        <f>+AA73-Z73</f>
        <v>0</v>
      </c>
      <c r="AB67" s="167">
        <f>SUM(AB62:AB66)</f>
        <v>0</v>
      </c>
      <c r="AC67" s="166">
        <f>+AC73-AB73</f>
        <v>0</v>
      </c>
      <c r="AD67" s="167">
        <f>SUM(AD62:AD66)</f>
        <v>0</v>
      </c>
      <c r="AE67" s="166">
        <f>+AE73-AD73</f>
        <v>0</v>
      </c>
      <c r="AF67" s="167">
        <f>SUM(AF62:AF66)</f>
        <v>0</v>
      </c>
      <c r="AG67" s="166">
        <f>+AG73-AF73</f>
        <v>0</v>
      </c>
      <c r="AH67" s="167">
        <f>SUM(AH62:AH66)</f>
        <v>0</v>
      </c>
      <c r="AI67" s="166">
        <f>+AI73-AH73</f>
        <v>0</v>
      </c>
      <c r="AJ67" s="167">
        <f>SUM(AJ62:AJ66)</f>
        <v>0</v>
      </c>
      <c r="AK67" s="166">
        <f>+AK73-AJ73</f>
        <v>0</v>
      </c>
      <c r="AL67" s="167">
        <f>SUM(AL62:AL66)</f>
        <v>0</v>
      </c>
      <c r="AM67" s="166">
        <f>+AM73-AL73</f>
        <v>0</v>
      </c>
      <c r="AN67" s="167">
        <f>SUM(AN62:AN66)</f>
        <v>0</v>
      </c>
      <c r="AO67" s="166">
        <f>+AO73-AN73</f>
        <v>0</v>
      </c>
      <c r="AP67" s="167">
        <f>SUM(AP62:AP66)</f>
        <v>0</v>
      </c>
      <c r="AQ67" s="166">
        <f>+AQ73-AP73</f>
        <v>0</v>
      </c>
      <c r="AR67" s="167">
        <f>SUM(AR62:AR66)</f>
        <v>0</v>
      </c>
      <c r="AS67" s="166">
        <f>+AS73-AR73</f>
        <v>0</v>
      </c>
      <c r="AT67" s="167">
        <f>SUM(AT62:AT66)</f>
        <v>0</v>
      </c>
      <c r="AU67" s="166">
        <f>+AU73-AT73</f>
        <v>0</v>
      </c>
      <c r="AV67" s="167">
        <f>SUM(AV62:AV66)</f>
        <v>0</v>
      </c>
      <c r="AW67" s="166">
        <f>+AW73-AV73</f>
        <v>0</v>
      </c>
      <c r="AX67" s="167">
        <f>SUM(AX62:AX66)</f>
        <v>0</v>
      </c>
      <c r="AY67" s="166">
        <f>+AY73-AX73</f>
        <v>0</v>
      </c>
      <c r="AZ67" s="167">
        <f>SUM(AZ62:AZ66)</f>
        <v>0</v>
      </c>
      <c r="BA67" s="166">
        <f>+BA73-AZ73</f>
        <v>0</v>
      </c>
      <c r="BB67" s="167">
        <f>SUM(BB62:BB66)</f>
        <v>0</v>
      </c>
      <c r="BC67" s="166">
        <f>+BC73-BB73</f>
        <v>0</v>
      </c>
      <c r="BD67" s="167">
        <f>SUM(BD62:BD66)</f>
        <v>0</v>
      </c>
      <c r="BE67" s="166">
        <f>+BE73-BD73</f>
        <v>0</v>
      </c>
      <c r="BF67" s="167">
        <f>SUM(BF62:BF66)</f>
        <v>0</v>
      </c>
      <c r="BG67" s="166">
        <f>+BG73-BF73</f>
        <v>0</v>
      </c>
      <c r="BH67" s="167">
        <f>SUM(BH62:BH66)</f>
        <v>0</v>
      </c>
      <c r="BI67" s="166">
        <f>+BI73-BH73</f>
        <v>0</v>
      </c>
      <c r="BJ67" s="167">
        <f>SUM(BJ62:BJ66)</f>
        <v>0</v>
      </c>
      <c r="BK67" s="166">
        <f>+BK73-BJ73</f>
        <v>0</v>
      </c>
      <c r="BL67" s="167">
        <f>SUM(BL62:BL66)</f>
        <v>0</v>
      </c>
      <c r="BM67" s="166">
        <f>+BM73-BL73</f>
        <v>0</v>
      </c>
      <c r="BN67" s="50"/>
      <c r="BO67" s="170" t="e">
        <f t="shared" ref="BO67:BO75" si="95">IF(COUNT(E67,G67,I67,K67,M67,O67,Q67,S67,U67,W67,Y67,AA67,AC67,AE67,AG67,AI67,AK67,AM67,AO67,AQ67,AS67,AU67,AW67,AY67,BA67,BC67,BE67,BG67,BI67,BK67,BM67)=0,"",SUM(E67,G67,I67,K67,M67,O67,Q67,S67,U67,W67,Y67,AA67,AC67,AE67,AG67,AI67,AK67,AM67,AO67,AQ67,AS67,AU67,AW67,AY67,BA67,BC67,BE67,BG67,BI67,BK67,BM67))</f>
        <v>#VALUE!</v>
      </c>
      <c r="BP67" s="167" t="e">
        <f>SUM(BP62:BP66)</f>
        <v>#VALUE!</v>
      </c>
      <c r="BQ67" s="172" t="e">
        <f>+BQ73-BP73</f>
        <v>#VALUE!</v>
      </c>
    </row>
    <row r="68" spans="1:69" x14ac:dyDescent="0.35">
      <c r="A68" s="132" t="s">
        <v>87</v>
      </c>
      <c r="B68" s="133"/>
      <c r="C68" s="131"/>
      <c r="D68" s="189">
        <f>D91+D94</f>
        <v>0</v>
      </c>
      <c r="E68" s="166" t="e">
        <f>+E77-C77+E80-C80</f>
        <v>#VALUE!</v>
      </c>
      <c r="F68" s="167">
        <f>F91+F94</f>
        <v>0</v>
      </c>
      <c r="G68" s="166">
        <f>+G77-E77+G80-E80</f>
        <v>0</v>
      </c>
      <c r="H68" s="167">
        <f>H91+H94</f>
        <v>0</v>
      </c>
      <c r="I68" s="166">
        <f>+I77-G77+I80-G80</f>
        <v>0</v>
      </c>
      <c r="J68" s="167">
        <f>J91+J94</f>
        <v>0</v>
      </c>
      <c r="K68" s="166">
        <f>+K77-I77+K80-I80</f>
        <v>0</v>
      </c>
      <c r="L68" s="167">
        <f>L91+L94</f>
        <v>0</v>
      </c>
      <c r="M68" s="166">
        <f>+M77-K77+M80-K80</f>
        <v>0</v>
      </c>
      <c r="N68" s="167">
        <f>N91+N94</f>
        <v>0</v>
      </c>
      <c r="O68" s="166">
        <f>+O77-M77+O80-M80</f>
        <v>0</v>
      </c>
      <c r="P68" s="167">
        <f>P91+P94</f>
        <v>0</v>
      </c>
      <c r="Q68" s="166">
        <f>+Q77-O77+Q80-O80</f>
        <v>0</v>
      </c>
      <c r="R68" s="167">
        <f>R91+R94</f>
        <v>0</v>
      </c>
      <c r="S68" s="166">
        <f>+S77-Q77+S80-Q80</f>
        <v>0</v>
      </c>
      <c r="T68" s="167">
        <f>T91+T94</f>
        <v>0</v>
      </c>
      <c r="U68" s="166">
        <f>+U77-S77+U80-S80</f>
        <v>0</v>
      </c>
      <c r="V68" s="167">
        <f>V91+V94</f>
        <v>0</v>
      </c>
      <c r="W68" s="166">
        <f>+W77-U77+W80-U80</f>
        <v>0</v>
      </c>
      <c r="X68" s="167">
        <f>X91+X94</f>
        <v>0</v>
      </c>
      <c r="Y68" s="166">
        <f>+Y77-W77+Y80-W80</f>
        <v>0</v>
      </c>
      <c r="Z68" s="167">
        <f>Z91+Z94</f>
        <v>0</v>
      </c>
      <c r="AA68" s="166">
        <f>+AA77-Y77+AA80-Y80</f>
        <v>0</v>
      </c>
      <c r="AB68" s="167">
        <f>AB91+AB94</f>
        <v>0</v>
      </c>
      <c r="AC68" s="166">
        <f>+AC77-AA77+AC80-AA80</f>
        <v>0</v>
      </c>
      <c r="AD68" s="167">
        <f>AD91+AD94</f>
        <v>0</v>
      </c>
      <c r="AE68" s="166">
        <f>+AE77-AC77+AE80-AC80</f>
        <v>0</v>
      </c>
      <c r="AF68" s="167">
        <f>AF91+AF94</f>
        <v>0</v>
      </c>
      <c r="AG68" s="166">
        <f>+AG77-AE77+AG80-AE80</f>
        <v>0</v>
      </c>
      <c r="AH68" s="167">
        <f>AH91+AH94</f>
        <v>0</v>
      </c>
      <c r="AI68" s="166">
        <f>+AI77-AG77+AI80-AG80</f>
        <v>0</v>
      </c>
      <c r="AJ68" s="167">
        <f>AJ91+AJ94</f>
        <v>0</v>
      </c>
      <c r="AK68" s="166">
        <f>+AK77-AI77+AK80-AI80</f>
        <v>0</v>
      </c>
      <c r="AL68" s="167">
        <f>AL91+AL94</f>
        <v>0</v>
      </c>
      <c r="AM68" s="166">
        <f>+AM77-AK77+AM80-AK80</f>
        <v>0</v>
      </c>
      <c r="AN68" s="167">
        <f>AN91+AN94</f>
        <v>0</v>
      </c>
      <c r="AO68" s="166">
        <f>+AO77-AM77+AO80-AM80</f>
        <v>0</v>
      </c>
      <c r="AP68" s="167">
        <f>AP91+AP94</f>
        <v>0</v>
      </c>
      <c r="AQ68" s="166">
        <f>+AQ77-AO77+AQ80-AO80</f>
        <v>0</v>
      </c>
      <c r="AR68" s="167">
        <f>AR91+AR94</f>
        <v>0</v>
      </c>
      <c r="AS68" s="166">
        <f>+AS77-AQ77+AS80-AQ80</f>
        <v>0</v>
      </c>
      <c r="AT68" s="167">
        <f>AT91+AT94</f>
        <v>0</v>
      </c>
      <c r="AU68" s="166">
        <f>+AU77-AS77+AU80-AS80</f>
        <v>0</v>
      </c>
      <c r="AV68" s="167">
        <f>AV91+AV94</f>
        <v>0</v>
      </c>
      <c r="AW68" s="166">
        <f>+AW77-AU77+AW80-AU80</f>
        <v>0</v>
      </c>
      <c r="AX68" s="167">
        <f>AX91+AX94</f>
        <v>0</v>
      </c>
      <c r="AY68" s="166">
        <f>+AY77-AW77+AY80-AW80</f>
        <v>0</v>
      </c>
      <c r="AZ68" s="167">
        <f>AZ91+AZ94</f>
        <v>0</v>
      </c>
      <c r="BA68" s="166">
        <f>+BA77-AY77+BA80-AY80</f>
        <v>0</v>
      </c>
      <c r="BB68" s="167">
        <f>BB91+BB94</f>
        <v>0</v>
      </c>
      <c r="BC68" s="166">
        <f>+BC77-BA77+BC80-BA80</f>
        <v>0</v>
      </c>
      <c r="BD68" s="167">
        <f>BD91+BD94</f>
        <v>0</v>
      </c>
      <c r="BE68" s="166">
        <f>+BE77-BC77+BE80-BC80</f>
        <v>0</v>
      </c>
      <c r="BF68" s="167">
        <f>BF91+BF94</f>
        <v>0</v>
      </c>
      <c r="BG68" s="166">
        <f>+BG77-BE77+BG80-BE80</f>
        <v>0</v>
      </c>
      <c r="BH68" s="167">
        <f>BH91+BH94</f>
        <v>0</v>
      </c>
      <c r="BI68" s="166">
        <f>+BI77-BG77+BI80-BG80</f>
        <v>0</v>
      </c>
      <c r="BJ68" s="167">
        <f>BJ91+BJ94</f>
        <v>0</v>
      </c>
      <c r="BK68" s="166">
        <f>+BK77-BI77+BK80-BI80</f>
        <v>0</v>
      </c>
      <c r="BL68" s="167">
        <f>BL91+BL94</f>
        <v>0</v>
      </c>
      <c r="BM68" s="166">
        <f>+BM77-BK77+BM80-BK80</f>
        <v>0</v>
      </c>
      <c r="BN68" s="50"/>
      <c r="BO68" s="170" t="e">
        <f t="shared" si="95"/>
        <v>#VALUE!</v>
      </c>
      <c r="BP68" s="167">
        <f>BP91+BP94</f>
        <v>0</v>
      </c>
      <c r="BQ68" s="172" t="e">
        <f>+BQ77-BM77+BQ80-BM80</f>
        <v>#VALUE!</v>
      </c>
    </row>
    <row r="69" spans="1:69" x14ac:dyDescent="0.35">
      <c r="A69" s="44" t="s">
        <v>88</v>
      </c>
      <c r="B69" s="133"/>
      <c r="C69" s="131"/>
      <c r="D69" s="189">
        <f>D99+D102</f>
        <v>0</v>
      </c>
      <c r="E69" s="166" t="e">
        <f>+E85-C85+E88-C88</f>
        <v>#VALUE!</v>
      </c>
      <c r="F69" s="167">
        <f>F99+F102</f>
        <v>0</v>
      </c>
      <c r="G69" s="166">
        <f>+G85-E85+G88-E88</f>
        <v>0</v>
      </c>
      <c r="H69" s="167">
        <f>H99+H102</f>
        <v>0</v>
      </c>
      <c r="I69" s="166">
        <f>+I85-G85+I88-G88</f>
        <v>0</v>
      </c>
      <c r="J69" s="167">
        <f>J99+J102</f>
        <v>0</v>
      </c>
      <c r="K69" s="166">
        <f>+K85-I85+K88-I88</f>
        <v>0</v>
      </c>
      <c r="L69" s="167">
        <f>L99+L102</f>
        <v>0</v>
      </c>
      <c r="M69" s="166">
        <f>+M85-K85+M88-K88</f>
        <v>0</v>
      </c>
      <c r="N69" s="167">
        <f>N99+N102</f>
        <v>0</v>
      </c>
      <c r="O69" s="166">
        <f>+O85-M85+O88-M88</f>
        <v>0</v>
      </c>
      <c r="P69" s="167">
        <f>P99+P102</f>
        <v>0</v>
      </c>
      <c r="Q69" s="166">
        <f>+Q85-O85+Q88-O88</f>
        <v>0</v>
      </c>
      <c r="R69" s="167">
        <f>R99+R102</f>
        <v>0</v>
      </c>
      <c r="S69" s="166">
        <f>+S85-Q85+S88-Q88</f>
        <v>0</v>
      </c>
      <c r="T69" s="167">
        <f>T99+T102</f>
        <v>0</v>
      </c>
      <c r="U69" s="166">
        <f>+U85-S85+U88-S88</f>
        <v>0</v>
      </c>
      <c r="V69" s="167">
        <f>V99+V102</f>
        <v>0</v>
      </c>
      <c r="W69" s="166">
        <f>+W85-U85+W88-U88</f>
        <v>0</v>
      </c>
      <c r="X69" s="167">
        <f>X99+X102</f>
        <v>0</v>
      </c>
      <c r="Y69" s="166">
        <f>+Y85-W85+Y88-W88</f>
        <v>0</v>
      </c>
      <c r="Z69" s="167">
        <f>Z99+Z102</f>
        <v>0</v>
      </c>
      <c r="AA69" s="166">
        <f>+AA85-Y85+AA88-Y88</f>
        <v>0</v>
      </c>
      <c r="AB69" s="167">
        <f>AB99+AB102</f>
        <v>0</v>
      </c>
      <c r="AC69" s="166">
        <f>+AC85-AA85+AC88-AA88</f>
        <v>0</v>
      </c>
      <c r="AD69" s="167">
        <f>AD99+AD102</f>
        <v>0</v>
      </c>
      <c r="AE69" s="166">
        <f>+AE85-AC85+AE88-AC88</f>
        <v>0</v>
      </c>
      <c r="AF69" s="167">
        <f>AF99+AF102</f>
        <v>0</v>
      </c>
      <c r="AG69" s="166">
        <f>+AG85-AE85+AG88-AE88</f>
        <v>0</v>
      </c>
      <c r="AH69" s="167">
        <f>AH99+AH102</f>
        <v>0</v>
      </c>
      <c r="AI69" s="166">
        <f>+AI85-AG85+AI88-AG88</f>
        <v>0</v>
      </c>
      <c r="AJ69" s="167">
        <f>AJ99+AJ102</f>
        <v>0</v>
      </c>
      <c r="AK69" s="166">
        <f>+AK85-AI85+AK88-AI88</f>
        <v>0</v>
      </c>
      <c r="AL69" s="167">
        <f>AL99+AL102</f>
        <v>0</v>
      </c>
      <c r="AM69" s="166">
        <f>+AM85-AK85+AM88-AK88</f>
        <v>0</v>
      </c>
      <c r="AN69" s="167">
        <f>AN99+AN102</f>
        <v>0</v>
      </c>
      <c r="AO69" s="166">
        <f>+AO85-AM85+AO88-AM88</f>
        <v>0</v>
      </c>
      <c r="AP69" s="167">
        <f>AP99+AP102</f>
        <v>0</v>
      </c>
      <c r="AQ69" s="166">
        <f>+AQ85-AO85+AQ88-AO88</f>
        <v>0</v>
      </c>
      <c r="AR69" s="167">
        <f>AR99+AR102</f>
        <v>0</v>
      </c>
      <c r="AS69" s="166">
        <f>+AS85-AQ85+AS88-AQ88</f>
        <v>0</v>
      </c>
      <c r="AT69" s="167">
        <f>AT99+AT102</f>
        <v>0</v>
      </c>
      <c r="AU69" s="166">
        <f>+AU85-AS85+AU88-AS88</f>
        <v>0</v>
      </c>
      <c r="AV69" s="167">
        <f>AV99+AV102</f>
        <v>0</v>
      </c>
      <c r="AW69" s="166">
        <f>+AW85-AU85+AW88-AU88</f>
        <v>0</v>
      </c>
      <c r="AX69" s="167">
        <f>AX99+AX102</f>
        <v>0</v>
      </c>
      <c r="AY69" s="166">
        <f>+AY85-AW85+AY88-AW88</f>
        <v>0</v>
      </c>
      <c r="AZ69" s="167">
        <f>AZ99+AZ102</f>
        <v>0</v>
      </c>
      <c r="BA69" s="166">
        <f>+BA85-AY85+BA88-AY88</f>
        <v>0</v>
      </c>
      <c r="BB69" s="167">
        <f>BB99+BB102</f>
        <v>0</v>
      </c>
      <c r="BC69" s="166">
        <f>+BC85-BA85+BC88-BA88</f>
        <v>0</v>
      </c>
      <c r="BD69" s="167">
        <f>BD99+BD102</f>
        <v>0</v>
      </c>
      <c r="BE69" s="166">
        <f>+BE85-BC85+BE88-BC88</f>
        <v>0</v>
      </c>
      <c r="BF69" s="167">
        <f>BF99+BF102</f>
        <v>0</v>
      </c>
      <c r="BG69" s="166">
        <f>+BG85-BE85+BG88-BE88</f>
        <v>0</v>
      </c>
      <c r="BH69" s="167">
        <f>BH99+BH102</f>
        <v>0</v>
      </c>
      <c r="BI69" s="166">
        <f>+BI85-BG85+BI88-BG88</f>
        <v>0</v>
      </c>
      <c r="BJ69" s="167">
        <f>BJ99+BJ102</f>
        <v>0</v>
      </c>
      <c r="BK69" s="166">
        <f>+BK85-BI85+BK88-BI88</f>
        <v>0</v>
      </c>
      <c r="BL69" s="167">
        <f>BL99+BL102</f>
        <v>0</v>
      </c>
      <c r="BM69" s="166">
        <f>+BM85-BK85+BM88-BK88</f>
        <v>0</v>
      </c>
      <c r="BN69" s="50"/>
      <c r="BO69" s="170" t="e">
        <f t="shared" si="95"/>
        <v>#VALUE!</v>
      </c>
      <c r="BP69" s="167">
        <f>BP99+BP102</f>
        <v>0</v>
      </c>
      <c r="BQ69" s="172" t="e">
        <f>+BQ85-BM85+BQ88-BM88</f>
        <v>#VALUE!</v>
      </c>
    </row>
    <row r="70" spans="1:69" x14ac:dyDescent="0.35">
      <c r="A70" s="134" t="s">
        <v>89</v>
      </c>
      <c r="B70" s="133"/>
      <c r="C70" s="131"/>
      <c r="D70" s="189">
        <f>D93+D96</f>
        <v>0</v>
      </c>
      <c r="E70" s="166" t="e">
        <f>+E79-C79+E82-C82</f>
        <v>#VALUE!</v>
      </c>
      <c r="F70" s="167">
        <f>F93+F96</f>
        <v>0</v>
      </c>
      <c r="G70" s="166">
        <f>+G79-E79+G82-E82</f>
        <v>0</v>
      </c>
      <c r="H70" s="167">
        <f>H93+H96</f>
        <v>0</v>
      </c>
      <c r="I70" s="166">
        <f>+I79-G79+I82-G82</f>
        <v>0</v>
      </c>
      <c r="J70" s="167">
        <f>J93+J96</f>
        <v>0</v>
      </c>
      <c r="K70" s="166">
        <f>+K79-I79+K82-I82</f>
        <v>0</v>
      </c>
      <c r="L70" s="167">
        <f>L93+L96</f>
        <v>0</v>
      </c>
      <c r="M70" s="166">
        <f>+M79-K79+M82-K82</f>
        <v>0</v>
      </c>
      <c r="N70" s="167">
        <f>N93+N96</f>
        <v>0</v>
      </c>
      <c r="O70" s="166">
        <f>+O79-M79+O82-M82</f>
        <v>0</v>
      </c>
      <c r="P70" s="167">
        <f>P93+P96</f>
        <v>0</v>
      </c>
      <c r="Q70" s="166">
        <f>+Q79-O79+Q82-O82</f>
        <v>0</v>
      </c>
      <c r="R70" s="167">
        <f>R93+R96</f>
        <v>0</v>
      </c>
      <c r="S70" s="166">
        <f>+S79-Q79+S82-Q82</f>
        <v>0</v>
      </c>
      <c r="T70" s="167">
        <f>T93+T96</f>
        <v>0</v>
      </c>
      <c r="U70" s="166">
        <f>+U79-S79+U82-S82</f>
        <v>0</v>
      </c>
      <c r="V70" s="167">
        <f>V93+V96</f>
        <v>0</v>
      </c>
      <c r="W70" s="166">
        <f>+W79-U79+W82-U82</f>
        <v>0</v>
      </c>
      <c r="X70" s="167">
        <f>X93+X96</f>
        <v>0</v>
      </c>
      <c r="Y70" s="166">
        <f>+Y79-W79+Y82-W82</f>
        <v>0</v>
      </c>
      <c r="Z70" s="167">
        <f>Z93+Z96</f>
        <v>0</v>
      </c>
      <c r="AA70" s="166">
        <f>+AA79-Y79+AA82-Y82</f>
        <v>0</v>
      </c>
      <c r="AB70" s="167">
        <f>AB93+AB96</f>
        <v>0</v>
      </c>
      <c r="AC70" s="166">
        <f>+AC79-AA79+AC82-AA82</f>
        <v>0</v>
      </c>
      <c r="AD70" s="167">
        <f>AD93+AD96</f>
        <v>0</v>
      </c>
      <c r="AE70" s="166">
        <f>+AE79-AC79+AE82-AC82</f>
        <v>0</v>
      </c>
      <c r="AF70" s="167">
        <f>AF93+AF96</f>
        <v>0</v>
      </c>
      <c r="AG70" s="166">
        <f>+AG79-AE79+AG82-AE82</f>
        <v>0</v>
      </c>
      <c r="AH70" s="167">
        <f>AH93+AH96</f>
        <v>0</v>
      </c>
      <c r="AI70" s="166">
        <f>+AI79-AG79+AI82-AG82</f>
        <v>0</v>
      </c>
      <c r="AJ70" s="167">
        <f>AJ93+AJ96</f>
        <v>0</v>
      </c>
      <c r="AK70" s="166">
        <f>+AK79-AI79+AK82-AI82</f>
        <v>0</v>
      </c>
      <c r="AL70" s="167">
        <f>AL93+AL96</f>
        <v>0</v>
      </c>
      <c r="AM70" s="166">
        <f>+AM79-AK79+AM82-AK82</f>
        <v>0</v>
      </c>
      <c r="AN70" s="167">
        <f>AN93+AN96</f>
        <v>0</v>
      </c>
      <c r="AO70" s="166">
        <f>+AO79-AM79+AO82-AM82</f>
        <v>0</v>
      </c>
      <c r="AP70" s="167">
        <f>AP93+AP96</f>
        <v>0</v>
      </c>
      <c r="AQ70" s="166">
        <f>+AQ79-AO79+AQ82-AO82</f>
        <v>0</v>
      </c>
      <c r="AR70" s="167">
        <f>AR93+AR96</f>
        <v>0</v>
      </c>
      <c r="AS70" s="166">
        <f>+AS79-AQ79+AS82-AQ82</f>
        <v>0</v>
      </c>
      <c r="AT70" s="167">
        <f>AT93+AT96</f>
        <v>0</v>
      </c>
      <c r="AU70" s="166">
        <f>+AU79-AS79+AU82-AS82</f>
        <v>0</v>
      </c>
      <c r="AV70" s="167">
        <f>AV93+AV96</f>
        <v>0</v>
      </c>
      <c r="AW70" s="166">
        <f>+AW79-AU79+AW82-AU82</f>
        <v>0</v>
      </c>
      <c r="AX70" s="167">
        <f>AX93+AX96</f>
        <v>0</v>
      </c>
      <c r="AY70" s="166">
        <f>+AY79-AW79+AY82-AW82</f>
        <v>0</v>
      </c>
      <c r="AZ70" s="167">
        <f>AZ93+AZ96</f>
        <v>0</v>
      </c>
      <c r="BA70" s="166">
        <f>+BA79-AY79+BA82-AY82</f>
        <v>0</v>
      </c>
      <c r="BB70" s="167">
        <f>BB93+BB96</f>
        <v>0</v>
      </c>
      <c r="BC70" s="166">
        <f>+BC79-BA79+BC82-BA82</f>
        <v>0</v>
      </c>
      <c r="BD70" s="167">
        <f>BD93+BD96</f>
        <v>0</v>
      </c>
      <c r="BE70" s="166">
        <f>+BE79-BC79+BE82-BC82</f>
        <v>0</v>
      </c>
      <c r="BF70" s="167">
        <f>BF93+BF96</f>
        <v>0</v>
      </c>
      <c r="BG70" s="166">
        <f>+BG79-BE79+BG82-BE82</f>
        <v>0</v>
      </c>
      <c r="BH70" s="167">
        <f>BH93+BH96</f>
        <v>0</v>
      </c>
      <c r="BI70" s="166">
        <f>+BI79-BG79+BI82-BG82</f>
        <v>0</v>
      </c>
      <c r="BJ70" s="167">
        <f>BJ93+BJ96</f>
        <v>0</v>
      </c>
      <c r="BK70" s="166">
        <f>+BK79-BI79+BK82-BI82</f>
        <v>0</v>
      </c>
      <c r="BL70" s="167">
        <f>BL93+BL96</f>
        <v>0</v>
      </c>
      <c r="BM70" s="166">
        <f>+BM79-BK79+BM82-BK82</f>
        <v>0</v>
      </c>
      <c r="BN70" s="50"/>
      <c r="BO70" s="170" t="e">
        <f t="shared" si="95"/>
        <v>#VALUE!</v>
      </c>
      <c r="BP70" s="167">
        <f>BP93+BP96</f>
        <v>0</v>
      </c>
      <c r="BQ70" s="172" t="e">
        <f>+BQ79-BM79+BQ82-BM82</f>
        <v>#VALUE!</v>
      </c>
    </row>
    <row r="71" spans="1:69" x14ac:dyDescent="0.35">
      <c r="A71" s="135" t="s">
        <v>90</v>
      </c>
      <c r="B71" s="133"/>
      <c r="C71" s="131"/>
      <c r="D71" s="189">
        <f>+D97+D100</f>
        <v>0</v>
      </c>
      <c r="E71" s="166" t="e">
        <f>+E83-C83+E86-C86</f>
        <v>#VALUE!</v>
      </c>
      <c r="F71" s="167">
        <f>+F97+F100</f>
        <v>0</v>
      </c>
      <c r="G71" s="166">
        <f>+G83-E83+G86-E86</f>
        <v>0</v>
      </c>
      <c r="H71" s="167">
        <f>+H97+H100</f>
        <v>0</v>
      </c>
      <c r="I71" s="166">
        <f>+I83-G83+I86-G86</f>
        <v>0</v>
      </c>
      <c r="J71" s="167">
        <f>+J97+J100</f>
        <v>0</v>
      </c>
      <c r="K71" s="166">
        <f>+K83-I83+K86-I86</f>
        <v>0</v>
      </c>
      <c r="L71" s="167">
        <f>+L97+L100</f>
        <v>0</v>
      </c>
      <c r="M71" s="166">
        <f>+M83-K83+M86-K86</f>
        <v>0</v>
      </c>
      <c r="N71" s="167">
        <f>+N97+N100</f>
        <v>0</v>
      </c>
      <c r="O71" s="166">
        <f>+O83-M83+O86-M86</f>
        <v>0</v>
      </c>
      <c r="P71" s="167">
        <f>+P97+P100</f>
        <v>0</v>
      </c>
      <c r="Q71" s="166">
        <f>+Q83-O83+Q86-O86</f>
        <v>0</v>
      </c>
      <c r="R71" s="167">
        <f>+R97+R100</f>
        <v>0</v>
      </c>
      <c r="S71" s="166">
        <f>+S83-Q83+S86-Q86</f>
        <v>0</v>
      </c>
      <c r="T71" s="167">
        <f>+T97+T100</f>
        <v>0</v>
      </c>
      <c r="U71" s="166">
        <f>+U83-S83+U86-S86</f>
        <v>0</v>
      </c>
      <c r="V71" s="167">
        <f>+V97+V100</f>
        <v>0</v>
      </c>
      <c r="W71" s="166">
        <f>+W83-U83+W86-U86</f>
        <v>0</v>
      </c>
      <c r="X71" s="167">
        <f>+X97+X100</f>
        <v>0</v>
      </c>
      <c r="Y71" s="166">
        <f>+Y83-W83+Y86-W86</f>
        <v>0</v>
      </c>
      <c r="Z71" s="167">
        <f>+Z97+Z100</f>
        <v>0</v>
      </c>
      <c r="AA71" s="166">
        <f>+AA83-Y83+AA86-Y86</f>
        <v>0</v>
      </c>
      <c r="AB71" s="167">
        <f>+AB97+AB100</f>
        <v>0</v>
      </c>
      <c r="AC71" s="166">
        <f>+AC83-AA83+AC86-AA86</f>
        <v>0</v>
      </c>
      <c r="AD71" s="167">
        <f>+AD97+AD100</f>
        <v>0</v>
      </c>
      <c r="AE71" s="166">
        <f>+AE83-AC83+AE86-AC86</f>
        <v>0</v>
      </c>
      <c r="AF71" s="167">
        <f>+AF97+AF100</f>
        <v>0</v>
      </c>
      <c r="AG71" s="166">
        <f>+AG83-AE83+AG86-AE86</f>
        <v>0</v>
      </c>
      <c r="AH71" s="167">
        <f>+AH97+AH100</f>
        <v>0</v>
      </c>
      <c r="AI71" s="166">
        <f>+AI83-AG83+AI86-AG86</f>
        <v>0</v>
      </c>
      <c r="AJ71" s="167">
        <f>+AJ97+AJ100</f>
        <v>0</v>
      </c>
      <c r="AK71" s="166">
        <f>+AK83-AI83+AK86-AI86</f>
        <v>0</v>
      </c>
      <c r="AL71" s="167">
        <f>+AL97+AL100</f>
        <v>0</v>
      </c>
      <c r="AM71" s="166">
        <f>+AM83-AK83+AM86-AK86</f>
        <v>0</v>
      </c>
      <c r="AN71" s="167">
        <f>+AN97+AN100</f>
        <v>0</v>
      </c>
      <c r="AO71" s="166">
        <f>+AO83-AM83+AO86-AM86</f>
        <v>0</v>
      </c>
      <c r="AP71" s="167">
        <f>+AP97+AP100</f>
        <v>0</v>
      </c>
      <c r="AQ71" s="166">
        <f>+AQ83-AO83+AQ86-AO86</f>
        <v>0</v>
      </c>
      <c r="AR71" s="167">
        <f>+AR97+AR100</f>
        <v>0</v>
      </c>
      <c r="AS71" s="166">
        <f>+AS83-AQ83+AS86-AQ86</f>
        <v>0</v>
      </c>
      <c r="AT71" s="167">
        <f>+AT97+AT100</f>
        <v>0</v>
      </c>
      <c r="AU71" s="166">
        <f>+AU83-AS83+AU86-AS86</f>
        <v>0</v>
      </c>
      <c r="AV71" s="167">
        <f>+AV97+AV100</f>
        <v>0</v>
      </c>
      <c r="AW71" s="166">
        <f>+AW83-AU83+AW86-AU86</f>
        <v>0</v>
      </c>
      <c r="AX71" s="167">
        <f>+AX97+AX100</f>
        <v>0</v>
      </c>
      <c r="AY71" s="166">
        <f>+AY83-AW83+AY86-AW86</f>
        <v>0</v>
      </c>
      <c r="AZ71" s="167">
        <f>+AZ97+AZ100</f>
        <v>0</v>
      </c>
      <c r="BA71" s="166">
        <f>+BA83-AY83+BA86-AY86</f>
        <v>0</v>
      </c>
      <c r="BB71" s="167">
        <f>+BB97+BB100</f>
        <v>0</v>
      </c>
      <c r="BC71" s="166">
        <f>+BC83-BA83+BC86-BA86</f>
        <v>0</v>
      </c>
      <c r="BD71" s="167">
        <f>+BD97+BD100</f>
        <v>0</v>
      </c>
      <c r="BE71" s="166">
        <f>+BE83-BC83+BE86-BC86</f>
        <v>0</v>
      </c>
      <c r="BF71" s="167">
        <f>+BF97+BF100</f>
        <v>0</v>
      </c>
      <c r="BG71" s="166">
        <f>+BG83-BE83+BG86-BE86</f>
        <v>0</v>
      </c>
      <c r="BH71" s="167">
        <f>+BH97+BH100</f>
        <v>0</v>
      </c>
      <c r="BI71" s="166">
        <f>+BI83-BG83+BI86-BG86</f>
        <v>0</v>
      </c>
      <c r="BJ71" s="167">
        <f>+BJ97+BJ100</f>
        <v>0</v>
      </c>
      <c r="BK71" s="166">
        <f>+BK83-BI83+BK86-BI86</f>
        <v>0</v>
      </c>
      <c r="BL71" s="167">
        <f>+BL97+BL100</f>
        <v>0</v>
      </c>
      <c r="BM71" s="166">
        <f>+BM83-BK83+BM86-BK86</f>
        <v>0</v>
      </c>
      <c r="BN71" s="50"/>
      <c r="BO71" s="170" t="e">
        <f t="shared" si="95"/>
        <v>#VALUE!</v>
      </c>
      <c r="BP71" s="167">
        <f>+BP97+BP100</f>
        <v>0</v>
      </c>
      <c r="BQ71" s="172" t="e">
        <f>+BQ83-BM83+BQ86-BM86</f>
        <v>#VALUE!</v>
      </c>
    </row>
    <row r="72" spans="1:69" x14ac:dyDescent="0.35">
      <c r="A72" s="136" t="s">
        <v>91</v>
      </c>
      <c r="B72" s="133"/>
      <c r="C72" s="131"/>
      <c r="D72" s="189">
        <f>+D92+D95+D98+D101</f>
        <v>0</v>
      </c>
      <c r="E72" s="166" t="e">
        <f>+E78-C78+E81-C81+E84-C84+E87-C87</f>
        <v>#VALUE!</v>
      </c>
      <c r="F72" s="167">
        <f>+F92+F95+F98+F101</f>
        <v>0</v>
      </c>
      <c r="G72" s="166">
        <f>+G78-E78+G81-E81+G84-E84+G87-E87</f>
        <v>0</v>
      </c>
      <c r="H72" s="167">
        <f>+H92+H95+H98+H101</f>
        <v>0</v>
      </c>
      <c r="I72" s="166">
        <f>+I78-G78+I81-G81+I84-G84+I87-G87</f>
        <v>0</v>
      </c>
      <c r="J72" s="167">
        <f>+J92+J95+J98+J101</f>
        <v>0</v>
      </c>
      <c r="K72" s="166">
        <f>+K78-I78+K81-I81+K84-I84+K87-I87</f>
        <v>0</v>
      </c>
      <c r="L72" s="167">
        <f>+L92+L95+L98+L101</f>
        <v>0</v>
      </c>
      <c r="M72" s="166">
        <f>+M78-K78+M81-K81+M84-K84+M87-K87</f>
        <v>0</v>
      </c>
      <c r="N72" s="167">
        <f>+N92+N95+N98+N101</f>
        <v>0</v>
      </c>
      <c r="O72" s="166">
        <f>+O78-M78+O81-M81+O84-M84+O87-M87</f>
        <v>0</v>
      </c>
      <c r="P72" s="167">
        <f>+P92+P95+P98+P101</f>
        <v>0</v>
      </c>
      <c r="Q72" s="166">
        <f>+Q78-O78+Q81-O81+Q84-O84+Q87-O87</f>
        <v>0</v>
      </c>
      <c r="R72" s="167">
        <f>+R92+R95+R98+R101</f>
        <v>0</v>
      </c>
      <c r="S72" s="166">
        <f>+S78-Q78+S81-Q81+S84-Q84+S87-Q87</f>
        <v>0</v>
      </c>
      <c r="T72" s="167">
        <f>+T92+T95+T98+T101</f>
        <v>0</v>
      </c>
      <c r="U72" s="166">
        <f>+U78-S78+U81-S81+U84-S84+U87-S87</f>
        <v>0</v>
      </c>
      <c r="V72" s="167">
        <f>+V92+V95+V98+V101</f>
        <v>0</v>
      </c>
      <c r="W72" s="166">
        <f>+W78-U78+W81-U81+W84-U84+W87-U87</f>
        <v>0</v>
      </c>
      <c r="X72" s="167">
        <f>+X92+X95+X98+X101</f>
        <v>0</v>
      </c>
      <c r="Y72" s="166">
        <f>+Y78-W78+Y81-W81+Y84-W84+Y87-W87</f>
        <v>0</v>
      </c>
      <c r="Z72" s="167">
        <f>+Z92+Z95+Z98+Z101</f>
        <v>0</v>
      </c>
      <c r="AA72" s="166">
        <f>+AA78-Y78+AA81-Y81+AA84-Y84+AA87-Y87</f>
        <v>0</v>
      </c>
      <c r="AB72" s="167">
        <f>+AB92+AB95+AB98+AB101</f>
        <v>0</v>
      </c>
      <c r="AC72" s="166">
        <f>+AC78-AA78+AC81-AA81+AC84-AA84+AC87-AA87</f>
        <v>0</v>
      </c>
      <c r="AD72" s="167">
        <f>+AD92+AD95+AD98+AD101</f>
        <v>0</v>
      </c>
      <c r="AE72" s="166">
        <f>+AE78-AC78+AE81-AC81+AE84-AC84+AE87-AC87</f>
        <v>0</v>
      </c>
      <c r="AF72" s="167">
        <f>+AF92+AF95+AF98+AF101</f>
        <v>0</v>
      </c>
      <c r="AG72" s="166">
        <f>+AG78-AE78+AG81-AE81+AG84-AE84+AG87-AE87</f>
        <v>0</v>
      </c>
      <c r="AH72" s="167">
        <f>+AH92+AH95+AH98+AH101</f>
        <v>0</v>
      </c>
      <c r="AI72" s="166">
        <f>+AI78-AG78+AI81-AG81+AI84-AG84+AI87-AG87</f>
        <v>0</v>
      </c>
      <c r="AJ72" s="167">
        <f>+AJ92+AJ95+AJ98+AJ101</f>
        <v>0</v>
      </c>
      <c r="AK72" s="166">
        <f>+AK78-AI78+AK81-AI81+AK84-AI84+AK87-AI87</f>
        <v>0</v>
      </c>
      <c r="AL72" s="167">
        <f>+AL92+AL95+AL98+AL101</f>
        <v>0</v>
      </c>
      <c r="AM72" s="166">
        <f>+AM78-AK78+AM81-AK81+AM84-AK84+AM87-AK87</f>
        <v>0</v>
      </c>
      <c r="AN72" s="167">
        <f>+AN92+AN95+AN98+AN101</f>
        <v>0</v>
      </c>
      <c r="AO72" s="166">
        <f>+AO78-AM78+AO81-AM81+AO84-AM84+AO87-AM87</f>
        <v>0</v>
      </c>
      <c r="AP72" s="167">
        <f>+AP92+AP95+AP98+AP101</f>
        <v>0</v>
      </c>
      <c r="AQ72" s="166">
        <f>+AQ78-AO78+AQ81-AO81+AQ84-AO84+AQ87-AO87</f>
        <v>0</v>
      </c>
      <c r="AR72" s="167">
        <f>+AR92+AR95+AR98+AR101</f>
        <v>0</v>
      </c>
      <c r="AS72" s="166">
        <f>+AS78-AQ78+AS81-AQ81+AS84-AQ84+AS87-AQ87</f>
        <v>0</v>
      </c>
      <c r="AT72" s="167">
        <f>+AT92+AT95+AT98+AT101</f>
        <v>0</v>
      </c>
      <c r="AU72" s="166">
        <f>+AU78-AS78+AU81-AS81+AU84-AS84+AU87-AS87</f>
        <v>0</v>
      </c>
      <c r="AV72" s="167">
        <f>+AV92+AV95+AV98+AV101</f>
        <v>0</v>
      </c>
      <c r="AW72" s="166">
        <f>+AW78-AU78+AW81-AU81+AW84-AU84+AW87-AU87</f>
        <v>0</v>
      </c>
      <c r="AX72" s="167">
        <f>+AX92+AX95+AX98+AX101</f>
        <v>0</v>
      </c>
      <c r="AY72" s="166">
        <f>+AY78-AW78+AY81-AW81+AY84-AW84+AY87-AW87</f>
        <v>0</v>
      </c>
      <c r="AZ72" s="167">
        <f>+AZ92+AZ95+AZ98+AZ101</f>
        <v>0</v>
      </c>
      <c r="BA72" s="166">
        <f>+BA78-AY78+BA81-AY81+BA84-AY84+BA87-AY87</f>
        <v>0</v>
      </c>
      <c r="BB72" s="167">
        <f>+BB92+BB95+BB98+BB101</f>
        <v>0</v>
      </c>
      <c r="BC72" s="166">
        <f>+BC78-BA78+BC81-BA81+BC84-BA84+BC87-BA87</f>
        <v>0</v>
      </c>
      <c r="BD72" s="167">
        <f>+BD92+BD95+BD98+BD101</f>
        <v>0</v>
      </c>
      <c r="BE72" s="166">
        <f>+BE78-BC78+BE81-BC81+BE84-BC84+BE87-BC87</f>
        <v>0</v>
      </c>
      <c r="BF72" s="167">
        <f>+BF92+BF95+BF98+BF101</f>
        <v>0</v>
      </c>
      <c r="BG72" s="166">
        <f>+BG78-BE78+BG81-BE81+BG84-BE84+BG87-BE87</f>
        <v>0</v>
      </c>
      <c r="BH72" s="167">
        <f>+BH92+BH95+BH98+BH101</f>
        <v>0</v>
      </c>
      <c r="BI72" s="166">
        <f>+BI78-BG78+BI81-BG81+BI84-BG84+BI87-BG87</f>
        <v>0</v>
      </c>
      <c r="BJ72" s="167">
        <f>+BJ92+BJ95+BJ98+BJ101</f>
        <v>0</v>
      </c>
      <c r="BK72" s="166">
        <f>+BK78-BI78+BK81-BI81+BK84-BI84+BK87-BI87</f>
        <v>0</v>
      </c>
      <c r="BL72" s="167">
        <f>+BL92+BL95+BL98+BL101</f>
        <v>0</v>
      </c>
      <c r="BM72" s="166">
        <f>+BM78-BK78+BM81-BK81+BM84-BK84+BM87-BK87</f>
        <v>0</v>
      </c>
      <c r="BN72" s="50"/>
      <c r="BO72" s="170" t="e">
        <f t="shared" si="95"/>
        <v>#VALUE!</v>
      </c>
      <c r="BP72" s="167">
        <f>+BP92+BP95+BP98+BP101</f>
        <v>0</v>
      </c>
      <c r="BQ72" s="172" t="e">
        <f>+BQ78-BM78+BQ81-BM81+BQ84-BM84+BQ87-BM87</f>
        <v>#VALUE!</v>
      </c>
    </row>
    <row r="73" spans="1:69" x14ac:dyDescent="0.35">
      <c r="A73" s="137"/>
      <c r="B73" s="138"/>
      <c r="C73" s="139"/>
      <c r="D73" s="189">
        <f t="shared" ref="D73:BM73" si="96">SUM(D68:D72)</f>
        <v>0</v>
      </c>
      <c r="E73" s="177" t="e">
        <f t="shared" si="96"/>
        <v>#VALUE!</v>
      </c>
      <c r="F73" s="167">
        <f t="shared" si="96"/>
        <v>0</v>
      </c>
      <c r="G73" s="177">
        <f t="shared" si="96"/>
        <v>0</v>
      </c>
      <c r="H73" s="167">
        <f t="shared" si="96"/>
        <v>0</v>
      </c>
      <c r="I73" s="177">
        <f t="shared" si="96"/>
        <v>0</v>
      </c>
      <c r="J73" s="167">
        <f t="shared" si="96"/>
        <v>0</v>
      </c>
      <c r="K73" s="177">
        <f t="shared" si="96"/>
        <v>0</v>
      </c>
      <c r="L73" s="167">
        <f t="shared" si="96"/>
        <v>0</v>
      </c>
      <c r="M73" s="177">
        <f t="shared" si="96"/>
        <v>0</v>
      </c>
      <c r="N73" s="167">
        <f t="shared" si="96"/>
        <v>0</v>
      </c>
      <c r="O73" s="177">
        <f t="shared" si="96"/>
        <v>0</v>
      </c>
      <c r="P73" s="167">
        <f t="shared" si="96"/>
        <v>0</v>
      </c>
      <c r="Q73" s="177">
        <f t="shared" si="96"/>
        <v>0</v>
      </c>
      <c r="R73" s="167">
        <f t="shared" si="96"/>
        <v>0</v>
      </c>
      <c r="S73" s="177">
        <f t="shared" si="96"/>
        <v>0</v>
      </c>
      <c r="T73" s="167">
        <f t="shared" si="96"/>
        <v>0</v>
      </c>
      <c r="U73" s="177">
        <f t="shared" si="96"/>
        <v>0</v>
      </c>
      <c r="V73" s="167">
        <f t="shared" si="96"/>
        <v>0</v>
      </c>
      <c r="W73" s="177">
        <f t="shared" si="96"/>
        <v>0</v>
      </c>
      <c r="X73" s="167">
        <f t="shared" si="96"/>
        <v>0</v>
      </c>
      <c r="Y73" s="177">
        <f t="shared" si="96"/>
        <v>0</v>
      </c>
      <c r="Z73" s="167">
        <f t="shared" si="96"/>
        <v>0</v>
      </c>
      <c r="AA73" s="177">
        <f t="shared" si="96"/>
        <v>0</v>
      </c>
      <c r="AB73" s="167">
        <f t="shared" si="96"/>
        <v>0</v>
      </c>
      <c r="AC73" s="177">
        <f t="shared" si="96"/>
        <v>0</v>
      </c>
      <c r="AD73" s="167">
        <f t="shared" si="96"/>
        <v>0</v>
      </c>
      <c r="AE73" s="177">
        <f t="shared" si="96"/>
        <v>0</v>
      </c>
      <c r="AF73" s="167">
        <f t="shared" si="96"/>
        <v>0</v>
      </c>
      <c r="AG73" s="177">
        <f t="shared" si="96"/>
        <v>0</v>
      </c>
      <c r="AH73" s="167">
        <f t="shared" si="96"/>
        <v>0</v>
      </c>
      <c r="AI73" s="177">
        <f t="shared" si="96"/>
        <v>0</v>
      </c>
      <c r="AJ73" s="167">
        <f t="shared" si="96"/>
        <v>0</v>
      </c>
      <c r="AK73" s="177">
        <f t="shared" si="96"/>
        <v>0</v>
      </c>
      <c r="AL73" s="167">
        <f t="shared" si="96"/>
        <v>0</v>
      </c>
      <c r="AM73" s="177">
        <f t="shared" si="96"/>
        <v>0</v>
      </c>
      <c r="AN73" s="167">
        <f t="shared" si="96"/>
        <v>0</v>
      </c>
      <c r="AO73" s="177">
        <f t="shared" si="96"/>
        <v>0</v>
      </c>
      <c r="AP73" s="167">
        <f t="shared" si="96"/>
        <v>0</v>
      </c>
      <c r="AQ73" s="177">
        <f t="shared" si="96"/>
        <v>0</v>
      </c>
      <c r="AR73" s="167">
        <f t="shared" si="96"/>
        <v>0</v>
      </c>
      <c r="AS73" s="177">
        <f t="shared" si="96"/>
        <v>0</v>
      </c>
      <c r="AT73" s="167">
        <f t="shared" si="96"/>
        <v>0</v>
      </c>
      <c r="AU73" s="177">
        <f t="shared" si="96"/>
        <v>0</v>
      </c>
      <c r="AV73" s="167">
        <f t="shared" si="96"/>
        <v>0</v>
      </c>
      <c r="AW73" s="177">
        <f t="shared" si="96"/>
        <v>0</v>
      </c>
      <c r="AX73" s="167">
        <f t="shared" si="96"/>
        <v>0</v>
      </c>
      <c r="AY73" s="177">
        <f t="shared" si="96"/>
        <v>0</v>
      </c>
      <c r="AZ73" s="167">
        <f t="shared" si="96"/>
        <v>0</v>
      </c>
      <c r="BA73" s="177">
        <f t="shared" si="96"/>
        <v>0</v>
      </c>
      <c r="BB73" s="167">
        <f t="shared" si="96"/>
        <v>0</v>
      </c>
      <c r="BC73" s="177">
        <f t="shared" si="96"/>
        <v>0</v>
      </c>
      <c r="BD73" s="167">
        <f t="shared" si="96"/>
        <v>0</v>
      </c>
      <c r="BE73" s="177">
        <f t="shared" si="96"/>
        <v>0</v>
      </c>
      <c r="BF73" s="167">
        <f t="shared" si="96"/>
        <v>0</v>
      </c>
      <c r="BG73" s="177">
        <f t="shared" si="96"/>
        <v>0</v>
      </c>
      <c r="BH73" s="167">
        <f t="shared" si="96"/>
        <v>0</v>
      </c>
      <c r="BI73" s="177">
        <f>SUM(BI68:BI72)</f>
        <v>0</v>
      </c>
      <c r="BJ73" s="167">
        <f t="shared" si="96"/>
        <v>0</v>
      </c>
      <c r="BK73" s="177">
        <f t="shared" si="96"/>
        <v>0</v>
      </c>
      <c r="BL73" s="167">
        <f t="shared" si="96"/>
        <v>0</v>
      </c>
      <c r="BM73" s="177">
        <f t="shared" si="96"/>
        <v>0</v>
      </c>
      <c r="BN73" s="92"/>
      <c r="BO73" s="170" t="e">
        <f t="shared" si="95"/>
        <v>#VALUE!</v>
      </c>
      <c r="BP73" s="167">
        <f t="shared" ref="BP73" si="97">SUM(BP68:BP72)</f>
        <v>0</v>
      </c>
      <c r="BQ73" s="179" t="e">
        <f>SUM(BQ68:BQ72)</f>
        <v>#VALUE!</v>
      </c>
    </row>
    <row r="74" spans="1:69" x14ac:dyDescent="0.35">
      <c r="A74" s="53" t="s">
        <v>30</v>
      </c>
      <c r="B74" s="138"/>
      <c r="C74" s="210" t="str">
        <f>IF('September 2026 Log'!BK74="","",'September 2026 Log'!BK74)</f>
        <v/>
      </c>
      <c r="D74" s="47"/>
      <c r="E74" s="48"/>
      <c r="F74" s="49"/>
      <c r="G74" s="48"/>
      <c r="H74" s="49"/>
      <c r="I74" s="48"/>
      <c r="J74" s="49"/>
      <c r="K74" s="48"/>
      <c r="L74" s="49"/>
      <c r="M74" s="48"/>
      <c r="N74" s="49"/>
      <c r="O74" s="48"/>
      <c r="P74" s="49"/>
      <c r="Q74" s="48"/>
      <c r="R74" s="49"/>
      <c r="S74" s="48"/>
      <c r="T74" s="49"/>
      <c r="U74" s="48"/>
      <c r="V74" s="49"/>
      <c r="W74" s="48"/>
      <c r="X74" s="49"/>
      <c r="Y74" s="48"/>
      <c r="Z74" s="49"/>
      <c r="AA74" s="48"/>
      <c r="AB74" s="49"/>
      <c r="AC74" s="48"/>
      <c r="AD74" s="49"/>
      <c r="AE74" s="48"/>
      <c r="AF74" s="49"/>
      <c r="AG74" s="48"/>
      <c r="AH74" s="49"/>
      <c r="AI74" s="48"/>
      <c r="AJ74" s="49"/>
      <c r="AK74" s="48"/>
      <c r="AL74" s="49"/>
      <c r="AM74" s="48"/>
      <c r="AN74" s="49"/>
      <c r="AO74" s="48"/>
      <c r="AP74" s="49"/>
      <c r="AQ74" s="48"/>
      <c r="AR74" s="49"/>
      <c r="AS74" s="48"/>
      <c r="AT74" s="49"/>
      <c r="AU74" s="48"/>
      <c r="AV74" s="49"/>
      <c r="AW74" s="48"/>
      <c r="AX74" s="49"/>
      <c r="AY74" s="48"/>
      <c r="AZ74" s="49"/>
      <c r="BA74" s="48"/>
      <c r="BB74" s="49"/>
      <c r="BC74" s="48"/>
      <c r="BD74" s="49"/>
      <c r="BE74" s="48"/>
      <c r="BF74" s="49"/>
      <c r="BG74" s="48"/>
      <c r="BH74" s="49"/>
      <c r="BI74" s="48"/>
      <c r="BJ74" s="49"/>
      <c r="BK74" s="48"/>
      <c r="BL74" s="49"/>
      <c r="BM74" s="48"/>
      <c r="BN74" s="50"/>
      <c r="BO74" s="170" t="str">
        <f t="shared" si="95"/>
        <v/>
      </c>
      <c r="BP74" s="49"/>
      <c r="BQ74" s="178" t="str">
        <f>IF(BM74="","",BM74)</f>
        <v/>
      </c>
    </row>
    <row r="75" spans="1:69" x14ac:dyDescent="0.35">
      <c r="A75" s="98" t="s">
        <v>31</v>
      </c>
      <c r="B75" s="138"/>
      <c r="C75" s="211">
        <f>IF('September 2026 Log'!BK75="","",'September 2026 Log'!BK75)</f>
        <v>0</v>
      </c>
      <c r="D75" s="47"/>
      <c r="E75" s="177">
        <f>+E57-E74</f>
        <v>0</v>
      </c>
      <c r="F75" s="49"/>
      <c r="G75" s="177">
        <f>+G57-G74</f>
        <v>0</v>
      </c>
      <c r="H75" s="49"/>
      <c r="I75" s="177">
        <f>+I57-I74</f>
        <v>0</v>
      </c>
      <c r="J75" s="49"/>
      <c r="K75" s="177">
        <f>+K57-K74</f>
        <v>0</v>
      </c>
      <c r="L75" s="49"/>
      <c r="M75" s="177">
        <f>+M57-M74</f>
        <v>0</v>
      </c>
      <c r="N75" s="49"/>
      <c r="O75" s="177">
        <f>+O57-O74</f>
        <v>0</v>
      </c>
      <c r="P75" s="49"/>
      <c r="Q75" s="177">
        <f>+Q57-Q74</f>
        <v>0</v>
      </c>
      <c r="R75" s="49"/>
      <c r="S75" s="177">
        <f>+S57-S74</f>
        <v>0</v>
      </c>
      <c r="T75" s="49"/>
      <c r="U75" s="177">
        <f>+U57-U74</f>
        <v>0</v>
      </c>
      <c r="V75" s="49"/>
      <c r="W75" s="177">
        <f>+W57-W74</f>
        <v>0</v>
      </c>
      <c r="X75" s="49"/>
      <c r="Y75" s="177">
        <f>+Y57-Y74</f>
        <v>0</v>
      </c>
      <c r="Z75" s="49"/>
      <c r="AA75" s="177">
        <f>+AA57-AA74</f>
        <v>0</v>
      </c>
      <c r="AB75" s="49"/>
      <c r="AC75" s="177">
        <f>+AC57-AC74</f>
        <v>0</v>
      </c>
      <c r="AD75" s="49"/>
      <c r="AE75" s="177">
        <f>+AE57-AE74</f>
        <v>0</v>
      </c>
      <c r="AF75" s="49"/>
      <c r="AG75" s="177">
        <f>+AG57-AG74</f>
        <v>0</v>
      </c>
      <c r="AH75" s="49"/>
      <c r="AI75" s="177">
        <f>+AI57-AI74</f>
        <v>0</v>
      </c>
      <c r="AJ75" s="49"/>
      <c r="AK75" s="177">
        <f>+AK57-AK74</f>
        <v>0</v>
      </c>
      <c r="AL75" s="49"/>
      <c r="AM75" s="177">
        <f>+AM57-AM74</f>
        <v>0</v>
      </c>
      <c r="AN75" s="49"/>
      <c r="AO75" s="177">
        <f>+AO57-AO74</f>
        <v>0</v>
      </c>
      <c r="AP75" s="49"/>
      <c r="AQ75" s="177">
        <f>+AQ57-AQ74</f>
        <v>0</v>
      </c>
      <c r="AR75" s="49"/>
      <c r="AS75" s="177">
        <f>+AS57-AS74</f>
        <v>0</v>
      </c>
      <c r="AT75" s="49"/>
      <c r="AU75" s="177">
        <f>+AU57-AU74</f>
        <v>0</v>
      </c>
      <c r="AV75" s="49"/>
      <c r="AW75" s="177">
        <f>+AW57-AW74</f>
        <v>0</v>
      </c>
      <c r="AX75" s="49"/>
      <c r="AY75" s="177">
        <f>+AY57-AY74</f>
        <v>0</v>
      </c>
      <c r="AZ75" s="49"/>
      <c r="BA75" s="177">
        <f>+BA57-BA74</f>
        <v>0</v>
      </c>
      <c r="BB75" s="49"/>
      <c r="BC75" s="177">
        <f>+BC57-BC74</f>
        <v>0</v>
      </c>
      <c r="BD75" s="49"/>
      <c r="BE75" s="177">
        <f>+BE57-BE74</f>
        <v>0</v>
      </c>
      <c r="BF75" s="49"/>
      <c r="BG75" s="177">
        <f>+BG57-BG74</f>
        <v>0</v>
      </c>
      <c r="BH75" s="49"/>
      <c r="BI75" s="177">
        <f>+BI57-BI74</f>
        <v>0</v>
      </c>
      <c r="BJ75" s="49"/>
      <c r="BK75" s="177">
        <f>+BK57-BK74</f>
        <v>0</v>
      </c>
      <c r="BL75" s="49"/>
      <c r="BM75" s="177">
        <f>+BM57-BM74</f>
        <v>0</v>
      </c>
      <c r="BN75" s="92"/>
      <c r="BO75" s="170">
        <f t="shared" si="95"/>
        <v>0</v>
      </c>
      <c r="BP75" s="49"/>
      <c r="BQ75" s="179">
        <f>IF(BM75="","",BM75)</f>
        <v>0</v>
      </c>
    </row>
    <row r="76" spans="1:69" ht="28.9" customHeight="1" x14ac:dyDescent="0.35">
      <c r="A76" s="74" t="s">
        <v>92</v>
      </c>
      <c r="B76" s="75"/>
      <c r="C76" s="141"/>
      <c r="D76" s="102"/>
      <c r="E76" s="142"/>
      <c r="F76" s="104"/>
      <c r="G76" s="142"/>
      <c r="H76" s="104"/>
      <c r="I76" s="142"/>
      <c r="J76" s="104"/>
      <c r="K76" s="142"/>
      <c r="L76" s="104"/>
      <c r="M76" s="142"/>
      <c r="N76" s="104"/>
      <c r="O76" s="142"/>
      <c r="P76" s="104"/>
      <c r="Q76" s="142"/>
      <c r="R76" s="104"/>
      <c r="S76" s="142"/>
      <c r="T76" s="104"/>
      <c r="U76" s="142"/>
      <c r="V76" s="104"/>
      <c r="W76" s="142"/>
      <c r="X76" s="104"/>
      <c r="Y76" s="142"/>
      <c r="Z76" s="104"/>
      <c r="AA76" s="142"/>
      <c r="AB76" s="104"/>
      <c r="AC76" s="142"/>
      <c r="AD76" s="104"/>
      <c r="AE76" s="142"/>
      <c r="AF76" s="104"/>
      <c r="AG76" s="142"/>
      <c r="AH76" s="104"/>
      <c r="AI76" s="142"/>
      <c r="AJ76" s="104"/>
      <c r="AK76" s="142"/>
      <c r="AL76" s="104"/>
      <c r="AM76" s="142"/>
      <c r="AN76" s="104"/>
      <c r="AO76" s="142"/>
      <c r="AP76" s="104"/>
      <c r="AQ76" s="142"/>
      <c r="AR76" s="104"/>
      <c r="AS76" s="142"/>
      <c r="AT76" s="104"/>
      <c r="AU76" s="142"/>
      <c r="AV76" s="104"/>
      <c r="AW76" s="142"/>
      <c r="AX76" s="104"/>
      <c r="AY76" s="142"/>
      <c r="AZ76" s="104"/>
      <c r="BA76" s="142"/>
      <c r="BB76" s="104"/>
      <c r="BC76" s="142"/>
      <c r="BD76" s="104"/>
      <c r="BE76" s="142"/>
      <c r="BF76" s="104"/>
      <c r="BG76" s="142"/>
      <c r="BH76" s="104"/>
      <c r="BI76" s="142"/>
      <c r="BJ76" s="104"/>
      <c r="BK76" s="142"/>
      <c r="BL76" s="104"/>
      <c r="BM76" s="142"/>
      <c r="BN76" s="105"/>
      <c r="BO76" s="106"/>
      <c r="BP76" s="104"/>
      <c r="BQ76" s="107"/>
    </row>
    <row r="77" spans="1:69" x14ac:dyDescent="0.35">
      <c r="A77" s="132" t="s">
        <v>75</v>
      </c>
      <c r="B77" s="54" t="s">
        <v>65</v>
      </c>
      <c r="C77" s="174" t="str">
        <f>IF('September 2026 Log'!BK77="","",'September 2026 Log'!BK77)</f>
        <v/>
      </c>
      <c r="D77" s="189" t="e">
        <f t="shared" ref="D77:D104" si="98">+E77-C77</f>
        <v>#VALUE!</v>
      </c>
      <c r="E77" s="86"/>
      <c r="F77" s="167">
        <f t="shared" ref="F77:F104" si="99">+G77-E77</f>
        <v>0</v>
      </c>
      <c r="G77" s="86"/>
      <c r="H77" s="167">
        <f t="shared" ref="H77:H104" si="100">+I77-G77</f>
        <v>0</v>
      </c>
      <c r="I77" s="86"/>
      <c r="J77" s="167">
        <f t="shared" ref="J77:J104" si="101">+K77-I77</f>
        <v>0</v>
      </c>
      <c r="K77" s="86"/>
      <c r="L77" s="167">
        <f t="shared" ref="L77:L89" si="102">+M77-K77</f>
        <v>0</v>
      </c>
      <c r="M77" s="86"/>
      <c r="N77" s="167">
        <f t="shared" ref="N77:N89" si="103">+O77-M77</f>
        <v>0</v>
      </c>
      <c r="O77" s="86"/>
      <c r="P77" s="167">
        <f t="shared" ref="P77:P89" si="104">+Q77-O77</f>
        <v>0</v>
      </c>
      <c r="Q77" s="86"/>
      <c r="R77" s="167">
        <f t="shared" ref="R77:R89" si="105">+S77-Q77</f>
        <v>0</v>
      </c>
      <c r="S77" s="86"/>
      <c r="T77" s="167">
        <f t="shared" ref="T77:T89" si="106">+U77-S77</f>
        <v>0</v>
      </c>
      <c r="U77" s="86"/>
      <c r="V77" s="167">
        <f t="shared" ref="V77:V89" si="107">+W77-U77</f>
        <v>0</v>
      </c>
      <c r="W77" s="86"/>
      <c r="X77" s="167">
        <f t="shared" ref="X77:X89" si="108">+Y77-W77</f>
        <v>0</v>
      </c>
      <c r="Y77" s="86"/>
      <c r="Z77" s="167">
        <f t="shared" ref="Z77:Z89" si="109">+AA77-Y77</f>
        <v>0</v>
      </c>
      <c r="AA77" s="86"/>
      <c r="AB77" s="167">
        <f t="shared" ref="AB77:AB89" si="110">+AC77-AA77</f>
        <v>0</v>
      </c>
      <c r="AC77" s="86"/>
      <c r="AD77" s="167">
        <f t="shared" ref="AD77:AD89" si="111">+AE77-AC77</f>
        <v>0</v>
      </c>
      <c r="AE77" s="86"/>
      <c r="AF77" s="167">
        <f t="shared" ref="AF77:AF89" si="112">+AG77-AE77</f>
        <v>0</v>
      </c>
      <c r="AG77" s="86"/>
      <c r="AH77" s="167">
        <f t="shared" ref="AH77:AH89" si="113">+AI77-AG77</f>
        <v>0</v>
      </c>
      <c r="AI77" s="86"/>
      <c r="AJ77" s="167">
        <f t="shared" ref="AJ77:AJ89" si="114">+AK77-AI77</f>
        <v>0</v>
      </c>
      <c r="AK77" s="86"/>
      <c r="AL77" s="167">
        <f t="shared" ref="AL77:AL89" si="115">+AM77-AK77</f>
        <v>0</v>
      </c>
      <c r="AM77" s="86"/>
      <c r="AN77" s="167">
        <f t="shared" ref="AN77:AN89" si="116">+AO77-AM77</f>
        <v>0</v>
      </c>
      <c r="AO77" s="86"/>
      <c r="AP77" s="167">
        <f t="shared" ref="AP77:AP89" si="117">+AQ77-AO77</f>
        <v>0</v>
      </c>
      <c r="AQ77" s="86"/>
      <c r="AR77" s="167">
        <f t="shared" ref="AR77:AR89" si="118">+AS77-AQ77</f>
        <v>0</v>
      </c>
      <c r="AS77" s="86"/>
      <c r="AT77" s="167">
        <f t="shared" ref="AT77:AT89" si="119">+AU77-AS77</f>
        <v>0</v>
      </c>
      <c r="AU77" s="86"/>
      <c r="AV77" s="167">
        <f t="shared" ref="AV77:AV89" si="120">+AW77-AU77</f>
        <v>0</v>
      </c>
      <c r="AW77" s="86"/>
      <c r="AX77" s="167">
        <f t="shared" ref="AX77:AX89" si="121">+AY77-AW77</f>
        <v>0</v>
      </c>
      <c r="AY77" s="86"/>
      <c r="AZ77" s="167">
        <f t="shared" ref="AZ77:AZ89" si="122">+BA77-AY77</f>
        <v>0</v>
      </c>
      <c r="BA77" s="86"/>
      <c r="BB77" s="167">
        <f t="shared" ref="BB77:BB89" si="123">+BC77-BA77</f>
        <v>0</v>
      </c>
      <c r="BC77" s="86"/>
      <c r="BD77" s="167">
        <f t="shared" ref="BD77:BD89" si="124">+BE77-BC77</f>
        <v>0</v>
      </c>
      <c r="BE77" s="86"/>
      <c r="BF77" s="167">
        <f t="shared" ref="BF77:BF89" si="125">+BG77-BE77</f>
        <v>0</v>
      </c>
      <c r="BG77" s="86"/>
      <c r="BH77" s="167">
        <f t="shared" ref="BH77:BH89" si="126">+BI77-BG77</f>
        <v>0</v>
      </c>
      <c r="BI77" s="86"/>
      <c r="BJ77" s="167">
        <f t="shared" ref="BJ77:BJ89" si="127">+BK77-BI77</f>
        <v>0</v>
      </c>
      <c r="BK77" s="86"/>
      <c r="BL77" s="167">
        <f t="shared" ref="BL77:BL89" si="128">+BM77-BK77</f>
        <v>0</v>
      </c>
      <c r="BM77" s="86"/>
      <c r="BN77" s="50"/>
      <c r="BO77" s="170" t="e">
        <f t="shared" ref="BO77:BO88" si="129">IF(COUNT(D77,F77,H77,J77,L77,N77,P77,R77,T77,V77,X77,Z77,AB77,AD77,AF77,AH77,AJ77,AL77,AN77,AP77,AR77,AT77,AV77,AX77,AZ77,BB77,BD77,BF77,BH77,BJ77,BL77)=0,"",SUM(D77,F77,H77,J77,L77,N77,P77,R77,T77,V77,X77,Z77,AB77,AD77,AF77,AH77,AJ77,AL77,AN77,AP77,AR77,AT77,AV77,AX77,AZ77,BB77,BD77,BF77,BH77,BJ77,BL77))</f>
        <v>#VALUE!</v>
      </c>
      <c r="BP77" s="193" t="e">
        <f>+BQ77-BM77</f>
        <v>#VALUE!</v>
      </c>
      <c r="BQ77" s="212" t="str">
        <f t="shared" ref="BQ77:BQ88" si="130">IF(BM77="","",BM77)</f>
        <v/>
      </c>
    </row>
    <row r="78" spans="1:69" x14ac:dyDescent="0.35">
      <c r="A78" s="136" t="s">
        <v>76</v>
      </c>
      <c r="B78" s="54" t="s">
        <v>66</v>
      </c>
      <c r="C78" s="174" t="str">
        <f>IF('September 2026 Log'!BK78="","",'September 2026 Log'!BK78)</f>
        <v/>
      </c>
      <c r="D78" s="189" t="e">
        <f t="shared" si="98"/>
        <v>#VALUE!</v>
      </c>
      <c r="E78" s="86"/>
      <c r="F78" s="167">
        <f t="shared" si="99"/>
        <v>0</v>
      </c>
      <c r="G78" s="86"/>
      <c r="H78" s="167">
        <f t="shared" si="100"/>
        <v>0</v>
      </c>
      <c r="I78" s="86"/>
      <c r="J78" s="167">
        <f t="shared" si="101"/>
        <v>0</v>
      </c>
      <c r="K78" s="86"/>
      <c r="L78" s="167">
        <f t="shared" si="102"/>
        <v>0</v>
      </c>
      <c r="M78" s="86"/>
      <c r="N78" s="167">
        <f t="shared" si="103"/>
        <v>0</v>
      </c>
      <c r="O78" s="86"/>
      <c r="P78" s="167">
        <f t="shared" si="104"/>
        <v>0</v>
      </c>
      <c r="Q78" s="86"/>
      <c r="R78" s="167">
        <f t="shared" si="105"/>
        <v>0</v>
      </c>
      <c r="S78" s="86"/>
      <c r="T78" s="167">
        <f t="shared" si="106"/>
        <v>0</v>
      </c>
      <c r="U78" s="86"/>
      <c r="V78" s="167">
        <f t="shared" si="107"/>
        <v>0</v>
      </c>
      <c r="W78" s="86"/>
      <c r="X78" s="167">
        <f t="shared" si="108"/>
        <v>0</v>
      </c>
      <c r="Y78" s="86"/>
      <c r="Z78" s="167">
        <f t="shared" si="109"/>
        <v>0</v>
      </c>
      <c r="AA78" s="86"/>
      <c r="AB78" s="167">
        <f t="shared" si="110"/>
        <v>0</v>
      </c>
      <c r="AC78" s="86"/>
      <c r="AD78" s="167">
        <f t="shared" si="111"/>
        <v>0</v>
      </c>
      <c r="AE78" s="86"/>
      <c r="AF78" s="167">
        <f t="shared" si="112"/>
        <v>0</v>
      </c>
      <c r="AG78" s="86"/>
      <c r="AH78" s="167">
        <f t="shared" si="113"/>
        <v>0</v>
      </c>
      <c r="AI78" s="86"/>
      <c r="AJ78" s="167">
        <f t="shared" si="114"/>
        <v>0</v>
      </c>
      <c r="AK78" s="86"/>
      <c r="AL78" s="167">
        <f t="shared" si="115"/>
        <v>0</v>
      </c>
      <c r="AM78" s="86"/>
      <c r="AN78" s="167">
        <f t="shared" si="116"/>
        <v>0</v>
      </c>
      <c r="AO78" s="86"/>
      <c r="AP78" s="167">
        <f t="shared" si="117"/>
        <v>0</v>
      </c>
      <c r="AQ78" s="86"/>
      <c r="AR78" s="167">
        <f t="shared" si="118"/>
        <v>0</v>
      </c>
      <c r="AS78" s="86"/>
      <c r="AT78" s="167">
        <f t="shared" si="119"/>
        <v>0</v>
      </c>
      <c r="AU78" s="86"/>
      <c r="AV78" s="167">
        <f t="shared" si="120"/>
        <v>0</v>
      </c>
      <c r="AW78" s="86"/>
      <c r="AX78" s="167">
        <f t="shared" si="121"/>
        <v>0</v>
      </c>
      <c r="AY78" s="86"/>
      <c r="AZ78" s="167">
        <f t="shared" si="122"/>
        <v>0</v>
      </c>
      <c r="BA78" s="86"/>
      <c r="BB78" s="167">
        <f t="shared" si="123"/>
        <v>0</v>
      </c>
      <c r="BC78" s="86"/>
      <c r="BD78" s="167">
        <f t="shared" si="124"/>
        <v>0</v>
      </c>
      <c r="BE78" s="86"/>
      <c r="BF78" s="167">
        <f t="shared" si="125"/>
        <v>0</v>
      </c>
      <c r="BG78" s="86"/>
      <c r="BH78" s="167">
        <f t="shared" si="126"/>
        <v>0</v>
      </c>
      <c r="BI78" s="86"/>
      <c r="BJ78" s="167">
        <f t="shared" si="127"/>
        <v>0</v>
      </c>
      <c r="BK78" s="86"/>
      <c r="BL78" s="167">
        <f t="shared" si="128"/>
        <v>0</v>
      </c>
      <c r="BM78" s="86"/>
      <c r="BN78" s="50"/>
      <c r="BO78" s="170" t="e">
        <f t="shared" si="129"/>
        <v>#VALUE!</v>
      </c>
      <c r="BP78" s="167" t="e">
        <f t="shared" ref="BP78:BP89" si="131">+BQ78-BM78</f>
        <v>#VALUE!</v>
      </c>
      <c r="BQ78" s="178" t="str">
        <f t="shared" si="130"/>
        <v/>
      </c>
    </row>
    <row r="79" spans="1:69" x14ac:dyDescent="0.35">
      <c r="A79" s="134" t="s">
        <v>77</v>
      </c>
      <c r="B79" s="54" t="s">
        <v>67</v>
      </c>
      <c r="C79" s="174" t="str">
        <f>IF('September 2026 Log'!BK79="","",'September 2026 Log'!BK79)</f>
        <v/>
      </c>
      <c r="D79" s="189" t="e">
        <f t="shared" si="98"/>
        <v>#VALUE!</v>
      </c>
      <c r="E79" s="86"/>
      <c r="F79" s="167">
        <f t="shared" si="99"/>
        <v>0</v>
      </c>
      <c r="G79" s="86"/>
      <c r="H79" s="167">
        <f t="shared" si="100"/>
        <v>0</v>
      </c>
      <c r="I79" s="86"/>
      <c r="J79" s="167">
        <f t="shared" si="101"/>
        <v>0</v>
      </c>
      <c r="K79" s="86"/>
      <c r="L79" s="167">
        <f t="shared" si="102"/>
        <v>0</v>
      </c>
      <c r="M79" s="86"/>
      <c r="N79" s="167">
        <f t="shared" si="103"/>
        <v>0</v>
      </c>
      <c r="O79" s="86"/>
      <c r="P79" s="167">
        <f t="shared" si="104"/>
        <v>0</v>
      </c>
      <c r="Q79" s="86"/>
      <c r="R79" s="167">
        <f t="shared" si="105"/>
        <v>0</v>
      </c>
      <c r="S79" s="86"/>
      <c r="T79" s="167">
        <f t="shared" si="106"/>
        <v>0</v>
      </c>
      <c r="U79" s="86"/>
      <c r="V79" s="167">
        <f t="shared" si="107"/>
        <v>0</v>
      </c>
      <c r="W79" s="86"/>
      <c r="X79" s="167">
        <f t="shared" si="108"/>
        <v>0</v>
      </c>
      <c r="Y79" s="86"/>
      <c r="Z79" s="167">
        <f t="shared" si="109"/>
        <v>0</v>
      </c>
      <c r="AA79" s="86"/>
      <c r="AB79" s="167">
        <f t="shared" si="110"/>
        <v>0</v>
      </c>
      <c r="AC79" s="86"/>
      <c r="AD79" s="167">
        <f t="shared" si="111"/>
        <v>0</v>
      </c>
      <c r="AE79" s="86"/>
      <c r="AF79" s="167">
        <f t="shared" si="112"/>
        <v>0</v>
      </c>
      <c r="AG79" s="86"/>
      <c r="AH79" s="167">
        <f t="shared" si="113"/>
        <v>0</v>
      </c>
      <c r="AI79" s="86"/>
      <c r="AJ79" s="167">
        <f t="shared" si="114"/>
        <v>0</v>
      </c>
      <c r="AK79" s="86"/>
      <c r="AL79" s="167">
        <f t="shared" si="115"/>
        <v>0</v>
      </c>
      <c r="AM79" s="86"/>
      <c r="AN79" s="167">
        <f t="shared" si="116"/>
        <v>0</v>
      </c>
      <c r="AO79" s="86"/>
      <c r="AP79" s="167">
        <f t="shared" si="117"/>
        <v>0</v>
      </c>
      <c r="AQ79" s="86"/>
      <c r="AR79" s="167">
        <f t="shared" si="118"/>
        <v>0</v>
      </c>
      <c r="AS79" s="86"/>
      <c r="AT79" s="167">
        <f t="shared" si="119"/>
        <v>0</v>
      </c>
      <c r="AU79" s="86"/>
      <c r="AV79" s="167">
        <f t="shared" si="120"/>
        <v>0</v>
      </c>
      <c r="AW79" s="86"/>
      <c r="AX79" s="167">
        <f t="shared" si="121"/>
        <v>0</v>
      </c>
      <c r="AY79" s="86"/>
      <c r="AZ79" s="167">
        <f t="shared" si="122"/>
        <v>0</v>
      </c>
      <c r="BA79" s="86"/>
      <c r="BB79" s="167">
        <f t="shared" si="123"/>
        <v>0</v>
      </c>
      <c r="BC79" s="86"/>
      <c r="BD79" s="167">
        <f t="shared" si="124"/>
        <v>0</v>
      </c>
      <c r="BE79" s="86"/>
      <c r="BF79" s="167">
        <f t="shared" si="125"/>
        <v>0</v>
      </c>
      <c r="BG79" s="86"/>
      <c r="BH79" s="167">
        <f t="shared" si="126"/>
        <v>0</v>
      </c>
      <c r="BI79" s="86"/>
      <c r="BJ79" s="167">
        <f t="shared" si="127"/>
        <v>0</v>
      </c>
      <c r="BK79" s="86"/>
      <c r="BL79" s="167">
        <f t="shared" si="128"/>
        <v>0</v>
      </c>
      <c r="BM79" s="86"/>
      <c r="BN79" s="50"/>
      <c r="BO79" s="170" t="e">
        <f t="shared" si="129"/>
        <v>#VALUE!</v>
      </c>
      <c r="BP79" s="167" t="e">
        <f t="shared" si="131"/>
        <v>#VALUE!</v>
      </c>
      <c r="BQ79" s="178" t="str">
        <f t="shared" si="130"/>
        <v/>
      </c>
    </row>
    <row r="80" spans="1:69" x14ac:dyDescent="0.35">
      <c r="A80" s="132" t="s">
        <v>78</v>
      </c>
      <c r="B80" s="54" t="s">
        <v>65</v>
      </c>
      <c r="C80" s="174" t="str">
        <f>IF('September 2026 Log'!BK80="","",'September 2026 Log'!BK80)</f>
        <v/>
      </c>
      <c r="D80" s="189" t="e">
        <f t="shared" si="98"/>
        <v>#VALUE!</v>
      </c>
      <c r="E80" s="86"/>
      <c r="F80" s="167">
        <f t="shared" si="99"/>
        <v>0</v>
      </c>
      <c r="G80" s="86"/>
      <c r="H80" s="167">
        <f t="shared" si="100"/>
        <v>0</v>
      </c>
      <c r="I80" s="86"/>
      <c r="J80" s="167">
        <f t="shared" si="101"/>
        <v>0</v>
      </c>
      <c r="K80" s="86"/>
      <c r="L80" s="167">
        <f t="shared" si="102"/>
        <v>0</v>
      </c>
      <c r="M80" s="86"/>
      <c r="N80" s="167">
        <f t="shared" si="103"/>
        <v>0</v>
      </c>
      <c r="O80" s="86"/>
      <c r="P80" s="167">
        <f t="shared" si="104"/>
        <v>0</v>
      </c>
      <c r="Q80" s="86"/>
      <c r="R80" s="167">
        <f t="shared" si="105"/>
        <v>0</v>
      </c>
      <c r="S80" s="86"/>
      <c r="T80" s="167">
        <f t="shared" si="106"/>
        <v>0</v>
      </c>
      <c r="U80" s="86"/>
      <c r="V80" s="167">
        <f t="shared" si="107"/>
        <v>0</v>
      </c>
      <c r="W80" s="86"/>
      <c r="X80" s="167">
        <f t="shared" si="108"/>
        <v>0</v>
      </c>
      <c r="Y80" s="86"/>
      <c r="Z80" s="167">
        <f t="shared" si="109"/>
        <v>0</v>
      </c>
      <c r="AA80" s="86"/>
      <c r="AB80" s="167">
        <f t="shared" si="110"/>
        <v>0</v>
      </c>
      <c r="AC80" s="86"/>
      <c r="AD80" s="167">
        <f t="shared" si="111"/>
        <v>0</v>
      </c>
      <c r="AE80" s="86"/>
      <c r="AF80" s="167">
        <f t="shared" si="112"/>
        <v>0</v>
      </c>
      <c r="AG80" s="86"/>
      <c r="AH80" s="167">
        <f t="shared" si="113"/>
        <v>0</v>
      </c>
      <c r="AI80" s="86"/>
      <c r="AJ80" s="167">
        <f t="shared" si="114"/>
        <v>0</v>
      </c>
      <c r="AK80" s="86"/>
      <c r="AL80" s="167">
        <f t="shared" si="115"/>
        <v>0</v>
      </c>
      <c r="AM80" s="86"/>
      <c r="AN80" s="167">
        <f t="shared" si="116"/>
        <v>0</v>
      </c>
      <c r="AO80" s="86"/>
      <c r="AP80" s="167">
        <f t="shared" si="117"/>
        <v>0</v>
      </c>
      <c r="AQ80" s="86"/>
      <c r="AR80" s="167">
        <f t="shared" si="118"/>
        <v>0</v>
      </c>
      <c r="AS80" s="86"/>
      <c r="AT80" s="167">
        <f t="shared" si="119"/>
        <v>0</v>
      </c>
      <c r="AU80" s="86"/>
      <c r="AV80" s="167">
        <f t="shared" si="120"/>
        <v>0</v>
      </c>
      <c r="AW80" s="86"/>
      <c r="AX80" s="167">
        <f t="shared" si="121"/>
        <v>0</v>
      </c>
      <c r="AY80" s="86"/>
      <c r="AZ80" s="167">
        <f t="shared" si="122"/>
        <v>0</v>
      </c>
      <c r="BA80" s="86"/>
      <c r="BB80" s="167">
        <f t="shared" si="123"/>
        <v>0</v>
      </c>
      <c r="BC80" s="86"/>
      <c r="BD80" s="167">
        <f t="shared" si="124"/>
        <v>0</v>
      </c>
      <c r="BE80" s="86"/>
      <c r="BF80" s="167">
        <f t="shared" si="125"/>
        <v>0</v>
      </c>
      <c r="BG80" s="86"/>
      <c r="BH80" s="167">
        <f t="shared" si="126"/>
        <v>0</v>
      </c>
      <c r="BI80" s="86"/>
      <c r="BJ80" s="167">
        <f t="shared" si="127"/>
        <v>0</v>
      </c>
      <c r="BK80" s="86"/>
      <c r="BL80" s="167">
        <f t="shared" si="128"/>
        <v>0</v>
      </c>
      <c r="BM80" s="86"/>
      <c r="BN80" s="50"/>
      <c r="BO80" s="170" t="e">
        <f t="shared" si="129"/>
        <v>#VALUE!</v>
      </c>
      <c r="BP80" s="167" t="e">
        <f t="shared" si="131"/>
        <v>#VALUE!</v>
      </c>
      <c r="BQ80" s="178" t="str">
        <f t="shared" si="130"/>
        <v/>
      </c>
    </row>
    <row r="81" spans="1:69" x14ac:dyDescent="0.35">
      <c r="A81" s="136" t="s">
        <v>79</v>
      </c>
      <c r="B81" s="54" t="s">
        <v>66</v>
      </c>
      <c r="C81" s="174" t="str">
        <f>IF('September 2026 Log'!BK81="","",'September 2026 Log'!BK81)</f>
        <v/>
      </c>
      <c r="D81" s="189" t="e">
        <f t="shared" si="98"/>
        <v>#VALUE!</v>
      </c>
      <c r="E81" s="86"/>
      <c r="F81" s="167">
        <f t="shared" si="99"/>
        <v>0</v>
      </c>
      <c r="G81" s="86"/>
      <c r="H81" s="167">
        <f t="shared" si="100"/>
        <v>0</v>
      </c>
      <c r="I81" s="86"/>
      <c r="J81" s="167">
        <f t="shared" si="101"/>
        <v>0</v>
      </c>
      <c r="K81" s="86"/>
      <c r="L81" s="167">
        <f t="shared" si="102"/>
        <v>0</v>
      </c>
      <c r="M81" s="86"/>
      <c r="N81" s="167">
        <f t="shared" si="103"/>
        <v>0</v>
      </c>
      <c r="O81" s="86"/>
      <c r="P81" s="167">
        <f t="shared" si="104"/>
        <v>0</v>
      </c>
      <c r="Q81" s="86"/>
      <c r="R81" s="167">
        <f t="shared" si="105"/>
        <v>0</v>
      </c>
      <c r="S81" s="86"/>
      <c r="T81" s="167">
        <f t="shared" si="106"/>
        <v>0</v>
      </c>
      <c r="U81" s="86"/>
      <c r="V81" s="167">
        <f t="shared" si="107"/>
        <v>0</v>
      </c>
      <c r="W81" s="86"/>
      <c r="X81" s="167">
        <f t="shared" si="108"/>
        <v>0</v>
      </c>
      <c r="Y81" s="86"/>
      <c r="Z81" s="167">
        <f t="shared" si="109"/>
        <v>0</v>
      </c>
      <c r="AA81" s="86"/>
      <c r="AB81" s="167">
        <f t="shared" si="110"/>
        <v>0</v>
      </c>
      <c r="AC81" s="86"/>
      <c r="AD81" s="167">
        <f t="shared" si="111"/>
        <v>0</v>
      </c>
      <c r="AE81" s="86"/>
      <c r="AF81" s="167">
        <f t="shared" si="112"/>
        <v>0</v>
      </c>
      <c r="AG81" s="86"/>
      <c r="AH81" s="167">
        <f t="shared" si="113"/>
        <v>0</v>
      </c>
      <c r="AI81" s="86"/>
      <c r="AJ81" s="167">
        <f t="shared" si="114"/>
        <v>0</v>
      </c>
      <c r="AK81" s="86"/>
      <c r="AL81" s="167">
        <f t="shared" si="115"/>
        <v>0</v>
      </c>
      <c r="AM81" s="86"/>
      <c r="AN81" s="167">
        <f t="shared" si="116"/>
        <v>0</v>
      </c>
      <c r="AO81" s="86"/>
      <c r="AP81" s="167">
        <f t="shared" si="117"/>
        <v>0</v>
      </c>
      <c r="AQ81" s="86"/>
      <c r="AR81" s="167">
        <f t="shared" si="118"/>
        <v>0</v>
      </c>
      <c r="AS81" s="86"/>
      <c r="AT81" s="167">
        <f t="shared" si="119"/>
        <v>0</v>
      </c>
      <c r="AU81" s="86"/>
      <c r="AV81" s="167">
        <f t="shared" si="120"/>
        <v>0</v>
      </c>
      <c r="AW81" s="86"/>
      <c r="AX81" s="167">
        <f t="shared" si="121"/>
        <v>0</v>
      </c>
      <c r="AY81" s="86"/>
      <c r="AZ81" s="167">
        <f t="shared" si="122"/>
        <v>0</v>
      </c>
      <c r="BA81" s="86"/>
      <c r="BB81" s="167">
        <f t="shared" si="123"/>
        <v>0</v>
      </c>
      <c r="BC81" s="86"/>
      <c r="BD81" s="167">
        <f t="shared" si="124"/>
        <v>0</v>
      </c>
      <c r="BE81" s="86"/>
      <c r="BF81" s="167">
        <f t="shared" si="125"/>
        <v>0</v>
      </c>
      <c r="BG81" s="86"/>
      <c r="BH81" s="167">
        <f t="shared" si="126"/>
        <v>0</v>
      </c>
      <c r="BI81" s="86"/>
      <c r="BJ81" s="167">
        <f t="shared" si="127"/>
        <v>0</v>
      </c>
      <c r="BK81" s="86"/>
      <c r="BL81" s="167">
        <f t="shared" si="128"/>
        <v>0</v>
      </c>
      <c r="BM81" s="86"/>
      <c r="BN81" s="50"/>
      <c r="BO81" s="170" t="e">
        <f t="shared" si="129"/>
        <v>#VALUE!</v>
      </c>
      <c r="BP81" s="167" t="e">
        <f t="shared" si="131"/>
        <v>#VALUE!</v>
      </c>
      <c r="BQ81" s="178" t="str">
        <f t="shared" si="130"/>
        <v/>
      </c>
    </row>
    <row r="82" spans="1:69" x14ac:dyDescent="0.35">
      <c r="A82" s="134" t="s">
        <v>80</v>
      </c>
      <c r="B82" s="54" t="s">
        <v>67</v>
      </c>
      <c r="C82" s="174" t="str">
        <f>IF('September 2026 Log'!BK82="","",'September 2026 Log'!BK82)</f>
        <v/>
      </c>
      <c r="D82" s="189" t="e">
        <f t="shared" si="98"/>
        <v>#VALUE!</v>
      </c>
      <c r="E82" s="86"/>
      <c r="F82" s="167">
        <f t="shared" si="99"/>
        <v>0</v>
      </c>
      <c r="G82" s="86"/>
      <c r="H82" s="167">
        <f t="shared" si="100"/>
        <v>0</v>
      </c>
      <c r="I82" s="86"/>
      <c r="J82" s="167">
        <f t="shared" si="101"/>
        <v>0</v>
      </c>
      <c r="K82" s="86"/>
      <c r="L82" s="167">
        <f t="shared" si="102"/>
        <v>0</v>
      </c>
      <c r="M82" s="86"/>
      <c r="N82" s="167">
        <f t="shared" si="103"/>
        <v>0</v>
      </c>
      <c r="O82" s="86"/>
      <c r="P82" s="167">
        <f t="shared" si="104"/>
        <v>0</v>
      </c>
      <c r="Q82" s="86"/>
      <c r="R82" s="167">
        <f t="shared" si="105"/>
        <v>0</v>
      </c>
      <c r="S82" s="86"/>
      <c r="T82" s="167">
        <f t="shared" si="106"/>
        <v>0</v>
      </c>
      <c r="U82" s="86"/>
      <c r="V82" s="167">
        <f t="shared" si="107"/>
        <v>0</v>
      </c>
      <c r="W82" s="86"/>
      <c r="X82" s="167">
        <f t="shared" si="108"/>
        <v>0</v>
      </c>
      <c r="Y82" s="86"/>
      <c r="Z82" s="167">
        <f t="shared" si="109"/>
        <v>0</v>
      </c>
      <c r="AA82" s="86"/>
      <c r="AB82" s="167">
        <f t="shared" si="110"/>
        <v>0</v>
      </c>
      <c r="AC82" s="86"/>
      <c r="AD82" s="167">
        <f t="shared" si="111"/>
        <v>0</v>
      </c>
      <c r="AE82" s="86"/>
      <c r="AF82" s="167">
        <f t="shared" si="112"/>
        <v>0</v>
      </c>
      <c r="AG82" s="86"/>
      <c r="AH82" s="167">
        <f t="shared" si="113"/>
        <v>0</v>
      </c>
      <c r="AI82" s="86"/>
      <c r="AJ82" s="167">
        <f t="shared" si="114"/>
        <v>0</v>
      </c>
      <c r="AK82" s="86"/>
      <c r="AL82" s="167">
        <f t="shared" si="115"/>
        <v>0</v>
      </c>
      <c r="AM82" s="86"/>
      <c r="AN82" s="167">
        <f t="shared" si="116"/>
        <v>0</v>
      </c>
      <c r="AO82" s="86"/>
      <c r="AP82" s="167">
        <f t="shared" si="117"/>
        <v>0</v>
      </c>
      <c r="AQ82" s="86"/>
      <c r="AR82" s="167">
        <f t="shared" si="118"/>
        <v>0</v>
      </c>
      <c r="AS82" s="86"/>
      <c r="AT82" s="167">
        <f t="shared" si="119"/>
        <v>0</v>
      </c>
      <c r="AU82" s="86"/>
      <c r="AV82" s="167">
        <f t="shared" si="120"/>
        <v>0</v>
      </c>
      <c r="AW82" s="86"/>
      <c r="AX82" s="167">
        <f t="shared" si="121"/>
        <v>0</v>
      </c>
      <c r="AY82" s="86"/>
      <c r="AZ82" s="167">
        <f t="shared" si="122"/>
        <v>0</v>
      </c>
      <c r="BA82" s="86"/>
      <c r="BB82" s="167">
        <f t="shared" si="123"/>
        <v>0</v>
      </c>
      <c r="BC82" s="86"/>
      <c r="BD82" s="167">
        <f t="shared" si="124"/>
        <v>0</v>
      </c>
      <c r="BE82" s="86"/>
      <c r="BF82" s="167">
        <f t="shared" si="125"/>
        <v>0</v>
      </c>
      <c r="BG82" s="86"/>
      <c r="BH82" s="167">
        <f t="shared" si="126"/>
        <v>0</v>
      </c>
      <c r="BI82" s="86"/>
      <c r="BJ82" s="167">
        <f t="shared" si="127"/>
        <v>0</v>
      </c>
      <c r="BK82" s="86"/>
      <c r="BL82" s="167">
        <f t="shared" si="128"/>
        <v>0</v>
      </c>
      <c r="BM82" s="86"/>
      <c r="BN82" s="50"/>
      <c r="BO82" s="170" t="e">
        <f t="shared" si="129"/>
        <v>#VALUE!</v>
      </c>
      <c r="BP82" s="167" t="e">
        <f t="shared" si="131"/>
        <v>#VALUE!</v>
      </c>
      <c r="BQ82" s="178" t="str">
        <f t="shared" si="130"/>
        <v/>
      </c>
    </row>
    <row r="83" spans="1:69" x14ac:dyDescent="0.35">
      <c r="A83" s="135" t="s">
        <v>81</v>
      </c>
      <c r="B83" s="54" t="s">
        <v>67</v>
      </c>
      <c r="C83" s="174" t="str">
        <f>IF('September 2026 Log'!BK83="","",'September 2026 Log'!BK83)</f>
        <v/>
      </c>
      <c r="D83" s="189" t="e">
        <f t="shared" si="98"/>
        <v>#VALUE!</v>
      </c>
      <c r="E83" s="86"/>
      <c r="F83" s="167">
        <f t="shared" si="99"/>
        <v>0</v>
      </c>
      <c r="G83" s="86"/>
      <c r="H83" s="167">
        <f t="shared" si="100"/>
        <v>0</v>
      </c>
      <c r="I83" s="86"/>
      <c r="J83" s="167">
        <f t="shared" si="101"/>
        <v>0</v>
      </c>
      <c r="K83" s="86"/>
      <c r="L83" s="167">
        <f t="shared" si="102"/>
        <v>0</v>
      </c>
      <c r="M83" s="86"/>
      <c r="N83" s="167">
        <f t="shared" si="103"/>
        <v>0</v>
      </c>
      <c r="O83" s="86"/>
      <c r="P83" s="167">
        <f t="shared" si="104"/>
        <v>0</v>
      </c>
      <c r="Q83" s="86"/>
      <c r="R83" s="167">
        <f t="shared" si="105"/>
        <v>0</v>
      </c>
      <c r="S83" s="86"/>
      <c r="T83" s="167">
        <f t="shared" si="106"/>
        <v>0</v>
      </c>
      <c r="U83" s="86"/>
      <c r="V83" s="167">
        <f t="shared" si="107"/>
        <v>0</v>
      </c>
      <c r="W83" s="86"/>
      <c r="X83" s="167">
        <f t="shared" si="108"/>
        <v>0</v>
      </c>
      <c r="Y83" s="86"/>
      <c r="Z83" s="167">
        <f t="shared" si="109"/>
        <v>0</v>
      </c>
      <c r="AA83" s="86"/>
      <c r="AB83" s="167">
        <f t="shared" si="110"/>
        <v>0</v>
      </c>
      <c r="AC83" s="86"/>
      <c r="AD83" s="167">
        <f t="shared" si="111"/>
        <v>0</v>
      </c>
      <c r="AE83" s="86"/>
      <c r="AF83" s="167">
        <f t="shared" si="112"/>
        <v>0</v>
      </c>
      <c r="AG83" s="86"/>
      <c r="AH83" s="167">
        <f t="shared" si="113"/>
        <v>0</v>
      </c>
      <c r="AI83" s="86"/>
      <c r="AJ83" s="167">
        <f t="shared" si="114"/>
        <v>0</v>
      </c>
      <c r="AK83" s="86"/>
      <c r="AL83" s="167">
        <f t="shared" si="115"/>
        <v>0</v>
      </c>
      <c r="AM83" s="86"/>
      <c r="AN83" s="167">
        <f t="shared" si="116"/>
        <v>0</v>
      </c>
      <c r="AO83" s="86"/>
      <c r="AP83" s="167">
        <f t="shared" si="117"/>
        <v>0</v>
      </c>
      <c r="AQ83" s="86"/>
      <c r="AR83" s="167">
        <f t="shared" si="118"/>
        <v>0</v>
      </c>
      <c r="AS83" s="86"/>
      <c r="AT83" s="167">
        <f t="shared" si="119"/>
        <v>0</v>
      </c>
      <c r="AU83" s="86"/>
      <c r="AV83" s="167">
        <f t="shared" si="120"/>
        <v>0</v>
      </c>
      <c r="AW83" s="86"/>
      <c r="AX83" s="167">
        <f t="shared" si="121"/>
        <v>0</v>
      </c>
      <c r="AY83" s="86"/>
      <c r="AZ83" s="167">
        <f t="shared" si="122"/>
        <v>0</v>
      </c>
      <c r="BA83" s="86"/>
      <c r="BB83" s="167">
        <f t="shared" si="123"/>
        <v>0</v>
      </c>
      <c r="BC83" s="86"/>
      <c r="BD83" s="167">
        <f t="shared" si="124"/>
        <v>0</v>
      </c>
      <c r="BE83" s="86"/>
      <c r="BF83" s="167">
        <f t="shared" si="125"/>
        <v>0</v>
      </c>
      <c r="BG83" s="86"/>
      <c r="BH83" s="167">
        <f t="shared" si="126"/>
        <v>0</v>
      </c>
      <c r="BI83" s="86"/>
      <c r="BJ83" s="167">
        <f t="shared" si="127"/>
        <v>0</v>
      </c>
      <c r="BK83" s="86"/>
      <c r="BL83" s="167">
        <f t="shared" si="128"/>
        <v>0</v>
      </c>
      <c r="BM83" s="86"/>
      <c r="BN83" s="50"/>
      <c r="BO83" s="170" t="e">
        <f t="shared" si="129"/>
        <v>#VALUE!</v>
      </c>
      <c r="BP83" s="167" t="e">
        <f t="shared" si="131"/>
        <v>#VALUE!</v>
      </c>
      <c r="BQ83" s="178" t="str">
        <f t="shared" si="130"/>
        <v/>
      </c>
    </row>
    <row r="84" spans="1:69" x14ac:dyDescent="0.35">
      <c r="A84" s="136" t="s">
        <v>82</v>
      </c>
      <c r="B84" s="54" t="s">
        <v>66</v>
      </c>
      <c r="C84" s="174" t="str">
        <f>IF('September 2026 Log'!BK84="","",'September 2026 Log'!BK84)</f>
        <v/>
      </c>
      <c r="D84" s="189" t="e">
        <f t="shared" si="98"/>
        <v>#VALUE!</v>
      </c>
      <c r="E84" s="86"/>
      <c r="F84" s="167">
        <f t="shared" si="99"/>
        <v>0</v>
      </c>
      <c r="G84" s="86"/>
      <c r="H84" s="167">
        <f t="shared" si="100"/>
        <v>0</v>
      </c>
      <c r="I84" s="86"/>
      <c r="J84" s="167">
        <f t="shared" si="101"/>
        <v>0</v>
      </c>
      <c r="K84" s="86"/>
      <c r="L84" s="167">
        <f t="shared" si="102"/>
        <v>0</v>
      </c>
      <c r="M84" s="86"/>
      <c r="N84" s="167">
        <f t="shared" si="103"/>
        <v>0</v>
      </c>
      <c r="O84" s="86"/>
      <c r="P84" s="167">
        <f t="shared" si="104"/>
        <v>0</v>
      </c>
      <c r="Q84" s="86"/>
      <c r="R84" s="167">
        <f t="shared" si="105"/>
        <v>0</v>
      </c>
      <c r="S84" s="86"/>
      <c r="T84" s="167">
        <f t="shared" si="106"/>
        <v>0</v>
      </c>
      <c r="U84" s="86"/>
      <c r="V84" s="167">
        <f t="shared" si="107"/>
        <v>0</v>
      </c>
      <c r="W84" s="86"/>
      <c r="X84" s="167">
        <f t="shared" si="108"/>
        <v>0</v>
      </c>
      <c r="Y84" s="86"/>
      <c r="Z84" s="167">
        <f t="shared" si="109"/>
        <v>0</v>
      </c>
      <c r="AA84" s="86"/>
      <c r="AB84" s="167">
        <f t="shared" si="110"/>
        <v>0</v>
      </c>
      <c r="AC84" s="86"/>
      <c r="AD84" s="167">
        <f t="shared" si="111"/>
        <v>0</v>
      </c>
      <c r="AE84" s="86"/>
      <c r="AF84" s="167">
        <f t="shared" si="112"/>
        <v>0</v>
      </c>
      <c r="AG84" s="86"/>
      <c r="AH84" s="167">
        <f t="shared" si="113"/>
        <v>0</v>
      </c>
      <c r="AI84" s="86"/>
      <c r="AJ84" s="167">
        <f t="shared" si="114"/>
        <v>0</v>
      </c>
      <c r="AK84" s="86"/>
      <c r="AL84" s="167">
        <f t="shared" si="115"/>
        <v>0</v>
      </c>
      <c r="AM84" s="86"/>
      <c r="AN84" s="167">
        <f t="shared" si="116"/>
        <v>0</v>
      </c>
      <c r="AO84" s="86"/>
      <c r="AP84" s="167">
        <f t="shared" si="117"/>
        <v>0</v>
      </c>
      <c r="AQ84" s="86"/>
      <c r="AR84" s="167">
        <f t="shared" si="118"/>
        <v>0</v>
      </c>
      <c r="AS84" s="86"/>
      <c r="AT84" s="167">
        <f t="shared" si="119"/>
        <v>0</v>
      </c>
      <c r="AU84" s="86"/>
      <c r="AV84" s="167">
        <f t="shared" si="120"/>
        <v>0</v>
      </c>
      <c r="AW84" s="86"/>
      <c r="AX84" s="167">
        <f t="shared" si="121"/>
        <v>0</v>
      </c>
      <c r="AY84" s="86"/>
      <c r="AZ84" s="167">
        <f t="shared" si="122"/>
        <v>0</v>
      </c>
      <c r="BA84" s="86"/>
      <c r="BB84" s="167">
        <f t="shared" si="123"/>
        <v>0</v>
      </c>
      <c r="BC84" s="86"/>
      <c r="BD84" s="167">
        <f t="shared" si="124"/>
        <v>0</v>
      </c>
      <c r="BE84" s="86"/>
      <c r="BF84" s="167">
        <f t="shared" si="125"/>
        <v>0</v>
      </c>
      <c r="BG84" s="86"/>
      <c r="BH84" s="167">
        <f t="shared" si="126"/>
        <v>0</v>
      </c>
      <c r="BI84" s="86"/>
      <c r="BJ84" s="167">
        <f t="shared" si="127"/>
        <v>0</v>
      </c>
      <c r="BK84" s="86"/>
      <c r="BL84" s="167">
        <f t="shared" si="128"/>
        <v>0</v>
      </c>
      <c r="BM84" s="86"/>
      <c r="BN84" s="50"/>
      <c r="BO84" s="170" t="e">
        <f t="shared" si="129"/>
        <v>#VALUE!</v>
      </c>
      <c r="BP84" s="167" t="e">
        <f t="shared" si="131"/>
        <v>#VALUE!</v>
      </c>
      <c r="BQ84" s="178" t="str">
        <f t="shared" si="130"/>
        <v/>
      </c>
    </row>
    <row r="85" spans="1:69" x14ac:dyDescent="0.35">
      <c r="A85" s="44" t="s">
        <v>83</v>
      </c>
      <c r="B85" s="54" t="s">
        <v>65</v>
      </c>
      <c r="C85" s="174" t="str">
        <f>IF('September 2026 Log'!BK85="","",'September 2026 Log'!BK85)</f>
        <v/>
      </c>
      <c r="D85" s="189" t="e">
        <f t="shared" si="98"/>
        <v>#VALUE!</v>
      </c>
      <c r="E85" s="86"/>
      <c r="F85" s="167">
        <f t="shared" si="99"/>
        <v>0</v>
      </c>
      <c r="G85" s="86"/>
      <c r="H85" s="167">
        <f t="shared" si="100"/>
        <v>0</v>
      </c>
      <c r="I85" s="86"/>
      <c r="J85" s="167">
        <f t="shared" si="101"/>
        <v>0</v>
      </c>
      <c r="K85" s="86"/>
      <c r="L85" s="167">
        <f t="shared" si="102"/>
        <v>0</v>
      </c>
      <c r="M85" s="86"/>
      <c r="N85" s="167">
        <f t="shared" si="103"/>
        <v>0</v>
      </c>
      <c r="O85" s="86"/>
      <c r="P85" s="167">
        <f t="shared" si="104"/>
        <v>0</v>
      </c>
      <c r="Q85" s="86"/>
      <c r="R85" s="167">
        <f t="shared" si="105"/>
        <v>0</v>
      </c>
      <c r="S85" s="86"/>
      <c r="T85" s="167">
        <f t="shared" si="106"/>
        <v>0</v>
      </c>
      <c r="U85" s="86"/>
      <c r="V85" s="167">
        <f t="shared" si="107"/>
        <v>0</v>
      </c>
      <c r="W85" s="86"/>
      <c r="X85" s="167">
        <f t="shared" si="108"/>
        <v>0</v>
      </c>
      <c r="Y85" s="86"/>
      <c r="Z85" s="167">
        <f t="shared" si="109"/>
        <v>0</v>
      </c>
      <c r="AA85" s="86"/>
      <c r="AB85" s="167">
        <f t="shared" si="110"/>
        <v>0</v>
      </c>
      <c r="AC85" s="86"/>
      <c r="AD85" s="167">
        <f t="shared" si="111"/>
        <v>0</v>
      </c>
      <c r="AE85" s="86"/>
      <c r="AF85" s="167">
        <f t="shared" si="112"/>
        <v>0</v>
      </c>
      <c r="AG85" s="86"/>
      <c r="AH85" s="167">
        <f t="shared" si="113"/>
        <v>0</v>
      </c>
      <c r="AI85" s="86"/>
      <c r="AJ85" s="167">
        <f t="shared" si="114"/>
        <v>0</v>
      </c>
      <c r="AK85" s="86"/>
      <c r="AL85" s="167">
        <f t="shared" si="115"/>
        <v>0</v>
      </c>
      <c r="AM85" s="86"/>
      <c r="AN85" s="167">
        <f t="shared" si="116"/>
        <v>0</v>
      </c>
      <c r="AO85" s="86"/>
      <c r="AP85" s="167">
        <f t="shared" si="117"/>
        <v>0</v>
      </c>
      <c r="AQ85" s="86"/>
      <c r="AR85" s="167">
        <f t="shared" si="118"/>
        <v>0</v>
      </c>
      <c r="AS85" s="86"/>
      <c r="AT85" s="167">
        <f t="shared" si="119"/>
        <v>0</v>
      </c>
      <c r="AU85" s="86"/>
      <c r="AV85" s="167">
        <f t="shared" si="120"/>
        <v>0</v>
      </c>
      <c r="AW85" s="86"/>
      <c r="AX85" s="167">
        <f t="shared" si="121"/>
        <v>0</v>
      </c>
      <c r="AY85" s="86"/>
      <c r="AZ85" s="167">
        <f t="shared" si="122"/>
        <v>0</v>
      </c>
      <c r="BA85" s="86"/>
      <c r="BB85" s="167">
        <f t="shared" si="123"/>
        <v>0</v>
      </c>
      <c r="BC85" s="86"/>
      <c r="BD85" s="167">
        <f t="shared" si="124"/>
        <v>0</v>
      </c>
      <c r="BE85" s="86"/>
      <c r="BF85" s="167">
        <f t="shared" si="125"/>
        <v>0</v>
      </c>
      <c r="BG85" s="86"/>
      <c r="BH85" s="167">
        <f t="shared" si="126"/>
        <v>0</v>
      </c>
      <c r="BI85" s="86"/>
      <c r="BJ85" s="167">
        <f t="shared" si="127"/>
        <v>0</v>
      </c>
      <c r="BK85" s="86"/>
      <c r="BL85" s="167">
        <f t="shared" si="128"/>
        <v>0</v>
      </c>
      <c r="BM85" s="86"/>
      <c r="BN85" s="50"/>
      <c r="BO85" s="170" t="e">
        <f t="shared" si="129"/>
        <v>#VALUE!</v>
      </c>
      <c r="BP85" s="167" t="e">
        <f t="shared" si="131"/>
        <v>#VALUE!</v>
      </c>
      <c r="BQ85" s="178" t="str">
        <f t="shared" si="130"/>
        <v/>
      </c>
    </row>
    <row r="86" spans="1:69" x14ac:dyDescent="0.35">
      <c r="A86" s="135" t="s">
        <v>84</v>
      </c>
      <c r="B86" s="54" t="s">
        <v>67</v>
      </c>
      <c r="C86" s="174" t="str">
        <f>IF('September 2026 Log'!BK86="","",'September 2026 Log'!BK86)</f>
        <v/>
      </c>
      <c r="D86" s="189" t="e">
        <f t="shared" si="98"/>
        <v>#VALUE!</v>
      </c>
      <c r="E86" s="86"/>
      <c r="F86" s="167">
        <f t="shared" si="99"/>
        <v>0</v>
      </c>
      <c r="G86" s="86"/>
      <c r="H86" s="167">
        <f t="shared" si="100"/>
        <v>0</v>
      </c>
      <c r="I86" s="86"/>
      <c r="J86" s="167">
        <f t="shared" si="101"/>
        <v>0</v>
      </c>
      <c r="K86" s="86"/>
      <c r="L86" s="167">
        <f t="shared" si="102"/>
        <v>0</v>
      </c>
      <c r="M86" s="86"/>
      <c r="N86" s="167">
        <f t="shared" si="103"/>
        <v>0</v>
      </c>
      <c r="O86" s="86"/>
      <c r="P86" s="167">
        <f t="shared" si="104"/>
        <v>0</v>
      </c>
      <c r="Q86" s="86"/>
      <c r="R86" s="167">
        <f t="shared" si="105"/>
        <v>0</v>
      </c>
      <c r="S86" s="86"/>
      <c r="T86" s="167">
        <f t="shared" si="106"/>
        <v>0</v>
      </c>
      <c r="U86" s="86"/>
      <c r="V86" s="167">
        <f t="shared" si="107"/>
        <v>0</v>
      </c>
      <c r="W86" s="86"/>
      <c r="X86" s="167">
        <f t="shared" si="108"/>
        <v>0</v>
      </c>
      <c r="Y86" s="86"/>
      <c r="Z86" s="167">
        <f t="shared" si="109"/>
        <v>0</v>
      </c>
      <c r="AA86" s="86"/>
      <c r="AB86" s="167">
        <f t="shared" si="110"/>
        <v>0</v>
      </c>
      <c r="AC86" s="86"/>
      <c r="AD86" s="167">
        <f t="shared" si="111"/>
        <v>0</v>
      </c>
      <c r="AE86" s="86"/>
      <c r="AF86" s="167">
        <f t="shared" si="112"/>
        <v>0</v>
      </c>
      <c r="AG86" s="86"/>
      <c r="AH86" s="167">
        <f t="shared" si="113"/>
        <v>0</v>
      </c>
      <c r="AI86" s="86"/>
      <c r="AJ86" s="167">
        <f t="shared" si="114"/>
        <v>0</v>
      </c>
      <c r="AK86" s="86"/>
      <c r="AL86" s="167">
        <f t="shared" si="115"/>
        <v>0</v>
      </c>
      <c r="AM86" s="86"/>
      <c r="AN86" s="167">
        <f t="shared" si="116"/>
        <v>0</v>
      </c>
      <c r="AO86" s="86"/>
      <c r="AP86" s="167">
        <f t="shared" si="117"/>
        <v>0</v>
      </c>
      <c r="AQ86" s="86"/>
      <c r="AR86" s="167">
        <f t="shared" si="118"/>
        <v>0</v>
      </c>
      <c r="AS86" s="86"/>
      <c r="AT86" s="167">
        <f t="shared" si="119"/>
        <v>0</v>
      </c>
      <c r="AU86" s="86"/>
      <c r="AV86" s="167">
        <f t="shared" si="120"/>
        <v>0</v>
      </c>
      <c r="AW86" s="86"/>
      <c r="AX86" s="167">
        <f t="shared" si="121"/>
        <v>0</v>
      </c>
      <c r="AY86" s="86"/>
      <c r="AZ86" s="167">
        <f t="shared" si="122"/>
        <v>0</v>
      </c>
      <c r="BA86" s="86"/>
      <c r="BB86" s="167">
        <f t="shared" si="123"/>
        <v>0</v>
      </c>
      <c r="BC86" s="86"/>
      <c r="BD86" s="167">
        <f t="shared" si="124"/>
        <v>0</v>
      </c>
      <c r="BE86" s="86"/>
      <c r="BF86" s="167">
        <f t="shared" si="125"/>
        <v>0</v>
      </c>
      <c r="BG86" s="86"/>
      <c r="BH86" s="167">
        <f t="shared" si="126"/>
        <v>0</v>
      </c>
      <c r="BI86" s="86"/>
      <c r="BJ86" s="167">
        <f t="shared" si="127"/>
        <v>0</v>
      </c>
      <c r="BK86" s="86"/>
      <c r="BL86" s="167">
        <f t="shared" si="128"/>
        <v>0</v>
      </c>
      <c r="BM86" s="86"/>
      <c r="BN86" s="50"/>
      <c r="BO86" s="170" t="e">
        <f t="shared" si="129"/>
        <v>#VALUE!</v>
      </c>
      <c r="BP86" s="167" t="e">
        <f t="shared" si="131"/>
        <v>#VALUE!</v>
      </c>
      <c r="BQ86" s="178" t="str">
        <f t="shared" si="130"/>
        <v/>
      </c>
    </row>
    <row r="87" spans="1:69" x14ac:dyDescent="0.35">
      <c r="A87" s="136" t="s">
        <v>85</v>
      </c>
      <c r="B87" s="54" t="s">
        <v>66</v>
      </c>
      <c r="C87" s="174" t="str">
        <f>IF('September 2026 Log'!BK87="","",'September 2026 Log'!BK87)</f>
        <v/>
      </c>
      <c r="D87" s="189" t="e">
        <f t="shared" si="98"/>
        <v>#VALUE!</v>
      </c>
      <c r="E87" s="86"/>
      <c r="F87" s="167">
        <f t="shared" si="99"/>
        <v>0</v>
      </c>
      <c r="G87" s="86"/>
      <c r="H87" s="167">
        <f t="shared" si="100"/>
        <v>0</v>
      </c>
      <c r="I87" s="86"/>
      <c r="J87" s="167">
        <f t="shared" si="101"/>
        <v>0</v>
      </c>
      <c r="K87" s="86"/>
      <c r="L87" s="167">
        <f t="shared" si="102"/>
        <v>0</v>
      </c>
      <c r="M87" s="86"/>
      <c r="N87" s="167">
        <f t="shared" si="103"/>
        <v>0</v>
      </c>
      <c r="O87" s="86"/>
      <c r="P87" s="167">
        <f t="shared" si="104"/>
        <v>0</v>
      </c>
      <c r="Q87" s="86"/>
      <c r="R87" s="167">
        <f t="shared" si="105"/>
        <v>0</v>
      </c>
      <c r="S87" s="86"/>
      <c r="T87" s="167">
        <f t="shared" si="106"/>
        <v>0</v>
      </c>
      <c r="U87" s="86"/>
      <c r="V87" s="167">
        <f t="shared" si="107"/>
        <v>0</v>
      </c>
      <c r="W87" s="86"/>
      <c r="X87" s="167">
        <f t="shared" si="108"/>
        <v>0</v>
      </c>
      <c r="Y87" s="86"/>
      <c r="Z87" s="167">
        <f t="shared" si="109"/>
        <v>0</v>
      </c>
      <c r="AA87" s="86"/>
      <c r="AB87" s="167">
        <f t="shared" si="110"/>
        <v>0</v>
      </c>
      <c r="AC87" s="86"/>
      <c r="AD87" s="167">
        <f t="shared" si="111"/>
        <v>0</v>
      </c>
      <c r="AE87" s="86"/>
      <c r="AF87" s="167">
        <f t="shared" si="112"/>
        <v>0</v>
      </c>
      <c r="AG87" s="86"/>
      <c r="AH87" s="167">
        <f t="shared" si="113"/>
        <v>0</v>
      </c>
      <c r="AI87" s="86"/>
      <c r="AJ87" s="167">
        <f t="shared" si="114"/>
        <v>0</v>
      </c>
      <c r="AK87" s="86"/>
      <c r="AL87" s="167">
        <f t="shared" si="115"/>
        <v>0</v>
      </c>
      <c r="AM87" s="86"/>
      <c r="AN87" s="167">
        <f t="shared" si="116"/>
        <v>0</v>
      </c>
      <c r="AO87" s="86"/>
      <c r="AP87" s="167">
        <f t="shared" si="117"/>
        <v>0</v>
      </c>
      <c r="AQ87" s="86"/>
      <c r="AR87" s="167">
        <f t="shared" si="118"/>
        <v>0</v>
      </c>
      <c r="AS87" s="86"/>
      <c r="AT87" s="167">
        <f t="shared" si="119"/>
        <v>0</v>
      </c>
      <c r="AU87" s="86"/>
      <c r="AV87" s="167">
        <f t="shared" si="120"/>
        <v>0</v>
      </c>
      <c r="AW87" s="86"/>
      <c r="AX87" s="167">
        <f t="shared" si="121"/>
        <v>0</v>
      </c>
      <c r="AY87" s="86"/>
      <c r="AZ87" s="167">
        <f t="shared" si="122"/>
        <v>0</v>
      </c>
      <c r="BA87" s="86"/>
      <c r="BB87" s="167">
        <f t="shared" si="123"/>
        <v>0</v>
      </c>
      <c r="BC87" s="86"/>
      <c r="BD87" s="167">
        <f t="shared" si="124"/>
        <v>0</v>
      </c>
      <c r="BE87" s="86"/>
      <c r="BF87" s="167">
        <f t="shared" si="125"/>
        <v>0</v>
      </c>
      <c r="BG87" s="86"/>
      <c r="BH87" s="167">
        <f t="shared" si="126"/>
        <v>0</v>
      </c>
      <c r="BI87" s="86"/>
      <c r="BJ87" s="167">
        <f t="shared" si="127"/>
        <v>0</v>
      </c>
      <c r="BK87" s="86"/>
      <c r="BL87" s="167">
        <f t="shared" si="128"/>
        <v>0</v>
      </c>
      <c r="BM87" s="86"/>
      <c r="BN87" s="50"/>
      <c r="BO87" s="170" t="e">
        <f t="shared" si="129"/>
        <v>#VALUE!</v>
      </c>
      <c r="BP87" s="167" t="e">
        <f t="shared" si="131"/>
        <v>#VALUE!</v>
      </c>
      <c r="BQ87" s="178" t="str">
        <f t="shared" si="130"/>
        <v/>
      </c>
    </row>
    <row r="88" spans="1:69" x14ac:dyDescent="0.35">
      <c r="A88" s="44" t="s">
        <v>86</v>
      </c>
      <c r="B88" s="54" t="s">
        <v>65</v>
      </c>
      <c r="C88" s="174" t="str">
        <f>IF('September 2026 Log'!BK88="","",'September 2026 Log'!BK88)</f>
        <v/>
      </c>
      <c r="D88" s="189" t="e">
        <f t="shared" si="98"/>
        <v>#VALUE!</v>
      </c>
      <c r="E88" s="86"/>
      <c r="F88" s="167">
        <f t="shared" si="99"/>
        <v>0</v>
      </c>
      <c r="G88" s="86"/>
      <c r="H88" s="167">
        <f t="shared" si="100"/>
        <v>0</v>
      </c>
      <c r="I88" s="86"/>
      <c r="J88" s="167">
        <f t="shared" si="101"/>
        <v>0</v>
      </c>
      <c r="K88" s="86"/>
      <c r="L88" s="167">
        <f t="shared" si="102"/>
        <v>0</v>
      </c>
      <c r="M88" s="86"/>
      <c r="N88" s="167">
        <f t="shared" si="103"/>
        <v>0</v>
      </c>
      <c r="O88" s="86"/>
      <c r="P88" s="167">
        <f t="shared" si="104"/>
        <v>0</v>
      </c>
      <c r="Q88" s="86"/>
      <c r="R88" s="167">
        <f t="shared" si="105"/>
        <v>0</v>
      </c>
      <c r="S88" s="86"/>
      <c r="T88" s="167">
        <f t="shared" si="106"/>
        <v>0</v>
      </c>
      <c r="U88" s="86"/>
      <c r="V88" s="167">
        <f t="shared" si="107"/>
        <v>0</v>
      </c>
      <c r="W88" s="86"/>
      <c r="X88" s="167">
        <f t="shared" si="108"/>
        <v>0</v>
      </c>
      <c r="Y88" s="86"/>
      <c r="Z88" s="167">
        <f t="shared" si="109"/>
        <v>0</v>
      </c>
      <c r="AA88" s="86"/>
      <c r="AB88" s="167">
        <f t="shared" si="110"/>
        <v>0</v>
      </c>
      <c r="AC88" s="86"/>
      <c r="AD88" s="167">
        <f t="shared" si="111"/>
        <v>0</v>
      </c>
      <c r="AE88" s="86"/>
      <c r="AF88" s="167">
        <f t="shared" si="112"/>
        <v>0</v>
      </c>
      <c r="AG88" s="86"/>
      <c r="AH88" s="167">
        <f t="shared" si="113"/>
        <v>0</v>
      </c>
      <c r="AI88" s="86"/>
      <c r="AJ88" s="167">
        <f t="shared" si="114"/>
        <v>0</v>
      </c>
      <c r="AK88" s="86"/>
      <c r="AL88" s="167">
        <f t="shared" si="115"/>
        <v>0</v>
      </c>
      <c r="AM88" s="86"/>
      <c r="AN88" s="167">
        <f t="shared" si="116"/>
        <v>0</v>
      </c>
      <c r="AO88" s="86"/>
      <c r="AP88" s="167">
        <f t="shared" si="117"/>
        <v>0</v>
      </c>
      <c r="AQ88" s="86"/>
      <c r="AR88" s="167">
        <f t="shared" si="118"/>
        <v>0</v>
      </c>
      <c r="AS88" s="86"/>
      <c r="AT88" s="167">
        <f t="shared" si="119"/>
        <v>0</v>
      </c>
      <c r="AU88" s="86"/>
      <c r="AV88" s="167">
        <f t="shared" si="120"/>
        <v>0</v>
      </c>
      <c r="AW88" s="86"/>
      <c r="AX88" s="167">
        <f t="shared" si="121"/>
        <v>0</v>
      </c>
      <c r="AY88" s="86"/>
      <c r="AZ88" s="167">
        <f t="shared" si="122"/>
        <v>0</v>
      </c>
      <c r="BA88" s="86"/>
      <c r="BB88" s="167">
        <f t="shared" si="123"/>
        <v>0</v>
      </c>
      <c r="BC88" s="86"/>
      <c r="BD88" s="167">
        <f t="shared" si="124"/>
        <v>0</v>
      </c>
      <c r="BE88" s="86"/>
      <c r="BF88" s="167">
        <f t="shared" si="125"/>
        <v>0</v>
      </c>
      <c r="BG88" s="86"/>
      <c r="BH88" s="167">
        <f t="shared" si="126"/>
        <v>0</v>
      </c>
      <c r="BI88" s="86"/>
      <c r="BJ88" s="167">
        <f t="shared" si="127"/>
        <v>0</v>
      </c>
      <c r="BK88" s="86"/>
      <c r="BL88" s="167">
        <f t="shared" si="128"/>
        <v>0</v>
      </c>
      <c r="BM88" s="86"/>
      <c r="BN88" s="50"/>
      <c r="BO88" s="170" t="e">
        <f t="shared" si="129"/>
        <v>#VALUE!</v>
      </c>
      <c r="BP88" s="167" t="e">
        <f t="shared" si="131"/>
        <v>#VALUE!</v>
      </c>
      <c r="BQ88" s="178" t="str">
        <f t="shared" si="130"/>
        <v/>
      </c>
    </row>
    <row r="89" spans="1:69" x14ac:dyDescent="0.35">
      <c r="A89" s="53"/>
      <c r="B89" s="54"/>
      <c r="C89" s="144"/>
      <c r="D89" s="192">
        <f t="shared" si="98"/>
        <v>0</v>
      </c>
      <c r="E89" s="145"/>
      <c r="F89" s="173">
        <f t="shared" si="99"/>
        <v>0</v>
      </c>
      <c r="G89" s="145"/>
      <c r="H89" s="173">
        <f t="shared" si="100"/>
        <v>0</v>
      </c>
      <c r="I89" s="145"/>
      <c r="J89" s="173">
        <f t="shared" si="101"/>
        <v>0</v>
      </c>
      <c r="K89" s="145"/>
      <c r="L89" s="173">
        <f t="shared" si="102"/>
        <v>0</v>
      </c>
      <c r="M89" s="145"/>
      <c r="N89" s="173">
        <f t="shared" si="103"/>
        <v>0</v>
      </c>
      <c r="O89" s="145"/>
      <c r="P89" s="173">
        <f t="shared" si="104"/>
        <v>0</v>
      </c>
      <c r="Q89" s="145"/>
      <c r="R89" s="173">
        <f t="shared" si="105"/>
        <v>0</v>
      </c>
      <c r="S89" s="145"/>
      <c r="T89" s="173">
        <f t="shared" si="106"/>
        <v>0</v>
      </c>
      <c r="U89" s="145"/>
      <c r="V89" s="173">
        <f t="shared" si="107"/>
        <v>0</v>
      </c>
      <c r="W89" s="145"/>
      <c r="X89" s="173">
        <f t="shared" si="108"/>
        <v>0</v>
      </c>
      <c r="Y89" s="145"/>
      <c r="Z89" s="173">
        <f t="shared" si="109"/>
        <v>0</v>
      </c>
      <c r="AA89" s="145"/>
      <c r="AB89" s="173">
        <f t="shared" si="110"/>
        <v>0</v>
      </c>
      <c r="AC89" s="145"/>
      <c r="AD89" s="173">
        <f t="shared" si="111"/>
        <v>0</v>
      </c>
      <c r="AE89" s="145"/>
      <c r="AF89" s="173">
        <f t="shared" si="112"/>
        <v>0</v>
      </c>
      <c r="AG89" s="145"/>
      <c r="AH89" s="173">
        <f t="shared" si="113"/>
        <v>0</v>
      </c>
      <c r="AI89" s="145"/>
      <c r="AJ89" s="173">
        <f t="shared" si="114"/>
        <v>0</v>
      </c>
      <c r="AK89" s="145"/>
      <c r="AL89" s="173">
        <f t="shared" si="115"/>
        <v>0</v>
      </c>
      <c r="AM89" s="145"/>
      <c r="AN89" s="173">
        <f t="shared" si="116"/>
        <v>0</v>
      </c>
      <c r="AO89" s="145"/>
      <c r="AP89" s="173">
        <f t="shared" si="117"/>
        <v>0</v>
      </c>
      <c r="AQ89" s="145"/>
      <c r="AR89" s="173">
        <f t="shared" si="118"/>
        <v>0</v>
      </c>
      <c r="AS89" s="145"/>
      <c r="AT89" s="173">
        <f t="shared" si="119"/>
        <v>0</v>
      </c>
      <c r="AU89" s="145"/>
      <c r="AV89" s="173">
        <f t="shared" si="120"/>
        <v>0</v>
      </c>
      <c r="AW89" s="145"/>
      <c r="AX89" s="173">
        <f t="shared" si="121"/>
        <v>0</v>
      </c>
      <c r="AY89" s="145"/>
      <c r="AZ89" s="173">
        <f t="shared" si="122"/>
        <v>0</v>
      </c>
      <c r="BA89" s="145"/>
      <c r="BB89" s="173">
        <f t="shared" si="123"/>
        <v>0</v>
      </c>
      <c r="BC89" s="145"/>
      <c r="BD89" s="173">
        <f t="shared" si="124"/>
        <v>0</v>
      </c>
      <c r="BE89" s="145"/>
      <c r="BF89" s="173">
        <f t="shared" si="125"/>
        <v>0</v>
      </c>
      <c r="BG89" s="145"/>
      <c r="BH89" s="173">
        <f t="shared" si="126"/>
        <v>0</v>
      </c>
      <c r="BI89" s="145"/>
      <c r="BJ89" s="173">
        <f t="shared" si="127"/>
        <v>0</v>
      </c>
      <c r="BK89" s="145"/>
      <c r="BL89" s="173">
        <f t="shared" si="128"/>
        <v>0</v>
      </c>
      <c r="BM89" s="145"/>
      <c r="BN89" s="50"/>
      <c r="BO89" s="51"/>
      <c r="BP89" s="173">
        <f t="shared" si="131"/>
        <v>0</v>
      </c>
      <c r="BQ89" s="88"/>
    </row>
    <row r="90" spans="1:69" x14ac:dyDescent="0.35">
      <c r="A90" s="74" t="s">
        <v>93</v>
      </c>
      <c r="B90" s="75"/>
      <c r="C90" s="141"/>
      <c r="D90" s="102"/>
      <c r="E90" s="142"/>
      <c r="F90" s="104"/>
      <c r="G90" s="142"/>
      <c r="H90" s="104"/>
      <c r="I90" s="142"/>
      <c r="J90" s="104"/>
      <c r="K90" s="142"/>
      <c r="L90" s="104"/>
      <c r="M90" s="142"/>
      <c r="N90" s="104"/>
      <c r="O90" s="142"/>
      <c r="P90" s="104"/>
      <c r="Q90" s="142"/>
      <c r="R90" s="104"/>
      <c r="S90" s="142"/>
      <c r="T90" s="104"/>
      <c r="U90" s="142"/>
      <c r="V90" s="104"/>
      <c r="W90" s="142"/>
      <c r="X90" s="104"/>
      <c r="Y90" s="142"/>
      <c r="Z90" s="104"/>
      <c r="AA90" s="142"/>
      <c r="AB90" s="104"/>
      <c r="AC90" s="142"/>
      <c r="AD90" s="104"/>
      <c r="AE90" s="142"/>
      <c r="AF90" s="104"/>
      <c r="AG90" s="142"/>
      <c r="AH90" s="104"/>
      <c r="AI90" s="142"/>
      <c r="AJ90" s="104"/>
      <c r="AK90" s="142"/>
      <c r="AL90" s="104"/>
      <c r="AM90" s="142"/>
      <c r="AN90" s="104"/>
      <c r="AO90" s="142"/>
      <c r="AP90" s="104"/>
      <c r="AQ90" s="142"/>
      <c r="AR90" s="104"/>
      <c r="AS90" s="142"/>
      <c r="AT90" s="104"/>
      <c r="AU90" s="142"/>
      <c r="AV90" s="104"/>
      <c r="AW90" s="142"/>
      <c r="AX90" s="104"/>
      <c r="AY90" s="142"/>
      <c r="AZ90" s="104"/>
      <c r="BA90" s="142"/>
      <c r="BB90" s="104"/>
      <c r="BC90" s="142"/>
      <c r="BD90" s="104"/>
      <c r="BE90" s="142"/>
      <c r="BF90" s="104"/>
      <c r="BG90" s="142"/>
      <c r="BH90" s="104"/>
      <c r="BI90" s="142"/>
      <c r="BJ90" s="104"/>
      <c r="BK90" s="142"/>
      <c r="BL90" s="104"/>
      <c r="BM90" s="142"/>
      <c r="BN90" s="105"/>
      <c r="BO90" s="106"/>
      <c r="BP90" s="104"/>
      <c r="BQ90" s="107"/>
    </row>
    <row r="91" spans="1:69" x14ac:dyDescent="0.35">
      <c r="A91" s="132" t="s">
        <v>75</v>
      </c>
      <c r="B91" s="54" t="s">
        <v>65</v>
      </c>
      <c r="C91" s="144"/>
      <c r="D91" s="146"/>
      <c r="E91" s="166" t="e">
        <f>+D91-D77</f>
        <v>#VALUE!</v>
      </c>
      <c r="F91" s="147"/>
      <c r="G91" s="166">
        <f>+F91-F77</f>
        <v>0</v>
      </c>
      <c r="H91" s="147"/>
      <c r="I91" s="166">
        <f>+H91-H77</f>
        <v>0</v>
      </c>
      <c r="J91" s="147"/>
      <c r="K91" s="166">
        <f>+J91-J77</f>
        <v>0</v>
      </c>
      <c r="L91" s="147"/>
      <c r="M91" s="166">
        <f>+L91-L77</f>
        <v>0</v>
      </c>
      <c r="N91" s="147"/>
      <c r="O91" s="166">
        <f>+N91-N77</f>
        <v>0</v>
      </c>
      <c r="P91" s="147"/>
      <c r="Q91" s="166">
        <f>+P91-P77</f>
        <v>0</v>
      </c>
      <c r="R91" s="147"/>
      <c r="S91" s="166">
        <f>+R91-R77</f>
        <v>0</v>
      </c>
      <c r="T91" s="147"/>
      <c r="U91" s="166">
        <f>+T91-T77</f>
        <v>0</v>
      </c>
      <c r="V91" s="147"/>
      <c r="W91" s="166">
        <f>+V91-V77</f>
        <v>0</v>
      </c>
      <c r="X91" s="147"/>
      <c r="Y91" s="166">
        <f>+X91-X77</f>
        <v>0</v>
      </c>
      <c r="Z91" s="147"/>
      <c r="AA91" s="166">
        <f>+Z91-Z77</f>
        <v>0</v>
      </c>
      <c r="AB91" s="147"/>
      <c r="AC91" s="166">
        <f>+AB91-AB77</f>
        <v>0</v>
      </c>
      <c r="AD91" s="147"/>
      <c r="AE91" s="166">
        <f>+AD91-AD77</f>
        <v>0</v>
      </c>
      <c r="AF91" s="147"/>
      <c r="AG91" s="166">
        <f>+AF91-AF77</f>
        <v>0</v>
      </c>
      <c r="AH91" s="147"/>
      <c r="AI91" s="166">
        <f>+AH91-AH77</f>
        <v>0</v>
      </c>
      <c r="AJ91" s="147"/>
      <c r="AK91" s="166">
        <f>+AJ91-AJ77</f>
        <v>0</v>
      </c>
      <c r="AL91" s="147"/>
      <c r="AM91" s="166">
        <f>+AL91-AL77</f>
        <v>0</v>
      </c>
      <c r="AN91" s="147"/>
      <c r="AO91" s="166">
        <f>+AN91-AN77</f>
        <v>0</v>
      </c>
      <c r="AP91" s="147"/>
      <c r="AQ91" s="166">
        <f>+AP91-AP77</f>
        <v>0</v>
      </c>
      <c r="AR91" s="147"/>
      <c r="AS91" s="166">
        <f>+AR91-AR77</f>
        <v>0</v>
      </c>
      <c r="AT91" s="147"/>
      <c r="AU91" s="166">
        <f>+AT91-AT77</f>
        <v>0</v>
      </c>
      <c r="AV91" s="147"/>
      <c r="AW91" s="166">
        <f>+AV91-AV77</f>
        <v>0</v>
      </c>
      <c r="AX91" s="147"/>
      <c r="AY91" s="166">
        <f>+AX91-AX77</f>
        <v>0</v>
      </c>
      <c r="AZ91" s="147"/>
      <c r="BA91" s="166">
        <f>+AZ91-AZ77</f>
        <v>0</v>
      </c>
      <c r="BB91" s="147"/>
      <c r="BC91" s="166">
        <f>+BB91-BB77</f>
        <v>0</v>
      </c>
      <c r="BD91" s="147"/>
      <c r="BE91" s="166">
        <f>+BD91-BD77</f>
        <v>0</v>
      </c>
      <c r="BF91" s="147"/>
      <c r="BG91" s="166">
        <f>+BF91-BF77</f>
        <v>0</v>
      </c>
      <c r="BH91" s="147"/>
      <c r="BI91" s="166">
        <f>+BH91-BH77</f>
        <v>0</v>
      </c>
      <c r="BJ91" s="147"/>
      <c r="BK91" s="166">
        <f>+BJ91-BJ77</f>
        <v>0</v>
      </c>
      <c r="BL91" s="147"/>
      <c r="BM91" s="166">
        <f>+BL91-BL77</f>
        <v>0</v>
      </c>
      <c r="BN91" s="50"/>
      <c r="BO91" s="170" t="e">
        <f t="shared" ref="BO91:BO103" si="132">IF(COUNT(E91,G91,I91,K91,M91,O91,Q91,S91,U91,W91,Y91,AA91,AC91,AE91,AG91,AI91,AK91,AM91,AO91,AQ91,AS91,AU91,AW91,AY91,BA91,BC91,BE91,BG91,BI91,BK91,BM91)=0,"",SUM(E91,G91,I91,K91,M91,O91,Q91,S91,U91,W91,Y91,AA91,AC91,AE91,AG91,AI91,AK91,AM91,AO91,AQ91,AS91,AU91,AW91,AY91,BA91,BC91,BE91,BG91,BI91,BK91,BM91))</f>
        <v>#VALUE!</v>
      </c>
      <c r="BP91" s="87"/>
      <c r="BQ91" s="172" t="e">
        <f t="shared" ref="BQ91:BQ102" si="133">+BP91-BP77</f>
        <v>#VALUE!</v>
      </c>
    </row>
    <row r="92" spans="1:69" x14ac:dyDescent="0.35">
      <c r="A92" s="136"/>
      <c r="B92" s="54" t="s">
        <v>66</v>
      </c>
      <c r="C92" s="144"/>
      <c r="D92" s="146"/>
      <c r="E92" s="166" t="e">
        <f t="shared" ref="E92:K102" si="134">+D92-D78</f>
        <v>#VALUE!</v>
      </c>
      <c r="F92" s="147"/>
      <c r="G92" s="166">
        <f t="shared" si="134"/>
        <v>0</v>
      </c>
      <c r="H92" s="147"/>
      <c r="I92" s="166">
        <f t="shared" si="134"/>
        <v>0</v>
      </c>
      <c r="J92" s="147"/>
      <c r="K92" s="166">
        <f t="shared" si="134"/>
        <v>0</v>
      </c>
      <c r="L92" s="147"/>
      <c r="M92" s="166">
        <f t="shared" ref="M92:M102" si="135">+L92-L78</f>
        <v>0</v>
      </c>
      <c r="N92" s="147"/>
      <c r="O92" s="166">
        <f t="shared" ref="O92:O102" si="136">+N92-N78</f>
        <v>0</v>
      </c>
      <c r="P92" s="147"/>
      <c r="Q92" s="166">
        <f t="shared" ref="Q92:Q102" si="137">+P92-P78</f>
        <v>0</v>
      </c>
      <c r="R92" s="147"/>
      <c r="S92" s="166">
        <f t="shared" ref="S92:S102" si="138">+R92-R78</f>
        <v>0</v>
      </c>
      <c r="T92" s="147"/>
      <c r="U92" s="166">
        <f t="shared" ref="U92:U102" si="139">+T92-T78</f>
        <v>0</v>
      </c>
      <c r="V92" s="147"/>
      <c r="W92" s="166">
        <f t="shared" ref="W92:W102" si="140">+V92-V78</f>
        <v>0</v>
      </c>
      <c r="X92" s="147"/>
      <c r="Y92" s="166">
        <f t="shared" ref="Y92:Y102" si="141">+X92-X78</f>
        <v>0</v>
      </c>
      <c r="Z92" s="147"/>
      <c r="AA92" s="166">
        <f t="shared" ref="AA92:AA102" si="142">+Z92-Z78</f>
        <v>0</v>
      </c>
      <c r="AB92" s="147"/>
      <c r="AC92" s="166">
        <f t="shared" ref="AC92:AC102" si="143">+AB92-AB78</f>
        <v>0</v>
      </c>
      <c r="AD92" s="147"/>
      <c r="AE92" s="166">
        <f t="shared" ref="AE92:AE102" si="144">+AD92-AD78</f>
        <v>0</v>
      </c>
      <c r="AF92" s="147"/>
      <c r="AG92" s="166">
        <f t="shared" ref="AG92:AG102" si="145">+AF92-AF78</f>
        <v>0</v>
      </c>
      <c r="AH92" s="147"/>
      <c r="AI92" s="166">
        <f t="shared" ref="AI92:AI102" si="146">+AH92-AH78</f>
        <v>0</v>
      </c>
      <c r="AJ92" s="147"/>
      <c r="AK92" s="166">
        <f t="shared" ref="AK92:AK102" si="147">+AJ92-AJ78</f>
        <v>0</v>
      </c>
      <c r="AL92" s="147"/>
      <c r="AM92" s="166">
        <f t="shared" ref="AM92:AM102" si="148">+AL92-AL78</f>
        <v>0</v>
      </c>
      <c r="AN92" s="147"/>
      <c r="AO92" s="166">
        <f t="shared" ref="AO92:AO102" si="149">+AN92-AN78</f>
        <v>0</v>
      </c>
      <c r="AP92" s="147"/>
      <c r="AQ92" s="166">
        <f t="shared" ref="AQ92:AQ102" si="150">+AP92-AP78</f>
        <v>0</v>
      </c>
      <c r="AR92" s="147"/>
      <c r="AS92" s="166">
        <f t="shared" ref="AS92:AS102" si="151">+AR92-AR78</f>
        <v>0</v>
      </c>
      <c r="AT92" s="147"/>
      <c r="AU92" s="166">
        <f t="shared" ref="AU92:AU102" si="152">+AT92-AT78</f>
        <v>0</v>
      </c>
      <c r="AV92" s="147"/>
      <c r="AW92" s="166">
        <f t="shared" ref="AW92:AW102" si="153">+AV92-AV78</f>
        <v>0</v>
      </c>
      <c r="AX92" s="147"/>
      <c r="AY92" s="166">
        <f t="shared" ref="AY92:AY102" si="154">+AX92-AX78</f>
        <v>0</v>
      </c>
      <c r="AZ92" s="147"/>
      <c r="BA92" s="166">
        <f t="shared" ref="BA92:BA102" si="155">+AZ92-AZ78</f>
        <v>0</v>
      </c>
      <c r="BB92" s="147"/>
      <c r="BC92" s="166">
        <f t="shared" ref="BC92:BC102" si="156">+BB92-BB78</f>
        <v>0</v>
      </c>
      <c r="BD92" s="147"/>
      <c r="BE92" s="166">
        <f t="shared" ref="BE92:BE102" si="157">+BD92-BD78</f>
        <v>0</v>
      </c>
      <c r="BF92" s="147"/>
      <c r="BG92" s="166">
        <f t="shared" ref="BG92:BG102" si="158">+BF92-BF78</f>
        <v>0</v>
      </c>
      <c r="BH92" s="147"/>
      <c r="BI92" s="166">
        <f t="shared" ref="BI92:BI102" si="159">+BH92-BH78</f>
        <v>0</v>
      </c>
      <c r="BJ92" s="147"/>
      <c r="BK92" s="166">
        <f t="shared" ref="BK92:BK102" si="160">+BJ92-BJ78</f>
        <v>0</v>
      </c>
      <c r="BL92" s="147"/>
      <c r="BM92" s="166">
        <f t="shared" ref="BM92:BM102" si="161">+BL92-BL78</f>
        <v>0</v>
      </c>
      <c r="BN92" s="50"/>
      <c r="BO92" s="170" t="e">
        <f t="shared" si="132"/>
        <v>#VALUE!</v>
      </c>
      <c r="BP92" s="87"/>
      <c r="BQ92" s="172" t="e">
        <f t="shared" si="133"/>
        <v>#VALUE!</v>
      </c>
    </row>
    <row r="93" spans="1:69" x14ac:dyDescent="0.35">
      <c r="A93" s="134" t="s">
        <v>77</v>
      </c>
      <c r="B93" s="54" t="s">
        <v>67</v>
      </c>
      <c r="C93" s="144"/>
      <c r="D93" s="146"/>
      <c r="E93" s="166" t="e">
        <f t="shared" si="134"/>
        <v>#VALUE!</v>
      </c>
      <c r="F93" s="147"/>
      <c r="G93" s="166">
        <f t="shared" si="134"/>
        <v>0</v>
      </c>
      <c r="H93" s="147"/>
      <c r="I93" s="166">
        <f t="shared" si="134"/>
        <v>0</v>
      </c>
      <c r="J93" s="147"/>
      <c r="K93" s="166">
        <f t="shared" si="134"/>
        <v>0</v>
      </c>
      <c r="L93" s="147"/>
      <c r="M93" s="166">
        <f t="shared" si="135"/>
        <v>0</v>
      </c>
      <c r="N93" s="147"/>
      <c r="O93" s="166">
        <f t="shared" si="136"/>
        <v>0</v>
      </c>
      <c r="P93" s="147"/>
      <c r="Q93" s="166">
        <f t="shared" si="137"/>
        <v>0</v>
      </c>
      <c r="R93" s="147"/>
      <c r="S93" s="166">
        <f t="shared" si="138"/>
        <v>0</v>
      </c>
      <c r="T93" s="147"/>
      <c r="U93" s="166">
        <f t="shared" si="139"/>
        <v>0</v>
      </c>
      <c r="V93" s="147"/>
      <c r="W93" s="166">
        <f t="shared" si="140"/>
        <v>0</v>
      </c>
      <c r="X93" s="147"/>
      <c r="Y93" s="166">
        <f t="shared" si="141"/>
        <v>0</v>
      </c>
      <c r="Z93" s="147"/>
      <c r="AA93" s="166">
        <f t="shared" si="142"/>
        <v>0</v>
      </c>
      <c r="AB93" s="147"/>
      <c r="AC93" s="166">
        <f t="shared" si="143"/>
        <v>0</v>
      </c>
      <c r="AD93" s="147"/>
      <c r="AE93" s="166">
        <f t="shared" si="144"/>
        <v>0</v>
      </c>
      <c r="AF93" s="147"/>
      <c r="AG93" s="166">
        <f t="shared" si="145"/>
        <v>0</v>
      </c>
      <c r="AH93" s="147"/>
      <c r="AI93" s="166">
        <f t="shared" si="146"/>
        <v>0</v>
      </c>
      <c r="AJ93" s="147"/>
      <c r="AK93" s="166">
        <f t="shared" si="147"/>
        <v>0</v>
      </c>
      <c r="AL93" s="147"/>
      <c r="AM93" s="166">
        <f t="shared" si="148"/>
        <v>0</v>
      </c>
      <c r="AN93" s="147"/>
      <c r="AO93" s="48"/>
      <c r="AP93" s="147"/>
      <c r="AQ93" s="166">
        <f t="shared" si="150"/>
        <v>0</v>
      </c>
      <c r="AR93" s="147"/>
      <c r="AS93" s="166">
        <f t="shared" si="151"/>
        <v>0</v>
      </c>
      <c r="AT93" s="147"/>
      <c r="AU93" s="166">
        <f t="shared" si="152"/>
        <v>0</v>
      </c>
      <c r="AV93" s="147"/>
      <c r="AW93" s="166">
        <f t="shared" si="153"/>
        <v>0</v>
      </c>
      <c r="AX93" s="147"/>
      <c r="AY93" s="166">
        <f t="shared" si="154"/>
        <v>0</v>
      </c>
      <c r="AZ93" s="147"/>
      <c r="BA93" s="166">
        <f t="shared" si="155"/>
        <v>0</v>
      </c>
      <c r="BB93" s="147"/>
      <c r="BC93" s="166">
        <f t="shared" si="156"/>
        <v>0</v>
      </c>
      <c r="BD93" s="147"/>
      <c r="BE93" s="166">
        <f t="shared" si="157"/>
        <v>0</v>
      </c>
      <c r="BF93" s="147"/>
      <c r="BG93" s="166">
        <f t="shared" si="158"/>
        <v>0</v>
      </c>
      <c r="BH93" s="147"/>
      <c r="BI93" s="166">
        <f t="shared" si="159"/>
        <v>0</v>
      </c>
      <c r="BJ93" s="147"/>
      <c r="BK93" s="166">
        <f t="shared" si="160"/>
        <v>0</v>
      </c>
      <c r="BL93" s="147"/>
      <c r="BM93" s="166">
        <f t="shared" si="161"/>
        <v>0</v>
      </c>
      <c r="BN93" s="50"/>
      <c r="BO93" s="170" t="e">
        <f t="shared" si="132"/>
        <v>#VALUE!</v>
      </c>
      <c r="BP93" s="87"/>
      <c r="BQ93" s="172" t="e">
        <f t="shared" si="133"/>
        <v>#VALUE!</v>
      </c>
    </row>
    <row r="94" spans="1:69" x14ac:dyDescent="0.35">
      <c r="A94" s="132" t="s">
        <v>78</v>
      </c>
      <c r="B94" s="54" t="s">
        <v>65</v>
      </c>
      <c r="C94" s="144"/>
      <c r="D94" s="146"/>
      <c r="E94" s="166" t="e">
        <f t="shared" si="134"/>
        <v>#VALUE!</v>
      </c>
      <c r="F94" s="147"/>
      <c r="G94" s="166">
        <f t="shared" si="134"/>
        <v>0</v>
      </c>
      <c r="H94" s="147"/>
      <c r="I94" s="166">
        <f t="shared" si="134"/>
        <v>0</v>
      </c>
      <c r="J94" s="147"/>
      <c r="K94" s="166">
        <f t="shared" si="134"/>
        <v>0</v>
      </c>
      <c r="L94" s="147"/>
      <c r="M94" s="166">
        <f t="shared" si="135"/>
        <v>0</v>
      </c>
      <c r="N94" s="147"/>
      <c r="O94" s="166">
        <f t="shared" si="136"/>
        <v>0</v>
      </c>
      <c r="P94" s="147"/>
      <c r="Q94" s="166">
        <f t="shared" si="137"/>
        <v>0</v>
      </c>
      <c r="R94" s="147"/>
      <c r="S94" s="166">
        <f t="shared" si="138"/>
        <v>0</v>
      </c>
      <c r="T94" s="147"/>
      <c r="U94" s="166">
        <f t="shared" si="139"/>
        <v>0</v>
      </c>
      <c r="V94" s="147"/>
      <c r="W94" s="166">
        <f t="shared" si="140"/>
        <v>0</v>
      </c>
      <c r="X94" s="147"/>
      <c r="Y94" s="166">
        <f t="shared" si="141"/>
        <v>0</v>
      </c>
      <c r="Z94" s="147"/>
      <c r="AA94" s="166">
        <f t="shared" si="142"/>
        <v>0</v>
      </c>
      <c r="AB94" s="147"/>
      <c r="AC94" s="166">
        <f t="shared" si="143"/>
        <v>0</v>
      </c>
      <c r="AD94" s="147"/>
      <c r="AE94" s="166">
        <f t="shared" si="144"/>
        <v>0</v>
      </c>
      <c r="AF94" s="147"/>
      <c r="AG94" s="166">
        <f t="shared" si="145"/>
        <v>0</v>
      </c>
      <c r="AH94" s="147"/>
      <c r="AI94" s="166">
        <f t="shared" si="146"/>
        <v>0</v>
      </c>
      <c r="AJ94" s="147"/>
      <c r="AK94" s="166">
        <f t="shared" si="147"/>
        <v>0</v>
      </c>
      <c r="AL94" s="147"/>
      <c r="AM94" s="166">
        <f t="shared" si="148"/>
        <v>0</v>
      </c>
      <c r="AN94" s="147"/>
      <c r="AO94" s="166">
        <f t="shared" si="149"/>
        <v>0</v>
      </c>
      <c r="AP94" s="147"/>
      <c r="AQ94" s="166">
        <f t="shared" si="150"/>
        <v>0</v>
      </c>
      <c r="AR94" s="147"/>
      <c r="AS94" s="166">
        <f t="shared" si="151"/>
        <v>0</v>
      </c>
      <c r="AT94" s="147"/>
      <c r="AU94" s="166">
        <f t="shared" si="152"/>
        <v>0</v>
      </c>
      <c r="AV94" s="147"/>
      <c r="AW94" s="166">
        <f t="shared" si="153"/>
        <v>0</v>
      </c>
      <c r="AX94" s="147"/>
      <c r="AY94" s="166">
        <f t="shared" si="154"/>
        <v>0</v>
      </c>
      <c r="AZ94" s="147"/>
      <c r="BA94" s="166">
        <f t="shared" si="155"/>
        <v>0</v>
      </c>
      <c r="BB94" s="147"/>
      <c r="BC94" s="166">
        <f t="shared" si="156"/>
        <v>0</v>
      </c>
      <c r="BD94" s="147"/>
      <c r="BE94" s="166">
        <f t="shared" si="157"/>
        <v>0</v>
      </c>
      <c r="BF94" s="147"/>
      <c r="BG94" s="166">
        <f t="shared" si="158"/>
        <v>0</v>
      </c>
      <c r="BH94" s="147"/>
      <c r="BI94" s="166">
        <f t="shared" si="159"/>
        <v>0</v>
      </c>
      <c r="BJ94" s="147"/>
      <c r="BK94" s="166">
        <f t="shared" si="160"/>
        <v>0</v>
      </c>
      <c r="BL94" s="147"/>
      <c r="BM94" s="166">
        <f t="shared" si="161"/>
        <v>0</v>
      </c>
      <c r="BN94" s="50"/>
      <c r="BO94" s="170" t="e">
        <f t="shared" si="132"/>
        <v>#VALUE!</v>
      </c>
      <c r="BP94" s="87"/>
      <c r="BQ94" s="172" t="e">
        <f t="shared" si="133"/>
        <v>#VALUE!</v>
      </c>
    </row>
    <row r="95" spans="1:69" x14ac:dyDescent="0.35">
      <c r="A95" s="136"/>
      <c r="B95" s="54" t="s">
        <v>66</v>
      </c>
      <c r="C95" s="144"/>
      <c r="D95" s="146"/>
      <c r="E95" s="166" t="e">
        <f t="shared" si="134"/>
        <v>#VALUE!</v>
      </c>
      <c r="F95" s="147"/>
      <c r="G95" s="166">
        <f t="shared" si="134"/>
        <v>0</v>
      </c>
      <c r="H95" s="147"/>
      <c r="I95" s="166">
        <f t="shared" si="134"/>
        <v>0</v>
      </c>
      <c r="J95" s="147"/>
      <c r="K95" s="166">
        <f t="shared" si="134"/>
        <v>0</v>
      </c>
      <c r="L95" s="147"/>
      <c r="M95" s="166">
        <f t="shared" si="135"/>
        <v>0</v>
      </c>
      <c r="N95" s="147"/>
      <c r="O95" s="166">
        <f t="shared" si="136"/>
        <v>0</v>
      </c>
      <c r="P95" s="147"/>
      <c r="Q95" s="166">
        <f t="shared" si="137"/>
        <v>0</v>
      </c>
      <c r="R95" s="147"/>
      <c r="S95" s="166">
        <f t="shared" si="138"/>
        <v>0</v>
      </c>
      <c r="T95" s="147"/>
      <c r="U95" s="166">
        <f t="shared" si="139"/>
        <v>0</v>
      </c>
      <c r="V95" s="147"/>
      <c r="W95" s="166">
        <f t="shared" si="140"/>
        <v>0</v>
      </c>
      <c r="X95" s="147"/>
      <c r="Y95" s="166">
        <f t="shared" si="141"/>
        <v>0</v>
      </c>
      <c r="Z95" s="147"/>
      <c r="AA95" s="166">
        <f t="shared" si="142"/>
        <v>0</v>
      </c>
      <c r="AB95" s="147"/>
      <c r="AC95" s="166">
        <f t="shared" si="143"/>
        <v>0</v>
      </c>
      <c r="AD95" s="147"/>
      <c r="AE95" s="166">
        <f t="shared" si="144"/>
        <v>0</v>
      </c>
      <c r="AF95" s="147"/>
      <c r="AG95" s="166">
        <f t="shared" si="145"/>
        <v>0</v>
      </c>
      <c r="AH95" s="147"/>
      <c r="AI95" s="166">
        <f t="shared" si="146"/>
        <v>0</v>
      </c>
      <c r="AJ95" s="147"/>
      <c r="AK95" s="166">
        <f t="shared" si="147"/>
        <v>0</v>
      </c>
      <c r="AL95" s="147"/>
      <c r="AM95" s="166">
        <f t="shared" si="148"/>
        <v>0</v>
      </c>
      <c r="AN95" s="147"/>
      <c r="AO95" s="166">
        <f t="shared" si="149"/>
        <v>0</v>
      </c>
      <c r="AP95" s="147"/>
      <c r="AQ95" s="166">
        <f t="shared" si="150"/>
        <v>0</v>
      </c>
      <c r="AR95" s="147"/>
      <c r="AS95" s="166">
        <f t="shared" si="151"/>
        <v>0</v>
      </c>
      <c r="AT95" s="147"/>
      <c r="AU95" s="166">
        <f t="shared" si="152"/>
        <v>0</v>
      </c>
      <c r="AV95" s="147"/>
      <c r="AW95" s="166">
        <f t="shared" si="153"/>
        <v>0</v>
      </c>
      <c r="AX95" s="147"/>
      <c r="AY95" s="166">
        <f t="shared" si="154"/>
        <v>0</v>
      </c>
      <c r="AZ95" s="147"/>
      <c r="BA95" s="166">
        <f t="shared" si="155"/>
        <v>0</v>
      </c>
      <c r="BB95" s="147"/>
      <c r="BC95" s="166">
        <f t="shared" si="156"/>
        <v>0</v>
      </c>
      <c r="BD95" s="147"/>
      <c r="BE95" s="166">
        <f t="shared" si="157"/>
        <v>0</v>
      </c>
      <c r="BF95" s="147"/>
      <c r="BG95" s="166">
        <f t="shared" si="158"/>
        <v>0</v>
      </c>
      <c r="BH95" s="147"/>
      <c r="BI95" s="166">
        <f t="shared" si="159"/>
        <v>0</v>
      </c>
      <c r="BJ95" s="147"/>
      <c r="BK95" s="166">
        <f t="shared" si="160"/>
        <v>0</v>
      </c>
      <c r="BL95" s="147"/>
      <c r="BM95" s="166">
        <f t="shared" si="161"/>
        <v>0</v>
      </c>
      <c r="BN95" s="50"/>
      <c r="BO95" s="170" t="e">
        <f t="shared" si="132"/>
        <v>#VALUE!</v>
      </c>
      <c r="BP95" s="87"/>
      <c r="BQ95" s="172" t="e">
        <f t="shared" si="133"/>
        <v>#VALUE!</v>
      </c>
    </row>
    <row r="96" spans="1:69" x14ac:dyDescent="0.35">
      <c r="A96" s="134" t="s">
        <v>80</v>
      </c>
      <c r="B96" s="54" t="s">
        <v>67</v>
      </c>
      <c r="C96" s="144"/>
      <c r="D96" s="146"/>
      <c r="E96" s="166" t="e">
        <f t="shared" si="134"/>
        <v>#VALUE!</v>
      </c>
      <c r="F96" s="147"/>
      <c r="G96" s="166">
        <f t="shared" si="134"/>
        <v>0</v>
      </c>
      <c r="H96" s="147"/>
      <c r="I96" s="166">
        <f t="shared" si="134"/>
        <v>0</v>
      </c>
      <c r="J96" s="147"/>
      <c r="K96" s="166">
        <f t="shared" si="134"/>
        <v>0</v>
      </c>
      <c r="L96" s="147"/>
      <c r="M96" s="166">
        <f t="shared" si="135"/>
        <v>0</v>
      </c>
      <c r="N96" s="147"/>
      <c r="O96" s="166">
        <f t="shared" si="136"/>
        <v>0</v>
      </c>
      <c r="P96" s="147"/>
      <c r="Q96" s="166">
        <f t="shared" si="137"/>
        <v>0</v>
      </c>
      <c r="R96" s="147"/>
      <c r="S96" s="166">
        <f t="shared" si="138"/>
        <v>0</v>
      </c>
      <c r="T96" s="147"/>
      <c r="U96" s="166">
        <f t="shared" si="139"/>
        <v>0</v>
      </c>
      <c r="V96" s="147"/>
      <c r="W96" s="166">
        <f t="shared" si="140"/>
        <v>0</v>
      </c>
      <c r="X96" s="147"/>
      <c r="Y96" s="166">
        <f t="shared" si="141"/>
        <v>0</v>
      </c>
      <c r="Z96" s="147"/>
      <c r="AA96" s="166">
        <f t="shared" si="142"/>
        <v>0</v>
      </c>
      <c r="AB96" s="147"/>
      <c r="AC96" s="166">
        <f t="shared" si="143"/>
        <v>0</v>
      </c>
      <c r="AD96" s="147"/>
      <c r="AE96" s="166">
        <f t="shared" si="144"/>
        <v>0</v>
      </c>
      <c r="AF96" s="147"/>
      <c r="AG96" s="166">
        <f t="shared" si="145"/>
        <v>0</v>
      </c>
      <c r="AH96" s="147"/>
      <c r="AI96" s="166">
        <f t="shared" si="146"/>
        <v>0</v>
      </c>
      <c r="AJ96" s="147"/>
      <c r="AK96" s="166">
        <f t="shared" si="147"/>
        <v>0</v>
      </c>
      <c r="AL96" s="147"/>
      <c r="AM96" s="166">
        <f t="shared" si="148"/>
        <v>0</v>
      </c>
      <c r="AN96" s="147"/>
      <c r="AO96" s="166">
        <f t="shared" si="149"/>
        <v>0</v>
      </c>
      <c r="AP96" s="147"/>
      <c r="AQ96" s="166">
        <f t="shared" si="150"/>
        <v>0</v>
      </c>
      <c r="AR96" s="147"/>
      <c r="AS96" s="166">
        <f t="shared" si="151"/>
        <v>0</v>
      </c>
      <c r="AT96" s="147"/>
      <c r="AU96" s="166">
        <f t="shared" si="152"/>
        <v>0</v>
      </c>
      <c r="AV96" s="147"/>
      <c r="AW96" s="166">
        <f t="shared" si="153"/>
        <v>0</v>
      </c>
      <c r="AX96" s="147"/>
      <c r="AY96" s="166">
        <f t="shared" si="154"/>
        <v>0</v>
      </c>
      <c r="AZ96" s="147"/>
      <c r="BA96" s="166">
        <f t="shared" si="155"/>
        <v>0</v>
      </c>
      <c r="BB96" s="147"/>
      <c r="BC96" s="166">
        <f t="shared" si="156"/>
        <v>0</v>
      </c>
      <c r="BD96" s="147"/>
      <c r="BE96" s="166">
        <f t="shared" si="157"/>
        <v>0</v>
      </c>
      <c r="BF96" s="147"/>
      <c r="BG96" s="166">
        <f t="shared" si="158"/>
        <v>0</v>
      </c>
      <c r="BH96" s="147"/>
      <c r="BI96" s="166">
        <f t="shared" si="159"/>
        <v>0</v>
      </c>
      <c r="BJ96" s="147"/>
      <c r="BK96" s="166">
        <f t="shared" si="160"/>
        <v>0</v>
      </c>
      <c r="BL96" s="147"/>
      <c r="BM96" s="166">
        <f t="shared" si="161"/>
        <v>0</v>
      </c>
      <c r="BN96" s="50"/>
      <c r="BO96" s="170" t="e">
        <f t="shared" si="132"/>
        <v>#VALUE!</v>
      </c>
      <c r="BP96" s="87"/>
      <c r="BQ96" s="172" t="e">
        <f t="shared" si="133"/>
        <v>#VALUE!</v>
      </c>
    </row>
    <row r="97" spans="1:76" x14ac:dyDescent="0.35">
      <c r="A97" s="135"/>
      <c r="B97" s="54" t="s">
        <v>67</v>
      </c>
      <c r="C97" s="144"/>
      <c r="D97" s="146"/>
      <c r="E97" s="166" t="e">
        <f t="shared" si="134"/>
        <v>#VALUE!</v>
      </c>
      <c r="F97" s="147"/>
      <c r="G97" s="166">
        <f t="shared" si="134"/>
        <v>0</v>
      </c>
      <c r="H97" s="147"/>
      <c r="I97" s="166">
        <f t="shared" si="134"/>
        <v>0</v>
      </c>
      <c r="J97" s="147"/>
      <c r="K97" s="166">
        <f t="shared" si="134"/>
        <v>0</v>
      </c>
      <c r="L97" s="147"/>
      <c r="M97" s="166">
        <f t="shared" si="135"/>
        <v>0</v>
      </c>
      <c r="N97" s="147"/>
      <c r="O97" s="166">
        <f t="shared" si="136"/>
        <v>0</v>
      </c>
      <c r="P97" s="147"/>
      <c r="Q97" s="166">
        <f t="shared" si="137"/>
        <v>0</v>
      </c>
      <c r="R97" s="147"/>
      <c r="S97" s="166">
        <f t="shared" si="138"/>
        <v>0</v>
      </c>
      <c r="T97" s="147"/>
      <c r="U97" s="166">
        <f t="shared" si="139"/>
        <v>0</v>
      </c>
      <c r="V97" s="147"/>
      <c r="W97" s="166">
        <f t="shared" si="140"/>
        <v>0</v>
      </c>
      <c r="X97" s="147"/>
      <c r="Y97" s="166">
        <f t="shared" si="141"/>
        <v>0</v>
      </c>
      <c r="Z97" s="147"/>
      <c r="AA97" s="166">
        <f t="shared" si="142"/>
        <v>0</v>
      </c>
      <c r="AB97" s="147"/>
      <c r="AC97" s="166">
        <f t="shared" si="143"/>
        <v>0</v>
      </c>
      <c r="AD97" s="147"/>
      <c r="AE97" s="166">
        <f t="shared" si="144"/>
        <v>0</v>
      </c>
      <c r="AF97" s="147"/>
      <c r="AG97" s="166">
        <f t="shared" si="145"/>
        <v>0</v>
      </c>
      <c r="AH97" s="147"/>
      <c r="AI97" s="166">
        <f t="shared" si="146"/>
        <v>0</v>
      </c>
      <c r="AJ97" s="147"/>
      <c r="AK97" s="166">
        <f t="shared" si="147"/>
        <v>0</v>
      </c>
      <c r="AL97" s="147"/>
      <c r="AM97" s="166">
        <f t="shared" si="148"/>
        <v>0</v>
      </c>
      <c r="AN97" s="147"/>
      <c r="AO97" s="166">
        <f t="shared" si="149"/>
        <v>0</v>
      </c>
      <c r="AP97" s="147"/>
      <c r="AQ97" s="166">
        <f t="shared" si="150"/>
        <v>0</v>
      </c>
      <c r="AR97" s="147"/>
      <c r="AS97" s="166">
        <f t="shared" si="151"/>
        <v>0</v>
      </c>
      <c r="AT97" s="147"/>
      <c r="AU97" s="166">
        <f t="shared" si="152"/>
        <v>0</v>
      </c>
      <c r="AV97" s="147"/>
      <c r="AW97" s="166">
        <f t="shared" si="153"/>
        <v>0</v>
      </c>
      <c r="AX97" s="147"/>
      <c r="AY97" s="166">
        <f t="shared" si="154"/>
        <v>0</v>
      </c>
      <c r="AZ97" s="147"/>
      <c r="BA97" s="166">
        <f t="shared" si="155"/>
        <v>0</v>
      </c>
      <c r="BB97" s="147"/>
      <c r="BC97" s="166">
        <f t="shared" si="156"/>
        <v>0</v>
      </c>
      <c r="BD97" s="147"/>
      <c r="BE97" s="166">
        <f t="shared" si="157"/>
        <v>0</v>
      </c>
      <c r="BF97" s="147"/>
      <c r="BG97" s="166">
        <f t="shared" si="158"/>
        <v>0</v>
      </c>
      <c r="BH97" s="147"/>
      <c r="BI97" s="166">
        <f t="shared" si="159"/>
        <v>0</v>
      </c>
      <c r="BJ97" s="147"/>
      <c r="BK97" s="166">
        <f t="shared" si="160"/>
        <v>0</v>
      </c>
      <c r="BL97" s="147"/>
      <c r="BM97" s="166">
        <f t="shared" si="161"/>
        <v>0</v>
      </c>
      <c r="BN97" s="50"/>
      <c r="BO97" s="170" t="e">
        <f t="shared" si="132"/>
        <v>#VALUE!</v>
      </c>
      <c r="BP97" s="87"/>
      <c r="BQ97" s="172" t="e">
        <f t="shared" si="133"/>
        <v>#VALUE!</v>
      </c>
    </row>
    <row r="98" spans="1:76" x14ac:dyDescent="0.35">
      <c r="A98" s="136" t="s">
        <v>82</v>
      </c>
      <c r="B98" s="54" t="s">
        <v>66</v>
      </c>
      <c r="C98" s="144"/>
      <c r="D98" s="146"/>
      <c r="E98" s="166" t="e">
        <f t="shared" si="134"/>
        <v>#VALUE!</v>
      </c>
      <c r="F98" s="147"/>
      <c r="G98" s="166">
        <f t="shared" si="134"/>
        <v>0</v>
      </c>
      <c r="H98" s="147"/>
      <c r="I98" s="166">
        <f t="shared" si="134"/>
        <v>0</v>
      </c>
      <c r="J98" s="147"/>
      <c r="K98" s="166">
        <f t="shared" si="134"/>
        <v>0</v>
      </c>
      <c r="L98" s="147"/>
      <c r="M98" s="166">
        <f t="shared" si="135"/>
        <v>0</v>
      </c>
      <c r="N98" s="147"/>
      <c r="O98" s="166">
        <f t="shared" si="136"/>
        <v>0</v>
      </c>
      <c r="P98" s="147"/>
      <c r="Q98" s="166">
        <f t="shared" si="137"/>
        <v>0</v>
      </c>
      <c r="R98" s="147"/>
      <c r="S98" s="166">
        <f t="shared" si="138"/>
        <v>0</v>
      </c>
      <c r="T98" s="147"/>
      <c r="U98" s="166">
        <f t="shared" si="139"/>
        <v>0</v>
      </c>
      <c r="V98" s="147"/>
      <c r="W98" s="166">
        <f t="shared" si="140"/>
        <v>0</v>
      </c>
      <c r="X98" s="147"/>
      <c r="Y98" s="166">
        <f t="shared" si="141"/>
        <v>0</v>
      </c>
      <c r="Z98" s="147"/>
      <c r="AA98" s="166">
        <f t="shared" si="142"/>
        <v>0</v>
      </c>
      <c r="AB98" s="147"/>
      <c r="AC98" s="166">
        <f t="shared" si="143"/>
        <v>0</v>
      </c>
      <c r="AD98" s="147"/>
      <c r="AE98" s="166">
        <f t="shared" si="144"/>
        <v>0</v>
      </c>
      <c r="AF98" s="147"/>
      <c r="AG98" s="166">
        <f t="shared" si="145"/>
        <v>0</v>
      </c>
      <c r="AH98" s="147"/>
      <c r="AI98" s="166">
        <f t="shared" si="146"/>
        <v>0</v>
      </c>
      <c r="AJ98" s="147"/>
      <c r="AK98" s="166">
        <f t="shared" si="147"/>
        <v>0</v>
      </c>
      <c r="AL98" s="147"/>
      <c r="AM98" s="166">
        <f t="shared" si="148"/>
        <v>0</v>
      </c>
      <c r="AN98" s="147"/>
      <c r="AO98" s="166">
        <f t="shared" si="149"/>
        <v>0</v>
      </c>
      <c r="AP98" s="147"/>
      <c r="AQ98" s="166">
        <f t="shared" si="150"/>
        <v>0</v>
      </c>
      <c r="AR98" s="147"/>
      <c r="AS98" s="166">
        <f t="shared" si="151"/>
        <v>0</v>
      </c>
      <c r="AT98" s="147"/>
      <c r="AU98" s="166">
        <f t="shared" si="152"/>
        <v>0</v>
      </c>
      <c r="AV98" s="147"/>
      <c r="AW98" s="166">
        <f t="shared" si="153"/>
        <v>0</v>
      </c>
      <c r="AX98" s="147"/>
      <c r="AY98" s="166">
        <f t="shared" si="154"/>
        <v>0</v>
      </c>
      <c r="AZ98" s="147"/>
      <c r="BA98" s="166">
        <f t="shared" si="155"/>
        <v>0</v>
      </c>
      <c r="BB98" s="147"/>
      <c r="BC98" s="166">
        <f t="shared" si="156"/>
        <v>0</v>
      </c>
      <c r="BD98" s="147"/>
      <c r="BE98" s="166">
        <f t="shared" si="157"/>
        <v>0</v>
      </c>
      <c r="BF98" s="147"/>
      <c r="BG98" s="166">
        <f t="shared" si="158"/>
        <v>0</v>
      </c>
      <c r="BH98" s="147"/>
      <c r="BI98" s="166">
        <f t="shared" si="159"/>
        <v>0</v>
      </c>
      <c r="BJ98" s="147"/>
      <c r="BK98" s="166">
        <f t="shared" si="160"/>
        <v>0</v>
      </c>
      <c r="BL98" s="147"/>
      <c r="BM98" s="166">
        <f t="shared" si="161"/>
        <v>0</v>
      </c>
      <c r="BN98" s="50"/>
      <c r="BO98" s="170" t="e">
        <f t="shared" si="132"/>
        <v>#VALUE!</v>
      </c>
      <c r="BP98" s="87"/>
      <c r="BQ98" s="172" t="e">
        <f t="shared" si="133"/>
        <v>#VALUE!</v>
      </c>
    </row>
    <row r="99" spans="1:76" x14ac:dyDescent="0.35">
      <c r="A99" s="44"/>
      <c r="B99" s="54" t="s">
        <v>65</v>
      </c>
      <c r="C99" s="144"/>
      <c r="D99" s="146"/>
      <c r="E99" s="166" t="e">
        <f t="shared" si="134"/>
        <v>#VALUE!</v>
      </c>
      <c r="F99" s="147"/>
      <c r="G99" s="166">
        <f t="shared" si="134"/>
        <v>0</v>
      </c>
      <c r="H99" s="147"/>
      <c r="I99" s="166">
        <f t="shared" si="134"/>
        <v>0</v>
      </c>
      <c r="J99" s="147"/>
      <c r="K99" s="166">
        <f t="shared" si="134"/>
        <v>0</v>
      </c>
      <c r="L99" s="147"/>
      <c r="M99" s="166">
        <f t="shared" si="135"/>
        <v>0</v>
      </c>
      <c r="N99" s="147"/>
      <c r="O99" s="166">
        <f t="shared" si="136"/>
        <v>0</v>
      </c>
      <c r="P99" s="147"/>
      <c r="Q99" s="166">
        <f t="shared" si="137"/>
        <v>0</v>
      </c>
      <c r="R99" s="147"/>
      <c r="S99" s="166">
        <f t="shared" si="138"/>
        <v>0</v>
      </c>
      <c r="T99" s="147"/>
      <c r="U99" s="166">
        <f t="shared" si="139"/>
        <v>0</v>
      </c>
      <c r="V99" s="147"/>
      <c r="W99" s="166">
        <f t="shared" si="140"/>
        <v>0</v>
      </c>
      <c r="X99" s="147"/>
      <c r="Y99" s="166">
        <f t="shared" si="141"/>
        <v>0</v>
      </c>
      <c r="Z99" s="147"/>
      <c r="AA99" s="166">
        <f t="shared" si="142"/>
        <v>0</v>
      </c>
      <c r="AB99" s="147"/>
      <c r="AC99" s="166">
        <f t="shared" si="143"/>
        <v>0</v>
      </c>
      <c r="AD99" s="147"/>
      <c r="AE99" s="166">
        <f t="shared" si="144"/>
        <v>0</v>
      </c>
      <c r="AF99" s="147"/>
      <c r="AG99" s="166">
        <f t="shared" si="145"/>
        <v>0</v>
      </c>
      <c r="AH99" s="147"/>
      <c r="AI99" s="166">
        <f t="shared" si="146"/>
        <v>0</v>
      </c>
      <c r="AJ99" s="147"/>
      <c r="AK99" s="166">
        <f t="shared" si="147"/>
        <v>0</v>
      </c>
      <c r="AL99" s="147"/>
      <c r="AM99" s="166">
        <f t="shared" si="148"/>
        <v>0</v>
      </c>
      <c r="AN99" s="147"/>
      <c r="AO99" s="166">
        <f t="shared" si="149"/>
        <v>0</v>
      </c>
      <c r="AP99" s="147"/>
      <c r="AQ99" s="166">
        <f t="shared" si="150"/>
        <v>0</v>
      </c>
      <c r="AR99" s="147"/>
      <c r="AS99" s="166">
        <f t="shared" si="151"/>
        <v>0</v>
      </c>
      <c r="AT99" s="147"/>
      <c r="AU99" s="166">
        <f t="shared" si="152"/>
        <v>0</v>
      </c>
      <c r="AV99" s="147"/>
      <c r="AW99" s="166">
        <f t="shared" si="153"/>
        <v>0</v>
      </c>
      <c r="AX99" s="147"/>
      <c r="AY99" s="166">
        <f t="shared" si="154"/>
        <v>0</v>
      </c>
      <c r="AZ99" s="147"/>
      <c r="BA99" s="166">
        <f t="shared" si="155"/>
        <v>0</v>
      </c>
      <c r="BB99" s="147"/>
      <c r="BC99" s="166">
        <f t="shared" si="156"/>
        <v>0</v>
      </c>
      <c r="BD99" s="147"/>
      <c r="BE99" s="166">
        <f t="shared" si="157"/>
        <v>0</v>
      </c>
      <c r="BF99" s="147"/>
      <c r="BG99" s="166">
        <f t="shared" si="158"/>
        <v>0</v>
      </c>
      <c r="BH99" s="147"/>
      <c r="BI99" s="166">
        <f t="shared" si="159"/>
        <v>0</v>
      </c>
      <c r="BJ99" s="147"/>
      <c r="BK99" s="166">
        <f t="shared" si="160"/>
        <v>0</v>
      </c>
      <c r="BL99" s="147"/>
      <c r="BM99" s="166">
        <f t="shared" si="161"/>
        <v>0</v>
      </c>
      <c r="BN99" s="50"/>
      <c r="BO99" s="170" t="e">
        <f t="shared" si="132"/>
        <v>#VALUE!</v>
      </c>
      <c r="BP99" s="87"/>
      <c r="BQ99" s="172" t="e">
        <f t="shared" si="133"/>
        <v>#VALUE!</v>
      </c>
    </row>
    <row r="100" spans="1:76" x14ac:dyDescent="0.35">
      <c r="A100" s="135" t="s">
        <v>84</v>
      </c>
      <c r="B100" s="54" t="s">
        <v>67</v>
      </c>
      <c r="C100" s="144"/>
      <c r="D100" s="146"/>
      <c r="E100" s="166" t="e">
        <f t="shared" si="134"/>
        <v>#VALUE!</v>
      </c>
      <c r="F100" s="147"/>
      <c r="G100" s="166">
        <f t="shared" si="134"/>
        <v>0</v>
      </c>
      <c r="H100" s="147"/>
      <c r="I100" s="166">
        <f t="shared" si="134"/>
        <v>0</v>
      </c>
      <c r="J100" s="147"/>
      <c r="K100" s="166">
        <f t="shared" si="134"/>
        <v>0</v>
      </c>
      <c r="L100" s="147"/>
      <c r="M100" s="166">
        <f t="shared" si="135"/>
        <v>0</v>
      </c>
      <c r="N100" s="147"/>
      <c r="O100" s="166">
        <f t="shared" si="136"/>
        <v>0</v>
      </c>
      <c r="P100" s="147"/>
      <c r="Q100" s="166">
        <f t="shared" si="137"/>
        <v>0</v>
      </c>
      <c r="R100" s="147"/>
      <c r="S100" s="166">
        <f t="shared" si="138"/>
        <v>0</v>
      </c>
      <c r="T100" s="147"/>
      <c r="U100" s="166">
        <f t="shared" si="139"/>
        <v>0</v>
      </c>
      <c r="V100" s="147"/>
      <c r="W100" s="166">
        <f t="shared" si="140"/>
        <v>0</v>
      </c>
      <c r="X100" s="147"/>
      <c r="Y100" s="166">
        <f t="shared" si="141"/>
        <v>0</v>
      </c>
      <c r="Z100" s="147"/>
      <c r="AA100" s="166">
        <f t="shared" si="142"/>
        <v>0</v>
      </c>
      <c r="AB100" s="147"/>
      <c r="AC100" s="166">
        <f t="shared" si="143"/>
        <v>0</v>
      </c>
      <c r="AD100" s="147"/>
      <c r="AE100" s="166">
        <f t="shared" si="144"/>
        <v>0</v>
      </c>
      <c r="AF100" s="147"/>
      <c r="AG100" s="166">
        <f t="shared" si="145"/>
        <v>0</v>
      </c>
      <c r="AH100" s="147"/>
      <c r="AI100" s="166">
        <f t="shared" si="146"/>
        <v>0</v>
      </c>
      <c r="AJ100" s="147"/>
      <c r="AK100" s="166">
        <f t="shared" si="147"/>
        <v>0</v>
      </c>
      <c r="AL100" s="147"/>
      <c r="AM100" s="166">
        <f t="shared" si="148"/>
        <v>0</v>
      </c>
      <c r="AN100" s="147"/>
      <c r="AO100" s="166">
        <f t="shared" si="149"/>
        <v>0</v>
      </c>
      <c r="AP100" s="147"/>
      <c r="AQ100" s="166">
        <f t="shared" si="150"/>
        <v>0</v>
      </c>
      <c r="AR100" s="147"/>
      <c r="AS100" s="166">
        <f t="shared" si="151"/>
        <v>0</v>
      </c>
      <c r="AT100" s="147"/>
      <c r="AU100" s="166">
        <f t="shared" si="152"/>
        <v>0</v>
      </c>
      <c r="AV100" s="147"/>
      <c r="AW100" s="166">
        <f t="shared" si="153"/>
        <v>0</v>
      </c>
      <c r="AX100" s="147"/>
      <c r="AY100" s="166">
        <f t="shared" si="154"/>
        <v>0</v>
      </c>
      <c r="AZ100" s="147"/>
      <c r="BA100" s="166">
        <f t="shared" si="155"/>
        <v>0</v>
      </c>
      <c r="BB100" s="147"/>
      <c r="BC100" s="166">
        <f t="shared" si="156"/>
        <v>0</v>
      </c>
      <c r="BD100" s="147"/>
      <c r="BE100" s="166">
        <f t="shared" si="157"/>
        <v>0</v>
      </c>
      <c r="BF100" s="147"/>
      <c r="BG100" s="166">
        <f t="shared" si="158"/>
        <v>0</v>
      </c>
      <c r="BH100" s="147"/>
      <c r="BI100" s="166">
        <f t="shared" si="159"/>
        <v>0</v>
      </c>
      <c r="BJ100" s="147"/>
      <c r="BK100" s="166">
        <f t="shared" si="160"/>
        <v>0</v>
      </c>
      <c r="BL100" s="147"/>
      <c r="BM100" s="166">
        <f t="shared" si="161"/>
        <v>0</v>
      </c>
      <c r="BN100" s="50"/>
      <c r="BO100" s="170" t="e">
        <f t="shared" si="132"/>
        <v>#VALUE!</v>
      </c>
      <c r="BP100" s="87"/>
      <c r="BQ100" s="172" t="e">
        <f t="shared" si="133"/>
        <v>#VALUE!</v>
      </c>
    </row>
    <row r="101" spans="1:76" x14ac:dyDescent="0.35">
      <c r="A101" s="136" t="s">
        <v>85</v>
      </c>
      <c r="B101" s="54" t="s">
        <v>66</v>
      </c>
      <c r="C101" s="144"/>
      <c r="D101" s="146"/>
      <c r="E101" s="166" t="e">
        <f t="shared" si="134"/>
        <v>#VALUE!</v>
      </c>
      <c r="F101" s="147"/>
      <c r="G101" s="166">
        <f t="shared" si="134"/>
        <v>0</v>
      </c>
      <c r="H101" s="147"/>
      <c r="I101" s="166">
        <f t="shared" si="134"/>
        <v>0</v>
      </c>
      <c r="J101" s="147"/>
      <c r="K101" s="166">
        <f t="shared" si="134"/>
        <v>0</v>
      </c>
      <c r="L101" s="147"/>
      <c r="M101" s="166">
        <f t="shared" si="135"/>
        <v>0</v>
      </c>
      <c r="N101" s="147"/>
      <c r="O101" s="166">
        <f t="shared" si="136"/>
        <v>0</v>
      </c>
      <c r="P101" s="147"/>
      <c r="Q101" s="166">
        <f t="shared" si="137"/>
        <v>0</v>
      </c>
      <c r="R101" s="147"/>
      <c r="S101" s="166">
        <f t="shared" si="138"/>
        <v>0</v>
      </c>
      <c r="T101" s="147"/>
      <c r="U101" s="166">
        <f t="shared" si="139"/>
        <v>0</v>
      </c>
      <c r="V101" s="147"/>
      <c r="W101" s="166">
        <f t="shared" si="140"/>
        <v>0</v>
      </c>
      <c r="X101" s="147"/>
      <c r="Y101" s="166">
        <f t="shared" si="141"/>
        <v>0</v>
      </c>
      <c r="Z101" s="147"/>
      <c r="AA101" s="166">
        <f t="shared" si="142"/>
        <v>0</v>
      </c>
      <c r="AB101" s="147"/>
      <c r="AC101" s="166">
        <f t="shared" si="143"/>
        <v>0</v>
      </c>
      <c r="AD101" s="147"/>
      <c r="AE101" s="166">
        <f t="shared" si="144"/>
        <v>0</v>
      </c>
      <c r="AF101" s="147"/>
      <c r="AG101" s="166">
        <f t="shared" si="145"/>
        <v>0</v>
      </c>
      <c r="AH101" s="147"/>
      <c r="AI101" s="166">
        <f t="shared" si="146"/>
        <v>0</v>
      </c>
      <c r="AJ101" s="147"/>
      <c r="AK101" s="166">
        <f t="shared" si="147"/>
        <v>0</v>
      </c>
      <c r="AL101" s="147"/>
      <c r="AM101" s="166">
        <f t="shared" si="148"/>
        <v>0</v>
      </c>
      <c r="AN101" s="147"/>
      <c r="AO101" s="166">
        <f t="shared" si="149"/>
        <v>0</v>
      </c>
      <c r="AP101" s="147"/>
      <c r="AQ101" s="166">
        <f t="shared" si="150"/>
        <v>0</v>
      </c>
      <c r="AR101" s="147"/>
      <c r="AS101" s="166">
        <f t="shared" si="151"/>
        <v>0</v>
      </c>
      <c r="AT101" s="147"/>
      <c r="AU101" s="166">
        <f t="shared" si="152"/>
        <v>0</v>
      </c>
      <c r="AV101" s="147"/>
      <c r="AW101" s="166">
        <f t="shared" si="153"/>
        <v>0</v>
      </c>
      <c r="AX101" s="147"/>
      <c r="AY101" s="166">
        <f t="shared" si="154"/>
        <v>0</v>
      </c>
      <c r="AZ101" s="147"/>
      <c r="BA101" s="166">
        <f t="shared" si="155"/>
        <v>0</v>
      </c>
      <c r="BB101" s="147"/>
      <c r="BC101" s="166">
        <f t="shared" si="156"/>
        <v>0</v>
      </c>
      <c r="BD101" s="147"/>
      <c r="BE101" s="166">
        <f t="shared" si="157"/>
        <v>0</v>
      </c>
      <c r="BF101" s="147"/>
      <c r="BG101" s="166">
        <f t="shared" si="158"/>
        <v>0</v>
      </c>
      <c r="BH101" s="147"/>
      <c r="BI101" s="166">
        <f t="shared" si="159"/>
        <v>0</v>
      </c>
      <c r="BJ101" s="147"/>
      <c r="BK101" s="166">
        <f t="shared" si="160"/>
        <v>0</v>
      </c>
      <c r="BL101" s="147"/>
      <c r="BM101" s="166">
        <f t="shared" si="161"/>
        <v>0</v>
      </c>
      <c r="BN101" s="50"/>
      <c r="BO101" s="170" t="e">
        <f t="shared" si="132"/>
        <v>#VALUE!</v>
      </c>
      <c r="BP101" s="87"/>
      <c r="BQ101" s="172" t="e">
        <f t="shared" si="133"/>
        <v>#VALUE!</v>
      </c>
    </row>
    <row r="102" spans="1:76" x14ac:dyDescent="0.35">
      <c r="A102" s="44" t="s">
        <v>86</v>
      </c>
      <c r="B102" s="54" t="s">
        <v>65</v>
      </c>
      <c r="C102" s="144"/>
      <c r="D102" s="146"/>
      <c r="E102" s="166" t="e">
        <f t="shared" si="134"/>
        <v>#VALUE!</v>
      </c>
      <c r="F102" s="147"/>
      <c r="G102" s="166">
        <f t="shared" si="134"/>
        <v>0</v>
      </c>
      <c r="H102" s="147"/>
      <c r="I102" s="166">
        <f t="shared" si="134"/>
        <v>0</v>
      </c>
      <c r="J102" s="147"/>
      <c r="K102" s="166">
        <f t="shared" si="134"/>
        <v>0</v>
      </c>
      <c r="L102" s="147"/>
      <c r="M102" s="166">
        <f t="shared" si="135"/>
        <v>0</v>
      </c>
      <c r="N102" s="147"/>
      <c r="O102" s="166">
        <f t="shared" si="136"/>
        <v>0</v>
      </c>
      <c r="P102" s="147"/>
      <c r="Q102" s="166">
        <f t="shared" si="137"/>
        <v>0</v>
      </c>
      <c r="R102" s="147"/>
      <c r="S102" s="166">
        <f t="shared" si="138"/>
        <v>0</v>
      </c>
      <c r="T102" s="147"/>
      <c r="U102" s="166">
        <f t="shared" si="139"/>
        <v>0</v>
      </c>
      <c r="V102" s="147"/>
      <c r="W102" s="166">
        <f t="shared" si="140"/>
        <v>0</v>
      </c>
      <c r="X102" s="147"/>
      <c r="Y102" s="166">
        <f t="shared" si="141"/>
        <v>0</v>
      </c>
      <c r="Z102" s="147"/>
      <c r="AA102" s="166">
        <f t="shared" si="142"/>
        <v>0</v>
      </c>
      <c r="AB102" s="147"/>
      <c r="AC102" s="166">
        <f t="shared" si="143"/>
        <v>0</v>
      </c>
      <c r="AD102" s="147"/>
      <c r="AE102" s="166">
        <f t="shared" si="144"/>
        <v>0</v>
      </c>
      <c r="AF102" s="147"/>
      <c r="AG102" s="166">
        <f t="shared" si="145"/>
        <v>0</v>
      </c>
      <c r="AH102" s="147"/>
      <c r="AI102" s="166">
        <f t="shared" si="146"/>
        <v>0</v>
      </c>
      <c r="AJ102" s="147"/>
      <c r="AK102" s="166">
        <f t="shared" si="147"/>
        <v>0</v>
      </c>
      <c r="AL102" s="147"/>
      <c r="AM102" s="166">
        <f t="shared" si="148"/>
        <v>0</v>
      </c>
      <c r="AN102" s="147"/>
      <c r="AO102" s="166">
        <f t="shared" si="149"/>
        <v>0</v>
      </c>
      <c r="AP102" s="147"/>
      <c r="AQ102" s="166">
        <f t="shared" si="150"/>
        <v>0</v>
      </c>
      <c r="AR102" s="147"/>
      <c r="AS102" s="166">
        <f t="shared" si="151"/>
        <v>0</v>
      </c>
      <c r="AT102" s="147"/>
      <c r="AU102" s="166">
        <f t="shared" si="152"/>
        <v>0</v>
      </c>
      <c r="AV102" s="147"/>
      <c r="AW102" s="166">
        <f t="shared" si="153"/>
        <v>0</v>
      </c>
      <c r="AX102" s="147"/>
      <c r="AY102" s="166">
        <f t="shared" si="154"/>
        <v>0</v>
      </c>
      <c r="AZ102" s="147"/>
      <c r="BA102" s="166">
        <f t="shared" si="155"/>
        <v>0</v>
      </c>
      <c r="BB102" s="147"/>
      <c r="BC102" s="166">
        <f t="shared" si="156"/>
        <v>0</v>
      </c>
      <c r="BD102" s="147"/>
      <c r="BE102" s="166">
        <f t="shared" si="157"/>
        <v>0</v>
      </c>
      <c r="BF102" s="147"/>
      <c r="BG102" s="166">
        <f t="shared" si="158"/>
        <v>0</v>
      </c>
      <c r="BH102" s="147"/>
      <c r="BI102" s="166">
        <f t="shared" si="159"/>
        <v>0</v>
      </c>
      <c r="BJ102" s="147"/>
      <c r="BK102" s="166">
        <f t="shared" si="160"/>
        <v>0</v>
      </c>
      <c r="BL102" s="147"/>
      <c r="BM102" s="166">
        <f t="shared" si="161"/>
        <v>0</v>
      </c>
      <c r="BN102" s="50"/>
      <c r="BO102" s="170" t="e">
        <f t="shared" si="132"/>
        <v>#VALUE!</v>
      </c>
      <c r="BP102" s="87"/>
      <c r="BQ102" s="172" t="e">
        <f t="shared" si="133"/>
        <v>#VALUE!</v>
      </c>
    </row>
    <row r="103" spans="1:76" x14ac:dyDescent="0.35">
      <c r="A103" s="53"/>
      <c r="B103" s="54"/>
      <c r="C103" s="144"/>
      <c r="D103" s="189">
        <f>SUM(D91:D102)</f>
        <v>0</v>
      </c>
      <c r="E103" s="166" t="e">
        <f t="shared" ref="E103:BP103" si="162">SUM(E91:E102)</f>
        <v>#VALUE!</v>
      </c>
      <c r="F103" s="167">
        <f t="shared" si="162"/>
        <v>0</v>
      </c>
      <c r="G103" s="166">
        <f t="shared" si="162"/>
        <v>0</v>
      </c>
      <c r="H103" s="167">
        <f t="shared" si="162"/>
        <v>0</v>
      </c>
      <c r="I103" s="166">
        <f t="shared" si="162"/>
        <v>0</v>
      </c>
      <c r="J103" s="167">
        <f t="shared" si="162"/>
        <v>0</v>
      </c>
      <c r="K103" s="166">
        <f t="shared" si="162"/>
        <v>0</v>
      </c>
      <c r="L103" s="167">
        <f t="shared" si="162"/>
        <v>0</v>
      </c>
      <c r="M103" s="166">
        <f t="shared" si="162"/>
        <v>0</v>
      </c>
      <c r="N103" s="167">
        <f t="shared" si="162"/>
        <v>0</v>
      </c>
      <c r="O103" s="166">
        <f t="shared" si="162"/>
        <v>0</v>
      </c>
      <c r="P103" s="167">
        <f t="shared" si="162"/>
        <v>0</v>
      </c>
      <c r="Q103" s="166">
        <f t="shared" si="162"/>
        <v>0</v>
      </c>
      <c r="R103" s="167">
        <f t="shared" si="162"/>
        <v>0</v>
      </c>
      <c r="S103" s="166">
        <f t="shared" si="162"/>
        <v>0</v>
      </c>
      <c r="T103" s="167">
        <f t="shared" si="162"/>
        <v>0</v>
      </c>
      <c r="U103" s="166">
        <f t="shared" si="162"/>
        <v>0</v>
      </c>
      <c r="V103" s="167">
        <f t="shared" si="162"/>
        <v>0</v>
      </c>
      <c r="W103" s="166">
        <f t="shared" si="162"/>
        <v>0</v>
      </c>
      <c r="X103" s="167">
        <f t="shared" si="162"/>
        <v>0</v>
      </c>
      <c r="Y103" s="166">
        <f t="shared" si="162"/>
        <v>0</v>
      </c>
      <c r="Z103" s="167">
        <f t="shared" si="162"/>
        <v>0</v>
      </c>
      <c r="AA103" s="166">
        <f t="shared" si="162"/>
        <v>0</v>
      </c>
      <c r="AB103" s="167">
        <f t="shared" si="162"/>
        <v>0</v>
      </c>
      <c r="AC103" s="166">
        <f t="shared" si="162"/>
        <v>0</v>
      </c>
      <c r="AD103" s="167">
        <f t="shared" si="162"/>
        <v>0</v>
      </c>
      <c r="AE103" s="166">
        <f t="shared" si="162"/>
        <v>0</v>
      </c>
      <c r="AF103" s="167">
        <f t="shared" si="162"/>
        <v>0</v>
      </c>
      <c r="AG103" s="166">
        <f t="shared" si="162"/>
        <v>0</v>
      </c>
      <c r="AH103" s="167">
        <f t="shared" si="162"/>
        <v>0</v>
      </c>
      <c r="AI103" s="166">
        <f t="shared" si="162"/>
        <v>0</v>
      </c>
      <c r="AJ103" s="167">
        <f t="shared" si="162"/>
        <v>0</v>
      </c>
      <c r="AK103" s="166">
        <f t="shared" si="162"/>
        <v>0</v>
      </c>
      <c r="AL103" s="167">
        <f t="shared" si="162"/>
        <v>0</v>
      </c>
      <c r="AM103" s="166">
        <f t="shared" si="162"/>
        <v>0</v>
      </c>
      <c r="AN103" s="167">
        <f t="shared" si="162"/>
        <v>0</v>
      </c>
      <c r="AO103" s="166">
        <f t="shared" si="162"/>
        <v>0</v>
      </c>
      <c r="AP103" s="167">
        <f t="shared" si="162"/>
        <v>0</v>
      </c>
      <c r="AQ103" s="194">
        <f t="shared" si="162"/>
        <v>0</v>
      </c>
      <c r="AR103" s="167">
        <f t="shared" si="162"/>
        <v>0</v>
      </c>
      <c r="AS103" s="166">
        <f t="shared" si="162"/>
        <v>0</v>
      </c>
      <c r="AT103" s="167">
        <f t="shared" si="162"/>
        <v>0</v>
      </c>
      <c r="AU103" s="166">
        <f t="shared" si="162"/>
        <v>0</v>
      </c>
      <c r="AV103" s="167">
        <f t="shared" si="162"/>
        <v>0</v>
      </c>
      <c r="AW103" s="166">
        <f t="shared" si="162"/>
        <v>0</v>
      </c>
      <c r="AX103" s="167">
        <f t="shared" si="162"/>
        <v>0</v>
      </c>
      <c r="AY103" s="166">
        <f t="shared" si="162"/>
        <v>0</v>
      </c>
      <c r="AZ103" s="167">
        <f t="shared" si="162"/>
        <v>0</v>
      </c>
      <c r="BA103" s="166">
        <f t="shared" si="162"/>
        <v>0</v>
      </c>
      <c r="BB103" s="167">
        <f t="shared" si="162"/>
        <v>0</v>
      </c>
      <c r="BC103" s="166">
        <f t="shared" si="162"/>
        <v>0</v>
      </c>
      <c r="BD103" s="167">
        <f t="shared" si="162"/>
        <v>0</v>
      </c>
      <c r="BE103" s="166">
        <f t="shared" si="162"/>
        <v>0</v>
      </c>
      <c r="BF103" s="167">
        <f t="shared" si="162"/>
        <v>0</v>
      </c>
      <c r="BG103" s="166">
        <f t="shared" si="162"/>
        <v>0</v>
      </c>
      <c r="BH103" s="167">
        <f t="shared" si="162"/>
        <v>0</v>
      </c>
      <c r="BI103" s="166">
        <f t="shared" si="162"/>
        <v>0</v>
      </c>
      <c r="BJ103" s="167">
        <f t="shared" si="162"/>
        <v>0</v>
      </c>
      <c r="BK103" s="166">
        <f t="shared" si="162"/>
        <v>0</v>
      </c>
      <c r="BL103" s="167">
        <f t="shared" si="162"/>
        <v>0</v>
      </c>
      <c r="BM103" s="166">
        <f t="shared" si="162"/>
        <v>0</v>
      </c>
      <c r="BN103" s="50"/>
      <c r="BO103" s="170" t="e">
        <f t="shared" si="132"/>
        <v>#VALUE!</v>
      </c>
      <c r="BP103" s="173">
        <f t="shared" si="162"/>
        <v>0</v>
      </c>
      <c r="BQ103" s="172" t="e">
        <f>SUM(BQ91:BQ102)</f>
        <v>#VALUE!</v>
      </c>
    </row>
    <row r="104" spans="1:76" x14ac:dyDescent="0.35">
      <c r="A104" s="53"/>
      <c r="B104" s="54"/>
      <c r="C104" s="144"/>
      <c r="D104" s="189">
        <f t="shared" si="98"/>
        <v>0</v>
      </c>
      <c r="E104" s="48"/>
      <c r="F104" s="167">
        <f t="shared" si="99"/>
        <v>0</v>
      </c>
      <c r="G104" s="48"/>
      <c r="H104" s="167">
        <f t="shared" si="100"/>
        <v>0</v>
      </c>
      <c r="I104" s="48"/>
      <c r="J104" s="167">
        <f t="shared" si="101"/>
        <v>0</v>
      </c>
      <c r="K104" s="48"/>
      <c r="L104" s="167">
        <f t="shared" ref="L104" si="163">+M104-K104</f>
        <v>0</v>
      </c>
      <c r="M104" s="48"/>
      <c r="N104" s="167">
        <f t="shared" ref="N104" si="164">+O104-M104</f>
        <v>0</v>
      </c>
      <c r="O104" s="48"/>
      <c r="P104" s="167">
        <f t="shared" ref="P104" si="165">+Q104-O104</f>
        <v>0</v>
      </c>
      <c r="Q104" s="48"/>
      <c r="R104" s="167">
        <f t="shared" ref="R104" si="166">+S104-Q104</f>
        <v>0</v>
      </c>
      <c r="S104" s="48"/>
      <c r="T104" s="167">
        <f t="shared" ref="T104" si="167">+U104-S104</f>
        <v>0</v>
      </c>
      <c r="U104" s="48"/>
      <c r="V104" s="167">
        <f t="shared" ref="V104" si="168">+W104-U104</f>
        <v>0</v>
      </c>
      <c r="W104" s="48"/>
      <c r="X104" s="167">
        <f t="shared" ref="X104" si="169">+Y104-W104</f>
        <v>0</v>
      </c>
      <c r="Y104" s="48"/>
      <c r="Z104" s="167">
        <f t="shared" ref="Z104" si="170">+AA104-Y104</f>
        <v>0</v>
      </c>
      <c r="AA104" s="48"/>
      <c r="AB104" s="167">
        <f t="shared" ref="AB104" si="171">+AC104-AA104</f>
        <v>0</v>
      </c>
      <c r="AC104" s="48"/>
      <c r="AD104" s="167">
        <f t="shared" ref="AD104" si="172">+AE104-AC104</f>
        <v>0</v>
      </c>
      <c r="AE104" s="48"/>
      <c r="AF104" s="167">
        <f t="shared" ref="AF104" si="173">+AG104-AE104</f>
        <v>0</v>
      </c>
      <c r="AG104" s="48"/>
      <c r="AH104" s="167">
        <f t="shared" ref="AH104" si="174">+AI104-AG104</f>
        <v>0</v>
      </c>
      <c r="AI104" s="48"/>
      <c r="AJ104" s="167">
        <f t="shared" ref="AJ104" si="175">+AK104-AI104</f>
        <v>0</v>
      </c>
      <c r="AK104" s="48"/>
      <c r="AL104" s="167">
        <f t="shared" ref="AL104" si="176">+AM104-AK104</f>
        <v>0</v>
      </c>
      <c r="AM104" s="48"/>
      <c r="AN104" s="167">
        <f t="shared" ref="AN104" si="177">+AO104-AM104</f>
        <v>0</v>
      </c>
      <c r="AO104" s="48"/>
      <c r="AP104" s="167">
        <f t="shared" ref="AP104" si="178">+AQ104-AO104</f>
        <v>0</v>
      </c>
      <c r="AQ104" s="48"/>
      <c r="AR104" s="167">
        <f t="shared" ref="AR104" si="179">+AS104-AQ104</f>
        <v>0</v>
      </c>
      <c r="AS104" s="48"/>
      <c r="AT104" s="167">
        <f t="shared" ref="AT104" si="180">+AU104-AS104</f>
        <v>0</v>
      </c>
      <c r="AU104" s="48"/>
      <c r="AV104" s="167">
        <f t="shared" ref="AV104" si="181">+AW104-AU104</f>
        <v>0</v>
      </c>
      <c r="AW104" s="48"/>
      <c r="AX104" s="167">
        <f t="shared" ref="AX104" si="182">+AY104-AW104</f>
        <v>0</v>
      </c>
      <c r="AY104" s="48"/>
      <c r="AZ104" s="167">
        <f t="shared" ref="AZ104" si="183">+BA104-AY104</f>
        <v>0</v>
      </c>
      <c r="BA104" s="48"/>
      <c r="BB104" s="167">
        <f t="shared" ref="BB104" si="184">+BC104-BA104</f>
        <v>0</v>
      </c>
      <c r="BC104" s="48"/>
      <c r="BD104" s="167">
        <f t="shared" ref="BD104" si="185">+BE104-BC104</f>
        <v>0</v>
      </c>
      <c r="BE104" s="48"/>
      <c r="BF104" s="167">
        <f t="shared" ref="BF104" si="186">+BG104-BE104</f>
        <v>0</v>
      </c>
      <c r="BG104" s="48"/>
      <c r="BH104" s="167">
        <f t="shared" ref="BH104" si="187">+BI104-BG104</f>
        <v>0</v>
      </c>
      <c r="BI104" s="48"/>
      <c r="BJ104" s="167">
        <f t="shared" ref="BJ104" si="188">+BK104-BI104</f>
        <v>0</v>
      </c>
      <c r="BK104" s="48"/>
      <c r="BL104" s="167">
        <f t="shared" ref="BL104" si="189">+BM104-BK104</f>
        <v>0</v>
      </c>
      <c r="BM104" s="48"/>
      <c r="BN104" s="50"/>
      <c r="BO104" s="51"/>
      <c r="BP104" s="173">
        <f t="shared" ref="BP104" si="190">+BQ104-BM104</f>
        <v>0</v>
      </c>
      <c r="BQ104" s="52"/>
    </row>
    <row r="105" spans="1:76" x14ac:dyDescent="0.35">
      <c r="A105" s="74"/>
      <c r="B105" s="75"/>
      <c r="C105" s="76"/>
      <c r="D105" s="77"/>
      <c r="E105" s="148"/>
      <c r="F105" s="79"/>
      <c r="G105" s="148"/>
      <c r="H105" s="79"/>
      <c r="I105" s="148"/>
      <c r="J105" s="79"/>
      <c r="K105" s="148"/>
      <c r="L105" s="79"/>
      <c r="M105" s="148"/>
      <c r="N105" s="79"/>
      <c r="O105" s="148"/>
      <c r="P105" s="79"/>
      <c r="Q105" s="148"/>
      <c r="R105" s="79"/>
      <c r="S105" s="148"/>
      <c r="T105" s="79"/>
      <c r="U105" s="148"/>
      <c r="V105" s="79"/>
      <c r="W105" s="148"/>
      <c r="X105" s="79"/>
      <c r="Y105" s="148"/>
      <c r="Z105" s="79"/>
      <c r="AA105" s="148"/>
      <c r="AB105" s="79"/>
      <c r="AC105" s="148"/>
      <c r="AD105" s="79"/>
      <c r="AE105" s="148"/>
      <c r="AF105" s="79"/>
      <c r="AG105" s="148"/>
      <c r="AH105" s="79"/>
      <c r="AI105" s="148"/>
      <c r="AJ105" s="79"/>
      <c r="AK105" s="148"/>
      <c r="AL105" s="79"/>
      <c r="AM105" s="148"/>
      <c r="AN105" s="79"/>
      <c r="AO105" s="148"/>
      <c r="AP105" s="79"/>
      <c r="AQ105" s="148"/>
      <c r="AR105" s="79"/>
      <c r="AS105" s="148"/>
      <c r="AT105" s="79"/>
      <c r="AU105" s="148"/>
      <c r="AV105" s="79"/>
      <c r="AW105" s="148"/>
      <c r="AX105" s="79"/>
      <c r="AY105" s="148"/>
      <c r="AZ105" s="79"/>
      <c r="BA105" s="148"/>
      <c r="BB105" s="79"/>
      <c r="BC105" s="148"/>
      <c r="BD105" s="79"/>
      <c r="BE105" s="148"/>
      <c r="BF105" s="79"/>
      <c r="BG105" s="148"/>
      <c r="BH105" s="79"/>
      <c r="BI105" s="148"/>
      <c r="BJ105" s="79"/>
      <c r="BK105" s="148"/>
      <c r="BL105" s="79"/>
      <c r="BM105" s="148"/>
      <c r="BN105" s="80"/>
      <c r="BO105" s="81"/>
      <c r="BP105" s="79"/>
      <c r="BQ105" s="82"/>
    </row>
    <row r="106" spans="1:76" x14ac:dyDescent="0.35">
      <c r="A106" s="53" t="s">
        <v>32</v>
      </c>
      <c r="B106" s="54"/>
      <c r="C106" s="67"/>
      <c r="D106" s="68"/>
      <c r="E106" s="69"/>
      <c r="F106" s="70"/>
      <c r="G106" s="69"/>
      <c r="H106" s="70"/>
      <c r="I106" s="69"/>
      <c r="J106" s="70"/>
      <c r="K106" s="69"/>
      <c r="L106" s="70"/>
      <c r="M106" s="69"/>
      <c r="N106" s="70"/>
      <c r="O106" s="69"/>
      <c r="P106" s="70"/>
      <c r="Q106" s="69"/>
      <c r="R106" s="70"/>
      <c r="S106" s="69"/>
      <c r="T106" s="70"/>
      <c r="U106" s="69"/>
      <c r="V106" s="70"/>
      <c r="W106" s="69"/>
      <c r="X106" s="70"/>
      <c r="Y106" s="69"/>
      <c r="Z106" s="70"/>
      <c r="AA106" s="69"/>
      <c r="AB106" s="70"/>
      <c r="AC106" s="69"/>
      <c r="AD106" s="70"/>
      <c r="AE106" s="69"/>
      <c r="AF106" s="70"/>
      <c r="AG106" s="69"/>
      <c r="AH106" s="70"/>
      <c r="AI106" s="69"/>
      <c r="AJ106" s="70"/>
      <c r="AK106" s="69"/>
      <c r="AL106" s="70"/>
      <c r="AM106" s="69"/>
      <c r="AN106" s="70"/>
      <c r="AO106" s="69"/>
      <c r="AP106" s="70"/>
      <c r="AQ106" s="69"/>
      <c r="AR106" s="70"/>
      <c r="AS106" s="69"/>
      <c r="AT106" s="70"/>
      <c r="AU106" s="69"/>
      <c r="AV106" s="70"/>
      <c r="AW106" s="69"/>
      <c r="AX106" s="70"/>
      <c r="AY106" s="69"/>
      <c r="AZ106" s="70"/>
      <c r="BA106" s="69"/>
      <c r="BB106" s="70"/>
      <c r="BC106" s="69"/>
      <c r="BD106" s="70"/>
      <c r="BE106" s="69"/>
      <c r="BF106" s="70"/>
      <c r="BG106" s="69"/>
      <c r="BH106" s="70"/>
      <c r="BI106" s="69"/>
      <c r="BJ106" s="70"/>
      <c r="BK106" s="69"/>
      <c r="BL106" s="70"/>
      <c r="BM106" s="69"/>
      <c r="BN106" s="71"/>
      <c r="BO106" s="182" t="str">
        <f t="shared" ref="BO106:BO120" si="191">IF(COUNT(E106,G106,I106,K106,M106,O106,Q106,S106,U106,W106,Y106,AA106,AC106,AE106,AG106,AI106,AK106,AM106,AO106,AQ106,AS106,AU106,AW106,AY106,BA106,BC106,BE106,BG106,BI106,BK106,BM106)=0,"",SUM(E106,G106,I106,K106,M106,O106,Q106,S106,U106,W106,Y106,AA106,AC106,AE106,AG106,AI106,AK106,AM106,AO106,AQ106,AS106,AU106,AW106,AY106,BA106,BC106,BE106,BG106,BI106,BK106,BM106))</f>
        <v/>
      </c>
      <c r="BP106" s="70"/>
      <c r="BQ106" s="73"/>
    </row>
    <row r="107" spans="1:76" x14ac:dyDescent="0.35">
      <c r="A107" s="53" t="s">
        <v>33</v>
      </c>
      <c r="B107" s="54"/>
      <c r="C107" s="67"/>
      <c r="D107" s="68"/>
      <c r="E107" s="69"/>
      <c r="F107" s="70"/>
      <c r="G107" s="69"/>
      <c r="H107" s="70"/>
      <c r="I107" s="69"/>
      <c r="J107" s="70"/>
      <c r="K107" s="69"/>
      <c r="L107" s="70"/>
      <c r="M107" s="69"/>
      <c r="N107" s="70"/>
      <c r="O107" s="69"/>
      <c r="P107" s="70"/>
      <c r="Q107" s="69"/>
      <c r="R107" s="70"/>
      <c r="S107" s="69"/>
      <c r="T107" s="70"/>
      <c r="U107" s="69"/>
      <c r="V107" s="70"/>
      <c r="W107" s="69"/>
      <c r="X107" s="70"/>
      <c r="Y107" s="69"/>
      <c r="Z107" s="70"/>
      <c r="AA107" s="69"/>
      <c r="AB107" s="70"/>
      <c r="AC107" s="69"/>
      <c r="AD107" s="70"/>
      <c r="AE107" s="69"/>
      <c r="AF107" s="70"/>
      <c r="AG107" s="69"/>
      <c r="AH107" s="70"/>
      <c r="AI107" s="69"/>
      <c r="AJ107" s="70"/>
      <c r="AK107" s="69"/>
      <c r="AL107" s="70"/>
      <c r="AM107" s="69"/>
      <c r="AN107" s="70"/>
      <c r="AO107" s="69"/>
      <c r="AP107" s="70"/>
      <c r="AQ107" s="69"/>
      <c r="AR107" s="70"/>
      <c r="AS107" s="69"/>
      <c r="AT107" s="70"/>
      <c r="AU107" s="69"/>
      <c r="AV107" s="70"/>
      <c r="AW107" s="69"/>
      <c r="AX107" s="70"/>
      <c r="AY107" s="69"/>
      <c r="AZ107" s="70"/>
      <c r="BA107" s="69"/>
      <c r="BB107" s="70"/>
      <c r="BC107" s="69"/>
      <c r="BD107" s="70"/>
      <c r="BE107" s="69"/>
      <c r="BF107" s="70"/>
      <c r="BG107" s="69"/>
      <c r="BH107" s="70"/>
      <c r="BI107" s="69"/>
      <c r="BJ107" s="70"/>
      <c r="BK107" s="69"/>
      <c r="BL107" s="70"/>
      <c r="BM107" s="69"/>
      <c r="BN107" s="71"/>
      <c r="BO107" s="182" t="str">
        <f t="shared" si="191"/>
        <v/>
      </c>
      <c r="BP107" s="70"/>
      <c r="BQ107" s="73"/>
    </row>
    <row r="108" spans="1:76" x14ac:dyDescent="0.35">
      <c r="A108" s="53" t="s">
        <v>33</v>
      </c>
      <c r="B108" s="54"/>
      <c r="C108" s="67"/>
      <c r="D108" s="68"/>
      <c r="E108" s="69"/>
      <c r="F108" s="70"/>
      <c r="G108" s="69"/>
      <c r="H108" s="70"/>
      <c r="I108" s="69"/>
      <c r="J108" s="70"/>
      <c r="K108" s="69"/>
      <c r="L108" s="70"/>
      <c r="M108" s="69"/>
      <c r="N108" s="70"/>
      <c r="O108" s="69"/>
      <c r="P108" s="70"/>
      <c r="Q108" s="69"/>
      <c r="R108" s="70"/>
      <c r="S108" s="69"/>
      <c r="T108" s="70"/>
      <c r="U108" s="69"/>
      <c r="V108" s="70"/>
      <c r="W108" s="69"/>
      <c r="X108" s="70"/>
      <c r="Y108" s="69"/>
      <c r="Z108" s="70"/>
      <c r="AA108" s="69"/>
      <c r="AB108" s="70"/>
      <c r="AC108" s="69"/>
      <c r="AD108" s="70"/>
      <c r="AE108" s="69"/>
      <c r="AF108" s="70"/>
      <c r="AG108" s="69"/>
      <c r="AH108" s="70"/>
      <c r="AI108" s="69"/>
      <c r="AJ108" s="70"/>
      <c r="AK108" s="69"/>
      <c r="AL108" s="70"/>
      <c r="AM108" s="69"/>
      <c r="AN108" s="70"/>
      <c r="AO108" s="69"/>
      <c r="AP108" s="70"/>
      <c r="AQ108" s="69"/>
      <c r="AR108" s="70"/>
      <c r="AS108" s="69"/>
      <c r="AT108" s="70"/>
      <c r="AU108" s="69"/>
      <c r="AV108" s="70"/>
      <c r="AW108" s="69"/>
      <c r="AX108" s="70"/>
      <c r="AY108" s="69"/>
      <c r="AZ108" s="70"/>
      <c r="BA108" s="69"/>
      <c r="BB108" s="70"/>
      <c r="BC108" s="69"/>
      <c r="BD108" s="70"/>
      <c r="BE108" s="69"/>
      <c r="BF108" s="70"/>
      <c r="BG108" s="69"/>
      <c r="BH108" s="70"/>
      <c r="BI108" s="69"/>
      <c r="BJ108" s="70"/>
      <c r="BK108" s="69"/>
      <c r="BL108" s="70"/>
      <c r="BM108" s="69"/>
      <c r="BN108" s="71"/>
      <c r="BO108" s="182" t="str">
        <f t="shared" si="191"/>
        <v/>
      </c>
      <c r="BP108" s="70"/>
      <c r="BQ108" s="73"/>
    </row>
    <row r="109" spans="1:76" x14ac:dyDescent="0.35">
      <c r="A109" s="53" t="s">
        <v>34</v>
      </c>
      <c r="B109" s="54"/>
      <c r="C109" s="67"/>
      <c r="D109" s="68"/>
      <c r="E109" s="69"/>
      <c r="F109" s="70"/>
      <c r="G109" s="69"/>
      <c r="H109" s="70"/>
      <c r="I109" s="69"/>
      <c r="J109" s="70"/>
      <c r="K109" s="69"/>
      <c r="L109" s="70"/>
      <c r="M109" s="69"/>
      <c r="N109" s="70"/>
      <c r="O109" s="69"/>
      <c r="P109" s="70"/>
      <c r="Q109" s="69"/>
      <c r="R109" s="70"/>
      <c r="S109" s="69"/>
      <c r="T109" s="70"/>
      <c r="U109" s="69"/>
      <c r="V109" s="70"/>
      <c r="W109" s="69"/>
      <c r="X109" s="70"/>
      <c r="Y109" s="69"/>
      <c r="Z109" s="70"/>
      <c r="AA109" s="69"/>
      <c r="AB109" s="70"/>
      <c r="AC109" s="69"/>
      <c r="AD109" s="70"/>
      <c r="AE109" s="69"/>
      <c r="AF109" s="70"/>
      <c r="AG109" s="69"/>
      <c r="AH109" s="70"/>
      <c r="AI109" s="69"/>
      <c r="AJ109" s="70"/>
      <c r="AK109" s="69"/>
      <c r="AL109" s="70"/>
      <c r="AM109" s="69"/>
      <c r="AN109" s="70"/>
      <c r="AO109" s="69"/>
      <c r="AP109" s="70"/>
      <c r="AQ109" s="69"/>
      <c r="AR109" s="70"/>
      <c r="AS109" s="69"/>
      <c r="AT109" s="70"/>
      <c r="AU109" s="69"/>
      <c r="AV109" s="70"/>
      <c r="AW109" s="69"/>
      <c r="AX109" s="70"/>
      <c r="AY109" s="69"/>
      <c r="AZ109" s="70"/>
      <c r="BA109" s="69"/>
      <c r="BB109" s="70"/>
      <c r="BC109" s="69"/>
      <c r="BD109" s="70"/>
      <c r="BE109" s="69"/>
      <c r="BF109" s="70"/>
      <c r="BG109" s="69"/>
      <c r="BH109" s="70"/>
      <c r="BI109" s="69"/>
      <c r="BJ109" s="70"/>
      <c r="BK109" s="69"/>
      <c r="BL109" s="70"/>
      <c r="BM109" s="69"/>
      <c r="BN109" s="71"/>
      <c r="BO109" s="182" t="str">
        <f t="shared" si="191"/>
        <v/>
      </c>
      <c r="BP109" s="70"/>
      <c r="BQ109" s="73"/>
    </row>
    <row r="110" spans="1:76" x14ac:dyDescent="0.35">
      <c r="A110" s="53" t="s">
        <v>34</v>
      </c>
      <c r="B110" s="54"/>
      <c r="C110" s="67"/>
      <c r="D110" s="68"/>
      <c r="E110" s="69"/>
      <c r="F110" s="70"/>
      <c r="G110" s="69"/>
      <c r="H110" s="70"/>
      <c r="I110" s="69"/>
      <c r="J110" s="70"/>
      <c r="K110" s="69"/>
      <c r="L110" s="70"/>
      <c r="M110" s="69"/>
      <c r="N110" s="70"/>
      <c r="O110" s="69"/>
      <c r="P110" s="70"/>
      <c r="Q110" s="69"/>
      <c r="R110" s="70"/>
      <c r="S110" s="69"/>
      <c r="T110" s="70"/>
      <c r="U110" s="69"/>
      <c r="V110" s="70"/>
      <c r="W110" s="69"/>
      <c r="X110" s="70"/>
      <c r="Y110" s="69"/>
      <c r="Z110" s="70"/>
      <c r="AA110" s="69"/>
      <c r="AB110" s="70"/>
      <c r="AC110" s="69"/>
      <c r="AD110" s="70"/>
      <c r="AE110" s="69"/>
      <c r="AF110" s="70"/>
      <c r="AG110" s="69"/>
      <c r="AH110" s="70"/>
      <c r="AI110" s="69"/>
      <c r="AJ110" s="70"/>
      <c r="AK110" s="69"/>
      <c r="AL110" s="70"/>
      <c r="AM110" s="69"/>
      <c r="AN110" s="70"/>
      <c r="AO110" s="69"/>
      <c r="AP110" s="70"/>
      <c r="AQ110" s="69"/>
      <c r="AR110" s="70"/>
      <c r="AS110" s="69"/>
      <c r="AT110" s="70"/>
      <c r="AU110" s="69"/>
      <c r="AV110" s="70"/>
      <c r="AW110" s="69"/>
      <c r="AX110" s="70"/>
      <c r="AY110" s="69"/>
      <c r="AZ110" s="70"/>
      <c r="BA110" s="69"/>
      <c r="BB110" s="70"/>
      <c r="BC110" s="69"/>
      <c r="BD110" s="70"/>
      <c r="BE110" s="69"/>
      <c r="BF110" s="70"/>
      <c r="BG110" s="69"/>
      <c r="BH110" s="70"/>
      <c r="BI110" s="69"/>
      <c r="BJ110" s="70"/>
      <c r="BK110" s="69"/>
      <c r="BL110" s="70"/>
      <c r="BM110" s="69"/>
      <c r="BN110" s="71"/>
      <c r="BO110" s="182" t="str">
        <f t="shared" si="191"/>
        <v/>
      </c>
      <c r="BP110" s="70"/>
      <c r="BQ110" s="73"/>
    </row>
    <row r="111" spans="1:76" s="6" customFormat="1" x14ac:dyDescent="0.35">
      <c r="A111" s="149" t="s">
        <v>71</v>
      </c>
      <c r="B111" s="150"/>
      <c r="C111" s="67"/>
      <c r="D111" s="151"/>
      <c r="E111" s="69"/>
      <c r="F111" s="152"/>
      <c r="G111" s="69"/>
      <c r="H111" s="152"/>
      <c r="I111" s="69"/>
      <c r="J111" s="152"/>
      <c r="K111" s="69"/>
      <c r="L111" s="152"/>
      <c r="M111" s="69"/>
      <c r="N111" s="152"/>
      <c r="O111" s="69"/>
      <c r="P111" s="152"/>
      <c r="Q111" s="69"/>
      <c r="R111" s="152"/>
      <c r="S111" s="69"/>
      <c r="T111" s="152"/>
      <c r="U111" s="69"/>
      <c r="V111" s="152"/>
      <c r="W111" s="69"/>
      <c r="X111" s="152"/>
      <c r="Y111" s="69"/>
      <c r="Z111" s="152"/>
      <c r="AA111" s="69"/>
      <c r="AB111" s="152"/>
      <c r="AC111" s="69"/>
      <c r="AD111" s="152"/>
      <c r="AE111" s="69"/>
      <c r="AF111" s="152"/>
      <c r="AG111" s="69"/>
      <c r="AH111" s="152"/>
      <c r="AI111" s="69"/>
      <c r="AJ111" s="152"/>
      <c r="AK111" s="69"/>
      <c r="AL111" s="152"/>
      <c r="AM111" s="69"/>
      <c r="AN111" s="152"/>
      <c r="AO111" s="69"/>
      <c r="AP111" s="152"/>
      <c r="AQ111" s="69"/>
      <c r="AR111" s="152"/>
      <c r="AS111" s="69"/>
      <c r="AT111" s="152"/>
      <c r="AU111" s="69"/>
      <c r="AV111" s="152"/>
      <c r="AW111" s="69"/>
      <c r="AX111" s="152"/>
      <c r="AY111" s="69"/>
      <c r="AZ111" s="152"/>
      <c r="BA111" s="69"/>
      <c r="BB111" s="152"/>
      <c r="BC111" s="69"/>
      <c r="BD111" s="152"/>
      <c r="BE111" s="69"/>
      <c r="BF111" s="152"/>
      <c r="BG111" s="69"/>
      <c r="BH111" s="152"/>
      <c r="BI111" s="69"/>
      <c r="BJ111" s="152"/>
      <c r="BK111" s="69"/>
      <c r="BL111" s="152"/>
      <c r="BM111" s="69"/>
      <c r="BN111" s="71"/>
      <c r="BO111" s="182" t="str">
        <f t="shared" si="191"/>
        <v/>
      </c>
      <c r="BP111" s="152"/>
      <c r="BQ111" s="73"/>
      <c r="BR111"/>
      <c r="BS111"/>
      <c r="BT111"/>
      <c r="BU111"/>
      <c r="BV111"/>
      <c r="BW111"/>
      <c r="BX111"/>
    </row>
    <row r="112" spans="1:76" x14ac:dyDescent="0.35">
      <c r="A112" s="53" t="s">
        <v>72</v>
      </c>
      <c r="B112" s="54"/>
      <c r="C112" s="67"/>
      <c r="D112" s="68"/>
      <c r="E112" s="69"/>
      <c r="F112" s="70"/>
      <c r="G112" s="69"/>
      <c r="H112" s="70"/>
      <c r="I112" s="69"/>
      <c r="J112" s="70"/>
      <c r="K112" s="69"/>
      <c r="L112" s="70"/>
      <c r="M112" s="69"/>
      <c r="N112" s="70"/>
      <c r="O112" s="69"/>
      <c r="P112" s="70"/>
      <c r="Q112" s="69"/>
      <c r="R112" s="70"/>
      <c r="S112" s="69"/>
      <c r="T112" s="70"/>
      <c r="U112" s="69"/>
      <c r="V112" s="70"/>
      <c r="W112" s="69"/>
      <c r="X112" s="70"/>
      <c r="Y112" s="69"/>
      <c r="Z112" s="70"/>
      <c r="AA112" s="69"/>
      <c r="AB112" s="70"/>
      <c r="AC112" s="69"/>
      <c r="AD112" s="70"/>
      <c r="AE112" s="69"/>
      <c r="AF112" s="70"/>
      <c r="AG112" s="69"/>
      <c r="AH112" s="70"/>
      <c r="AI112" s="69"/>
      <c r="AJ112" s="70"/>
      <c r="AK112" s="69"/>
      <c r="AL112" s="70"/>
      <c r="AM112" s="69"/>
      <c r="AN112" s="70"/>
      <c r="AO112" s="69"/>
      <c r="AP112" s="70"/>
      <c r="AQ112" s="69"/>
      <c r="AR112" s="70"/>
      <c r="AS112" s="69"/>
      <c r="AT112" s="70"/>
      <c r="AU112" s="69"/>
      <c r="AV112" s="70"/>
      <c r="AW112" s="69"/>
      <c r="AX112" s="70"/>
      <c r="AY112" s="69"/>
      <c r="AZ112" s="70"/>
      <c r="BA112" s="69"/>
      <c r="BB112" s="70"/>
      <c r="BC112" s="69"/>
      <c r="BD112" s="70"/>
      <c r="BE112" s="69"/>
      <c r="BF112" s="70"/>
      <c r="BG112" s="69"/>
      <c r="BH112" s="70"/>
      <c r="BI112" s="69"/>
      <c r="BJ112" s="70"/>
      <c r="BK112" s="69"/>
      <c r="BL112" s="70"/>
      <c r="BM112" s="69"/>
      <c r="BN112" s="71"/>
      <c r="BO112" s="182" t="str">
        <f t="shared" si="191"/>
        <v/>
      </c>
      <c r="BP112" s="70"/>
      <c r="BQ112" s="73"/>
    </row>
    <row r="113" spans="1:69" x14ac:dyDescent="0.35">
      <c r="A113" s="53" t="s">
        <v>73</v>
      </c>
      <c r="B113" s="54"/>
      <c r="C113" s="67"/>
      <c r="D113" s="68"/>
      <c r="E113" s="69"/>
      <c r="F113" s="70"/>
      <c r="G113" s="69"/>
      <c r="H113" s="70"/>
      <c r="I113" s="69"/>
      <c r="J113" s="70"/>
      <c r="K113" s="69"/>
      <c r="L113" s="70"/>
      <c r="M113" s="69"/>
      <c r="N113" s="70"/>
      <c r="O113" s="69"/>
      <c r="P113" s="70"/>
      <c r="Q113" s="69"/>
      <c r="R113" s="70"/>
      <c r="S113" s="69"/>
      <c r="T113" s="70"/>
      <c r="U113" s="69"/>
      <c r="V113" s="70"/>
      <c r="W113" s="69"/>
      <c r="X113" s="70"/>
      <c r="Y113" s="69"/>
      <c r="Z113" s="70"/>
      <c r="AA113" s="69"/>
      <c r="AB113" s="70"/>
      <c r="AC113" s="69"/>
      <c r="AD113" s="70"/>
      <c r="AE113" s="69"/>
      <c r="AF113" s="70"/>
      <c r="AG113" s="69"/>
      <c r="AH113" s="70"/>
      <c r="AI113" s="69"/>
      <c r="AJ113" s="70"/>
      <c r="AK113" s="69"/>
      <c r="AL113" s="70"/>
      <c r="AM113" s="69"/>
      <c r="AN113" s="70"/>
      <c r="AO113" s="69"/>
      <c r="AP113" s="70"/>
      <c r="AQ113" s="69"/>
      <c r="AR113" s="70"/>
      <c r="AS113" s="69"/>
      <c r="AT113" s="70"/>
      <c r="AU113" s="69"/>
      <c r="AV113" s="70"/>
      <c r="AW113" s="69"/>
      <c r="AX113" s="70"/>
      <c r="AY113" s="69"/>
      <c r="AZ113" s="70"/>
      <c r="BA113" s="69"/>
      <c r="BB113" s="70"/>
      <c r="BC113" s="69"/>
      <c r="BD113" s="70"/>
      <c r="BE113" s="69"/>
      <c r="BF113" s="70"/>
      <c r="BG113" s="69"/>
      <c r="BH113" s="70"/>
      <c r="BI113" s="69"/>
      <c r="BJ113" s="70"/>
      <c r="BK113" s="69"/>
      <c r="BL113" s="70"/>
      <c r="BM113" s="69"/>
      <c r="BN113" s="71"/>
      <c r="BO113" s="182" t="str">
        <f t="shared" si="191"/>
        <v/>
      </c>
      <c r="BP113" s="70"/>
      <c r="BQ113" s="73"/>
    </row>
    <row r="114" spans="1:69" x14ac:dyDescent="0.35">
      <c r="A114" s="53" t="s">
        <v>70</v>
      </c>
      <c r="B114" s="54"/>
      <c r="C114" s="67"/>
      <c r="D114" s="68"/>
      <c r="E114" s="69"/>
      <c r="F114" s="70"/>
      <c r="G114" s="69"/>
      <c r="H114" s="70"/>
      <c r="I114" s="69"/>
      <c r="J114" s="70"/>
      <c r="K114" s="69"/>
      <c r="L114" s="70"/>
      <c r="M114" s="69"/>
      <c r="N114" s="70"/>
      <c r="O114" s="69"/>
      <c r="P114" s="70"/>
      <c r="Q114" s="69"/>
      <c r="R114" s="70"/>
      <c r="S114" s="69"/>
      <c r="T114" s="70"/>
      <c r="U114" s="69"/>
      <c r="V114" s="70"/>
      <c r="W114" s="69"/>
      <c r="X114" s="70"/>
      <c r="Y114" s="69"/>
      <c r="Z114" s="70"/>
      <c r="AA114" s="69"/>
      <c r="AB114" s="70"/>
      <c r="AC114" s="69"/>
      <c r="AD114" s="70"/>
      <c r="AE114" s="69"/>
      <c r="AF114" s="70"/>
      <c r="AG114" s="69"/>
      <c r="AH114" s="70"/>
      <c r="AI114" s="69"/>
      <c r="AJ114" s="70"/>
      <c r="AK114" s="69"/>
      <c r="AL114" s="70"/>
      <c r="AM114" s="69"/>
      <c r="AN114" s="70"/>
      <c r="AO114" s="69"/>
      <c r="AP114" s="70"/>
      <c r="AQ114" s="69"/>
      <c r="AR114" s="70"/>
      <c r="AS114" s="69"/>
      <c r="AT114" s="70"/>
      <c r="AU114" s="69"/>
      <c r="AV114" s="70"/>
      <c r="AW114" s="69"/>
      <c r="AX114" s="70"/>
      <c r="AY114" s="69"/>
      <c r="AZ114" s="70"/>
      <c r="BA114" s="69"/>
      <c r="BB114" s="70"/>
      <c r="BC114" s="69"/>
      <c r="BD114" s="70"/>
      <c r="BE114" s="69"/>
      <c r="BF114" s="70"/>
      <c r="BG114" s="69"/>
      <c r="BH114" s="70"/>
      <c r="BI114" s="69"/>
      <c r="BJ114" s="70"/>
      <c r="BK114" s="69"/>
      <c r="BL114" s="70"/>
      <c r="BM114" s="69"/>
      <c r="BN114" s="71"/>
      <c r="BO114" s="182" t="str">
        <f t="shared" si="191"/>
        <v/>
      </c>
      <c r="BP114" s="70"/>
      <c r="BQ114" s="73"/>
    </row>
    <row r="115" spans="1:69" x14ac:dyDescent="0.35">
      <c r="A115" s="53" t="s">
        <v>27</v>
      </c>
      <c r="B115" s="54"/>
      <c r="C115" s="67"/>
      <c r="D115" s="68"/>
      <c r="E115" s="69"/>
      <c r="F115" s="70"/>
      <c r="G115" s="69"/>
      <c r="H115" s="70"/>
      <c r="I115" s="69"/>
      <c r="J115" s="70"/>
      <c r="K115" s="69"/>
      <c r="L115" s="70"/>
      <c r="M115" s="69"/>
      <c r="N115" s="70"/>
      <c r="O115" s="69"/>
      <c r="P115" s="70"/>
      <c r="Q115" s="69"/>
      <c r="R115" s="70"/>
      <c r="S115" s="69"/>
      <c r="T115" s="70"/>
      <c r="U115" s="69"/>
      <c r="V115" s="70"/>
      <c r="W115" s="69"/>
      <c r="X115" s="70"/>
      <c r="Y115" s="69"/>
      <c r="Z115" s="70"/>
      <c r="AA115" s="69"/>
      <c r="AB115" s="70"/>
      <c r="AC115" s="69"/>
      <c r="AD115" s="70"/>
      <c r="AE115" s="69"/>
      <c r="AF115" s="70"/>
      <c r="AG115" s="69"/>
      <c r="AH115" s="70"/>
      <c r="AI115" s="69"/>
      <c r="AJ115" s="70"/>
      <c r="AK115" s="69"/>
      <c r="AL115" s="70"/>
      <c r="AM115" s="69"/>
      <c r="AN115" s="70"/>
      <c r="AO115" s="69"/>
      <c r="AP115" s="70"/>
      <c r="AQ115" s="69"/>
      <c r="AR115" s="70"/>
      <c r="AS115" s="69"/>
      <c r="AT115" s="70"/>
      <c r="AU115" s="69"/>
      <c r="AV115" s="70"/>
      <c r="AW115" s="69"/>
      <c r="AX115" s="70"/>
      <c r="AY115" s="69"/>
      <c r="AZ115" s="70"/>
      <c r="BA115" s="69"/>
      <c r="BB115" s="70"/>
      <c r="BC115" s="69"/>
      <c r="BD115" s="70"/>
      <c r="BE115" s="69"/>
      <c r="BF115" s="70"/>
      <c r="BG115" s="69"/>
      <c r="BH115" s="70"/>
      <c r="BI115" s="69"/>
      <c r="BJ115" s="70"/>
      <c r="BK115" s="69"/>
      <c r="BL115" s="70"/>
      <c r="BM115" s="69"/>
      <c r="BN115" s="71"/>
      <c r="BO115" s="182" t="str">
        <f t="shared" si="191"/>
        <v/>
      </c>
      <c r="BP115" s="70"/>
      <c r="BQ115" s="73"/>
    </row>
    <row r="116" spans="1:69" x14ac:dyDescent="0.35">
      <c r="A116" s="53" t="s">
        <v>28</v>
      </c>
      <c r="B116" s="54"/>
      <c r="C116" s="67"/>
      <c r="D116" s="68"/>
      <c r="E116" s="69"/>
      <c r="F116" s="70"/>
      <c r="G116" s="69"/>
      <c r="H116" s="70"/>
      <c r="I116" s="69"/>
      <c r="J116" s="70"/>
      <c r="K116" s="69"/>
      <c r="L116" s="70"/>
      <c r="M116" s="69"/>
      <c r="N116" s="70"/>
      <c r="O116" s="69"/>
      <c r="P116" s="70"/>
      <c r="Q116" s="69"/>
      <c r="R116" s="70"/>
      <c r="S116" s="69"/>
      <c r="T116" s="70"/>
      <c r="U116" s="69"/>
      <c r="V116" s="70"/>
      <c r="W116" s="69"/>
      <c r="X116" s="70"/>
      <c r="Y116" s="69"/>
      <c r="Z116" s="70"/>
      <c r="AA116" s="69"/>
      <c r="AB116" s="70"/>
      <c r="AC116" s="69"/>
      <c r="AD116" s="70"/>
      <c r="AE116" s="69"/>
      <c r="AF116" s="70"/>
      <c r="AG116" s="69"/>
      <c r="AH116" s="70"/>
      <c r="AI116" s="69"/>
      <c r="AJ116" s="70"/>
      <c r="AK116" s="69"/>
      <c r="AL116" s="70"/>
      <c r="AM116" s="69"/>
      <c r="AN116" s="70"/>
      <c r="AO116" s="69"/>
      <c r="AP116" s="70"/>
      <c r="AQ116" s="69"/>
      <c r="AR116" s="70"/>
      <c r="AS116" s="69"/>
      <c r="AT116" s="70"/>
      <c r="AU116" s="69"/>
      <c r="AV116" s="70"/>
      <c r="AW116" s="69"/>
      <c r="AX116" s="70"/>
      <c r="AY116" s="69"/>
      <c r="AZ116" s="70"/>
      <c r="BA116" s="69"/>
      <c r="BB116" s="70"/>
      <c r="BC116" s="69"/>
      <c r="BD116" s="70"/>
      <c r="BE116" s="69"/>
      <c r="BF116" s="70"/>
      <c r="BG116" s="69"/>
      <c r="BH116" s="70"/>
      <c r="BI116" s="69"/>
      <c r="BJ116" s="70"/>
      <c r="BK116" s="69"/>
      <c r="BL116" s="70"/>
      <c r="BM116" s="69"/>
      <c r="BN116" s="71"/>
      <c r="BO116" s="182" t="str">
        <f t="shared" si="191"/>
        <v/>
      </c>
      <c r="BP116" s="70"/>
      <c r="BQ116" s="73"/>
    </row>
    <row r="117" spans="1:69" x14ac:dyDescent="0.35">
      <c r="A117" s="53" t="s">
        <v>29</v>
      </c>
      <c r="B117" s="54"/>
      <c r="C117" s="67"/>
      <c r="D117" s="68"/>
      <c r="E117" s="69"/>
      <c r="F117" s="70"/>
      <c r="G117" s="69"/>
      <c r="H117" s="70"/>
      <c r="I117" s="69"/>
      <c r="J117" s="70"/>
      <c r="K117" s="69"/>
      <c r="L117" s="70"/>
      <c r="M117" s="69"/>
      <c r="N117" s="70"/>
      <c r="O117" s="69"/>
      <c r="P117" s="70"/>
      <c r="Q117" s="69"/>
      <c r="R117" s="70"/>
      <c r="S117" s="69"/>
      <c r="T117" s="70"/>
      <c r="U117" s="69"/>
      <c r="V117" s="70"/>
      <c r="W117" s="69"/>
      <c r="X117" s="70"/>
      <c r="Y117" s="69"/>
      <c r="Z117" s="70"/>
      <c r="AA117" s="69"/>
      <c r="AB117" s="70"/>
      <c r="AC117" s="69"/>
      <c r="AD117" s="70"/>
      <c r="AE117" s="69"/>
      <c r="AF117" s="70"/>
      <c r="AG117" s="69"/>
      <c r="AH117" s="70"/>
      <c r="AI117" s="69"/>
      <c r="AJ117" s="70"/>
      <c r="AK117" s="69"/>
      <c r="AL117" s="70"/>
      <c r="AM117" s="69"/>
      <c r="AN117" s="70"/>
      <c r="AO117" s="69"/>
      <c r="AP117" s="70"/>
      <c r="AQ117" s="69"/>
      <c r="AR117" s="70"/>
      <c r="AS117" s="69"/>
      <c r="AT117" s="70"/>
      <c r="AU117" s="69"/>
      <c r="AV117" s="70"/>
      <c r="AW117" s="69"/>
      <c r="AX117" s="70"/>
      <c r="AY117" s="69"/>
      <c r="AZ117" s="70"/>
      <c r="BA117" s="69"/>
      <c r="BB117" s="70"/>
      <c r="BC117" s="69"/>
      <c r="BD117" s="70"/>
      <c r="BE117" s="69"/>
      <c r="BF117" s="70"/>
      <c r="BG117" s="69"/>
      <c r="BH117" s="70"/>
      <c r="BI117" s="69"/>
      <c r="BJ117" s="70"/>
      <c r="BK117" s="69"/>
      <c r="BL117" s="70"/>
      <c r="BM117" s="69"/>
      <c r="BN117" s="71"/>
      <c r="BO117" s="182" t="str">
        <f t="shared" si="191"/>
        <v/>
      </c>
      <c r="BP117" s="70"/>
      <c r="BQ117" s="73"/>
    </row>
    <row r="118" spans="1:69" x14ac:dyDescent="0.35">
      <c r="A118" s="74"/>
      <c r="B118" s="75"/>
      <c r="C118" s="153"/>
      <c r="D118" s="77"/>
      <c r="E118" s="78"/>
      <c r="F118" s="79"/>
      <c r="G118" s="78"/>
      <c r="H118" s="79"/>
      <c r="I118" s="78"/>
      <c r="J118" s="79"/>
      <c r="K118" s="78"/>
      <c r="L118" s="79"/>
      <c r="M118" s="78"/>
      <c r="N118" s="79"/>
      <c r="O118" s="78"/>
      <c r="P118" s="79"/>
      <c r="Q118" s="78"/>
      <c r="R118" s="79"/>
      <c r="S118" s="78"/>
      <c r="T118" s="79"/>
      <c r="U118" s="78"/>
      <c r="V118" s="79"/>
      <c r="W118" s="78"/>
      <c r="X118" s="79"/>
      <c r="Y118" s="78"/>
      <c r="Z118" s="79"/>
      <c r="AA118" s="78"/>
      <c r="AB118" s="79"/>
      <c r="AC118" s="78"/>
      <c r="AD118" s="79"/>
      <c r="AE118" s="78"/>
      <c r="AF118" s="79"/>
      <c r="AG118" s="78"/>
      <c r="AH118" s="79"/>
      <c r="AI118" s="78"/>
      <c r="AJ118" s="79"/>
      <c r="AK118" s="78"/>
      <c r="AL118" s="79"/>
      <c r="AM118" s="78"/>
      <c r="AN118" s="79"/>
      <c r="AO118" s="78"/>
      <c r="AP118" s="79"/>
      <c r="AQ118" s="78"/>
      <c r="AR118" s="79"/>
      <c r="AS118" s="78"/>
      <c r="AT118" s="79"/>
      <c r="AU118" s="78"/>
      <c r="AV118" s="79"/>
      <c r="AW118" s="78"/>
      <c r="AX118" s="79"/>
      <c r="AY118" s="78"/>
      <c r="AZ118" s="79"/>
      <c r="BA118" s="78"/>
      <c r="BB118" s="79"/>
      <c r="BC118" s="78"/>
      <c r="BD118" s="79"/>
      <c r="BE118" s="78"/>
      <c r="BF118" s="79"/>
      <c r="BG118" s="78"/>
      <c r="BH118" s="79"/>
      <c r="BI118" s="78"/>
      <c r="BJ118" s="79"/>
      <c r="BK118" s="78"/>
      <c r="BL118" s="79"/>
      <c r="BM118" s="78"/>
      <c r="BN118" s="80"/>
      <c r="BO118" s="195" t="str">
        <f t="shared" si="191"/>
        <v/>
      </c>
      <c r="BP118" s="79"/>
      <c r="BQ118" s="82"/>
    </row>
    <row r="119" spans="1:69" x14ac:dyDescent="0.35">
      <c r="A119" s="53" t="s">
        <v>55</v>
      </c>
      <c r="B119" s="54"/>
      <c r="C119" s="67"/>
      <c r="D119" s="68"/>
      <c r="E119" s="69"/>
      <c r="F119" s="70"/>
      <c r="G119" s="69"/>
      <c r="H119" s="70"/>
      <c r="I119" s="69"/>
      <c r="J119" s="70"/>
      <c r="K119" s="69"/>
      <c r="L119" s="70"/>
      <c r="M119" s="69"/>
      <c r="N119" s="70"/>
      <c r="O119" s="69"/>
      <c r="P119" s="70"/>
      <c r="Q119" s="69"/>
      <c r="R119" s="70"/>
      <c r="S119" s="69"/>
      <c r="T119" s="70"/>
      <c r="U119" s="69"/>
      <c r="V119" s="70"/>
      <c r="W119" s="69"/>
      <c r="X119" s="70"/>
      <c r="Y119" s="69"/>
      <c r="Z119" s="70"/>
      <c r="AA119" s="69"/>
      <c r="AB119" s="70"/>
      <c r="AC119" s="69"/>
      <c r="AD119" s="70"/>
      <c r="AE119" s="69"/>
      <c r="AF119" s="70"/>
      <c r="AG119" s="69"/>
      <c r="AH119" s="70"/>
      <c r="AI119" s="69"/>
      <c r="AJ119" s="70"/>
      <c r="AK119" s="69"/>
      <c r="AL119" s="70"/>
      <c r="AM119" s="69"/>
      <c r="AN119" s="70"/>
      <c r="AO119" s="69"/>
      <c r="AP119" s="70"/>
      <c r="AQ119" s="69"/>
      <c r="AR119" s="70"/>
      <c r="AS119" s="69"/>
      <c r="AT119" s="70"/>
      <c r="AU119" s="69"/>
      <c r="AV119" s="70"/>
      <c r="AW119" s="69"/>
      <c r="AX119" s="70"/>
      <c r="AY119" s="69"/>
      <c r="AZ119" s="70"/>
      <c r="BA119" s="69"/>
      <c r="BB119" s="70"/>
      <c r="BC119" s="69"/>
      <c r="BD119" s="70"/>
      <c r="BE119" s="69"/>
      <c r="BF119" s="70"/>
      <c r="BG119" s="69"/>
      <c r="BH119" s="70"/>
      <c r="BI119" s="69"/>
      <c r="BJ119" s="70"/>
      <c r="BK119" s="69"/>
      <c r="BL119" s="70"/>
      <c r="BM119" s="69"/>
      <c r="BN119" s="71"/>
      <c r="BO119" s="182" t="str">
        <f t="shared" si="191"/>
        <v/>
      </c>
      <c r="BP119" s="70"/>
      <c r="BQ119" s="73"/>
    </row>
    <row r="120" spans="1:69" ht="15" thickBot="1" x14ac:dyDescent="0.4">
      <c r="A120" s="154" t="s">
        <v>56</v>
      </c>
      <c r="B120" s="155"/>
      <c r="C120" s="156"/>
      <c r="D120" s="157"/>
      <c r="E120" s="158"/>
      <c r="F120" s="159"/>
      <c r="G120" s="158"/>
      <c r="H120" s="159"/>
      <c r="I120" s="158"/>
      <c r="J120" s="159"/>
      <c r="K120" s="158"/>
      <c r="L120" s="159"/>
      <c r="M120" s="158"/>
      <c r="N120" s="159"/>
      <c r="O120" s="158"/>
      <c r="P120" s="159"/>
      <c r="Q120" s="158"/>
      <c r="R120" s="159"/>
      <c r="S120" s="158"/>
      <c r="T120" s="159"/>
      <c r="U120" s="158"/>
      <c r="V120" s="159"/>
      <c r="W120" s="158"/>
      <c r="X120" s="159"/>
      <c r="Y120" s="158"/>
      <c r="Z120" s="159"/>
      <c r="AA120" s="158"/>
      <c r="AB120" s="159"/>
      <c r="AC120" s="158"/>
      <c r="AD120" s="159"/>
      <c r="AE120" s="158"/>
      <c r="AF120" s="159"/>
      <c r="AG120" s="158"/>
      <c r="AH120" s="159"/>
      <c r="AI120" s="158"/>
      <c r="AJ120" s="159"/>
      <c r="AK120" s="158"/>
      <c r="AL120" s="159"/>
      <c r="AM120" s="158"/>
      <c r="AN120" s="159"/>
      <c r="AO120" s="158"/>
      <c r="AP120" s="159"/>
      <c r="AQ120" s="158"/>
      <c r="AR120" s="159"/>
      <c r="AS120" s="158"/>
      <c r="AT120" s="159"/>
      <c r="AU120" s="158"/>
      <c r="AV120" s="159"/>
      <c r="AW120" s="158"/>
      <c r="AX120" s="159"/>
      <c r="AY120" s="158"/>
      <c r="AZ120" s="159"/>
      <c r="BA120" s="158"/>
      <c r="BB120" s="159"/>
      <c r="BC120" s="158"/>
      <c r="BD120" s="159"/>
      <c r="BE120" s="158"/>
      <c r="BF120" s="159"/>
      <c r="BG120" s="158"/>
      <c r="BH120" s="159"/>
      <c r="BI120" s="158"/>
      <c r="BJ120" s="159"/>
      <c r="BK120" s="158"/>
      <c r="BL120" s="159"/>
      <c r="BM120" s="158"/>
      <c r="BN120" s="160"/>
      <c r="BO120" s="196" t="str">
        <f t="shared" si="191"/>
        <v/>
      </c>
      <c r="BP120" s="159"/>
      <c r="BQ120" s="161"/>
    </row>
    <row r="121" spans="1:69" x14ac:dyDescent="0.35">
      <c r="AT121"/>
      <c r="AU121"/>
      <c r="AW121"/>
      <c r="BA121"/>
    </row>
    <row r="122" spans="1:69" x14ac:dyDescent="0.35">
      <c r="AT122"/>
      <c r="AU122"/>
      <c r="AW122"/>
      <c r="BA122"/>
    </row>
    <row r="123" spans="1:69" x14ac:dyDescent="0.35">
      <c r="AT123"/>
      <c r="AU123"/>
      <c r="AW123"/>
      <c r="BA123"/>
    </row>
    <row r="124" spans="1:69" x14ac:dyDescent="0.35">
      <c r="AT124"/>
      <c r="AU124"/>
      <c r="AW124"/>
      <c r="BA124"/>
    </row>
    <row r="125" spans="1:69" x14ac:dyDescent="0.35">
      <c r="AT125"/>
      <c r="AU125"/>
      <c r="AW125"/>
      <c r="BA125"/>
    </row>
    <row r="126" spans="1:69" x14ac:dyDescent="0.35">
      <c r="AT126"/>
      <c r="AU126"/>
      <c r="AW126"/>
      <c r="BA126"/>
    </row>
    <row r="127" spans="1:69" x14ac:dyDescent="0.35">
      <c r="AT127"/>
      <c r="AU127"/>
      <c r="AW127"/>
      <c r="BA127"/>
    </row>
    <row r="128" spans="1:69" x14ac:dyDescent="0.35">
      <c r="AT128"/>
      <c r="AU128"/>
      <c r="AW128"/>
      <c r="BA128"/>
    </row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</sheetData>
  <sheetProtection sheet="1" objects="1" scenarios="1"/>
  <mergeCells count="100">
    <mergeCell ref="AD5:AE5"/>
    <mergeCell ref="A1:BQ1"/>
    <mergeCell ref="A2:BQ2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BB5:BC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P5:BQ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BD5:BE5"/>
    <mergeCell ref="BF5:BG5"/>
    <mergeCell ref="BH5:BI5"/>
    <mergeCell ref="BJ5:BK5"/>
    <mergeCell ref="BL5:BM5"/>
    <mergeCell ref="BN5:BO5"/>
    <mergeCell ref="AR6:AS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BP6:BQ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Z12:AA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AX12:AY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BL12:BM12"/>
    <mergeCell ref="BP12:BQ12"/>
    <mergeCell ref="AZ12:BA12"/>
    <mergeCell ref="BB12:BC12"/>
    <mergeCell ref="BD12:BE12"/>
    <mergeCell ref="BF12:BG12"/>
    <mergeCell ref="BH12:BI12"/>
    <mergeCell ref="BJ12:BK12"/>
  </mergeCells>
  <conditionalFormatting sqref="D77:BL88">
    <cfRule type="cellIs" dxfId="109" priority="9" operator="lessThan">
      <formula>0</formula>
    </cfRule>
  </conditionalFormatting>
  <conditionalFormatting sqref="D7:BM11 BP7:BQ104 BO7:BO120">
    <cfRule type="cellIs" dxfId="108" priority="1" operator="lessThan">
      <formula>0</formula>
    </cfRule>
  </conditionalFormatting>
  <conditionalFormatting sqref="D22:BM22">
    <cfRule type="cellIs" dxfId="107" priority="2" operator="lessThan">
      <formula>0</formula>
    </cfRule>
  </conditionalFormatting>
  <conditionalFormatting sqref="D30:BM31">
    <cfRule type="cellIs" dxfId="106" priority="3" operator="lessThan">
      <formula>0</formula>
    </cfRule>
  </conditionalFormatting>
  <conditionalFormatting sqref="D42:BM42">
    <cfRule type="cellIs" dxfId="105" priority="4" operator="lessThan">
      <formula>0</formula>
    </cfRule>
  </conditionalFormatting>
  <conditionalFormatting sqref="D49:BM50">
    <cfRule type="cellIs" dxfId="104" priority="5" operator="lessThan">
      <formula>0</formula>
    </cfRule>
  </conditionalFormatting>
  <conditionalFormatting sqref="D54:BM54">
    <cfRule type="cellIs" dxfId="103" priority="6" operator="lessThan">
      <formula>0</formula>
    </cfRule>
  </conditionalFormatting>
  <conditionalFormatting sqref="D57:BM59">
    <cfRule type="cellIs" dxfId="102" priority="7" operator="lessThan">
      <formula>0</formula>
    </cfRule>
  </conditionalFormatting>
  <conditionalFormatting sqref="D61:BM75">
    <cfRule type="cellIs" dxfId="101" priority="8" operator="lessThan">
      <formula>0</formula>
    </cfRule>
  </conditionalFormatting>
  <conditionalFormatting sqref="E91:BM104">
    <cfRule type="cellIs" dxfId="100" priority="10" operator="lessThan">
      <formula>0</formula>
    </cfRule>
  </conditionalFormatting>
  <pageMargins left="0.25" right="0.25" top="0.75" bottom="0.75" header="0.3" footer="0.3"/>
  <pageSetup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78CA7-5DA2-4044-8AB2-7472880C0BFA}">
  <sheetPr>
    <pageSetUpPr fitToPage="1"/>
  </sheetPr>
  <dimension ref="A1:BX134"/>
  <sheetViews>
    <sheetView zoomScaleNormal="100" workbookViewId="0">
      <pane xSplit="1" ySplit="12" topLeftCell="BI13" activePane="bottomRight" state="frozen"/>
      <selection pane="topRight" activeCell="B1" sqref="B1"/>
      <selection pane="bottomLeft" activeCell="A9" sqref="A9"/>
      <selection pane="bottomRight" activeCell="BI13" sqref="A13:XFD13"/>
    </sheetView>
  </sheetViews>
  <sheetFormatPr defaultRowHeight="14.5" x14ac:dyDescent="0.35"/>
  <cols>
    <col min="1" max="1" width="28.54296875" customWidth="1"/>
    <col min="2" max="2" width="15.26953125" customWidth="1"/>
    <col min="3" max="3" width="18.1796875" customWidth="1"/>
    <col min="4" max="45" width="11.81640625" customWidth="1"/>
    <col min="46" max="47" width="11.81640625" style="3" customWidth="1"/>
    <col min="48" max="48" width="11.81640625" customWidth="1"/>
    <col min="49" max="49" width="11.81640625" style="3" customWidth="1"/>
    <col min="50" max="52" width="11.81640625" customWidth="1"/>
    <col min="53" max="53" width="11.81640625" style="3" customWidth="1"/>
    <col min="54" max="65" width="11.81640625" customWidth="1"/>
    <col min="66" max="69" width="15.54296875" customWidth="1"/>
    <col min="70" max="70" width="12.7265625" customWidth="1"/>
    <col min="71" max="71" width="11.1796875" bestFit="1" customWidth="1"/>
    <col min="72" max="72" width="14.81640625" customWidth="1"/>
    <col min="73" max="73" width="8.81640625" customWidth="1"/>
    <col min="74" max="74" width="11.26953125" customWidth="1"/>
    <col min="75" max="75" width="9.26953125" bestFit="1" customWidth="1"/>
    <col min="76" max="76" width="13.453125" customWidth="1"/>
  </cols>
  <sheetData>
    <row r="1" spans="1:76" ht="48" customHeight="1" x14ac:dyDescent="0.35">
      <c r="A1" s="241" t="str">
        <f>"TEXAN FILLING STATION — "&amp;UPPER(TEXT(B3,"MMMM YYYY"))&amp;" DAILY CONTROL"</f>
        <v>TEXAN FILLING STATION — NOVEMBER 2026 DAILY CONTROL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  <c r="BL1" s="233"/>
      <c r="BM1" s="233"/>
      <c r="BN1" s="233"/>
      <c r="BO1" s="233"/>
      <c r="BP1" s="233"/>
      <c r="BQ1" s="233"/>
    </row>
    <row r="2" spans="1:76" ht="24" customHeight="1" x14ac:dyDescent="0.35">
      <c r="A2" s="234" t="s">
        <v>108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  <c r="BP2" s="234"/>
      <c r="BQ2" s="234"/>
    </row>
    <row r="3" spans="1:76" x14ac:dyDescent="0.35">
      <c r="A3" s="26" t="s">
        <v>109</v>
      </c>
      <c r="B3" s="27">
        <v>46327</v>
      </c>
      <c r="C3" s="28" t="s">
        <v>110</v>
      </c>
      <c r="D3" s="28" t="s">
        <v>111</v>
      </c>
      <c r="E3" s="29" t="s">
        <v>112</v>
      </c>
      <c r="F3" s="30" t="s">
        <v>113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2"/>
      <c r="AU3" s="32"/>
      <c r="AV3" s="31"/>
      <c r="AW3" s="32"/>
      <c r="AX3" s="31"/>
      <c r="AY3" s="31"/>
      <c r="AZ3" s="31"/>
      <c r="BA3" s="32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</row>
    <row r="4" spans="1:76" ht="15" thickBot="1" x14ac:dyDescent="0.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2"/>
      <c r="AU4" s="32"/>
      <c r="AV4" s="31"/>
      <c r="AW4" s="32"/>
      <c r="AX4" s="31"/>
      <c r="AY4" s="31"/>
      <c r="AZ4" s="31"/>
      <c r="BA4" s="32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</row>
    <row r="5" spans="1:76" ht="16.149999999999999" customHeight="1" x14ac:dyDescent="0.35">
      <c r="A5" s="164">
        <f>68*0.1</f>
        <v>6.8000000000000007</v>
      </c>
      <c r="B5" s="33"/>
      <c r="C5" s="34" t="s">
        <v>116</v>
      </c>
      <c r="D5" s="235" t="str">
        <f>IF(D6="","",UPPER(TEXT(D6,"dddd")))</f>
        <v>SUNDAY</v>
      </c>
      <c r="E5" s="229"/>
      <c r="F5" s="228" t="str">
        <f>IF(F6="","",UPPER(TEXT(F6,"dddd")))</f>
        <v>MONDAY</v>
      </c>
      <c r="G5" s="229"/>
      <c r="H5" s="228" t="str">
        <f>IF(H6="","",UPPER(TEXT(H6,"dddd")))</f>
        <v>TUESDAY</v>
      </c>
      <c r="I5" s="229"/>
      <c r="J5" s="228" t="str">
        <f>IF(J6="","",UPPER(TEXT(J6,"dddd")))</f>
        <v>WEDNESDAY</v>
      </c>
      <c r="K5" s="229"/>
      <c r="L5" s="228" t="str">
        <f>IF(L6="","",UPPER(TEXT(L6,"dddd")))</f>
        <v>THURSDAY</v>
      </c>
      <c r="M5" s="229"/>
      <c r="N5" s="228" t="str">
        <f>IF(N6="","",UPPER(TEXT(N6,"dddd")))</f>
        <v>FRIDAY</v>
      </c>
      <c r="O5" s="229"/>
      <c r="P5" s="228" t="str">
        <f>IF(P6="","",UPPER(TEXT(P6,"dddd")))</f>
        <v>SATURDAY</v>
      </c>
      <c r="Q5" s="229"/>
      <c r="R5" s="228" t="str">
        <f>IF(R6="","",UPPER(TEXT(R6,"dddd")))</f>
        <v>SUNDAY</v>
      </c>
      <c r="S5" s="229"/>
      <c r="T5" s="228" t="str">
        <f>IF(T6="","",UPPER(TEXT(T6,"dddd")))</f>
        <v>MONDAY</v>
      </c>
      <c r="U5" s="229"/>
      <c r="V5" s="228" t="str">
        <f>IF(V6="","",UPPER(TEXT(V6,"dddd")))</f>
        <v>TUESDAY</v>
      </c>
      <c r="W5" s="229"/>
      <c r="X5" s="228" t="str">
        <f>IF(X6="","",UPPER(TEXT(X6,"dddd")))</f>
        <v>WEDNESDAY</v>
      </c>
      <c r="Y5" s="229"/>
      <c r="Z5" s="228" t="str">
        <f>IF(Z6="","",UPPER(TEXT(Z6,"dddd")))</f>
        <v>THURSDAY</v>
      </c>
      <c r="AA5" s="229"/>
      <c r="AB5" s="228" t="str">
        <f>IF(AB6="","",UPPER(TEXT(AB6,"dddd")))</f>
        <v>FRIDAY</v>
      </c>
      <c r="AC5" s="229"/>
      <c r="AD5" s="228" t="str">
        <f>IF(AD6="","",UPPER(TEXT(AD6,"dddd")))</f>
        <v>SATURDAY</v>
      </c>
      <c r="AE5" s="229"/>
      <c r="AF5" s="228" t="str">
        <f>IF(AF6="","",UPPER(TEXT(AF6,"dddd")))</f>
        <v>SUNDAY</v>
      </c>
      <c r="AG5" s="229"/>
      <c r="AH5" s="228" t="str">
        <f>IF(AH6="","",UPPER(TEXT(AH6,"dddd")))</f>
        <v>MONDAY</v>
      </c>
      <c r="AI5" s="229"/>
      <c r="AJ5" s="228" t="str">
        <f>IF(AJ6="","",UPPER(TEXT(AJ6,"dddd")))</f>
        <v>TUESDAY</v>
      </c>
      <c r="AK5" s="229"/>
      <c r="AL5" s="228" t="str">
        <f>IF(AL6="","",UPPER(TEXT(AL6,"dddd")))</f>
        <v>WEDNESDAY</v>
      </c>
      <c r="AM5" s="229"/>
      <c r="AN5" s="228" t="str">
        <f>IF(AN6="","",UPPER(TEXT(AN6,"dddd")))</f>
        <v>THURSDAY</v>
      </c>
      <c r="AO5" s="229"/>
      <c r="AP5" s="228" t="str">
        <f>IF(AP6="","",UPPER(TEXT(AP6,"dddd")))</f>
        <v>FRIDAY</v>
      </c>
      <c r="AQ5" s="229"/>
      <c r="AR5" s="228" t="str">
        <f>IF(AR6="","",UPPER(TEXT(AR6,"dddd")))</f>
        <v>SATURDAY</v>
      </c>
      <c r="AS5" s="229"/>
      <c r="AT5" s="228" t="str">
        <f>IF(AT6="","",UPPER(TEXT(AT6,"dddd")))</f>
        <v>SUNDAY</v>
      </c>
      <c r="AU5" s="229"/>
      <c r="AV5" s="228" t="str">
        <f>IF(AV6="","",UPPER(TEXT(AV6,"dddd")))</f>
        <v>MONDAY</v>
      </c>
      <c r="AW5" s="229"/>
      <c r="AX5" s="228" t="str">
        <f>IF(AX6="","",UPPER(TEXT(AX6,"dddd")))</f>
        <v>TUESDAY</v>
      </c>
      <c r="AY5" s="229"/>
      <c r="AZ5" s="228" t="str">
        <f>IF(AZ6="","",UPPER(TEXT(AZ6,"dddd")))</f>
        <v>WEDNESDAY</v>
      </c>
      <c r="BA5" s="229"/>
      <c r="BB5" s="228" t="str">
        <f>IF(BB6="","",UPPER(TEXT(BB6,"dddd")))</f>
        <v>THURSDAY</v>
      </c>
      <c r="BC5" s="229"/>
      <c r="BD5" s="228" t="str">
        <f>IF(BD6="","",UPPER(TEXT(BD6,"dddd")))</f>
        <v>FRIDAY</v>
      </c>
      <c r="BE5" s="229"/>
      <c r="BF5" s="228" t="str">
        <f>IF(BF6="","",UPPER(TEXT(BF6,"dddd")))</f>
        <v>SATURDAY</v>
      </c>
      <c r="BG5" s="229"/>
      <c r="BH5" s="228" t="str">
        <f>IF(BH6="","",UPPER(TEXT(BH6,"dddd")))</f>
        <v>SUNDAY</v>
      </c>
      <c r="BI5" s="229"/>
      <c r="BJ5" s="228" t="str">
        <f>IF(BJ6="","",UPPER(TEXT(BJ6,"dddd")))</f>
        <v>MONDAY</v>
      </c>
      <c r="BK5" s="229"/>
      <c r="BL5" s="228" t="str">
        <f>IF(BL6="","",UPPER(TEXT(BL6,"dddd")))</f>
        <v/>
      </c>
      <c r="BM5" s="229"/>
      <c r="BN5" s="230" t="s">
        <v>114</v>
      </c>
      <c r="BO5" s="231"/>
      <c r="BP5" s="225" t="s">
        <v>118</v>
      </c>
      <c r="BQ5" s="226"/>
    </row>
    <row r="6" spans="1:76" x14ac:dyDescent="0.35">
      <c r="A6" s="35"/>
      <c r="B6" s="36"/>
      <c r="C6" s="37" t="s">
        <v>117</v>
      </c>
      <c r="D6" s="227">
        <f>IF($B$3="","",IF(MONTH($B$3+0)=MONTH($B$3),$B$3+0,""))</f>
        <v>46327</v>
      </c>
      <c r="E6" s="222"/>
      <c r="F6" s="220">
        <f>IF($B$3="","",IF(MONTH($B$3+1)=MONTH($B$3),$B$3+1,""))</f>
        <v>46328</v>
      </c>
      <c r="G6" s="222"/>
      <c r="H6" s="220">
        <f>IF($B$3="","",IF(MONTH($B$3+2)=MONTH($B$3),$B$3+2,""))</f>
        <v>46329</v>
      </c>
      <c r="I6" s="222"/>
      <c r="J6" s="220">
        <f>IF($B$3="","",IF(MONTH($B$3+3)=MONTH($B$3),$B$3+3,""))</f>
        <v>46330</v>
      </c>
      <c r="K6" s="222"/>
      <c r="L6" s="220">
        <f>IF($B$3="","",IF(MONTH($B$3+4)=MONTH($B$3),$B$3+4,""))</f>
        <v>46331</v>
      </c>
      <c r="M6" s="222"/>
      <c r="N6" s="220">
        <f>IF($B$3="","",IF(MONTH($B$3+5)=MONTH($B$3),$B$3+5,""))</f>
        <v>46332</v>
      </c>
      <c r="O6" s="222"/>
      <c r="P6" s="220">
        <f>IF($B$3="","",IF(MONTH($B$3+6)=MONTH($B$3),$B$3+6,""))</f>
        <v>46333</v>
      </c>
      <c r="Q6" s="222"/>
      <c r="R6" s="220">
        <f>IF($B$3="","",IF(MONTH($B$3+7)=MONTH($B$3),$B$3+7,""))</f>
        <v>46334</v>
      </c>
      <c r="S6" s="222"/>
      <c r="T6" s="220">
        <f>IF($B$3="","",IF(MONTH($B$3+8)=MONTH($B$3),$B$3+8,""))</f>
        <v>46335</v>
      </c>
      <c r="U6" s="222"/>
      <c r="V6" s="220">
        <f>IF($B$3="","",IF(MONTH($B$3+9)=MONTH($B$3),$B$3+9,""))</f>
        <v>46336</v>
      </c>
      <c r="W6" s="222"/>
      <c r="X6" s="220">
        <f>IF($B$3="","",IF(MONTH($B$3+10)=MONTH($B$3),$B$3+10,""))</f>
        <v>46337</v>
      </c>
      <c r="Y6" s="222"/>
      <c r="Z6" s="220">
        <f>IF($B$3="","",IF(MONTH($B$3+11)=MONTH($B$3),$B$3+11,""))</f>
        <v>46338</v>
      </c>
      <c r="AA6" s="222"/>
      <c r="AB6" s="220">
        <f>IF($B$3="","",IF(MONTH($B$3+12)=MONTH($B$3),$B$3+12,""))</f>
        <v>46339</v>
      </c>
      <c r="AC6" s="222"/>
      <c r="AD6" s="220">
        <f>IF($B$3="","",IF(MONTH($B$3+13)=MONTH($B$3),$B$3+13,""))</f>
        <v>46340</v>
      </c>
      <c r="AE6" s="222"/>
      <c r="AF6" s="220">
        <f>IF($B$3="","",IF(MONTH($B$3+14)=MONTH($B$3),$B$3+14,""))</f>
        <v>46341</v>
      </c>
      <c r="AG6" s="222"/>
      <c r="AH6" s="220">
        <f>IF($B$3="","",IF(MONTH($B$3+15)=MONTH($B$3),$B$3+15,""))</f>
        <v>46342</v>
      </c>
      <c r="AI6" s="222"/>
      <c r="AJ6" s="220">
        <f>IF($B$3="","",IF(MONTH($B$3+16)=MONTH($B$3),$B$3+16,""))</f>
        <v>46343</v>
      </c>
      <c r="AK6" s="222"/>
      <c r="AL6" s="220">
        <f>IF($B$3="","",IF(MONTH($B$3+17)=MONTH($B$3),$B$3+17,""))</f>
        <v>46344</v>
      </c>
      <c r="AM6" s="222"/>
      <c r="AN6" s="220">
        <f>IF($B$3="","",IF(MONTH($B$3+18)=MONTH($B$3),$B$3+18,""))</f>
        <v>46345</v>
      </c>
      <c r="AO6" s="222"/>
      <c r="AP6" s="220">
        <f>IF($B$3="","",IF(MONTH($B$3+19)=MONTH($B$3),$B$3+19,""))</f>
        <v>46346</v>
      </c>
      <c r="AQ6" s="222"/>
      <c r="AR6" s="220">
        <f>IF($B$3="","",IF(MONTH($B$3+20)=MONTH($B$3),$B$3+20,""))</f>
        <v>46347</v>
      </c>
      <c r="AS6" s="222"/>
      <c r="AT6" s="220">
        <f>IF($B$3="","",IF(MONTH($B$3+21)=MONTH($B$3),$B$3+21,""))</f>
        <v>46348</v>
      </c>
      <c r="AU6" s="222"/>
      <c r="AV6" s="220">
        <f>IF($B$3="","",IF(MONTH($B$3+22)=MONTH($B$3),$B$3+22,""))</f>
        <v>46349</v>
      </c>
      <c r="AW6" s="222"/>
      <c r="AX6" s="220">
        <f>IF($B$3="","",IF(MONTH($B$3+23)=MONTH($B$3),$B$3+23,""))</f>
        <v>46350</v>
      </c>
      <c r="AY6" s="222"/>
      <c r="AZ6" s="220">
        <f>IF($B$3="","",IF(MONTH($B$3+24)=MONTH($B$3),$B$3+24,""))</f>
        <v>46351</v>
      </c>
      <c r="BA6" s="222"/>
      <c r="BB6" s="220">
        <f>IF($B$3="","",IF(MONTH($B$3+25)=MONTH($B$3),$B$3+25,""))</f>
        <v>46352</v>
      </c>
      <c r="BC6" s="222"/>
      <c r="BD6" s="220">
        <f>IF($B$3="","",IF(MONTH($B$3+26)=MONTH($B$3),$B$3+26,""))</f>
        <v>46353</v>
      </c>
      <c r="BE6" s="222"/>
      <c r="BF6" s="220">
        <f>IF($B$3="","",IF(MONTH($B$3+27)=MONTH($B$3),$B$3+27,""))</f>
        <v>46354</v>
      </c>
      <c r="BG6" s="222"/>
      <c r="BH6" s="220">
        <f>IF($B$3="","",IF(MONTH($B$3+28)=MONTH($B$3),$B$3+28,""))</f>
        <v>46355</v>
      </c>
      <c r="BI6" s="222"/>
      <c r="BJ6" s="220">
        <f>IF($B$3="","",IF(MONTH($B$3+29)=MONTH($B$3),$B$3+29,""))</f>
        <v>46356</v>
      </c>
      <c r="BK6" s="222"/>
      <c r="BL6" s="220" t="str">
        <f>IF($B$3="","",IF(MONTH($B$3+30)=MONTH($B$3),$B$3+30,""))</f>
        <v/>
      </c>
      <c r="BM6" s="222"/>
      <c r="BN6" s="223" t="s">
        <v>115</v>
      </c>
      <c r="BO6" s="224"/>
      <c r="BP6" s="220">
        <f>IF($B$3="","",EOMONTH($B$3,0)+1)</f>
        <v>46357</v>
      </c>
      <c r="BQ6" s="221"/>
    </row>
    <row r="7" spans="1:76" x14ac:dyDescent="0.35">
      <c r="A7" s="38" t="s">
        <v>20</v>
      </c>
      <c r="B7" s="39"/>
      <c r="C7" s="40"/>
      <c r="D7" s="41"/>
      <c r="E7" s="165">
        <f>E59</f>
        <v>0</v>
      </c>
      <c r="F7" s="42"/>
      <c r="G7" s="165">
        <f>G59</f>
        <v>0</v>
      </c>
      <c r="H7" s="42"/>
      <c r="I7" s="165">
        <f>I59</f>
        <v>0</v>
      </c>
      <c r="J7" s="42"/>
      <c r="K7" s="165">
        <f>K59</f>
        <v>0</v>
      </c>
      <c r="L7" s="42"/>
      <c r="M7" s="165">
        <f>M59</f>
        <v>0</v>
      </c>
      <c r="N7" s="42"/>
      <c r="O7" s="165">
        <f>O59</f>
        <v>0</v>
      </c>
      <c r="P7" s="42"/>
      <c r="Q7" s="165">
        <f>Q59</f>
        <v>0</v>
      </c>
      <c r="R7" s="42"/>
      <c r="S7" s="165">
        <f>S59</f>
        <v>0</v>
      </c>
      <c r="T7" s="42"/>
      <c r="U7" s="165">
        <f>U59</f>
        <v>0</v>
      </c>
      <c r="V7" s="42"/>
      <c r="W7" s="165">
        <f>W59</f>
        <v>0</v>
      </c>
      <c r="X7" s="42"/>
      <c r="Y7" s="165">
        <f>Y59</f>
        <v>0</v>
      </c>
      <c r="Z7" s="42"/>
      <c r="AA7" s="165">
        <f>AA59</f>
        <v>0</v>
      </c>
      <c r="AB7" s="42"/>
      <c r="AC7" s="165">
        <f>AC59</f>
        <v>0</v>
      </c>
      <c r="AD7" s="42"/>
      <c r="AE7" s="165">
        <f>AE59</f>
        <v>0</v>
      </c>
      <c r="AF7" s="42"/>
      <c r="AG7" s="165">
        <f>AG59</f>
        <v>0</v>
      </c>
      <c r="AH7" s="42"/>
      <c r="AI7" s="165">
        <f>AI59</f>
        <v>0</v>
      </c>
      <c r="AJ7" s="42"/>
      <c r="AK7" s="165">
        <f>AK59</f>
        <v>0</v>
      </c>
      <c r="AL7" s="42"/>
      <c r="AM7" s="165">
        <f>AM59</f>
        <v>0</v>
      </c>
      <c r="AN7" s="42"/>
      <c r="AO7" s="165">
        <f>AO59</f>
        <v>0</v>
      </c>
      <c r="AP7" s="42"/>
      <c r="AQ7" s="165">
        <f>AQ59</f>
        <v>0</v>
      </c>
      <c r="AR7" s="42"/>
      <c r="AS7" s="165">
        <f>AS59</f>
        <v>0</v>
      </c>
      <c r="AT7" s="42"/>
      <c r="AU7" s="165">
        <f>AU59</f>
        <v>0</v>
      </c>
      <c r="AV7" s="42"/>
      <c r="AW7" s="165">
        <f>AW59</f>
        <v>0</v>
      </c>
      <c r="AX7" s="42"/>
      <c r="AY7" s="165">
        <f>AY59</f>
        <v>0</v>
      </c>
      <c r="AZ7" s="42"/>
      <c r="BA7" s="165">
        <f>BA59</f>
        <v>0</v>
      </c>
      <c r="BB7" s="42"/>
      <c r="BC7" s="165">
        <f>BC59</f>
        <v>0</v>
      </c>
      <c r="BD7" s="42"/>
      <c r="BE7" s="165">
        <f>BE59</f>
        <v>0</v>
      </c>
      <c r="BF7" s="42"/>
      <c r="BG7" s="165">
        <f>BG59</f>
        <v>0</v>
      </c>
      <c r="BH7" s="42"/>
      <c r="BI7" s="165">
        <f>BI59</f>
        <v>0</v>
      </c>
      <c r="BJ7" s="42"/>
      <c r="BK7" s="165">
        <f>BK59</f>
        <v>0</v>
      </c>
      <c r="BL7" s="42"/>
      <c r="BM7" s="165">
        <f>BM59</f>
        <v>0</v>
      </c>
      <c r="BN7" s="43"/>
      <c r="BO7" s="169">
        <f>IF(COUNT(E7,G7,I7,K7,M7,O7,Q7,S7,U7,W7,Y7,AA7,AC7,AE7,AG7,AI7,AK7,AM7,AO7,AQ7,AS7,AU7,AW7,AY7,BA7,BC7,BE7,BG7,BI7,BK7,BM7)=0,"",SUM(E7,G7,I7,K7,M7,O7,Q7,S7,U7,W7,Y7,AA7,AC7,AE7,AG7,AI7,AK7,AM7,AO7,AQ7,AS7,AU7,AW7,AY7,BA7,BC7,BE7,BG7,BI7,BK7,BM7))</f>
        <v>0</v>
      </c>
      <c r="BP7" s="42"/>
      <c r="BQ7" s="171">
        <f>BQ59</f>
        <v>0</v>
      </c>
    </row>
    <row r="8" spans="1:76" x14ac:dyDescent="0.35">
      <c r="A8" s="38" t="s">
        <v>49</v>
      </c>
      <c r="B8" s="39"/>
      <c r="C8" s="40"/>
      <c r="D8" s="41"/>
      <c r="E8" s="165">
        <f>E58</f>
        <v>0</v>
      </c>
      <c r="F8" s="42"/>
      <c r="G8" s="165">
        <f>G58</f>
        <v>0</v>
      </c>
      <c r="H8" s="42"/>
      <c r="I8" s="165">
        <f>I58</f>
        <v>0</v>
      </c>
      <c r="J8" s="42"/>
      <c r="K8" s="165">
        <f>K58</f>
        <v>0</v>
      </c>
      <c r="L8" s="42"/>
      <c r="M8" s="165">
        <f>M58</f>
        <v>0</v>
      </c>
      <c r="N8" s="42"/>
      <c r="O8" s="165">
        <f>O58</f>
        <v>0</v>
      </c>
      <c r="P8" s="42"/>
      <c r="Q8" s="165">
        <f>Q58</f>
        <v>0</v>
      </c>
      <c r="R8" s="42"/>
      <c r="S8" s="165">
        <f>S58</f>
        <v>0</v>
      </c>
      <c r="T8" s="42"/>
      <c r="U8" s="165">
        <f>U58</f>
        <v>0</v>
      </c>
      <c r="V8" s="42"/>
      <c r="W8" s="165">
        <f>W58</f>
        <v>0</v>
      </c>
      <c r="X8" s="42"/>
      <c r="Y8" s="165">
        <f>Y58</f>
        <v>0</v>
      </c>
      <c r="Z8" s="42"/>
      <c r="AA8" s="165">
        <f>AA58</f>
        <v>0</v>
      </c>
      <c r="AB8" s="42"/>
      <c r="AC8" s="165">
        <f>AC58</f>
        <v>0</v>
      </c>
      <c r="AD8" s="42"/>
      <c r="AE8" s="165">
        <f>AE58</f>
        <v>0</v>
      </c>
      <c r="AF8" s="42"/>
      <c r="AG8" s="165">
        <f>AG58</f>
        <v>0</v>
      </c>
      <c r="AH8" s="42"/>
      <c r="AI8" s="165">
        <f>AI58</f>
        <v>0</v>
      </c>
      <c r="AJ8" s="42"/>
      <c r="AK8" s="165">
        <f>AK58</f>
        <v>0</v>
      </c>
      <c r="AL8" s="42"/>
      <c r="AM8" s="165">
        <f>AM58</f>
        <v>0</v>
      </c>
      <c r="AN8" s="42"/>
      <c r="AO8" s="165">
        <f>AO58</f>
        <v>0</v>
      </c>
      <c r="AP8" s="42"/>
      <c r="AQ8" s="165">
        <f>AQ58</f>
        <v>0</v>
      </c>
      <c r="AR8" s="42"/>
      <c r="AS8" s="165">
        <f>AS58</f>
        <v>0</v>
      </c>
      <c r="AT8" s="42"/>
      <c r="AU8" s="168">
        <f>AU58</f>
        <v>0</v>
      </c>
      <c r="AV8" s="42"/>
      <c r="AW8" s="165">
        <f>AW58</f>
        <v>0</v>
      </c>
      <c r="AX8" s="42"/>
      <c r="AY8" s="165">
        <f>AY58</f>
        <v>0</v>
      </c>
      <c r="AZ8" s="42"/>
      <c r="BA8" s="165">
        <f>BA58</f>
        <v>0</v>
      </c>
      <c r="BB8" s="42"/>
      <c r="BC8" s="165">
        <f>BC58</f>
        <v>0</v>
      </c>
      <c r="BD8" s="42"/>
      <c r="BE8" s="165">
        <f>BE58</f>
        <v>0</v>
      </c>
      <c r="BF8" s="42"/>
      <c r="BG8" s="165">
        <f>BG58</f>
        <v>0</v>
      </c>
      <c r="BH8" s="42"/>
      <c r="BI8" s="165">
        <f>BI58</f>
        <v>0</v>
      </c>
      <c r="BJ8" s="42"/>
      <c r="BK8" s="165">
        <f>BK58</f>
        <v>0</v>
      </c>
      <c r="BL8" s="42"/>
      <c r="BM8" s="165">
        <f>BM58</f>
        <v>0</v>
      </c>
      <c r="BN8" s="43"/>
      <c r="BO8" s="169">
        <f>IF(COUNT(E8,G8,I8,K8,M8,O8,Q8,S8,U8,W8,Y8,AA8,AC8,AE8,AG8,AI8,AK8,AM8,AO8,AQ8,AS8,AU8,AW8,AY8,BA8,BC8,BE8,BG8,BI8,BK8,BM8)=0,"",SUM(E8,G8,I8,K8,M8,O8,Q8,S8,U8,W8,Y8,AA8,AC8,AE8,AG8,AI8,AK8,AM8,AO8,AQ8,AS8,AU8,AW8,AY8,BA8,BC8,BE8,BG8,BI8,BK8,BM8))</f>
        <v>0</v>
      </c>
      <c r="BP8" s="42"/>
      <c r="BQ8" s="171">
        <f>BQ58</f>
        <v>0</v>
      </c>
    </row>
    <row r="9" spans="1:76" x14ac:dyDescent="0.35">
      <c r="A9" s="38" t="s">
        <v>50</v>
      </c>
      <c r="B9" s="39"/>
      <c r="C9" s="40"/>
      <c r="D9" s="41"/>
      <c r="E9" s="165" t="e">
        <f>E61</f>
        <v>#VALUE!</v>
      </c>
      <c r="F9" s="42"/>
      <c r="G9" s="165">
        <f>G61</f>
        <v>0</v>
      </c>
      <c r="H9" s="42"/>
      <c r="I9" s="165">
        <f>I61</f>
        <v>0</v>
      </c>
      <c r="J9" s="42"/>
      <c r="K9" s="165">
        <f>K61</f>
        <v>0</v>
      </c>
      <c r="L9" s="42"/>
      <c r="M9" s="165">
        <f>M61</f>
        <v>0</v>
      </c>
      <c r="N9" s="42"/>
      <c r="O9" s="165">
        <f>O61</f>
        <v>0</v>
      </c>
      <c r="P9" s="42"/>
      <c r="Q9" s="165">
        <f>Q61</f>
        <v>0</v>
      </c>
      <c r="R9" s="42"/>
      <c r="S9" s="165">
        <f>S61</f>
        <v>0</v>
      </c>
      <c r="T9" s="42"/>
      <c r="U9" s="165">
        <f>U61</f>
        <v>0</v>
      </c>
      <c r="V9" s="42"/>
      <c r="W9" s="165">
        <f>W61</f>
        <v>0</v>
      </c>
      <c r="X9" s="42"/>
      <c r="Y9" s="165">
        <f>Y61</f>
        <v>0</v>
      </c>
      <c r="Z9" s="42"/>
      <c r="AA9" s="165">
        <f>AA61</f>
        <v>0</v>
      </c>
      <c r="AB9" s="42"/>
      <c r="AC9" s="165">
        <f>AC61</f>
        <v>0</v>
      </c>
      <c r="AD9" s="42"/>
      <c r="AE9" s="165">
        <f>AE61</f>
        <v>0</v>
      </c>
      <c r="AF9" s="42"/>
      <c r="AG9" s="165">
        <f>AG61</f>
        <v>0</v>
      </c>
      <c r="AH9" s="42"/>
      <c r="AI9" s="165">
        <f>AI61</f>
        <v>0</v>
      </c>
      <c r="AJ9" s="42"/>
      <c r="AK9" s="165">
        <f>AK61</f>
        <v>0</v>
      </c>
      <c r="AL9" s="42"/>
      <c r="AM9" s="165">
        <f>AM61</f>
        <v>0</v>
      </c>
      <c r="AN9" s="42"/>
      <c r="AO9" s="165">
        <f>AO61</f>
        <v>0</v>
      </c>
      <c r="AP9" s="42"/>
      <c r="AQ9" s="165">
        <f>AQ61</f>
        <v>0</v>
      </c>
      <c r="AR9" s="42"/>
      <c r="AS9" s="165">
        <f>AS61</f>
        <v>0</v>
      </c>
      <c r="AT9" s="42"/>
      <c r="AU9" s="165">
        <f>AU61</f>
        <v>0</v>
      </c>
      <c r="AV9" s="42"/>
      <c r="AW9" s="165">
        <f>AW61</f>
        <v>0</v>
      </c>
      <c r="AX9" s="42"/>
      <c r="AY9" s="165">
        <f>AY61</f>
        <v>0</v>
      </c>
      <c r="AZ9" s="42"/>
      <c r="BA9" s="165">
        <f>BA61</f>
        <v>0</v>
      </c>
      <c r="BB9" s="42"/>
      <c r="BC9" s="165">
        <f>BC61</f>
        <v>0</v>
      </c>
      <c r="BD9" s="42"/>
      <c r="BE9" s="165">
        <f>BE61</f>
        <v>0</v>
      </c>
      <c r="BF9" s="42"/>
      <c r="BG9" s="165">
        <f>BG61</f>
        <v>0</v>
      </c>
      <c r="BH9" s="42"/>
      <c r="BI9" s="165">
        <f>BI61</f>
        <v>0</v>
      </c>
      <c r="BJ9" s="42"/>
      <c r="BK9" s="165">
        <f>BK61</f>
        <v>0</v>
      </c>
      <c r="BL9" s="42"/>
      <c r="BM9" s="165">
        <f>BM61</f>
        <v>0</v>
      </c>
      <c r="BN9" s="43"/>
      <c r="BO9" s="169" t="e">
        <f>IF(COUNT(E9,G9,I9,K9,M9,O9,Q9,S9,U9,W9,Y9,AA9,AC9,AE9,AG9,AI9,AK9,AM9,AO9,AQ9,AS9,AU9,AW9,AY9,BA9,BC9,BE9,BG9,BI9,BK9,BM9)=0,"",SUM(E9,G9,I9,K9,M9,O9,Q9,S9,U9,W9,Y9,AA9,AC9,AE9,AG9,AI9,AK9,AM9,AO9,AQ9,AS9,AU9,AW9,AY9,BA9,BC9,BE9,BG9,BI9,BK9,BM9))</f>
        <v>#VALUE!</v>
      </c>
      <c r="BP9" s="42"/>
      <c r="BQ9" s="171" t="e">
        <f>BQ61</f>
        <v>#VALUE!</v>
      </c>
    </row>
    <row r="10" spans="1:76" s="2" customFormat="1" x14ac:dyDescent="0.35">
      <c r="A10" s="44" t="s">
        <v>47</v>
      </c>
      <c r="B10" s="45"/>
      <c r="C10" s="46">
        <v>1413.73</v>
      </c>
      <c r="D10" s="47"/>
      <c r="E10" s="166" t="e">
        <f>E73</f>
        <v>#VALUE!</v>
      </c>
      <c r="F10" s="49"/>
      <c r="G10" s="166">
        <f t="shared" ref="G10:BQ10" si="0">G73</f>
        <v>0</v>
      </c>
      <c r="H10" s="49"/>
      <c r="I10" s="166">
        <f t="shared" si="0"/>
        <v>0</v>
      </c>
      <c r="J10" s="49"/>
      <c r="K10" s="166">
        <f t="shared" si="0"/>
        <v>0</v>
      </c>
      <c r="L10" s="49"/>
      <c r="M10" s="166">
        <f t="shared" si="0"/>
        <v>0</v>
      </c>
      <c r="N10" s="49"/>
      <c r="O10" s="166">
        <f t="shared" si="0"/>
        <v>0</v>
      </c>
      <c r="P10" s="49"/>
      <c r="Q10" s="166">
        <f t="shared" si="0"/>
        <v>0</v>
      </c>
      <c r="R10" s="49"/>
      <c r="S10" s="166">
        <f t="shared" si="0"/>
        <v>0</v>
      </c>
      <c r="T10" s="49"/>
      <c r="U10" s="166">
        <f t="shared" si="0"/>
        <v>0</v>
      </c>
      <c r="V10" s="49"/>
      <c r="W10" s="166">
        <f t="shared" si="0"/>
        <v>0</v>
      </c>
      <c r="X10" s="49"/>
      <c r="Y10" s="166">
        <f t="shared" si="0"/>
        <v>0</v>
      </c>
      <c r="Z10" s="49"/>
      <c r="AA10" s="166">
        <f t="shared" si="0"/>
        <v>0</v>
      </c>
      <c r="AB10" s="49"/>
      <c r="AC10" s="166">
        <f t="shared" si="0"/>
        <v>0</v>
      </c>
      <c r="AD10" s="49"/>
      <c r="AE10" s="166">
        <f t="shared" si="0"/>
        <v>0</v>
      </c>
      <c r="AF10" s="49"/>
      <c r="AG10" s="166">
        <f t="shared" si="0"/>
        <v>0</v>
      </c>
      <c r="AH10" s="49"/>
      <c r="AI10" s="166">
        <f t="shared" si="0"/>
        <v>0</v>
      </c>
      <c r="AJ10" s="49"/>
      <c r="AK10" s="166">
        <f t="shared" si="0"/>
        <v>0</v>
      </c>
      <c r="AL10" s="49"/>
      <c r="AM10" s="166">
        <f t="shared" si="0"/>
        <v>0</v>
      </c>
      <c r="AN10" s="49"/>
      <c r="AO10" s="166">
        <f t="shared" si="0"/>
        <v>0</v>
      </c>
      <c r="AP10" s="49"/>
      <c r="AQ10" s="166">
        <f t="shared" si="0"/>
        <v>0</v>
      </c>
      <c r="AR10" s="49"/>
      <c r="AS10" s="166">
        <f t="shared" si="0"/>
        <v>0</v>
      </c>
      <c r="AT10" s="49"/>
      <c r="AU10" s="166">
        <f t="shared" si="0"/>
        <v>0</v>
      </c>
      <c r="AV10" s="49"/>
      <c r="AW10" s="166">
        <f t="shared" si="0"/>
        <v>0</v>
      </c>
      <c r="AX10" s="49"/>
      <c r="AY10" s="166">
        <f t="shared" si="0"/>
        <v>0</v>
      </c>
      <c r="AZ10" s="49"/>
      <c r="BA10" s="166">
        <f t="shared" si="0"/>
        <v>0</v>
      </c>
      <c r="BB10" s="49"/>
      <c r="BC10" s="166">
        <f t="shared" si="0"/>
        <v>0</v>
      </c>
      <c r="BD10" s="49"/>
      <c r="BE10" s="166">
        <f t="shared" si="0"/>
        <v>0</v>
      </c>
      <c r="BF10" s="49"/>
      <c r="BG10" s="166">
        <f t="shared" si="0"/>
        <v>0</v>
      </c>
      <c r="BH10" s="49"/>
      <c r="BI10" s="166">
        <f t="shared" si="0"/>
        <v>0</v>
      </c>
      <c r="BJ10" s="49"/>
      <c r="BK10" s="166">
        <f t="shared" si="0"/>
        <v>0</v>
      </c>
      <c r="BL10" s="49"/>
      <c r="BM10" s="166">
        <f t="shared" si="0"/>
        <v>0</v>
      </c>
      <c r="BN10" s="50"/>
      <c r="BO10" s="170" t="e">
        <f>IF(COUNT(E10,G10,I10,K10,M10,O10,Q10,S10,U10,W10,Y10,AA10,AC10,AE10,AG10,AI10,AK10,AM10,AO10,AQ10,AS10,AU10,AW10,AY10,BA10,BC10,BE10,BG10,BI10,BK10,BM10)=0,"",SUM(E10,G10,I10,K10,M10,O10,Q10,S10,U10,W10,Y10,AA10,AC10,AE10,AG10,AI10,AK10,AM10,AO10,AQ10,AS10,AU10,AW10,AY10,BA10,BC10,BE10,BG10,BI10,BK10,BM10))</f>
        <v>#VALUE!</v>
      </c>
      <c r="BP10" s="49"/>
      <c r="BQ10" s="172" t="e">
        <f t="shared" si="0"/>
        <v>#VALUE!</v>
      </c>
      <c r="BR10"/>
      <c r="BS10"/>
      <c r="BT10"/>
      <c r="BU10"/>
      <c r="BV10"/>
      <c r="BW10"/>
      <c r="BX10"/>
    </row>
    <row r="11" spans="1:76" s="2" customFormat="1" x14ac:dyDescent="0.35">
      <c r="A11" s="44" t="s">
        <v>48</v>
      </c>
      <c r="B11" s="45"/>
      <c r="C11" s="46">
        <v>5252.8</v>
      </c>
      <c r="D11" s="47"/>
      <c r="E11" s="166">
        <f>E75+E56</f>
        <v>0</v>
      </c>
      <c r="F11" s="49"/>
      <c r="G11" s="166">
        <f>G75+G56</f>
        <v>0</v>
      </c>
      <c r="H11" s="49"/>
      <c r="I11" s="166">
        <f>I75+I56</f>
        <v>0</v>
      </c>
      <c r="J11" s="49"/>
      <c r="K11" s="166">
        <f>K75+K56</f>
        <v>0</v>
      </c>
      <c r="L11" s="49"/>
      <c r="M11" s="166">
        <f>M75+M56</f>
        <v>0</v>
      </c>
      <c r="N11" s="49"/>
      <c r="O11" s="166">
        <f>O75+O56</f>
        <v>0</v>
      </c>
      <c r="P11" s="49"/>
      <c r="Q11" s="166">
        <f>Q75+Q56</f>
        <v>0</v>
      </c>
      <c r="R11" s="49"/>
      <c r="S11" s="166">
        <f>S75+S56</f>
        <v>0</v>
      </c>
      <c r="T11" s="49"/>
      <c r="U11" s="166">
        <f>U75+U56</f>
        <v>0</v>
      </c>
      <c r="V11" s="49"/>
      <c r="W11" s="166">
        <f>W75+W56</f>
        <v>0</v>
      </c>
      <c r="X11" s="167">
        <f t="shared" ref="X11:AL11" si="1">X75</f>
        <v>0</v>
      </c>
      <c r="Y11" s="166">
        <f>Y75+Y56</f>
        <v>0</v>
      </c>
      <c r="Z11" s="167">
        <f t="shared" si="1"/>
        <v>0</v>
      </c>
      <c r="AA11" s="166">
        <f>AA75+AA56</f>
        <v>0</v>
      </c>
      <c r="AB11" s="167">
        <f t="shared" si="1"/>
        <v>0</v>
      </c>
      <c r="AC11" s="166">
        <f>AC75+AC56</f>
        <v>0</v>
      </c>
      <c r="AD11" s="167">
        <f t="shared" si="1"/>
        <v>0</v>
      </c>
      <c r="AE11" s="166">
        <f>AE75+AE56</f>
        <v>0</v>
      </c>
      <c r="AF11" s="167">
        <f t="shared" si="1"/>
        <v>0</v>
      </c>
      <c r="AG11" s="166">
        <f>AG75+AG56</f>
        <v>0</v>
      </c>
      <c r="AH11" s="167">
        <f t="shared" si="1"/>
        <v>0</v>
      </c>
      <c r="AI11" s="166">
        <f>AI75+AI56</f>
        <v>0</v>
      </c>
      <c r="AJ11" s="167">
        <f t="shared" si="1"/>
        <v>0</v>
      </c>
      <c r="AK11" s="166">
        <f>AK75+AK56</f>
        <v>0</v>
      </c>
      <c r="AL11" s="167">
        <f t="shared" si="1"/>
        <v>0</v>
      </c>
      <c r="AM11" s="166">
        <f>AM75+AM56</f>
        <v>0</v>
      </c>
      <c r="AN11" s="49"/>
      <c r="AO11" s="166">
        <f>AO75+AO56</f>
        <v>0</v>
      </c>
      <c r="AP11" s="49"/>
      <c r="AQ11" s="166">
        <f>AQ75+AQ56</f>
        <v>0</v>
      </c>
      <c r="AR11" s="49"/>
      <c r="AS11" s="166">
        <f>AS75+AS56</f>
        <v>0</v>
      </c>
      <c r="AT11" s="49"/>
      <c r="AU11" s="166">
        <f>AU75+AU56</f>
        <v>0</v>
      </c>
      <c r="AV11" s="49"/>
      <c r="AW11" s="166">
        <f>AW75+AW56</f>
        <v>0</v>
      </c>
      <c r="AX11" s="49"/>
      <c r="AY11" s="166">
        <f>AY75+AY56</f>
        <v>0</v>
      </c>
      <c r="AZ11" s="49"/>
      <c r="BA11" s="166">
        <f>BA75+BA56</f>
        <v>0</v>
      </c>
      <c r="BB11" s="49"/>
      <c r="BC11" s="166">
        <f>BC75+BC56</f>
        <v>0</v>
      </c>
      <c r="BD11" s="49"/>
      <c r="BE11" s="166">
        <f>BE75+BE56</f>
        <v>0</v>
      </c>
      <c r="BF11" s="49"/>
      <c r="BG11" s="166">
        <f>BG75+BG56</f>
        <v>0</v>
      </c>
      <c r="BH11" s="49"/>
      <c r="BI11" s="166">
        <f>BI75+BI56</f>
        <v>0</v>
      </c>
      <c r="BJ11" s="49"/>
      <c r="BK11" s="166">
        <f>BK75+BK56</f>
        <v>0</v>
      </c>
      <c r="BL11" s="49"/>
      <c r="BM11" s="166">
        <f>BM75+BM56</f>
        <v>0</v>
      </c>
      <c r="BN11" s="50"/>
      <c r="BO11" s="170">
        <f>IF(COUNT(E11,G11,I11,K11,M11,O11,Q11,S11,U11,W11,Y11,AA11,AC11,AE11,AG11,AI11,AK11,AM11,AO11,AQ11,AS11,AU11,AW11,AY11,BA11,BC11,BE11,BG11,BI11,BK11,BM11)=0,"",SUM(E11,G11,I11,K11,M11,O11,Q11,S11,U11,W11,Y11,AA11,AC11,AE11,AG11,AI11,AK11,AM11,AO11,AQ11,AS11,AU11,AW11,AY11,BA11,BC11,BE11,BG11,BI11,BK11,BM11))</f>
        <v>0</v>
      </c>
      <c r="BP11" s="49"/>
      <c r="BQ11" s="172" t="e">
        <f>BQ75+BQ56</f>
        <v>#VALUE!</v>
      </c>
      <c r="BR11"/>
      <c r="BS11"/>
      <c r="BT11"/>
      <c r="BU11"/>
      <c r="BV11"/>
      <c r="BW11"/>
      <c r="BX11"/>
    </row>
    <row r="12" spans="1:76" ht="13.5" customHeight="1" x14ac:dyDescent="0.35">
      <c r="A12" s="53"/>
      <c r="B12" s="54"/>
      <c r="C12" s="55"/>
      <c r="D12" s="219"/>
      <c r="E12" s="217"/>
      <c r="F12" s="216"/>
      <c r="G12" s="217"/>
      <c r="H12" s="216"/>
      <c r="I12" s="217"/>
      <c r="J12" s="216"/>
      <c r="K12" s="217"/>
      <c r="L12" s="216"/>
      <c r="M12" s="217"/>
      <c r="N12" s="216"/>
      <c r="O12" s="217"/>
      <c r="P12" s="216"/>
      <c r="Q12" s="217"/>
      <c r="R12" s="216"/>
      <c r="S12" s="217"/>
      <c r="T12" s="216"/>
      <c r="U12" s="217"/>
      <c r="V12" s="216"/>
      <c r="W12" s="217"/>
      <c r="X12" s="216"/>
      <c r="Y12" s="217"/>
      <c r="Z12" s="216"/>
      <c r="AA12" s="217"/>
      <c r="AB12" s="216"/>
      <c r="AC12" s="217"/>
      <c r="AD12" s="216"/>
      <c r="AE12" s="217"/>
      <c r="AF12" s="216"/>
      <c r="AG12" s="217"/>
      <c r="AH12" s="216"/>
      <c r="AI12" s="217"/>
      <c r="AJ12" s="216"/>
      <c r="AK12" s="217"/>
      <c r="AL12" s="216"/>
      <c r="AM12" s="217"/>
      <c r="AN12" s="216"/>
      <c r="AO12" s="217"/>
      <c r="AP12" s="216"/>
      <c r="AQ12" s="217"/>
      <c r="AR12" s="216"/>
      <c r="AS12" s="217"/>
      <c r="AT12" s="216"/>
      <c r="AU12" s="217"/>
      <c r="AV12" s="216"/>
      <c r="AW12" s="217"/>
      <c r="AX12" s="216"/>
      <c r="AY12" s="217"/>
      <c r="AZ12" s="216"/>
      <c r="BA12" s="217"/>
      <c r="BB12" s="216"/>
      <c r="BC12" s="217"/>
      <c r="BD12" s="216"/>
      <c r="BE12" s="217"/>
      <c r="BF12" s="216"/>
      <c r="BG12" s="217"/>
      <c r="BH12" s="216"/>
      <c r="BI12" s="217"/>
      <c r="BJ12" s="216"/>
      <c r="BK12" s="217"/>
      <c r="BL12" s="216"/>
      <c r="BM12" s="217"/>
      <c r="BN12" s="56"/>
      <c r="BO12" s="57"/>
      <c r="BP12" s="216"/>
      <c r="BQ12" s="218"/>
    </row>
    <row r="13" spans="1:76" x14ac:dyDescent="0.35">
      <c r="A13" s="58" t="s">
        <v>39</v>
      </c>
      <c r="B13" s="59"/>
      <c r="C13" s="205" t="str">
        <f>IF('October 2026 Log'!BM13="","",'October 2026 Log'!BM13)</f>
        <v/>
      </c>
      <c r="D13" s="61" t="s">
        <v>52</v>
      </c>
      <c r="E13" s="62"/>
      <c r="F13" s="63" t="s">
        <v>52</v>
      </c>
      <c r="G13" s="62"/>
      <c r="H13" s="63" t="s">
        <v>52</v>
      </c>
      <c r="I13" s="62"/>
      <c r="J13" s="63" t="s">
        <v>52</v>
      </c>
      <c r="K13" s="62"/>
      <c r="L13" s="63" t="s">
        <v>52</v>
      </c>
      <c r="M13" s="62"/>
      <c r="N13" s="63" t="s">
        <v>52</v>
      </c>
      <c r="O13" s="62"/>
      <c r="P13" s="63" t="s">
        <v>52</v>
      </c>
      <c r="Q13" s="62"/>
      <c r="R13" s="63" t="s">
        <v>52</v>
      </c>
      <c r="S13" s="62"/>
      <c r="T13" s="63" t="s">
        <v>52</v>
      </c>
      <c r="U13" s="62"/>
      <c r="V13" s="63" t="s">
        <v>52</v>
      </c>
      <c r="W13" s="62"/>
      <c r="X13" s="63" t="s">
        <v>52</v>
      </c>
      <c r="Y13" s="62"/>
      <c r="Z13" s="63" t="s">
        <v>52</v>
      </c>
      <c r="AA13" s="62"/>
      <c r="AB13" s="63" t="s">
        <v>52</v>
      </c>
      <c r="AC13" s="62"/>
      <c r="AD13" s="63" t="s">
        <v>52</v>
      </c>
      <c r="AE13" s="62"/>
      <c r="AF13" s="63" t="s">
        <v>52</v>
      </c>
      <c r="AG13" s="62"/>
      <c r="AH13" s="63" t="s">
        <v>52</v>
      </c>
      <c r="AI13" s="62"/>
      <c r="AJ13" s="63" t="s">
        <v>52</v>
      </c>
      <c r="AK13" s="62"/>
      <c r="AL13" s="63" t="s">
        <v>52</v>
      </c>
      <c r="AM13" s="62"/>
      <c r="AN13" s="63" t="s">
        <v>52</v>
      </c>
      <c r="AO13" s="62"/>
      <c r="AP13" s="63" t="s">
        <v>52</v>
      </c>
      <c r="AQ13" s="62"/>
      <c r="AR13" s="63" t="s">
        <v>52</v>
      </c>
      <c r="AS13" s="62"/>
      <c r="AT13" s="63" t="s">
        <v>52</v>
      </c>
      <c r="AU13" s="62"/>
      <c r="AV13" s="63" t="s">
        <v>52</v>
      </c>
      <c r="AW13" s="62"/>
      <c r="AX13" s="63" t="s">
        <v>52</v>
      </c>
      <c r="AY13" s="62"/>
      <c r="AZ13" s="63" t="s">
        <v>52</v>
      </c>
      <c r="BA13" s="62"/>
      <c r="BB13" s="63" t="s">
        <v>52</v>
      </c>
      <c r="BC13" s="62"/>
      <c r="BD13" s="63" t="s">
        <v>52</v>
      </c>
      <c r="BE13" s="62"/>
      <c r="BF13" s="63" t="s">
        <v>52</v>
      </c>
      <c r="BG13" s="62"/>
      <c r="BH13" s="63" t="s">
        <v>52</v>
      </c>
      <c r="BI13" s="62"/>
      <c r="BJ13" s="63" t="s">
        <v>52</v>
      </c>
      <c r="BK13" s="62"/>
      <c r="BL13" s="63"/>
      <c r="BM13" s="62"/>
      <c r="BN13" s="64"/>
      <c r="BO13" s="65"/>
      <c r="BP13" s="63" t="s">
        <v>52</v>
      </c>
      <c r="BQ13" s="207" t="str">
        <f>IF(BK13="","",BK13)</f>
        <v/>
      </c>
    </row>
    <row r="14" spans="1:76" x14ac:dyDescent="0.35">
      <c r="A14" s="53" t="s">
        <v>40</v>
      </c>
      <c r="B14" s="59"/>
      <c r="C14" s="206" t="str">
        <f>IF('October 2026 Log'!BM14="","",'October 2026 Log'!BM14)</f>
        <v/>
      </c>
      <c r="D14" s="68" t="s">
        <v>40</v>
      </c>
      <c r="E14" s="69"/>
      <c r="F14" s="70" t="s">
        <v>40</v>
      </c>
      <c r="G14" s="69"/>
      <c r="H14" s="70" t="s">
        <v>40</v>
      </c>
      <c r="I14" s="69"/>
      <c r="J14" s="70" t="s">
        <v>40</v>
      </c>
      <c r="K14" s="69"/>
      <c r="L14" s="70" t="s">
        <v>40</v>
      </c>
      <c r="M14" s="69"/>
      <c r="N14" s="70" t="s">
        <v>40</v>
      </c>
      <c r="O14" s="69"/>
      <c r="P14" s="70" t="s">
        <v>40</v>
      </c>
      <c r="Q14" s="69"/>
      <c r="R14" s="70" t="s">
        <v>40</v>
      </c>
      <c r="S14" s="69"/>
      <c r="T14" s="70" t="s">
        <v>40</v>
      </c>
      <c r="U14" s="69"/>
      <c r="V14" s="70" t="s">
        <v>40</v>
      </c>
      <c r="W14" s="69"/>
      <c r="X14" s="70" t="s">
        <v>40</v>
      </c>
      <c r="Y14" s="69"/>
      <c r="Z14" s="70" t="s">
        <v>40</v>
      </c>
      <c r="AA14" s="69"/>
      <c r="AB14" s="70" t="s">
        <v>40</v>
      </c>
      <c r="AC14" s="69"/>
      <c r="AD14" s="70" t="s">
        <v>40</v>
      </c>
      <c r="AE14" s="69"/>
      <c r="AF14" s="70" t="s">
        <v>40</v>
      </c>
      <c r="AG14" s="69"/>
      <c r="AH14" s="70" t="s">
        <v>40</v>
      </c>
      <c r="AI14" s="69"/>
      <c r="AJ14" s="70" t="s">
        <v>40</v>
      </c>
      <c r="AK14" s="69"/>
      <c r="AL14" s="70" t="s">
        <v>40</v>
      </c>
      <c r="AM14" s="69"/>
      <c r="AN14" s="70" t="s">
        <v>40</v>
      </c>
      <c r="AO14" s="69"/>
      <c r="AP14" s="70" t="s">
        <v>40</v>
      </c>
      <c r="AQ14" s="69"/>
      <c r="AR14" s="70" t="s">
        <v>40</v>
      </c>
      <c r="AS14" s="69"/>
      <c r="AT14" s="70" t="s">
        <v>40</v>
      </c>
      <c r="AU14" s="69"/>
      <c r="AV14" s="70" t="s">
        <v>40</v>
      </c>
      <c r="AW14" s="69"/>
      <c r="AX14" s="70" t="s">
        <v>40</v>
      </c>
      <c r="AY14" s="69"/>
      <c r="AZ14" s="70" t="s">
        <v>40</v>
      </c>
      <c r="BA14" s="69"/>
      <c r="BB14" s="70" t="s">
        <v>40</v>
      </c>
      <c r="BC14" s="69"/>
      <c r="BD14" s="70" t="s">
        <v>40</v>
      </c>
      <c r="BE14" s="69"/>
      <c r="BF14" s="70" t="s">
        <v>40</v>
      </c>
      <c r="BG14" s="69"/>
      <c r="BH14" s="70" t="s">
        <v>40</v>
      </c>
      <c r="BI14" s="69"/>
      <c r="BJ14" s="70" t="s">
        <v>40</v>
      </c>
      <c r="BK14" s="69"/>
      <c r="BL14" s="70"/>
      <c r="BM14" s="69"/>
      <c r="BN14" s="71"/>
      <c r="BO14" s="72"/>
      <c r="BP14" s="70" t="s">
        <v>40</v>
      </c>
      <c r="BQ14" s="208" t="str">
        <f>IF(BK14="","",BK14)</f>
        <v/>
      </c>
    </row>
    <row r="15" spans="1:76" x14ac:dyDescent="0.35">
      <c r="A15" s="53" t="s">
        <v>38</v>
      </c>
      <c r="B15" s="54"/>
      <c r="C15" s="206" t="str">
        <f>IF('October 2026 Log'!BM15="","",'October 2026 Log'!BM15)</f>
        <v/>
      </c>
      <c r="D15" s="68" t="s">
        <v>53</v>
      </c>
      <c r="E15" s="69"/>
      <c r="F15" s="70" t="s">
        <v>53</v>
      </c>
      <c r="G15" s="69"/>
      <c r="H15" s="70" t="s">
        <v>53</v>
      </c>
      <c r="I15" s="69"/>
      <c r="J15" s="70" t="s">
        <v>53</v>
      </c>
      <c r="K15" s="69"/>
      <c r="L15" s="70" t="s">
        <v>53</v>
      </c>
      <c r="M15" s="69"/>
      <c r="N15" s="70" t="s">
        <v>53</v>
      </c>
      <c r="O15" s="69"/>
      <c r="P15" s="70" t="s">
        <v>53</v>
      </c>
      <c r="Q15" s="69"/>
      <c r="R15" s="70" t="s">
        <v>53</v>
      </c>
      <c r="S15" s="69"/>
      <c r="T15" s="70" t="s">
        <v>53</v>
      </c>
      <c r="U15" s="69"/>
      <c r="V15" s="70" t="s">
        <v>53</v>
      </c>
      <c r="W15" s="69"/>
      <c r="X15" s="70" t="s">
        <v>53</v>
      </c>
      <c r="Y15" s="69"/>
      <c r="Z15" s="70" t="s">
        <v>53</v>
      </c>
      <c r="AA15" s="69"/>
      <c r="AB15" s="70" t="s">
        <v>53</v>
      </c>
      <c r="AC15" s="69"/>
      <c r="AD15" s="70" t="s">
        <v>53</v>
      </c>
      <c r="AE15" s="69"/>
      <c r="AF15" s="70" t="s">
        <v>53</v>
      </c>
      <c r="AG15" s="69"/>
      <c r="AH15" s="70" t="s">
        <v>53</v>
      </c>
      <c r="AI15" s="69"/>
      <c r="AJ15" s="70" t="s">
        <v>53</v>
      </c>
      <c r="AK15" s="69"/>
      <c r="AL15" s="70" t="s">
        <v>53</v>
      </c>
      <c r="AM15" s="69"/>
      <c r="AN15" s="70" t="s">
        <v>53</v>
      </c>
      <c r="AO15" s="69"/>
      <c r="AP15" s="70" t="s">
        <v>53</v>
      </c>
      <c r="AQ15" s="69"/>
      <c r="AR15" s="70" t="s">
        <v>53</v>
      </c>
      <c r="AS15" s="69"/>
      <c r="AT15" s="70" t="s">
        <v>53</v>
      </c>
      <c r="AU15" s="69"/>
      <c r="AV15" s="70" t="s">
        <v>53</v>
      </c>
      <c r="AW15" s="69"/>
      <c r="AX15" s="70" t="s">
        <v>53</v>
      </c>
      <c r="AY15" s="69"/>
      <c r="AZ15" s="70" t="s">
        <v>53</v>
      </c>
      <c r="BA15" s="69"/>
      <c r="BB15" s="70" t="s">
        <v>53</v>
      </c>
      <c r="BC15" s="69"/>
      <c r="BD15" s="70" t="s">
        <v>53</v>
      </c>
      <c r="BE15" s="69"/>
      <c r="BF15" s="70" t="s">
        <v>53</v>
      </c>
      <c r="BG15" s="69"/>
      <c r="BH15" s="70" t="s">
        <v>53</v>
      </c>
      <c r="BI15" s="69"/>
      <c r="BJ15" s="70" t="s">
        <v>53</v>
      </c>
      <c r="BK15" s="69"/>
      <c r="BL15" s="70"/>
      <c r="BM15" s="69"/>
      <c r="BN15" s="71"/>
      <c r="BO15" s="72"/>
      <c r="BP15" s="70" t="s">
        <v>53</v>
      </c>
      <c r="BQ15" s="208" t="str">
        <f>IF(BK15="","",BK15)</f>
        <v/>
      </c>
    </row>
    <row r="16" spans="1:76" x14ac:dyDescent="0.35">
      <c r="A16" s="74" t="s">
        <v>51</v>
      </c>
      <c r="B16" s="75"/>
      <c r="C16" s="76"/>
      <c r="D16" s="77"/>
      <c r="E16" s="78"/>
      <c r="F16" s="79"/>
      <c r="G16" s="78"/>
      <c r="H16" s="79"/>
      <c r="I16" s="78"/>
      <c r="J16" s="79"/>
      <c r="K16" s="78"/>
      <c r="L16" s="79"/>
      <c r="M16" s="78"/>
      <c r="N16" s="79"/>
      <c r="O16" s="78"/>
      <c r="P16" s="79"/>
      <c r="Q16" s="78"/>
      <c r="R16" s="79"/>
      <c r="S16" s="78"/>
      <c r="T16" s="79"/>
      <c r="U16" s="78"/>
      <c r="V16" s="79"/>
      <c r="W16" s="78"/>
      <c r="X16" s="79"/>
      <c r="Y16" s="78"/>
      <c r="Z16" s="79"/>
      <c r="AA16" s="78"/>
      <c r="AB16" s="79"/>
      <c r="AC16" s="78"/>
      <c r="AD16" s="79"/>
      <c r="AE16" s="78"/>
      <c r="AF16" s="79"/>
      <c r="AG16" s="78"/>
      <c r="AH16" s="79"/>
      <c r="AI16" s="78"/>
      <c r="AJ16" s="79"/>
      <c r="AK16" s="78"/>
      <c r="AL16" s="79"/>
      <c r="AM16" s="78"/>
      <c r="AN16" s="79"/>
      <c r="AO16" s="78"/>
      <c r="AP16" s="79"/>
      <c r="AQ16" s="78"/>
      <c r="AR16" s="79"/>
      <c r="AS16" s="78"/>
      <c r="AT16" s="79"/>
      <c r="AU16" s="78"/>
      <c r="AV16" s="79"/>
      <c r="AW16" s="78"/>
      <c r="AX16" s="79"/>
      <c r="AY16" s="78"/>
      <c r="AZ16" s="79"/>
      <c r="BA16" s="78"/>
      <c r="BB16" s="79"/>
      <c r="BC16" s="78"/>
      <c r="BD16" s="79"/>
      <c r="BE16" s="78"/>
      <c r="BF16" s="79"/>
      <c r="BG16" s="78"/>
      <c r="BH16" s="79"/>
      <c r="BI16" s="78"/>
      <c r="BJ16" s="79"/>
      <c r="BK16" s="78"/>
      <c r="BL16" s="79"/>
      <c r="BM16" s="78"/>
      <c r="BN16" s="80"/>
      <c r="BO16" s="81"/>
      <c r="BP16" s="79"/>
      <c r="BQ16" s="82"/>
    </row>
    <row r="17" spans="1:76" x14ac:dyDescent="0.35">
      <c r="A17" s="53" t="s">
        <v>45</v>
      </c>
      <c r="B17" s="54"/>
      <c r="C17" s="206" t="str">
        <f>IF('October 2026 Log'!BM17="","",'October 2026 Log'!BM17)</f>
        <v/>
      </c>
      <c r="D17" s="68"/>
      <c r="E17" s="69"/>
      <c r="F17" s="70"/>
      <c r="G17" s="69"/>
      <c r="H17" s="70"/>
      <c r="I17" s="69"/>
      <c r="J17" s="70"/>
      <c r="K17" s="69"/>
      <c r="L17" s="70"/>
      <c r="M17" s="69"/>
      <c r="N17" s="70"/>
      <c r="O17" s="69"/>
      <c r="P17" s="70"/>
      <c r="Q17" s="69"/>
      <c r="R17" s="70"/>
      <c r="S17" s="69"/>
      <c r="T17" s="70"/>
      <c r="U17" s="69"/>
      <c r="V17" s="70"/>
      <c r="W17" s="69"/>
      <c r="X17" s="70"/>
      <c r="Y17" s="69"/>
      <c r="Z17" s="70"/>
      <c r="AA17" s="69"/>
      <c r="AB17" s="70"/>
      <c r="AC17" s="69"/>
      <c r="AD17" s="70"/>
      <c r="AE17" s="69"/>
      <c r="AF17" s="70"/>
      <c r="AG17" s="69"/>
      <c r="AH17" s="70"/>
      <c r="AI17" s="69"/>
      <c r="AJ17" s="70"/>
      <c r="AK17" s="69"/>
      <c r="AL17" s="70"/>
      <c r="AM17" s="69"/>
      <c r="AN17" s="70"/>
      <c r="AO17" s="69"/>
      <c r="AP17" s="70"/>
      <c r="AQ17" s="69"/>
      <c r="AR17" s="70"/>
      <c r="AS17" s="69"/>
      <c r="AT17" s="70"/>
      <c r="AU17" s="69"/>
      <c r="AV17" s="70"/>
      <c r="AW17" s="69"/>
      <c r="AX17" s="70"/>
      <c r="AY17" s="69"/>
      <c r="AZ17" s="70"/>
      <c r="BA17" s="69"/>
      <c r="BB17" s="70"/>
      <c r="BC17" s="69"/>
      <c r="BD17" s="70"/>
      <c r="BE17" s="69"/>
      <c r="BF17" s="70"/>
      <c r="BG17" s="69"/>
      <c r="BH17" s="70"/>
      <c r="BI17" s="69"/>
      <c r="BJ17" s="70"/>
      <c r="BK17" s="69"/>
      <c r="BL17" s="70"/>
      <c r="BM17" s="69"/>
      <c r="BN17" s="71"/>
      <c r="BO17" s="182" t="str">
        <f t="shared" ref="BO17:BO59" si="2">IF(COUNT(E17,G17,I17,K17,M17,O17,Q17,S17,U17,W17,Y17,AA17,AC17,AE17,AG17,AI17,AK17,AM17,AO17,AQ17,AS17,AU17,AW17,AY17,BA17,BC17,BE17,BG17,BI17,BK17,BM17)=0,"",SUM(E17,G17,I17,K17,M17,O17,Q17,S17,U17,W17,Y17,AA17,AC17,AE17,AG17,AI17,AK17,AM17,AO17,AQ17,AS17,AU17,AW17,AY17,BA17,BC17,BE17,BG17,BI17,BK17,BM17))</f>
        <v/>
      </c>
      <c r="BP17" s="70"/>
      <c r="BQ17" s="208" t="str">
        <f>IF(BK17="","",BK17)</f>
        <v/>
      </c>
    </row>
    <row r="18" spans="1:76" x14ac:dyDescent="0.35">
      <c r="A18" s="53" t="s">
        <v>46</v>
      </c>
      <c r="B18" s="54"/>
      <c r="C18" s="67"/>
      <c r="D18" s="68"/>
      <c r="E18" s="69"/>
      <c r="F18" s="70"/>
      <c r="G18" s="69"/>
      <c r="H18" s="70"/>
      <c r="I18" s="69"/>
      <c r="J18" s="70"/>
      <c r="K18" s="69"/>
      <c r="L18" s="70"/>
      <c r="M18" s="69"/>
      <c r="N18" s="70"/>
      <c r="O18" s="69"/>
      <c r="P18" s="70"/>
      <c r="Q18" s="69"/>
      <c r="R18" s="70"/>
      <c r="S18" s="69"/>
      <c r="T18" s="70"/>
      <c r="U18" s="69"/>
      <c r="V18" s="70"/>
      <c r="W18" s="69"/>
      <c r="X18" s="70"/>
      <c r="Y18" s="69"/>
      <c r="Z18" s="70"/>
      <c r="AA18" s="69"/>
      <c r="AB18" s="70"/>
      <c r="AC18" s="69"/>
      <c r="AD18" s="70"/>
      <c r="AE18" s="69"/>
      <c r="AF18" s="70"/>
      <c r="AG18" s="69"/>
      <c r="AH18" s="70"/>
      <c r="AI18" s="69"/>
      <c r="AJ18" s="70"/>
      <c r="AK18" s="69"/>
      <c r="AL18" s="70"/>
      <c r="AM18" s="69"/>
      <c r="AN18" s="70"/>
      <c r="AO18" s="69"/>
      <c r="AP18" s="70"/>
      <c r="AQ18" s="69"/>
      <c r="AR18" s="70"/>
      <c r="AS18" s="69"/>
      <c r="AT18" s="70"/>
      <c r="AU18" s="69"/>
      <c r="AV18" s="70"/>
      <c r="AW18" s="69"/>
      <c r="AX18" s="70"/>
      <c r="AY18" s="69"/>
      <c r="AZ18" s="70"/>
      <c r="BA18" s="69"/>
      <c r="BB18" s="70"/>
      <c r="BC18" s="69"/>
      <c r="BD18" s="70"/>
      <c r="BE18" s="69"/>
      <c r="BF18" s="70"/>
      <c r="BG18" s="69"/>
      <c r="BH18" s="70"/>
      <c r="BI18" s="69"/>
      <c r="BJ18" s="70"/>
      <c r="BK18" s="69"/>
      <c r="BL18" s="70"/>
      <c r="BM18" s="69"/>
      <c r="BN18" s="71"/>
      <c r="BO18" s="182" t="str">
        <f t="shared" si="2"/>
        <v/>
      </c>
      <c r="BP18" s="70"/>
      <c r="BQ18" s="73"/>
    </row>
    <row r="19" spans="1:76" x14ac:dyDescent="0.35">
      <c r="A19" s="53" t="s">
        <v>69</v>
      </c>
      <c r="B19" s="54"/>
      <c r="C19" s="67"/>
      <c r="D19" s="68"/>
      <c r="E19" s="69"/>
      <c r="F19" s="70"/>
      <c r="G19" s="69"/>
      <c r="H19" s="70"/>
      <c r="I19" s="69"/>
      <c r="J19" s="70"/>
      <c r="K19" s="69"/>
      <c r="L19" s="70"/>
      <c r="M19" s="69"/>
      <c r="N19" s="70"/>
      <c r="O19" s="69"/>
      <c r="P19" s="70"/>
      <c r="Q19" s="69"/>
      <c r="R19" s="70"/>
      <c r="S19" s="69"/>
      <c r="T19" s="70"/>
      <c r="U19" s="69"/>
      <c r="V19" s="70"/>
      <c r="W19" s="69"/>
      <c r="X19" s="70"/>
      <c r="Y19" s="69"/>
      <c r="Z19" s="70"/>
      <c r="AA19" s="69"/>
      <c r="AB19" s="70"/>
      <c r="AC19" s="69"/>
      <c r="AD19" s="70"/>
      <c r="AE19" s="69"/>
      <c r="AF19" s="70"/>
      <c r="AG19" s="69"/>
      <c r="AH19" s="70"/>
      <c r="AI19" s="69"/>
      <c r="AJ19" s="70"/>
      <c r="AK19" s="69"/>
      <c r="AL19" s="70"/>
      <c r="AM19" s="69"/>
      <c r="AN19" s="70"/>
      <c r="AO19" s="69"/>
      <c r="AP19" s="70"/>
      <c r="AQ19" s="69"/>
      <c r="AR19" s="70"/>
      <c r="AS19" s="69"/>
      <c r="AT19" s="70"/>
      <c r="AU19" s="69"/>
      <c r="AV19" s="70"/>
      <c r="AW19" s="69"/>
      <c r="AX19" s="70"/>
      <c r="AY19" s="69"/>
      <c r="AZ19" s="70"/>
      <c r="BA19" s="69"/>
      <c r="BB19" s="70"/>
      <c r="BC19" s="69"/>
      <c r="BD19" s="70"/>
      <c r="BE19" s="69"/>
      <c r="BF19" s="70"/>
      <c r="BG19" s="69"/>
      <c r="BH19" s="70"/>
      <c r="BI19" s="69"/>
      <c r="BJ19" s="70"/>
      <c r="BK19" s="69"/>
      <c r="BL19" s="70"/>
      <c r="BM19" s="69"/>
      <c r="BN19" s="71"/>
      <c r="BO19" s="182" t="str">
        <f t="shared" si="2"/>
        <v/>
      </c>
      <c r="BP19" s="70"/>
      <c r="BQ19" s="73"/>
    </row>
    <row r="20" spans="1:76" x14ac:dyDescent="0.35">
      <c r="A20" s="83" t="s">
        <v>0</v>
      </c>
      <c r="B20" s="54"/>
      <c r="C20" s="84"/>
      <c r="D20" s="85"/>
      <c r="E20" s="86"/>
      <c r="F20" s="87"/>
      <c r="G20" s="86"/>
      <c r="H20" s="87"/>
      <c r="I20" s="86"/>
      <c r="J20" s="87"/>
      <c r="K20" s="86"/>
      <c r="L20" s="87"/>
      <c r="M20" s="86"/>
      <c r="N20" s="87"/>
      <c r="O20" s="86"/>
      <c r="P20" s="87"/>
      <c r="Q20" s="86"/>
      <c r="R20" s="87"/>
      <c r="S20" s="86"/>
      <c r="T20" s="87"/>
      <c r="U20" s="86"/>
      <c r="V20" s="87"/>
      <c r="W20" s="86"/>
      <c r="X20" s="87"/>
      <c r="Y20" s="86"/>
      <c r="Z20" s="87"/>
      <c r="AA20" s="86"/>
      <c r="AB20" s="87"/>
      <c r="AC20" s="86"/>
      <c r="AD20" s="87"/>
      <c r="AE20" s="86"/>
      <c r="AF20" s="87"/>
      <c r="AG20" s="86"/>
      <c r="AH20" s="87"/>
      <c r="AI20" s="86"/>
      <c r="AJ20" s="87"/>
      <c r="AK20" s="86"/>
      <c r="AL20" s="87"/>
      <c r="AM20" s="86"/>
      <c r="AN20" s="87"/>
      <c r="AO20" s="86"/>
      <c r="AP20" s="87"/>
      <c r="AQ20" s="86"/>
      <c r="AR20" s="87"/>
      <c r="AS20" s="86"/>
      <c r="AT20" s="87"/>
      <c r="AU20" s="86"/>
      <c r="AV20" s="87"/>
      <c r="AW20" s="86"/>
      <c r="AX20" s="87"/>
      <c r="AY20" s="86"/>
      <c r="AZ20" s="87"/>
      <c r="BA20" s="86"/>
      <c r="BB20" s="87"/>
      <c r="BC20" s="86"/>
      <c r="BD20" s="87"/>
      <c r="BE20" s="86"/>
      <c r="BF20" s="87"/>
      <c r="BG20" s="86"/>
      <c r="BH20" s="87"/>
      <c r="BI20" s="86"/>
      <c r="BJ20" s="87"/>
      <c r="BK20" s="86"/>
      <c r="BL20" s="87"/>
      <c r="BM20" s="86"/>
      <c r="BN20" s="50"/>
      <c r="BO20" s="170" t="str">
        <f t="shared" si="2"/>
        <v/>
      </c>
      <c r="BP20" s="87"/>
      <c r="BQ20" s="88"/>
    </row>
    <row r="21" spans="1:76" x14ac:dyDescent="0.35">
      <c r="A21" s="83" t="s">
        <v>1</v>
      </c>
      <c r="B21" s="54"/>
      <c r="C21" s="174" t="str">
        <f>IF('October 2026 Log'!BM21="","",'October 2026 Log'!BM21)</f>
        <v/>
      </c>
      <c r="D21" s="85"/>
      <c r="E21" s="86"/>
      <c r="F21" s="87"/>
      <c r="G21" s="86"/>
      <c r="H21" s="87"/>
      <c r="I21" s="86"/>
      <c r="J21" s="87"/>
      <c r="K21" s="86"/>
      <c r="L21" s="87"/>
      <c r="M21" s="86"/>
      <c r="N21" s="87"/>
      <c r="O21" s="86"/>
      <c r="P21" s="87"/>
      <c r="Q21" s="86"/>
      <c r="R21" s="87"/>
      <c r="S21" s="86"/>
      <c r="T21" s="87"/>
      <c r="U21" s="86"/>
      <c r="V21" s="87"/>
      <c r="W21" s="86"/>
      <c r="X21" s="87"/>
      <c r="Y21" s="86"/>
      <c r="Z21" s="87"/>
      <c r="AA21" s="86"/>
      <c r="AB21" s="87"/>
      <c r="AC21" s="86"/>
      <c r="AD21" s="87"/>
      <c r="AE21" s="86"/>
      <c r="AF21" s="87"/>
      <c r="AG21" s="86"/>
      <c r="AH21" s="87"/>
      <c r="AI21" s="86"/>
      <c r="AJ21" s="87"/>
      <c r="AK21" s="86"/>
      <c r="AL21" s="87"/>
      <c r="AM21" s="86"/>
      <c r="AN21" s="87"/>
      <c r="AO21" s="86"/>
      <c r="AP21" s="87"/>
      <c r="AQ21" s="86"/>
      <c r="AR21" s="87"/>
      <c r="AS21" s="86"/>
      <c r="AT21" s="87"/>
      <c r="AU21" s="86"/>
      <c r="AV21" s="87"/>
      <c r="AW21" s="86"/>
      <c r="AX21" s="87"/>
      <c r="AY21" s="86"/>
      <c r="AZ21" s="87"/>
      <c r="BA21" s="86"/>
      <c r="BB21" s="87"/>
      <c r="BC21" s="86"/>
      <c r="BD21" s="87"/>
      <c r="BE21" s="86"/>
      <c r="BF21" s="87"/>
      <c r="BG21" s="86"/>
      <c r="BH21" s="87"/>
      <c r="BI21" s="86"/>
      <c r="BJ21" s="87"/>
      <c r="BK21" s="86"/>
      <c r="BL21" s="87"/>
      <c r="BM21" s="86"/>
      <c r="BN21" s="50"/>
      <c r="BO21" s="170" t="str">
        <f t="shared" si="2"/>
        <v/>
      </c>
      <c r="BP21" s="87"/>
      <c r="BQ21" s="178" t="str">
        <f>IF(BK21="","",BK21)</f>
        <v/>
      </c>
    </row>
    <row r="22" spans="1:76" s="1" customFormat="1" ht="15" thickBot="1" x14ac:dyDescent="0.4">
      <c r="A22" s="89" t="s">
        <v>41</v>
      </c>
      <c r="B22" s="90"/>
      <c r="C22" s="175">
        <f>IF('October 2026 Log'!BM22="","",'October 2026 Log'!BM22)</f>
        <v>0</v>
      </c>
      <c r="D22" s="47"/>
      <c r="E22" s="177">
        <f t="shared" ref="E22" si="3">SUM(E20:E21)</f>
        <v>0</v>
      </c>
      <c r="F22" s="49"/>
      <c r="G22" s="177">
        <f t="shared" ref="G22" si="4">SUM(G20:G21)</f>
        <v>0</v>
      </c>
      <c r="H22" s="49"/>
      <c r="I22" s="177">
        <f t="shared" ref="I22" si="5">SUM(I20:I21)</f>
        <v>0</v>
      </c>
      <c r="J22" s="49"/>
      <c r="K22" s="177">
        <f t="shared" ref="K22" si="6">SUM(K20:K21)</f>
        <v>0</v>
      </c>
      <c r="L22" s="49"/>
      <c r="M22" s="177">
        <f t="shared" ref="M22" si="7">SUM(M20:M21)</f>
        <v>0</v>
      </c>
      <c r="N22" s="49"/>
      <c r="O22" s="177">
        <f t="shared" ref="O22" si="8">SUM(O20:O21)</f>
        <v>0</v>
      </c>
      <c r="P22" s="49"/>
      <c r="Q22" s="177">
        <f t="shared" ref="Q22" si="9">SUM(Q20:Q21)</f>
        <v>0</v>
      </c>
      <c r="R22" s="49"/>
      <c r="S22" s="177">
        <f t="shared" ref="S22" si="10">SUM(S20:S21)</f>
        <v>0</v>
      </c>
      <c r="T22" s="49"/>
      <c r="U22" s="177">
        <f t="shared" ref="U22" si="11">SUM(U20:U21)</f>
        <v>0</v>
      </c>
      <c r="V22" s="49"/>
      <c r="W22" s="177">
        <f t="shared" ref="W22" si="12">SUM(W20:W21)</f>
        <v>0</v>
      </c>
      <c r="X22" s="49"/>
      <c r="Y22" s="177">
        <f t="shared" ref="Y22" si="13">SUM(Y20:Y21)</f>
        <v>0</v>
      </c>
      <c r="Z22" s="49"/>
      <c r="AA22" s="177">
        <f t="shared" ref="AA22" si="14">SUM(AA20:AA21)</f>
        <v>0</v>
      </c>
      <c r="AB22" s="49"/>
      <c r="AC22" s="177">
        <f t="shared" ref="AC22" si="15">SUM(AC20:AC21)</f>
        <v>0</v>
      </c>
      <c r="AD22" s="49"/>
      <c r="AE22" s="177">
        <f t="shared" ref="AE22" si="16">SUM(AE20:AE21)</f>
        <v>0</v>
      </c>
      <c r="AF22" s="49"/>
      <c r="AG22" s="177">
        <f t="shared" ref="AG22" si="17">SUM(AG20:AG21)</f>
        <v>0</v>
      </c>
      <c r="AH22" s="49"/>
      <c r="AI22" s="177">
        <f t="shared" ref="AI22" si="18">SUM(AI20:AI21)</f>
        <v>0</v>
      </c>
      <c r="AJ22" s="49"/>
      <c r="AK22" s="177">
        <f t="shared" ref="AK22" si="19">SUM(AK20:AK21)</f>
        <v>0</v>
      </c>
      <c r="AL22" s="49"/>
      <c r="AM22" s="177">
        <f t="shared" ref="AM22" si="20">SUM(AM20:AM21)</f>
        <v>0</v>
      </c>
      <c r="AN22" s="49"/>
      <c r="AO22" s="177">
        <f t="shared" ref="AO22" si="21">SUM(AO20:AO21)</f>
        <v>0</v>
      </c>
      <c r="AP22" s="49"/>
      <c r="AQ22" s="177">
        <f t="shared" ref="AQ22" si="22">SUM(AQ20:AQ21)</f>
        <v>0</v>
      </c>
      <c r="AR22" s="49"/>
      <c r="AS22" s="177">
        <f t="shared" ref="AS22" si="23">SUM(AS20:AS21)</f>
        <v>0</v>
      </c>
      <c r="AT22" s="49"/>
      <c r="AU22" s="177">
        <f t="shared" ref="AU22" si="24">SUM(AU20:AU21)</f>
        <v>0</v>
      </c>
      <c r="AV22" s="49"/>
      <c r="AW22" s="177">
        <f t="shared" ref="AW22" si="25">SUM(AW20:AW21)</f>
        <v>0</v>
      </c>
      <c r="AX22" s="49"/>
      <c r="AY22" s="177">
        <f t="shared" ref="AY22" si="26">SUM(AY20:AY21)</f>
        <v>0</v>
      </c>
      <c r="AZ22" s="49"/>
      <c r="BA22" s="177">
        <f t="shared" ref="BA22" si="27">SUM(BA20:BA21)</f>
        <v>0</v>
      </c>
      <c r="BB22" s="49"/>
      <c r="BC22" s="177">
        <f t="shared" ref="BC22" si="28">SUM(BC20:BC21)</f>
        <v>0</v>
      </c>
      <c r="BD22" s="49"/>
      <c r="BE22" s="177">
        <f t="shared" ref="BE22" si="29">SUM(BE20:BE21)</f>
        <v>0</v>
      </c>
      <c r="BF22" s="49"/>
      <c r="BG22" s="177">
        <f t="shared" ref="BG22" si="30">SUM(BG20:BG21)</f>
        <v>0</v>
      </c>
      <c r="BH22" s="49"/>
      <c r="BI22" s="177">
        <f t="shared" ref="BI22" si="31">SUM(BI20:BI21)</f>
        <v>0</v>
      </c>
      <c r="BJ22" s="49"/>
      <c r="BK22" s="177">
        <f t="shared" ref="BK22" si="32">SUM(BK20:BK21)</f>
        <v>0</v>
      </c>
      <c r="BL22" s="49"/>
      <c r="BM22" s="91"/>
      <c r="BN22" s="92"/>
      <c r="BO22" s="170">
        <f t="shared" si="2"/>
        <v>0</v>
      </c>
      <c r="BP22" s="49"/>
      <c r="BQ22" s="179">
        <f>IF(BK22="","",BK22)</f>
        <v>0</v>
      </c>
      <c r="BR22"/>
      <c r="BS22"/>
      <c r="BT22"/>
      <c r="BU22"/>
      <c r="BV22"/>
      <c r="BW22"/>
      <c r="BX22"/>
    </row>
    <row r="23" spans="1:76" ht="15" hidden="1" thickBot="1" x14ac:dyDescent="0.4">
      <c r="A23" s="83" t="s">
        <v>2</v>
      </c>
      <c r="B23" s="54"/>
      <c r="C23" s="84"/>
      <c r="D23" s="85"/>
      <c r="E23" s="86"/>
      <c r="F23" s="87"/>
      <c r="G23" s="86"/>
      <c r="H23" s="87"/>
      <c r="I23" s="86"/>
      <c r="J23" s="87"/>
      <c r="K23" s="86"/>
      <c r="L23" s="87"/>
      <c r="M23" s="86"/>
      <c r="N23" s="87"/>
      <c r="O23" s="86"/>
      <c r="P23" s="87"/>
      <c r="Q23" s="86"/>
      <c r="R23" s="87"/>
      <c r="S23" s="86"/>
      <c r="T23" s="87"/>
      <c r="U23" s="86"/>
      <c r="V23" s="87"/>
      <c r="W23" s="86"/>
      <c r="X23" s="87"/>
      <c r="Y23" s="86"/>
      <c r="Z23" s="87"/>
      <c r="AA23" s="86"/>
      <c r="AB23" s="87"/>
      <c r="AC23" s="86"/>
      <c r="AD23" s="87"/>
      <c r="AE23" s="86"/>
      <c r="AF23" s="87"/>
      <c r="AG23" s="86"/>
      <c r="AH23" s="87"/>
      <c r="AI23" s="86"/>
      <c r="AJ23" s="87"/>
      <c r="AK23" s="86"/>
      <c r="AL23" s="87"/>
      <c r="AM23" s="86"/>
      <c r="AN23" s="87"/>
      <c r="AO23" s="86"/>
      <c r="AP23" s="87"/>
      <c r="AQ23" s="86"/>
      <c r="AR23" s="87"/>
      <c r="AS23" s="86"/>
      <c r="AT23" s="87"/>
      <c r="AU23" s="86"/>
      <c r="AV23" s="87"/>
      <c r="AW23" s="86"/>
      <c r="AX23" s="87"/>
      <c r="AY23" s="86"/>
      <c r="AZ23" s="87"/>
      <c r="BA23" s="86"/>
      <c r="BB23" s="87"/>
      <c r="BC23" s="86"/>
      <c r="BD23" s="87"/>
      <c r="BE23" s="86"/>
      <c r="BF23" s="87"/>
      <c r="BG23" s="86"/>
      <c r="BH23" s="87"/>
      <c r="BI23" s="86"/>
      <c r="BJ23" s="87"/>
      <c r="BK23" s="86"/>
      <c r="BL23" s="87"/>
      <c r="BM23" s="86"/>
      <c r="BN23" s="50"/>
      <c r="BO23" s="170" t="str">
        <f t="shared" si="2"/>
        <v/>
      </c>
      <c r="BP23" s="87"/>
      <c r="BQ23" s="88"/>
    </row>
    <row r="24" spans="1:76" ht="15" hidden="1" thickBot="1" x14ac:dyDescent="0.4">
      <c r="A24" s="83" t="s">
        <v>3</v>
      </c>
      <c r="B24" s="54"/>
      <c r="C24" s="84"/>
      <c r="D24" s="85"/>
      <c r="E24" s="86"/>
      <c r="F24" s="87"/>
      <c r="G24" s="86"/>
      <c r="H24" s="87"/>
      <c r="I24" s="86"/>
      <c r="J24" s="87"/>
      <c r="K24" s="86"/>
      <c r="L24" s="87"/>
      <c r="M24" s="86"/>
      <c r="N24" s="87"/>
      <c r="O24" s="86"/>
      <c r="P24" s="87"/>
      <c r="Q24" s="86"/>
      <c r="R24" s="87"/>
      <c r="S24" s="86"/>
      <c r="T24" s="87"/>
      <c r="U24" s="86"/>
      <c r="V24" s="87"/>
      <c r="W24" s="86"/>
      <c r="X24" s="87"/>
      <c r="Y24" s="86"/>
      <c r="Z24" s="87"/>
      <c r="AA24" s="86"/>
      <c r="AB24" s="87"/>
      <c r="AC24" s="86"/>
      <c r="AD24" s="87"/>
      <c r="AE24" s="86"/>
      <c r="AF24" s="87"/>
      <c r="AG24" s="86"/>
      <c r="AH24" s="87"/>
      <c r="AI24" s="86"/>
      <c r="AJ24" s="87"/>
      <c r="AK24" s="86"/>
      <c r="AL24" s="87"/>
      <c r="AM24" s="86"/>
      <c r="AN24" s="87"/>
      <c r="AO24" s="86"/>
      <c r="AP24" s="87"/>
      <c r="AQ24" s="86"/>
      <c r="AR24" s="87"/>
      <c r="AS24" s="86"/>
      <c r="AT24" s="87"/>
      <c r="AU24" s="86"/>
      <c r="AV24" s="87"/>
      <c r="AW24" s="86"/>
      <c r="AX24" s="87"/>
      <c r="AY24" s="86"/>
      <c r="AZ24" s="87"/>
      <c r="BA24" s="86"/>
      <c r="BB24" s="87"/>
      <c r="BC24" s="86"/>
      <c r="BD24" s="87"/>
      <c r="BE24" s="86"/>
      <c r="BF24" s="87"/>
      <c r="BG24" s="86"/>
      <c r="BH24" s="87"/>
      <c r="BI24" s="86"/>
      <c r="BJ24" s="87"/>
      <c r="BK24" s="86"/>
      <c r="BL24" s="87"/>
      <c r="BM24" s="86"/>
      <c r="BN24" s="50"/>
      <c r="BO24" s="170" t="str">
        <f t="shared" si="2"/>
        <v/>
      </c>
      <c r="BP24" s="87"/>
      <c r="BQ24" s="88"/>
    </row>
    <row r="25" spans="1:76" s="7" customFormat="1" x14ac:dyDescent="0.35">
      <c r="A25" s="83" t="s">
        <v>37</v>
      </c>
      <c r="B25" s="54"/>
      <c r="C25" s="174" t="str">
        <f>IF('October 2026 Log'!BM25="","",'October 2026 Log'!BM25)</f>
        <v/>
      </c>
      <c r="D25" s="85"/>
      <c r="E25" s="86"/>
      <c r="F25" s="87"/>
      <c r="G25" s="86"/>
      <c r="H25" s="87"/>
      <c r="I25" s="86"/>
      <c r="J25" s="87"/>
      <c r="K25" s="86"/>
      <c r="L25" s="87"/>
      <c r="M25" s="86"/>
      <c r="N25" s="87"/>
      <c r="O25" s="86"/>
      <c r="P25" s="87"/>
      <c r="Q25" s="86"/>
      <c r="R25" s="87"/>
      <c r="S25" s="86"/>
      <c r="T25" s="87"/>
      <c r="U25" s="86"/>
      <c r="V25" s="87"/>
      <c r="W25" s="86"/>
      <c r="X25" s="87"/>
      <c r="Y25" s="86"/>
      <c r="Z25" s="87"/>
      <c r="AA25" s="86"/>
      <c r="AB25" s="87"/>
      <c r="AC25" s="86"/>
      <c r="AD25" s="87"/>
      <c r="AE25" s="86"/>
      <c r="AF25" s="87"/>
      <c r="AG25" s="86"/>
      <c r="AH25" s="87"/>
      <c r="AI25" s="86"/>
      <c r="AJ25" s="87"/>
      <c r="AK25" s="86"/>
      <c r="AL25" s="87"/>
      <c r="AM25" s="86"/>
      <c r="AN25" s="87"/>
      <c r="AO25" s="86"/>
      <c r="AP25" s="87"/>
      <c r="AQ25" s="86"/>
      <c r="AR25" s="87"/>
      <c r="AS25" s="86"/>
      <c r="AT25" s="87"/>
      <c r="AU25" s="86"/>
      <c r="AV25" s="87"/>
      <c r="AW25" s="86"/>
      <c r="AX25" s="87"/>
      <c r="AY25" s="86"/>
      <c r="AZ25" s="87"/>
      <c r="BA25" s="86"/>
      <c r="BB25" s="87"/>
      <c r="BC25" s="86"/>
      <c r="BD25" s="87"/>
      <c r="BE25" s="86"/>
      <c r="BF25" s="87"/>
      <c r="BG25" s="86"/>
      <c r="BH25" s="87"/>
      <c r="BI25" s="86"/>
      <c r="BJ25" s="87"/>
      <c r="BK25" s="86"/>
      <c r="BL25" s="87"/>
      <c r="BM25" s="86"/>
      <c r="BN25" s="50"/>
      <c r="BO25" s="170" t="str">
        <f t="shared" si="2"/>
        <v/>
      </c>
      <c r="BP25" s="87"/>
      <c r="BQ25" s="178" t="str">
        <f>IF(BK25="","",BK25)</f>
        <v/>
      </c>
      <c r="BR25"/>
      <c r="BS25"/>
      <c r="BT25"/>
      <c r="BU25"/>
      <c r="BV25"/>
      <c r="BW25"/>
      <c r="BX25"/>
    </row>
    <row r="26" spans="1:76" ht="15" thickBot="1" x14ac:dyDescent="0.4">
      <c r="A26" s="94" t="s">
        <v>4</v>
      </c>
      <c r="B26" s="95"/>
      <c r="C26" s="174" t="str">
        <f>IF('October 2026 Log'!BM26="","",'October 2026 Log'!BM26)</f>
        <v/>
      </c>
      <c r="D26" s="96"/>
      <c r="E26" s="86"/>
      <c r="F26" s="97"/>
      <c r="G26" s="86"/>
      <c r="H26" s="97"/>
      <c r="I26" s="86"/>
      <c r="J26" s="97"/>
      <c r="K26" s="86"/>
      <c r="L26" s="97"/>
      <c r="M26" s="86"/>
      <c r="N26" s="97"/>
      <c r="O26" s="86"/>
      <c r="P26" s="97"/>
      <c r="Q26" s="86"/>
      <c r="R26" s="97"/>
      <c r="S26" s="86"/>
      <c r="T26" s="97"/>
      <c r="U26" s="86"/>
      <c r="V26" s="97"/>
      <c r="W26" s="86"/>
      <c r="X26" s="97"/>
      <c r="Y26" s="86"/>
      <c r="Z26" s="97"/>
      <c r="AA26" s="86"/>
      <c r="AB26" s="97"/>
      <c r="AC26" s="86"/>
      <c r="AD26" s="97"/>
      <c r="AE26" s="86"/>
      <c r="AF26" s="97"/>
      <c r="AG26" s="86"/>
      <c r="AH26" s="97"/>
      <c r="AI26" s="86"/>
      <c r="AJ26" s="97"/>
      <c r="AK26" s="86"/>
      <c r="AL26" s="97"/>
      <c r="AM26" s="86"/>
      <c r="AN26" s="97"/>
      <c r="AO26" s="86"/>
      <c r="AP26" s="97"/>
      <c r="AQ26" s="86"/>
      <c r="AR26" s="97"/>
      <c r="AS26" s="86"/>
      <c r="AT26" s="97"/>
      <c r="AU26" s="86"/>
      <c r="AV26" s="97"/>
      <c r="AW26" s="86"/>
      <c r="AX26" s="97"/>
      <c r="AY26" s="86"/>
      <c r="AZ26" s="97"/>
      <c r="BA26" s="86"/>
      <c r="BB26" s="97"/>
      <c r="BC26" s="86"/>
      <c r="BD26" s="97"/>
      <c r="BE26" s="86"/>
      <c r="BF26" s="97"/>
      <c r="BG26" s="86"/>
      <c r="BH26" s="97"/>
      <c r="BI26" s="86"/>
      <c r="BJ26" s="97"/>
      <c r="BK26" s="86"/>
      <c r="BL26" s="97"/>
      <c r="BM26" s="86"/>
      <c r="BN26" s="50"/>
      <c r="BO26" s="170" t="str">
        <f t="shared" si="2"/>
        <v/>
      </c>
      <c r="BP26" s="97"/>
      <c r="BQ26" s="178" t="str">
        <f>IF(BK26="","",BK26)</f>
        <v/>
      </c>
    </row>
    <row r="27" spans="1:76" s="7" customFormat="1" x14ac:dyDescent="0.35">
      <c r="A27" s="53" t="s">
        <v>21</v>
      </c>
      <c r="B27" s="54"/>
      <c r="C27" s="174" t="str">
        <f>IF('October 2026 Log'!BM27="","",'October 2026 Log'!BM27)</f>
        <v/>
      </c>
      <c r="D27" s="85"/>
      <c r="E27" s="86"/>
      <c r="F27" s="87"/>
      <c r="G27" s="86"/>
      <c r="H27" s="87"/>
      <c r="I27" s="86"/>
      <c r="J27" s="87"/>
      <c r="K27" s="86"/>
      <c r="L27" s="87"/>
      <c r="M27" s="86"/>
      <c r="N27" s="87"/>
      <c r="O27" s="86"/>
      <c r="P27" s="87"/>
      <c r="Q27" s="86"/>
      <c r="R27" s="87"/>
      <c r="S27" s="86"/>
      <c r="T27" s="87"/>
      <c r="U27" s="86"/>
      <c r="V27" s="87"/>
      <c r="W27" s="86"/>
      <c r="X27" s="87"/>
      <c r="Y27" s="86"/>
      <c r="Z27" s="87"/>
      <c r="AA27" s="86"/>
      <c r="AB27" s="87"/>
      <c r="AC27" s="86"/>
      <c r="AD27" s="87"/>
      <c r="AE27" s="86"/>
      <c r="AF27" s="87"/>
      <c r="AG27" s="86"/>
      <c r="AH27" s="87"/>
      <c r="AI27" s="86"/>
      <c r="AJ27" s="87"/>
      <c r="AK27" s="86"/>
      <c r="AL27" s="87"/>
      <c r="AM27" s="86"/>
      <c r="AN27" s="87"/>
      <c r="AO27" s="86"/>
      <c r="AP27" s="87"/>
      <c r="AQ27" s="86"/>
      <c r="AR27" s="87"/>
      <c r="AS27" s="86"/>
      <c r="AT27" s="87"/>
      <c r="AU27" s="86"/>
      <c r="AV27" s="87"/>
      <c r="AW27" s="86"/>
      <c r="AX27" s="87"/>
      <c r="AY27" s="86"/>
      <c r="AZ27" s="87"/>
      <c r="BA27" s="86"/>
      <c r="BB27" s="87"/>
      <c r="BC27" s="86"/>
      <c r="BD27" s="87"/>
      <c r="BE27" s="86"/>
      <c r="BF27" s="87"/>
      <c r="BG27" s="86"/>
      <c r="BH27" s="87"/>
      <c r="BI27" s="86"/>
      <c r="BJ27" s="87"/>
      <c r="BK27" s="86"/>
      <c r="BL27" s="87"/>
      <c r="BM27" s="86"/>
      <c r="BN27" s="50"/>
      <c r="BO27" s="170" t="str">
        <f t="shared" si="2"/>
        <v/>
      </c>
      <c r="BP27" s="87"/>
      <c r="BQ27" s="178" t="str">
        <f>IF(BK27="","",BK27)</f>
        <v/>
      </c>
      <c r="BR27"/>
      <c r="BS27"/>
      <c r="BT27"/>
      <c r="BU27"/>
      <c r="BV27"/>
      <c r="BW27"/>
      <c r="BX27"/>
    </row>
    <row r="28" spans="1:76" x14ac:dyDescent="0.35">
      <c r="A28" s="53" t="s">
        <v>22</v>
      </c>
      <c r="B28" s="54"/>
      <c r="C28" s="174" t="str">
        <f>IF('October 2026 Log'!BM28="","",'October 2026 Log'!BM28)</f>
        <v/>
      </c>
      <c r="D28" s="85"/>
      <c r="E28" s="86"/>
      <c r="F28" s="87"/>
      <c r="G28" s="86"/>
      <c r="H28" s="87"/>
      <c r="I28" s="86"/>
      <c r="J28" s="87"/>
      <c r="K28" s="86"/>
      <c r="L28" s="87"/>
      <c r="M28" s="86"/>
      <c r="N28" s="87"/>
      <c r="O28" s="86"/>
      <c r="P28" s="87"/>
      <c r="Q28" s="86"/>
      <c r="R28" s="87"/>
      <c r="S28" s="86"/>
      <c r="T28" s="87"/>
      <c r="U28" s="86"/>
      <c r="V28" s="87"/>
      <c r="W28" s="86"/>
      <c r="X28" s="87"/>
      <c r="Y28" s="86"/>
      <c r="Z28" s="87"/>
      <c r="AA28" s="86"/>
      <c r="AB28" s="87"/>
      <c r="AC28" s="86"/>
      <c r="AD28" s="87"/>
      <c r="AE28" s="86"/>
      <c r="AF28" s="87"/>
      <c r="AG28" s="86"/>
      <c r="AH28" s="87"/>
      <c r="AI28" s="86"/>
      <c r="AJ28" s="87"/>
      <c r="AK28" s="86"/>
      <c r="AL28" s="87"/>
      <c r="AM28" s="86"/>
      <c r="AN28" s="87"/>
      <c r="AO28" s="86"/>
      <c r="AP28" s="87"/>
      <c r="AQ28" s="86"/>
      <c r="AR28" s="87"/>
      <c r="AS28" s="86"/>
      <c r="AT28" s="87"/>
      <c r="AU28" s="86"/>
      <c r="AV28" s="87"/>
      <c r="AW28" s="86"/>
      <c r="AX28" s="87"/>
      <c r="AY28" s="86"/>
      <c r="AZ28" s="87"/>
      <c r="BA28" s="86"/>
      <c r="BB28" s="87"/>
      <c r="BC28" s="86"/>
      <c r="BD28" s="87"/>
      <c r="BE28" s="86"/>
      <c r="BF28" s="87"/>
      <c r="BG28" s="86"/>
      <c r="BH28" s="87"/>
      <c r="BI28" s="86"/>
      <c r="BJ28" s="87"/>
      <c r="BK28" s="86"/>
      <c r="BL28" s="87"/>
      <c r="BM28" s="86"/>
      <c r="BN28" s="50"/>
      <c r="BO28" s="170" t="str">
        <f t="shared" si="2"/>
        <v/>
      </c>
      <c r="BP28" s="87"/>
      <c r="BQ28" s="178" t="str">
        <f>IF(BK28="","",BK28)</f>
        <v/>
      </c>
    </row>
    <row r="29" spans="1:76" s="4" customFormat="1" ht="15" thickBot="1" x14ac:dyDescent="0.4">
      <c r="A29" s="53" t="s">
        <v>23</v>
      </c>
      <c r="B29" s="54"/>
      <c r="C29" s="84"/>
      <c r="D29" s="85"/>
      <c r="E29" s="86"/>
      <c r="F29" s="87"/>
      <c r="G29" s="86"/>
      <c r="H29" s="87"/>
      <c r="I29" s="86"/>
      <c r="J29" s="87"/>
      <c r="K29" s="86"/>
      <c r="L29" s="87"/>
      <c r="M29" s="86"/>
      <c r="N29" s="87"/>
      <c r="O29" s="86"/>
      <c r="P29" s="87"/>
      <c r="Q29" s="86"/>
      <c r="R29" s="87"/>
      <c r="S29" s="86"/>
      <c r="T29" s="87"/>
      <c r="U29" s="86"/>
      <c r="V29" s="87"/>
      <c r="W29" s="86"/>
      <c r="X29" s="87"/>
      <c r="Y29" s="86"/>
      <c r="Z29" s="87"/>
      <c r="AA29" s="86"/>
      <c r="AB29" s="87"/>
      <c r="AC29" s="86"/>
      <c r="AD29" s="87"/>
      <c r="AE29" s="86"/>
      <c r="AF29" s="87"/>
      <c r="AG29" s="86"/>
      <c r="AH29" s="87"/>
      <c r="AI29" s="86"/>
      <c r="AJ29" s="87"/>
      <c r="AK29" s="86"/>
      <c r="AL29" s="87"/>
      <c r="AM29" s="86"/>
      <c r="AN29" s="87"/>
      <c r="AO29" s="86"/>
      <c r="AP29" s="87"/>
      <c r="AQ29" s="86"/>
      <c r="AR29" s="87"/>
      <c r="AS29" s="86"/>
      <c r="AT29" s="87"/>
      <c r="AU29" s="86"/>
      <c r="AV29" s="87"/>
      <c r="AW29" s="86"/>
      <c r="AX29" s="87"/>
      <c r="AY29" s="86"/>
      <c r="AZ29" s="87"/>
      <c r="BA29" s="86"/>
      <c r="BB29" s="87"/>
      <c r="BC29" s="86"/>
      <c r="BD29" s="87"/>
      <c r="BE29" s="86"/>
      <c r="BF29" s="87"/>
      <c r="BG29" s="86"/>
      <c r="BH29" s="87"/>
      <c r="BI29" s="86"/>
      <c r="BJ29" s="87"/>
      <c r="BK29" s="86"/>
      <c r="BL29" s="87"/>
      <c r="BM29" s="86"/>
      <c r="BN29" s="50"/>
      <c r="BO29" s="170" t="str">
        <f t="shared" si="2"/>
        <v/>
      </c>
      <c r="BP29" s="87"/>
      <c r="BQ29" s="88"/>
      <c r="BR29"/>
      <c r="BS29"/>
      <c r="BT29"/>
      <c r="BU29"/>
      <c r="BV29"/>
      <c r="BW29"/>
      <c r="BX29"/>
    </row>
    <row r="30" spans="1:76" s="5" customFormat="1" ht="15" thickBot="1" x14ac:dyDescent="0.4">
      <c r="A30" s="98"/>
      <c r="B30" s="90"/>
      <c r="C30" s="84"/>
      <c r="D30" s="47"/>
      <c r="E30" s="180" t="e">
        <f>E28-(C28-E25+E29)</f>
        <v>#VALUE!</v>
      </c>
      <c r="F30" s="49"/>
      <c r="G30" s="166">
        <f>G28-(E28-G25+G29)</f>
        <v>0</v>
      </c>
      <c r="H30" s="49"/>
      <c r="I30" s="166">
        <f>I28-(G28-I25+I29)</f>
        <v>0</v>
      </c>
      <c r="J30" s="49"/>
      <c r="K30" s="180">
        <f>K28-(I28-K25+K29)</f>
        <v>0</v>
      </c>
      <c r="L30" s="49"/>
      <c r="M30" s="166">
        <f>M28-(K28-M25+M29)</f>
        <v>0</v>
      </c>
      <c r="N30" s="49"/>
      <c r="O30" s="166">
        <f>O28-(M28-O25+O29)</f>
        <v>0</v>
      </c>
      <c r="P30" s="49"/>
      <c r="Q30" s="166">
        <f>Q28-(O28-Q25+Q29)</f>
        <v>0</v>
      </c>
      <c r="R30" s="49"/>
      <c r="S30" s="166">
        <f>S28-(Q28-S25+S29)</f>
        <v>0</v>
      </c>
      <c r="T30" s="49"/>
      <c r="U30" s="166">
        <f>U28-(S28-U25+U29)</f>
        <v>0</v>
      </c>
      <c r="V30" s="49"/>
      <c r="W30" s="166">
        <f>W28-(U28-W25+W29)</f>
        <v>0</v>
      </c>
      <c r="X30" s="49"/>
      <c r="Y30" s="166">
        <f>Y28-(W28-Y25+Y29)</f>
        <v>0</v>
      </c>
      <c r="Z30" s="49"/>
      <c r="AA30" s="166">
        <f>AA28-(Y28-AA25+AA29)</f>
        <v>0</v>
      </c>
      <c r="AB30" s="49"/>
      <c r="AC30" s="166">
        <f>AC28-(AA28-AC25+AC29)</f>
        <v>0</v>
      </c>
      <c r="AD30" s="49"/>
      <c r="AE30" s="166">
        <f>AE28-(AC28-AE25+AE29)</f>
        <v>0</v>
      </c>
      <c r="AF30" s="49"/>
      <c r="AG30" s="166">
        <f>AG28-(AE28-AG25+AG29)</f>
        <v>0</v>
      </c>
      <c r="AH30" s="49"/>
      <c r="AI30" s="166">
        <f>AI28-(AG28-AI25+AI29)</f>
        <v>0</v>
      </c>
      <c r="AJ30" s="49"/>
      <c r="AK30" s="166">
        <f>AK28-(AI28-AK25+AK29)</f>
        <v>0</v>
      </c>
      <c r="AL30" s="49"/>
      <c r="AM30" s="166">
        <f>AM28-(AK28-AM25+AM29)</f>
        <v>0</v>
      </c>
      <c r="AN30" s="49"/>
      <c r="AO30" s="166">
        <f>AO28-(AM28-AO25+AO29)</f>
        <v>0</v>
      </c>
      <c r="AP30" s="49"/>
      <c r="AQ30" s="166">
        <f>AQ28-(AO28-AQ25+AQ29)</f>
        <v>0</v>
      </c>
      <c r="AR30" s="49"/>
      <c r="AS30" s="166">
        <f>AS28-(AQ28-AS25+AS29)</f>
        <v>0</v>
      </c>
      <c r="AT30" s="49"/>
      <c r="AU30" s="166">
        <f>AU28-(AS28-AU25+AU29)</f>
        <v>0</v>
      </c>
      <c r="AV30" s="49"/>
      <c r="AW30" s="166">
        <f>AW28-(AU28-AW25+AW29)</f>
        <v>0</v>
      </c>
      <c r="AX30" s="49"/>
      <c r="AY30" s="166">
        <f>AY28-(AW28-AY25+AY29)</f>
        <v>0</v>
      </c>
      <c r="AZ30" s="49"/>
      <c r="BA30" s="166">
        <f>BA28-(AY28-BA25+BA29)</f>
        <v>0</v>
      </c>
      <c r="BB30" s="49"/>
      <c r="BC30" s="166">
        <f>BC28-(BA28-BC25+BC29)</f>
        <v>0</v>
      </c>
      <c r="BD30" s="49"/>
      <c r="BE30" s="166">
        <f>BE28-(BC28-BE25+BE29)</f>
        <v>0</v>
      </c>
      <c r="BF30" s="49"/>
      <c r="BG30" s="166">
        <f>BG28-(BE28-BG25+BG29)</f>
        <v>0</v>
      </c>
      <c r="BH30" s="49"/>
      <c r="BI30" s="166">
        <f>BI28-(BG28-BI25+BI29)</f>
        <v>0</v>
      </c>
      <c r="BJ30" s="49"/>
      <c r="BK30" s="166">
        <f>BK28-(BI28-BK25+BK29)</f>
        <v>0</v>
      </c>
      <c r="BL30" s="49"/>
      <c r="BM30" s="48"/>
      <c r="BN30" s="50"/>
      <c r="BO30" s="170" t="e">
        <f t="shared" si="2"/>
        <v>#VALUE!</v>
      </c>
      <c r="BP30" s="49"/>
      <c r="BQ30" s="172" t="e">
        <f>BQ28-(BM28-BQ25+BQ29)</f>
        <v>#VALUE!</v>
      </c>
      <c r="BR30"/>
      <c r="BS30"/>
      <c r="BT30"/>
      <c r="BU30"/>
      <c r="BV30"/>
      <c r="BW30"/>
      <c r="BX30"/>
    </row>
    <row r="31" spans="1:76" s="5" customFormat="1" ht="15" thickBot="1" x14ac:dyDescent="0.4">
      <c r="A31" s="98"/>
      <c r="B31" s="90"/>
      <c r="C31" s="84"/>
      <c r="D31" s="47"/>
      <c r="E31" s="166" t="str">
        <f>IF(E25=0,"",E30/E25*100)</f>
        <v/>
      </c>
      <c r="F31" s="49"/>
      <c r="G31" s="166" t="str">
        <f>IF(G25=0,"",G30/G25*100)</f>
        <v/>
      </c>
      <c r="H31" s="49"/>
      <c r="I31" s="166" t="str">
        <f>IF(I25=0,"",I30/I25*100)</f>
        <v/>
      </c>
      <c r="J31" s="49"/>
      <c r="K31" s="166" t="str">
        <f>IF(K25=0,"",K30/K25*100)</f>
        <v/>
      </c>
      <c r="L31" s="49"/>
      <c r="M31" s="166" t="str">
        <f>IF(M25=0,"",M30/M25*100)</f>
        <v/>
      </c>
      <c r="N31" s="49"/>
      <c r="O31" s="166" t="str">
        <f>IF(O25=0,"",O30/O25*100)</f>
        <v/>
      </c>
      <c r="P31" s="49"/>
      <c r="Q31" s="166" t="str">
        <f>IF(Q25=0,"",Q30/Q25*100)</f>
        <v/>
      </c>
      <c r="R31" s="49"/>
      <c r="S31" s="166" t="str">
        <f>IF(S25=0,"",S30/S25*100)</f>
        <v/>
      </c>
      <c r="T31" s="49"/>
      <c r="U31" s="166" t="str">
        <f>IF(U25=0,"",U30/U25*100)</f>
        <v/>
      </c>
      <c r="V31" s="49"/>
      <c r="W31" s="166" t="str">
        <f>IF(W25=0,"",W30/W25*100)</f>
        <v/>
      </c>
      <c r="X31" s="49"/>
      <c r="Y31" s="166" t="str">
        <f>IF(Y25=0,"",Y30/Y25*100)</f>
        <v/>
      </c>
      <c r="Z31" s="49"/>
      <c r="AA31" s="166" t="str">
        <f>IF(AA25=0,"",AA30/AA25*100)</f>
        <v/>
      </c>
      <c r="AB31" s="49"/>
      <c r="AC31" s="166" t="str">
        <f>IF(AC25=0,"",AC30/AC25*100)</f>
        <v/>
      </c>
      <c r="AD31" s="49"/>
      <c r="AE31" s="166" t="str">
        <f>IF(AE25=0,"",AE30/AE25*100)</f>
        <v/>
      </c>
      <c r="AF31" s="49"/>
      <c r="AG31" s="166" t="str">
        <f>IF(AG25=0,"",AG30/AG25*100)</f>
        <v/>
      </c>
      <c r="AH31" s="49"/>
      <c r="AI31" s="166" t="str">
        <f>IF(AI25=0,"",AI30/AI25*100)</f>
        <v/>
      </c>
      <c r="AJ31" s="49"/>
      <c r="AK31" s="166" t="str">
        <f>IF(AK25=0,"",AK30/AK25*100)</f>
        <v/>
      </c>
      <c r="AL31" s="49"/>
      <c r="AM31" s="166" t="str">
        <f>IF(AM25=0,"",AM30/AM25*100)</f>
        <v/>
      </c>
      <c r="AN31" s="49"/>
      <c r="AO31" s="166" t="str">
        <f>IF(AO25=0,"",AO30/AO25*100)</f>
        <v/>
      </c>
      <c r="AP31" s="49"/>
      <c r="AQ31" s="166" t="str">
        <f>IF(AQ25=0,"",AQ30/AQ25*100)</f>
        <v/>
      </c>
      <c r="AR31" s="49"/>
      <c r="AS31" s="166" t="str">
        <f>IF(AS25=0,"",AS30/AS25*100)</f>
        <v/>
      </c>
      <c r="AT31" s="49"/>
      <c r="AU31" s="166" t="str">
        <f>IF(AU25=0,"",AU30/AU25*100)</f>
        <v/>
      </c>
      <c r="AV31" s="49"/>
      <c r="AW31" s="166" t="str">
        <f>IF(AW25=0,"",AW30/AW25*100)</f>
        <v/>
      </c>
      <c r="AX31" s="49"/>
      <c r="AY31" s="166" t="str">
        <f>IF(AY25=0,"",AY30/AY25*100)</f>
        <v/>
      </c>
      <c r="AZ31" s="49"/>
      <c r="BA31" s="166" t="str">
        <f>IF(BA25=0,"",BA30/BA25*100)</f>
        <v/>
      </c>
      <c r="BB31" s="49"/>
      <c r="BC31" s="166" t="str">
        <f>IF(BC25=0,"",BC30/BC25*100)</f>
        <v/>
      </c>
      <c r="BD31" s="49"/>
      <c r="BE31" s="166" t="str">
        <f>IF(BE25=0,"",BE30/BE25*100)</f>
        <v/>
      </c>
      <c r="BF31" s="49"/>
      <c r="BG31" s="166" t="str">
        <f>IF(BG25=0,"",BG30/BG25*100)</f>
        <v/>
      </c>
      <c r="BH31" s="49"/>
      <c r="BI31" s="166" t="str">
        <f>IF(BI25=0,"",BI30/BI25*100)</f>
        <v/>
      </c>
      <c r="BJ31" s="49"/>
      <c r="BK31" s="166" t="str">
        <f>IF(BK25=0,"",BK30/BK25*100)</f>
        <v/>
      </c>
      <c r="BL31" s="49"/>
      <c r="BM31" s="48"/>
      <c r="BN31" s="50"/>
      <c r="BO31" s="170" t="str">
        <f t="shared" si="2"/>
        <v/>
      </c>
      <c r="BP31" s="49"/>
      <c r="BQ31" s="172" t="e">
        <f>IF(BQ25=0,"",BQ30/BQ25*100)</f>
        <v>#VALUE!</v>
      </c>
      <c r="BR31"/>
      <c r="BS31"/>
      <c r="BT31"/>
      <c r="BU31"/>
      <c r="BV31"/>
      <c r="BW31"/>
      <c r="BX31"/>
    </row>
    <row r="32" spans="1:76" x14ac:dyDescent="0.35">
      <c r="A32" s="83" t="s">
        <v>5</v>
      </c>
      <c r="B32" s="54"/>
      <c r="C32" s="174" t="str">
        <f>IF('October 2026 Log'!BM32="","",'October 2026 Log'!BM32)</f>
        <v/>
      </c>
      <c r="D32" s="85"/>
      <c r="E32" s="86"/>
      <c r="F32" s="87"/>
      <c r="G32" s="86"/>
      <c r="H32" s="87"/>
      <c r="I32" s="86"/>
      <c r="J32" s="87"/>
      <c r="K32" s="86"/>
      <c r="L32" s="87"/>
      <c r="M32" s="86"/>
      <c r="N32" s="87"/>
      <c r="O32" s="86"/>
      <c r="P32" s="87"/>
      <c r="Q32" s="86"/>
      <c r="R32" s="87"/>
      <c r="S32" s="86"/>
      <c r="T32" s="87"/>
      <c r="U32" s="86"/>
      <c r="V32" s="87"/>
      <c r="W32" s="86"/>
      <c r="X32" s="87"/>
      <c r="Y32" s="86"/>
      <c r="Z32" s="87"/>
      <c r="AA32" s="86"/>
      <c r="AB32" s="87"/>
      <c r="AC32" s="86"/>
      <c r="AD32" s="87"/>
      <c r="AE32" s="86"/>
      <c r="AF32" s="87"/>
      <c r="AG32" s="86"/>
      <c r="AH32" s="87"/>
      <c r="AI32" s="86"/>
      <c r="AJ32" s="87"/>
      <c r="AK32" s="86"/>
      <c r="AL32" s="87"/>
      <c r="AM32" s="86"/>
      <c r="AN32" s="87"/>
      <c r="AO32" s="86"/>
      <c r="AP32" s="87"/>
      <c r="AQ32" s="86"/>
      <c r="AR32" s="87"/>
      <c r="AS32" s="86"/>
      <c r="AT32" s="87"/>
      <c r="AU32" s="86"/>
      <c r="AV32" s="87"/>
      <c r="AW32" s="86"/>
      <c r="AX32" s="87"/>
      <c r="AY32" s="86"/>
      <c r="AZ32" s="87"/>
      <c r="BA32" s="86"/>
      <c r="BB32" s="87"/>
      <c r="BC32" s="86"/>
      <c r="BD32" s="87"/>
      <c r="BE32" s="86"/>
      <c r="BF32" s="87"/>
      <c r="BG32" s="86"/>
      <c r="BH32" s="87"/>
      <c r="BI32" s="86"/>
      <c r="BJ32" s="87"/>
      <c r="BK32" s="86"/>
      <c r="BL32" s="87"/>
      <c r="BM32" s="86"/>
      <c r="BN32" s="50"/>
      <c r="BO32" s="170" t="str">
        <f t="shared" si="2"/>
        <v/>
      </c>
      <c r="BP32" s="87"/>
      <c r="BQ32" s="178" t="str">
        <f>IF(BK32="","",BK32)</f>
        <v/>
      </c>
    </row>
    <row r="33" spans="1:76" x14ac:dyDescent="0.35">
      <c r="A33" s="83" t="s">
        <v>6</v>
      </c>
      <c r="B33" s="54"/>
      <c r="C33" s="174" t="str">
        <f>IF('October 2026 Log'!BM33="","",'October 2026 Log'!BM33)</f>
        <v/>
      </c>
      <c r="D33" s="85"/>
      <c r="E33" s="86"/>
      <c r="F33" s="87"/>
      <c r="G33" s="86"/>
      <c r="H33" s="87"/>
      <c r="I33" s="86"/>
      <c r="J33" s="87"/>
      <c r="K33" s="86"/>
      <c r="L33" s="87"/>
      <c r="M33" s="86"/>
      <c r="N33" s="87"/>
      <c r="O33" s="86"/>
      <c r="P33" s="87"/>
      <c r="Q33" s="86"/>
      <c r="R33" s="87"/>
      <c r="S33" s="86"/>
      <c r="T33" s="87"/>
      <c r="U33" s="86"/>
      <c r="V33" s="87"/>
      <c r="W33" s="86"/>
      <c r="X33" s="87"/>
      <c r="Y33" s="86"/>
      <c r="Z33" s="87"/>
      <c r="AA33" s="86"/>
      <c r="AB33" s="87"/>
      <c r="AC33" s="86"/>
      <c r="AD33" s="87"/>
      <c r="AE33" s="86"/>
      <c r="AF33" s="87"/>
      <c r="AG33" s="86"/>
      <c r="AH33" s="87"/>
      <c r="AI33" s="86"/>
      <c r="AJ33" s="87"/>
      <c r="AK33" s="86"/>
      <c r="AL33" s="87"/>
      <c r="AM33" s="86"/>
      <c r="AN33" s="87"/>
      <c r="AO33" s="86"/>
      <c r="AP33" s="87"/>
      <c r="AQ33" s="86"/>
      <c r="AR33" s="87"/>
      <c r="AS33" s="86"/>
      <c r="AT33" s="87"/>
      <c r="AU33" s="86"/>
      <c r="AV33" s="87"/>
      <c r="AW33" s="86"/>
      <c r="AX33" s="87"/>
      <c r="AY33" s="86"/>
      <c r="AZ33" s="87"/>
      <c r="BA33" s="86"/>
      <c r="BB33" s="87"/>
      <c r="BC33" s="86"/>
      <c r="BD33" s="87"/>
      <c r="BE33" s="86"/>
      <c r="BF33" s="87"/>
      <c r="BG33" s="86"/>
      <c r="BH33" s="87"/>
      <c r="BI33" s="86"/>
      <c r="BJ33" s="87"/>
      <c r="BK33" s="86"/>
      <c r="BL33" s="87"/>
      <c r="BM33" s="86"/>
      <c r="BN33" s="50"/>
      <c r="BO33" s="170" t="str">
        <f t="shared" si="2"/>
        <v/>
      </c>
      <c r="BP33" s="87"/>
      <c r="BQ33" s="178" t="str">
        <f>IF(BK33="","",BK33)</f>
        <v/>
      </c>
    </row>
    <row r="34" spans="1:76" x14ac:dyDescent="0.35">
      <c r="A34" s="83" t="s">
        <v>7</v>
      </c>
      <c r="B34" s="54"/>
      <c r="C34" s="174" t="str">
        <f>IF('October 2026 Log'!BM34="","",'October 2026 Log'!BM34)</f>
        <v/>
      </c>
      <c r="D34" s="85"/>
      <c r="E34" s="86"/>
      <c r="F34" s="87"/>
      <c r="G34" s="86"/>
      <c r="H34" s="87"/>
      <c r="I34" s="86"/>
      <c r="J34" s="87"/>
      <c r="K34" s="86"/>
      <c r="L34" s="87"/>
      <c r="M34" s="86"/>
      <c r="N34" s="87"/>
      <c r="O34" s="86"/>
      <c r="P34" s="87"/>
      <c r="Q34" s="86"/>
      <c r="R34" s="87"/>
      <c r="S34" s="86"/>
      <c r="T34" s="87"/>
      <c r="U34" s="86"/>
      <c r="V34" s="87"/>
      <c r="W34" s="86"/>
      <c r="X34" s="87"/>
      <c r="Y34" s="86"/>
      <c r="Z34" s="87"/>
      <c r="AA34" s="86"/>
      <c r="AB34" s="87"/>
      <c r="AC34" s="86"/>
      <c r="AD34" s="87"/>
      <c r="AE34" s="86"/>
      <c r="AF34" s="87"/>
      <c r="AG34" s="86"/>
      <c r="AH34" s="87"/>
      <c r="AI34" s="86"/>
      <c r="AJ34" s="87"/>
      <c r="AK34" s="86"/>
      <c r="AL34" s="87"/>
      <c r="AM34" s="86"/>
      <c r="AN34" s="87"/>
      <c r="AO34" s="86"/>
      <c r="AP34" s="87"/>
      <c r="AQ34" s="86"/>
      <c r="AR34" s="87"/>
      <c r="AS34" s="86"/>
      <c r="AT34" s="99"/>
      <c r="AU34" s="86"/>
      <c r="AV34" s="87"/>
      <c r="AW34" s="86"/>
      <c r="AX34" s="87"/>
      <c r="AY34" s="86"/>
      <c r="AZ34" s="87"/>
      <c r="BA34" s="86"/>
      <c r="BB34" s="87"/>
      <c r="BC34" s="86"/>
      <c r="BD34" s="87"/>
      <c r="BE34" s="86"/>
      <c r="BF34" s="87"/>
      <c r="BG34" s="86"/>
      <c r="BH34" s="87"/>
      <c r="BI34" s="86"/>
      <c r="BJ34" s="87"/>
      <c r="BK34" s="86"/>
      <c r="BL34" s="87"/>
      <c r="BM34" s="86"/>
      <c r="BN34" s="50"/>
      <c r="BO34" s="170" t="str">
        <f t="shared" si="2"/>
        <v/>
      </c>
      <c r="BP34" s="87"/>
      <c r="BQ34" s="178" t="str">
        <f>IF(BK34="","",BK34)</f>
        <v/>
      </c>
    </row>
    <row r="35" spans="1:76" x14ac:dyDescent="0.35">
      <c r="A35" s="100"/>
      <c r="B35" s="75"/>
      <c r="C35" s="101"/>
      <c r="D35" s="102"/>
      <c r="E35" s="103"/>
      <c r="F35" s="104"/>
      <c r="G35" s="103"/>
      <c r="H35" s="104"/>
      <c r="I35" s="103"/>
      <c r="J35" s="104"/>
      <c r="K35" s="103"/>
      <c r="L35" s="104"/>
      <c r="M35" s="103"/>
      <c r="N35" s="104"/>
      <c r="O35" s="103"/>
      <c r="P35" s="104"/>
      <c r="Q35" s="103"/>
      <c r="R35" s="104"/>
      <c r="S35" s="103"/>
      <c r="T35" s="104"/>
      <c r="U35" s="103"/>
      <c r="V35" s="104"/>
      <c r="W35" s="103"/>
      <c r="X35" s="104"/>
      <c r="Y35" s="103"/>
      <c r="Z35" s="104"/>
      <c r="AA35" s="103"/>
      <c r="AB35" s="104"/>
      <c r="AC35" s="103"/>
      <c r="AD35" s="104"/>
      <c r="AE35" s="103"/>
      <c r="AF35" s="104"/>
      <c r="AG35" s="103"/>
      <c r="AH35" s="104"/>
      <c r="AI35" s="103"/>
      <c r="AJ35" s="104"/>
      <c r="AK35" s="103"/>
      <c r="AL35" s="104"/>
      <c r="AM35" s="103"/>
      <c r="AN35" s="104"/>
      <c r="AO35" s="103"/>
      <c r="AP35" s="104"/>
      <c r="AQ35" s="103"/>
      <c r="AR35" s="104"/>
      <c r="AS35" s="103"/>
      <c r="AT35" s="104"/>
      <c r="AU35" s="103"/>
      <c r="AV35" s="104"/>
      <c r="AW35" s="103"/>
      <c r="AX35" s="104"/>
      <c r="AY35" s="103"/>
      <c r="AZ35" s="104"/>
      <c r="BA35" s="103"/>
      <c r="BB35" s="104"/>
      <c r="BC35" s="103"/>
      <c r="BD35" s="104"/>
      <c r="BE35" s="103"/>
      <c r="BF35" s="104"/>
      <c r="BG35" s="103"/>
      <c r="BH35" s="104"/>
      <c r="BI35" s="103"/>
      <c r="BJ35" s="104"/>
      <c r="BK35" s="103"/>
      <c r="BL35" s="104"/>
      <c r="BM35" s="103"/>
      <c r="BN35" s="105"/>
      <c r="BO35" s="183" t="str">
        <f t="shared" si="2"/>
        <v/>
      </c>
      <c r="BP35" s="104"/>
      <c r="BQ35" s="107"/>
    </row>
    <row r="36" spans="1:76" x14ac:dyDescent="0.35">
      <c r="A36" s="83" t="s">
        <v>59</v>
      </c>
      <c r="B36" s="54" t="s">
        <v>58</v>
      </c>
      <c r="C36" s="174" t="str">
        <f>IF('October 2026 Log'!BM36="","",'October 2026 Log'!BM36)</f>
        <v/>
      </c>
      <c r="D36" s="85"/>
      <c r="E36" s="86"/>
      <c r="F36" s="87"/>
      <c r="G36" s="86"/>
      <c r="H36" s="87"/>
      <c r="I36" s="86"/>
      <c r="J36" s="87"/>
      <c r="K36" s="86"/>
      <c r="L36" s="87"/>
      <c r="M36" s="86"/>
      <c r="N36" s="87"/>
      <c r="O36" s="86"/>
      <c r="P36" s="87"/>
      <c r="Q36" s="86"/>
      <c r="R36" s="87"/>
      <c r="S36" s="86"/>
      <c r="T36" s="87"/>
      <c r="U36" s="86"/>
      <c r="V36" s="87"/>
      <c r="W36" s="86"/>
      <c r="X36" s="87"/>
      <c r="Y36" s="86"/>
      <c r="Z36" s="87"/>
      <c r="AA36" s="86"/>
      <c r="AB36" s="87"/>
      <c r="AC36" s="86"/>
      <c r="AD36" s="87"/>
      <c r="AE36" s="86"/>
      <c r="AF36" s="87"/>
      <c r="AG36" s="86"/>
      <c r="AH36" s="87"/>
      <c r="AI36" s="86"/>
      <c r="AJ36" s="87"/>
      <c r="AK36" s="86"/>
      <c r="AL36" s="87"/>
      <c r="AM36" s="86"/>
      <c r="AN36" s="87"/>
      <c r="AO36" s="86"/>
      <c r="AP36" s="87"/>
      <c r="AQ36" s="86"/>
      <c r="AR36" s="87"/>
      <c r="AS36" s="86"/>
      <c r="AT36" s="87"/>
      <c r="AU36" s="86"/>
      <c r="AV36" s="87"/>
      <c r="AW36" s="86"/>
      <c r="AX36" s="87"/>
      <c r="AY36" s="86"/>
      <c r="AZ36" s="87"/>
      <c r="BA36" s="86"/>
      <c r="BB36" s="87"/>
      <c r="BC36" s="86"/>
      <c r="BD36" s="87"/>
      <c r="BE36" s="86"/>
      <c r="BF36" s="87"/>
      <c r="BG36" s="86"/>
      <c r="BH36" s="87"/>
      <c r="BI36" s="86"/>
      <c r="BJ36" s="87"/>
      <c r="BK36" s="86"/>
      <c r="BL36" s="87"/>
      <c r="BM36" s="86"/>
      <c r="BN36" s="50"/>
      <c r="BO36" s="170" t="str">
        <f t="shared" si="2"/>
        <v/>
      </c>
      <c r="BP36" s="87"/>
      <c r="BQ36" s="178" t="str">
        <f>IF(BK36="","",BK36)</f>
        <v/>
      </c>
    </row>
    <row r="37" spans="1:76" x14ac:dyDescent="0.35">
      <c r="A37" s="83"/>
      <c r="B37" s="54"/>
      <c r="C37" s="84"/>
      <c r="D37" s="85"/>
      <c r="E37" s="86"/>
      <c r="F37" s="87"/>
      <c r="G37" s="86"/>
      <c r="H37" s="87"/>
      <c r="I37" s="86"/>
      <c r="J37" s="87"/>
      <c r="K37" s="86"/>
      <c r="L37" s="87"/>
      <c r="M37" s="86"/>
      <c r="N37" s="87"/>
      <c r="O37" s="86"/>
      <c r="P37" s="87"/>
      <c r="Q37" s="86"/>
      <c r="R37" s="87"/>
      <c r="S37" s="86"/>
      <c r="T37" s="87"/>
      <c r="U37" s="86"/>
      <c r="V37" s="87"/>
      <c r="W37" s="86"/>
      <c r="X37" s="87"/>
      <c r="Y37" s="86"/>
      <c r="Z37" s="87"/>
      <c r="AA37" s="86"/>
      <c r="AB37" s="87"/>
      <c r="AC37" s="86"/>
      <c r="AD37" s="87"/>
      <c r="AE37" s="86"/>
      <c r="AF37" s="87"/>
      <c r="AG37" s="86"/>
      <c r="AH37" s="87"/>
      <c r="AI37" s="86"/>
      <c r="AJ37" s="87"/>
      <c r="AK37" s="86"/>
      <c r="AL37" s="87"/>
      <c r="AM37" s="86"/>
      <c r="AN37" s="87"/>
      <c r="AO37" s="86"/>
      <c r="AP37" s="87"/>
      <c r="AQ37" s="86"/>
      <c r="AR37" s="87"/>
      <c r="AS37" s="86"/>
      <c r="AT37" s="87"/>
      <c r="AU37" s="86"/>
      <c r="AV37" s="87"/>
      <c r="AW37" s="86"/>
      <c r="AX37" s="87"/>
      <c r="AY37" s="86"/>
      <c r="AZ37" s="87"/>
      <c r="BA37" s="86"/>
      <c r="BB37" s="87"/>
      <c r="BC37" s="86"/>
      <c r="BD37" s="87"/>
      <c r="BE37" s="86"/>
      <c r="BF37" s="87"/>
      <c r="BG37" s="86"/>
      <c r="BH37" s="87"/>
      <c r="BI37" s="86"/>
      <c r="BJ37" s="87"/>
      <c r="BK37" s="86"/>
      <c r="BL37" s="87"/>
      <c r="BM37" s="86"/>
      <c r="BN37" s="50"/>
      <c r="BO37" s="170" t="str">
        <f t="shared" si="2"/>
        <v/>
      </c>
      <c r="BP37" s="87"/>
      <c r="BQ37" s="88"/>
    </row>
    <row r="38" spans="1:76" x14ac:dyDescent="0.35">
      <c r="A38" s="83" t="s">
        <v>62</v>
      </c>
      <c r="B38" s="54" t="s">
        <v>63</v>
      </c>
      <c r="C38" s="174" t="str">
        <f>IF('October 2026 Log'!BM38="","",'October 2026 Log'!BM38)</f>
        <v/>
      </c>
      <c r="D38" s="85"/>
      <c r="E38" s="86"/>
      <c r="F38" s="87"/>
      <c r="G38" s="86"/>
      <c r="H38" s="87"/>
      <c r="I38" s="86"/>
      <c r="J38" s="87"/>
      <c r="K38" s="86"/>
      <c r="L38" s="87"/>
      <c r="M38" s="86"/>
      <c r="N38" s="87"/>
      <c r="O38" s="86"/>
      <c r="P38" s="87"/>
      <c r="Q38" s="86"/>
      <c r="R38" s="87"/>
      <c r="S38" s="86"/>
      <c r="T38" s="87"/>
      <c r="U38" s="86"/>
      <c r="V38" s="87"/>
      <c r="W38" s="86"/>
      <c r="X38" s="87"/>
      <c r="Y38" s="86"/>
      <c r="Z38" s="87"/>
      <c r="AA38" s="86"/>
      <c r="AB38" s="87"/>
      <c r="AC38" s="86"/>
      <c r="AD38" s="87"/>
      <c r="AE38" s="86"/>
      <c r="AF38" s="87"/>
      <c r="AG38" s="86"/>
      <c r="AH38" s="87"/>
      <c r="AI38" s="86"/>
      <c r="AJ38" s="87"/>
      <c r="AK38" s="86"/>
      <c r="AL38" s="87"/>
      <c r="AM38" s="86"/>
      <c r="AN38" s="87"/>
      <c r="AO38" s="86"/>
      <c r="AP38" s="87"/>
      <c r="AQ38" s="86"/>
      <c r="AR38" s="87"/>
      <c r="AS38" s="86"/>
      <c r="AT38" s="87"/>
      <c r="AU38" s="86"/>
      <c r="AV38" s="87"/>
      <c r="AW38" s="86"/>
      <c r="AX38" s="87"/>
      <c r="AY38" s="86"/>
      <c r="AZ38" s="87"/>
      <c r="BA38" s="86"/>
      <c r="BB38" s="87"/>
      <c r="BC38" s="86"/>
      <c r="BD38" s="87"/>
      <c r="BE38" s="86"/>
      <c r="BF38" s="87"/>
      <c r="BG38" s="86"/>
      <c r="BH38" s="87"/>
      <c r="BI38" s="86"/>
      <c r="BJ38" s="87"/>
      <c r="BK38" s="86"/>
      <c r="BL38" s="87"/>
      <c r="BM38" s="86"/>
      <c r="BN38" s="50"/>
      <c r="BO38" s="170" t="str">
        <f t="shared" si="2"/>
        <v/>
      </c>
      <c r="BP38" s="87"/>
      <c r="BQ38" s="178" t="str">
        <f>IF(BK38="","",BK38)</f>
        <v/>
      </c>
    </row>
    <row r="39" spans="1:76" x14ac:dyDescent="0.35">
      <c r="A39" s="83" t="s">
        <v>64</v>
      </c>
      <c r="B39" s="54" t="s">
        <v>63</v>
      </c>
      <c r="C39" s="174" t="str">
        <f>IF('October 2026 Log'!BM39="","",'October 2026 Log'!BM39)</f>
        <v/>
      </c>
      <c r="D39" s="85"/>
      <c r="E39" s="86"/>
      <c r="F39" s="87"/>
      <c r="G39" s="86"/>
      <c r="H39" s="87"/>
      <c r="I39" s="86"/>
      <c r="J39" s="87"/>
      <c r="K39" s="86"/>
      <c r="L39" s="87"/>
      <c r="M39" s="86"/>
      <c r="N39" s="87"/>
      <c r="O39" s="86"/>
      <c r="P39" s="87"/>
      <c r="Q39" s="86"/>
      <c r="R39" s="87"/>
      <c r="S39" s="86"/>
      <c r="T39" s="87"/>
      <c r="U39" s="86"/>
      <c r="V39" s="87"/>
      <c r="W39" s="86"/>
      <c r="X39" s="87"/>
      <c r="Y39" s="86"/>
      <c r="Z39" s="87"/>
      <c r="AA39" s="86"/>
      <c r="AB39" s="87"/>
      <c r="AC39" s="86"/>
      <c r="AD39" s="87"/>
      <c r="AE39" s="86"/>
      <c r="AF39" s="87"/>
      <c r="AG39" s="86"/>
      <c r="AH39" s="87"/>
      <c r="AI39" s="86"/>
      <c r="AJ39" s="87"/>
      <c r="AK39" s="86"/>
      <c r="AL39" s="87"/>
      <c r="AM39" s="86"/>
      <c r="AN39" s="87"/>
      <c r="AO39" s="86"/>
      <c r="AP39" s="87"/>
      <c r="AQ39" s="86"/>
      <c r="AR39" s="87"/>
      <c r="AS39" s="86"/>
      <c r="AT39" s="87"/>
      <c r="AU39" s="86"/>
      <c r="AV39" s="87"/>
      <c r="AW39" s="86"/>
      <c r="AX39" s="87"/>
      <c r="AY39" s="86"/>
      <c r="AZ39" s="87"/>
      <c r="BA39" s="86"/>
      <c r="BB39" s="87"/>
      <c r="BC39" s="86"/>
      <c r="BD39" s="87"/>
      <c r="BE39" s="86"/>
      <c r="BF39" s="87"/>
      <c r="BG39" s="86"/>
      <c r="BH39" s="87"/>
      <c r="BI39" s="86"/>
      <c r="BJ39" s="87"/>
      <c r="BK39" s="86"/>
      <c r="BL39" s="87"/>
      <c r="BM39" s="86"/>
      <c r="BN39" s="50"/>
      <c r="BO39" s="170" t="str">
        <f t="shared" si="2"/>
        <v/>
      </c>
      <c r="BP39" s="87"/>
      <c r="BQ39" s="178" t="str">
        <f>IF(BK39="","",BK39)</f>
        <v/>
      </c>
    </row>
    <row r="40" spans="1:76" x14ac:dyDescent="0.35">
      <c r="A40" s="83" t="s">
        <v>44</v>
      </c>
      <c r="B40" s="54"/>
      <c r="C40" s="84"/>
      <c r="D40" s="85"/>
      <c r="E40" s="86"/>
      <c r="F40" s="87"/>
      <c r="G40" s="86"/>
      <c r="H40" s="87"/>
      <c r="I40" s="86"/>
      <c r="J40" s="87"/>
      <c r="K40" s="86"/>
      <c r="L40" s="87"/>
      <c r="M40" s="86"/>
      <c r="N40" s="87"/>
      <c r="O40" s="86"/>
      <c r="P40" s="87"/>
      <c r="Q40" s="86"/>
      <c r="R40" s="87"/>
      <c r="S40" s="86"/>
      <c r="T40" s="87"/>
      <c r="U40" s="86"/>
      <c r="V40" s="87"/>
      <c r="W40" s="86"/>
      <c r="X40" s="87"/>
      <c r="Y40" s="86"/>
      <c r="Z40" s="87"/>
      <c r="AA40" s="86"/>
      <c r="AB40" s="87"/>
      <c r="AC40" s="86"/>
      <c r="AD40" s="87"/>
      <c r="AE40" s="86"/>
      <c r="AF40" s="87"/>
      <c r="AG40" s="86"/>
      <c r="AH40" s="87"/>
      <c r="AI40" s="86"/>
      <c r="AJ40" s="87"/>
      <c r="AK40" s="86"/>
      <c r="AL40" s="87"/>
      <c r="AM40" s="86"/>
      <c r="AN40" s="87"/>
      <c r="AO40" s="86"/>
      <c r="AP40" s="87"/>
      <c r="AQ40" s="86"/>
      <c r="AR40" s="87"/>
      <c r="AS40" s="86"/>
      <c r="AT40" s="87"/>
      <c r="AU40" s="86"/>
      <c r="AV40" s="87"/>
      <c r="AW40" s="86"/>
      <c r="AX40" s="87"/>
      <c r="AY40" s="86"/>
      <c r="AZ40" s="87"/>
      <c r="BA40" s="86"/>
      <c r="BB40" s="87"/>
      <c r="BC40" s="86"/>
      <c r="BD40" s="87"/>
      <c r="BE40" s="86"/>
      <c r="BF40" s="87"/>
      <c r="BG40" s="86"/>
      <c r="BH40" s="87"/>
      <c r="BI40" s="86"/>
      <c r="BJ40" s="87"/>
      <c r="BK40" s="86"/>
      <c r="BL40" s="87"/>
      <c r="BM40" s="86"/>
      <c r="BN40" s="50"/>
      <c r="BO40" s="170" t="str">
        <f t="shared" si="2"/>
        <v/>
      </c>
      <c r="BP40" s="87"/>
      <c r="BQ40" s="88"/>
    </row>
    <row r="41" spans="1:76" x14ac:dyDescent="0.35">
      <c r="A41" s="83" t="s">
        <v>54</v>
      </c>
      <c r="B41" s="54"/>
      <c r="C41" s="84"/>
      <c r="D41" s="85"/>
      <c r="E41" s="86"/>
      <c r="F41" s="87"/>
      <c r="G41" s="86"/>
      <c r="H41" s="87"/>
      <c r="I41" s="86"/>
      <c r="J41" s="87"/>
      <c r="K41" s="86"/>
      <c r="L41" s="87"/>
      <c r="M41" s="86"/>
      <c r="N41" s="87"/>
      <c r="O41" s="86"/>
      <c r="P41" s="87"/>
      <c r="Q41" s="86"/>
      <c r="R41" s="87"/>
      <c r="S41" s="86"/>
      <c r="T41" s="87"/>
      <c r="U41" s="86"/>
      <c r="V41" s="87"/>
      <c r="W41" s="86"/>
      <c r="X41" s="87"/>
      <c r="Y41" s="86"/>
      <c r="Z41" s="87"/>
      <c r="AA41" s="86"/>
      <c r="AB41" s="87"/>
      <c r="AC41" s="86"/>
      <c r="AD41" s="87"/>
      <c r="AE41" s="86"/>
      <c r="AF41" s="87"/>
      <c r="AG41" s="86"/>
      <c r="AH41" s="87"/>
      <c r="AI41" s="86"/>
      <c r="AJ41" s="87"/>
      <c r="AK41" s="86"/>
      <c r="AL41" s="87"/>
      <c r="AM41" s="86"/>
      <c r="AN41" s="87"/>
      <c r="AO41" s="86"/>
      <c r="AP41" s="87"/>
      <c r="AQ41" s="86"/>
      <c r="AR41" s="87"/>
      <c r="AS41" s="86"/>
      <c r="AT41" s="87"/>
      <c r="AU41" s="86"/>
      <c r="AV41" s="87"/>
      <c r="AW41" s="86"/>
      <c r="AX41" s="87"/>
      <c r="AY41" s="86"/>
      <c r="AZ41" s="87"/>
      <c r="BA41" s="86"/>
      <c r="BB41" s="87"/>
      <c r="BC41" s="86"/>
      <c r="BD41" s="87"/>
      <c r="BE41" s="86"/>
      <c r="BF41" s="87"/>
      <c r="BG41" s="86"/>
      <c r="BH41" s="87"/>
      <c r="BI41" s="86"/>
      <c r="BJ41" s="87"/>
      <c r="BK41" s="86"/>
      <c r="BL41" s="87"/>
      <c r="BM41" s="86"/>
      <c r="BN41" s="50"/>
      <c r="BO41" s="170" t="str">
        <f t="shared" si="2"/>
        <v/>
      </c>
      <c r="BP41" s="87"/>
      <c r="BQ41" s="88"/>
    </row>
    <row r="42" spans="1:76" s="1" customFormat="1" x14ac:dyDescent="0.35">
      <c r="A42" s="89" t="s">
        <v>35</v>
      </c>
      <c r="B42" s="90"/>
      <c r="C42" s="174">
        <f>IF('October 2026 Log'!BM42="","",'October 2026 Log'!BM42)</f>
        <v>0</v>
      </c>
      <c r="D42" s="47"/>
      <c r="E42" s="166">
        <f>SUM(E36:E41)</f>
        <v>0</v>
      </c>
      <c r="F42" s="49"/>
      <c r="G42" s="166">
        <f>SUM(G36:G41)</f>
        <v>0</v>
      </c>
      <c r="H42" s="49"/>
      <c r="I42" s="166">
        <f>SUM(I36:I41)</f>
        <v>0</v>
      </c>
      <c r="J42" s="49"/>
      <c r="K42" s="166">
        <f>SUM(K36:K41)</f>
        <v>0</v>
      </c>
      <c r="L42" s="49"/>
      <c r="M42" s="166">
        <f>SUM(M36:M41)</f>
        <v>0</v>
      </c>
      <c r="N42" s="49"/>
      <c r="O42" s="166">
        <f>SUM(O36:O41)</f>
        <v>0</v>
      </c>
      <c r="P42" s="49"/>
      <c r="Q42" s="166">
        <f>SUM(Q36:Q41)</f>
        <v>0</v>
      </c>
      <c r="R42" s="49"/>
      <c r="S42" s="166">
        <f>SUM(S36:S41)</f>
        <v>0</v>
      </c>
      <c r="T42" s="49"/>
      <c r="U42" s="166">
        <f>SUM(U36:U41)</f>
        <v>0</v>
      </c>
      <c r="V42" s="49"/>
      <c r="W42" s="166">
        <f>SUM(W36:W41)</f>
        <v>0</v>
      </c>
      <c r="X42" s="49"/>
      <c r="Y42" s="166">
        <f>SUM(Y36:Y41)</f>
        <v>0</v>
      </c>
      <c r="Z42" s="49"/>
      <c r="AA42" s="166">
        <f>SUM(AA36:AA41)</f>
        <v>0</v>
      </c>
      <c r="AB42" s="49"/>
      <c r="AC42" s="166">
        <f>SUM(AC36:AC41)</f>
        <v>0</v>
      </c>
      <c r="AD42" s="49"/>
      <c r="AE42" s="166">
        <f>SUM(AE36:AE41)</f>
        <v>0</v>
      </c>
      <c r="AF42" s="49"/>
      <c r="AG42" s="166">
        <f>SUM(AG36:AG41)</f>
        <v>0</v>
      </c>
      <c r="AH42" s="49"/>
      <c r="AI42" s="166">
        <f>SUM(AI36:AI41)</f>
        <v>0</v>
      </c>
      <c r="AJ42" s="49"/>
      <c r="AK42" s="166">
        <f>SUM(AK36:AK41)</f>
        <v>0</v>
      </c>
      <c r="AL42" s="49"/>
      <c r="AM42" s="166">
        <f>SUM(AM36:AM41)</f>
        <v>0</v>
      </c>
      <c r="AN42" s="49"/>
      <c r="AO42" s="166">
        <f>SUM(AO36:AO41)</f>
        <v>0</v>
      </c>
      <c r="AP42" s="49"/>
      <c r="AQ42" s="166">
        <f>SUM(AQ36:AQ41)</f>
        <v>0</v>
      </c>
      <c r="AR42" s="49"/>
      <c r="AS42" s="166">
        <f>SUM(AS36:AS41)</f>
        <v>0</v>
      </c>
      <c r="AT42" s="49"/>
      <c r="AU42" s="166">
        <f>SUM(AU36:AU41)</f>
        <v>0</v>
      </c>
      <c r="AV42" s="49"/>
      <c r="AW42" s="166">
        <f>SUM(AW36:AW41)</f>
        <v>0</v>
      </c>
      <c r="AX42" s="49"/>
      <c r="AY42" s="166">
        <f>SUM(AY36:AY41)</f>
        <v>0</v>
      </c>
      <c r="AZ42" s="49"/>
      <c r="BA42" s="166">
        <f>SUM(BA36:BA41)</f>
        <v>0</v>
      </c>
      <c r="BB42" s="49"/>
      <c r="BC42" s="166">
        <f>SUM(BC36:BC41)</f>
        <v>0</v>
      </c>
      <c r="BD42" s="49"/>
      <c r="BE42" s="166">
        <f>SUM(BE36:BE41)</f>
        <v>0</v>
      </c>
      <c r="BF42" s="49"/>
      <c r="BG42" s="166">
        <f>SUM(BG36:BG41)</f>
        <v>0</v>
      </c>
      <c r="BH42" s="49"/>
      <c r="BI42" s="166">
        <f>SUM(BI36:BI41)</f>
        <v>0</v>
      </c>
      <c r="BJ42" s="49"/>
      <c r="BK42" s="166">
        <f>SUM(BK36:BK41)</f>
        <v>0</v>
      </c>
      <c r="BL42" s="49"/>
      <c r="BM42" s="48"/>
      <c r="BN42" s="50"/>
      <c r="BO42" s="170">
        <f t="shared" si="2"/>
        <v>0</v>
      </c>
      <c r="BP42" s="49"/>
      <c r="BQ42" s="172">
        <f>IF(BK42="","",BK42)</f>
        <v>0</v>
      </c>
      <c r="BR42"/>
      <c r="BS42"/>
      <c r="BT42"/>
      <c r="BU42"/>
      <c r="BV42"/>
      <c r="BW42"/>
      <c r="BX42"/>
    </row>
    <row r="43" spans="1:76" x14ac:dyDescent="0.35">
      <c r="A43" s="83" t="s">
        <v>61</v>
      </c>
      <c r="B43" s="54" t="s">
        <v>60</v>
      </c>
      <c r="C43" s="174" t="str">
        <f>IF('October 2026 Log'!BM43="","",'October 2026 Log'!BM43)</f>
        <v/>
      </c>
      <c r="D43" s="85"/>
      <c r="E43" s="86"/>
      <c r="F43" s="87"/>
      <c r="G43" s="86"/>
      <c r="H43" s="87"/>
      <c r="I43" s="86"/>
      <c r="J43" s="87"/>
      <c r="K43" s="86"/>
      <c r="L43" s="87"/>
      <c r="M43" s="86"/>
      <c r="N43" s="87"/>
      <c r="O43" s="86"/>
      <c r="P43" s="87"/>
      <c r="Q43" s="86"/>
      <c r="R43" s="87"/>
      <c r="S43" s="86"/>
      <c r="T43" s="87"/>
      <c r="U43" s="86"/>
      <c r="V43" s="87"/>
      <c r="W43" s="86"/>
      <c r="X43" s="87"/>
      <c r="Y43" s="86"/>
      <c r="Z43" s="87"/>
      <c r="AA43" s="86"/>
      <c r="AB43" s="87"/>
      <c r="AC43" s="86"/>
      <c r="AD43" s="87"/>
      <c r="AE43" s="86"/>
      <c r="AF43" s="87"/>
      <c r="AG43" s="86"/>
      <c r="AH43" s="87"/>
      <c r="AI43" s="86"/>
      <c r="AJ43" s="87"/>
      <c r="AK43" s="86"/>
      <c r="AL43" s="87"/>
      <c r="AM43" s="86"/>
      <c r="AN43" s="87"/>
      <c r="AO43" s="86"/>
      <c r="AP43" s="87"/>
      <c r="AQ43" s="86"/>
      <c r="AR43" s="87"/>
      <c r="AS43" s="86"/>
      <c r="AT43" s="87"/>
      <c r="AU43" s="86"/>
      <c r="AV43" s="87"/>
      <c r="AW43" s="86"/>
      <c r="AX43" s="87"/>
      <c r="AY43" s="86"/>
      <c r="AZ43" s="87"/>
      <c r="BA43" s="86"/>
      <c r="BB43" s="87"/>
      <c r="BC43" s="86"/>
      <c r="BD43" s="87"/>
      <c r="BE43" s="86"/>
      <c r="BF43" s="87"/>
      <c r="BG43" s="86"/>
      <c r="BH43" s="87"/>
      <c r="BI43" s="86"/>
      <c r="BJ43" s="87"/>
      <c r="BK43" s="86"/>
      <c r="BL43" s="87"/>
      <c r="BM43" s="86"/>
      <c r="BN43" s="50"/>
      <c r="BO43" s="170" t="str">
        <f t="shared" si="2"/>
        <v/>
      </c>
      <c r="BP43" s="87"/>
      <c r="BQ43" s="178" t="str">
        <f>IF(BK43="","",BK43)</f>
        <v/>
      </c>
    </row>
    <row r="44" spans="1:76" hidden="1" x14ac:dyDescent="0.35">
      <c r="A44" s="83" t="s">
        <v>8</v>
      </c>
      <c r="B44" s="54"/>
      <c r="C44" s="84"/>
      <c r="D44" s="85"/>
      <c r="E44" s="86"/>
      <c r="F44" s="87"/>
      <c r="G44" s="86"/>
      <c r="H44" s="87"/>
      <c r="I44" s="86"/>
      <c r="J44" s="87"/>
      <c r="K44" s="86"/>
      <c r="L44" s="87"/>
      <c r="M44" s="86"/>
      <c r="N44" s="87"/>
      <c r="O44" s="86"/>
      <c r="P44" s="87"/>
      <c r="Q44" s="86"/>
      <c r="R44" s="87"/>
      <c r="S44" s="86"/>
      <c r="T44" s="87"/>
      <c r="U44" s="86"/>
      <c r="V44" s="87"/>
      <c r="W44" s="86"/>
      <c r="X44" s="87"/>
      <c r="Y44" s="86"/>
      <c r="Z44" s="87"/>
      <c r="AA44" s="86"/>
      <c r="AB44" s="87"/>
      <c r="AC44" s="86"/>
      <c r="AD44" s="87"/>
      <c r="AE44" s="86"/>
      <c r="AF44" s="87"/>
      <c r="AG44" s="86"/>
      <c r="AH44" s="87"/>
      <c r="AI44" s="86"/>
      <c r="AJ44" s="87"/>
      <c r="AK44" s="86"/>
      <c r="AL44" s="87"/>
      <c r="AM44" s="86"/>
      <c r="AN44" s="87"/>
      <c r="AO44" s="86"/>
      <c r="AP44" s="87"/>
      <c r="AQ44" s="86"/>
      <c r="AR44" s="87"/>
      <c r="AS44" s="86"/>
      <c r="AT44" s="87"/>
      <c r="AU44" s="86"/>
      <c r="AV44" s="87"/>
      <c r="AW44" s="86"/>
      <c r="AX44" s="87"/>
      <c r="AY44" s="86"/>
      <c r="AZ44" s="87"/>
      <c r="BA44" s="86"/>
      <c r="BB44" s="87"/>
      <c r="BC44" s="86"/>
      <c r="BD44" s="87"/>
      <c r="BE44" s="86"/>
      <c r="BF44" s="87"/>
      <c r="BG44" s="86"/>
      <c r="BH44" s="87"/>
      <c r="BI44" s="86"/>
      <c r="BJ44" s="87"/>
      <c r="BK44" s="86"/>
      <c r="BL44" s="87"/>
      <c r="BM44" s="86"/>
      <c r="BN44" s="50"/>
      <c r="BO44" s="170" t="str">
        <f t="shared" si="2"/>
        <v/>
      </c>
      <c r="BP44" s="87"/>
      <c r="BQ44" s="88"/>
    </row>
    <row r="45" spans="1:76" hidden="1" x14ac:dyDescent="0.35">
      <c r="A45" s="83" t="s">
        <v>9</v>
      </c>
      <c r="B45" s="54"/>
      <c r="C45" s="84"/>
      <c r="D45" s="85"/>
      <c r="E45" s="86"/>
      <c r="F45" s="87"/>
      <c r="G45" s="86"/>
      <c r="H45" s="87"/>
      <c r="I45" s="86"/>
      <c r="J45" s="87"/>
      <c r="K45" s="86"/>
      <c r="L45" s="87"/>
      <c r="M45" s="86"/>
      <c r="N45" s="87"/>
      <c r="O45" s="86"/>
      <c r="P45" s="87"/>
      <c r="Q45" s="86"/>
      <c r="R45" s="87"/>
      <c r="S45" s="86"/>
      <c r="T45" s="87"/>
      <c r="U45" s="86"/>
      <c r="V45" s="87"/>
      <c r="W45" s="86"/>
      <c r="X45" s="87"/>
      <c r="Y45" s="86"/>
      <c r="Z45" s="87"/>
      <c r="AA45" s="86"/>
      <c r="AB45" s="87"/>
      <c r="AC45" s="86"/>
      <c r="AD45" s="87"/>
      <c r="AE45" s="86"/>
      <c r="AF45" s="87"/>
      <c r="AG45" s="86"/>
      <c r="AH45" s="87"/>
      <c r="AI45" s="86"/>
      <c r="AJ45" s="87"/>
      <c r="AK45" s="86"/>
      <c r="AL45" s="87"/>
      <c r="AM45" s="86"/>
      <c r="AN45" s="87"/>
      <c r="AO45" s="86"/>
      <c r="AP45" s="87"/>
      <c r="AQ45" s="86"/>
      <c r="AR45" s="87"/>
      <c r="AS45" s="86"/>
      <c r="AT45" s="87"/>
      <c r="AU45" s="86"/>
      <c r="AV45" s="87"/>
      <c r="AW45" s="86"/>
      <c r="AX45" s="87"/>
      <c r="AY45" s="86"/>
      <c r="AZ45" s="87"/>
      <c r="BA45" s="86"/>
      <c r="BB45" s="87"/>
      <c r="BC45" s="86"/>
      <c r="BD45" s="87"/>
      <c r="BE45" s="86"/>
      <c r="BF45" s="87"/>
      <c r="BG45" s="86"/>
      <c r="BH45" s="87"/>
      <c r="BI45" s="86"/>
      <c r="BJ45" s="87"/>
      <c r="BK45" s="86"/>
      <c r="BL45" s="87"/>
      <c r="BM45" s="86"/>
      <c r="BN45" s="50"/>
      <c r="BO45" s="170" t="str">
        <f t="shared" si="2"/>
        <v/>
      </c>
      <c r="BP45" s="87"/>
      <c r="BQ45" s="88"/>
    </row>
    <row r="46" spans="1:76" hidden="1" x14ac:dyDescent="0.35">
      <c r="A46" s="83" t="s">
        <v>43</v>
      </c>
      <c r="B46" s="54"/>
      <c r="C46" s="84"/>
      <c r="D46" s="85"/>
      <c r="E46" s="86"/>
      <c r="F46" s="87"/>
      <c r="G46" s="86"/>
      <c r="H46" s="87"/>
      <c r="I46" s="86"/>
      <c r="J46" s="87"/>
      <c r="K46" s="86"/>
      <c r="L46" s="87"/>
      <c r="M46" s="86"/>
      <c r="N46" s="87"/>
      <c r="O46" s="86"/>
      <c r="P46" s="87"/>
      <c r="Q46" s="86"/>
      <c r="R46" s="87"/>
      <c r="S46" s="86"/>
      <c r="T46" s="87"/>
      <c r="U46" s="86"/>
      <c r="V46" s="87"/>
      <c r="W46" s="86"/>
      <c r="X46" s="87"/>
      <c r="Y46" s="86"/>
      <c r="Z46" s="87"/>
      <c r="AA46" s="86"/>
      <c r="AB46" s="87"/>
      <c r="AC46" s="86"/>
      <c r="AD46" s="87"/>
      <c r="AE46" s="86"/>
      <c r="AF46" s="87"/>
      <c r="AG46" s="86"/>
      <c r="AH46" s="87"/>
      <c r="AI46" s="86"/>
      <c r="AJ46" s="87"/>
      <c r="AK46" s="86"/>
      <c r="AL46" s="87"/>
      <c r="AM46" s="86"/>
      <c r="AN46" s="87"/>
      <c r="AO46" s="86"/>
      <c r="AP46" s="87"/>
      <c r="AQ46" s="86"/>
      <c r="AR46" s="87"/>
      <c r="AS46" s="86"/>
      <c r="AT46" s="87"/>
      <c r="AU46" s="86"/>
      <c r="AV46" s="87"/>
      <c r="AW46" s="86"/>
      <c r="AX46" s="87"/>
      <c r="AY46" s="86"/>
      <c r="AZ46" s="87"/>
      <c r="BA46" s="86"/>
      <c r="BB46" s="87"/>
      <c r="BC46" s="86"/>
      <c r="BD46" s="87"/>
      <c r="BE46" s="86"/>
      <c r="BF46" s="87"/>
      <c r="BG46" s="86"/>
      <c r="BH46" s="87"/>
      <c r="BI46" s="86"/>
      <c r="BJ46" s="87"/>
      <c r="BK46" s="86"/>
      <c r="BL46" s="87"/>
      <c r="BM46" s="86"/>
      <c r="BN46" s="50"/>
      <c r="BO46" s="170" t="str">
        <f t="shared" si="2"/>
        <v/>
      </c>
      <c r="BP46" s="87"/>
      <c r="BQ46" s="88"/>
    </row>
    <row r="47" spans="1:76" hidden="1" x14ac:dyDescent="0.35">
      <c r="A47" s="83" t="s">
        <v>10</v>
      </c>
      <c r="B47" s="54"/>
      <c r="C47" s="84"/>
      <c r="D47" s="85"/>
      <c r="E47" s="86"/>
      <c r="F47" s="87"/>
      <c r="G47" s="86"/>
      <c r="H47" s="87"/>
      <c r="I47" s="86"/>
      <c r="J47" s="87"/>
      <c r="K47" s="86"/>
      <c r="L47" s="87"/>
      <c r="M47" s="86"/>
      <c r="N47" s="87"/>
      <c r="O47" s="86"/>
      <c r="P47" s="87"/>
      <c r="Q47" s="86"/>
      <c r="R47" s="87"/>
      <c r="S47" s="86"/>
      <c r="T47" s="87"/>
      <c r="U47" s="86"/>
      <c r="V47" s="87"/>
      <c r="W47" s="86"/>
      <c r="X47" s="87"/>
      <c r="Y47" s="86"/>
      <c r="Z47" s="87"/>
      <c r="AA47" s="86"/>
      <c r="AB47" s="87"/>
      <c r="AC47" s="86"/>
      <c r="AD47" s="87"/>
      <c r="AE47" s="86"/>
      <c r="AF47" s="87"/>
      <c r="AG47" s="86"/>
      <c r="AH47" s="87"/>
      <c r="AI47" s="86"/>
      <c r="AJ47" s="87"/>
      <c r="AK47" s="86"/>
      <c r="AL47" s="87"/>
      <c r="AM47" s="86"/>
      <c r="AN47" s="87"/>
      <c r="AO47" s="86"/>
      <c r="AP47" s="87"/>
      <c r="AQ47" s="86"/>
      <c r="AR47" s="87"/>
      <c r="AS47" s="86"/>
      <c r="AT47" s="87"/>
      <c r="AU47" s="86"/>
      <c r="AV47" s="87"/>
      <c r="AW47" s="86"/>
      <c r="AX47" s="87"/>
      <c r="AY47" s="86"/>
      <c r="AZ47" s="87"/>
      <c r="BA47" s="86"/>
      <c r="BB47" s="87"/>
      <c r="BC47" s="86"/>
      <c r="BD47" s="87"/>
      <c r="BE47" s="86"/>
      <c r="BF47" s="87"/>
      <c r="BG47" s="86"/>
      <c r="BH47" s="87"/>
      <c r="BI47" s="86"/>
      <c r="BJ47" s="87"/>
      <c r="BK47" s="86"/>
      <c r="BL47" s="87"/>
      <c r="BM47" s="86"/>
      <c r="BN47" s="50"/>
      <c r="BO47" s="170" t="str">
        <f t="shared" si="2"/>
        <v/>
      </c>
      <c r="BP47" s="87"/>
      <c r="BQ47" s="88"/>
    </row>
    <row r="48" spans="1:76" hidden="1" x14ac:dyDescent="0.35">
      <c r="A48" s="83" t="s">
        <v>11</v>
      </c>
      <c r="B48" s="54"/>
      <c r="C48" s="84"/>
      <c r="D48" s="85"/>
      <c r="E48" s="86"/>
      <c r="F48" s="87"/>
      <c r="G48" s="86"/>
      <c r="H48" s="87"/>
      <c r="I48" s="86"/>
      <c r="J48" s="87"/>
      <c r="K48" s="86"/>
      <c r="L48" s="87"/>
      <c r="M48" s="86"/>
      <c r="N48" s="87"/>
      <c r="O48" s="86"/>
      <c r="P48" s="87"/>
      <c r="Q48" s="86"/>
      <c r="R48" s="87"/>
      <c r="S48" s="86"/>
      <c r="T48" s="87"/>
      <c r="U48" s="86"/>
      <c r="V48" s="87"/>
      <c r="W48" s="86"/>
      <c r="X48" s="87"/>
      <c r="Y48" s="86"/>
      <c r="Z48" s="87"/>
      <c r="AA48" s="86"/>
      <c r="AB48" s="87"/>
      <c r="AC48" s="86"/>
      <c r="AD48" s="87"/>
      <c r="AE48" s="86"/>
      <c r="AF48" s="87"/>
      <c r="AG48" s="86"/>
      <c r="AH48" s="87"/>
      <c r="AI48" s="86"/>
      <c r="AJ48" s="87"/>
      <c r="AK48" s="86"/>
      <c r="AL48" s="87"/>
      <c r="AM48" s="86"/>
      <c r="AN48" s="87"/>
      <c r="AO48" s="86"/>
      <c r="AP48" s="87"/>
      <c r="AQ48" s="86"/>
      <c r="AR48" s="87"/>
      <c r="AS48" s="86"/>
      <c r="AT48" s="87"/>
      <c r="AU48" s="86"/>
      <c r="AV48" s="87"/>
      <c r="AW48" s="86"/>
      <c r="AX48" s="87"/>
      <c r="AY48" s="86"/>
      <c r="AZ48" s="87"/>
      <c r="BA48" s="86"/>
      <c r="BB48" s="87"/>
      <c r="BC48" s="86"/>
      <c r="BD48" s="87"/>
      <c r="BE48" s="86"/>
      <c r="BF48" s="87"/>
      <c r="BG48" s="86"/>
      <c r="BH48" s="87"/>
      <c r="BI48" s="86"/>
      <c r="BJ48" s="87"/>
      <c r="BK48" s="86"/>
      <c r="BL48" s="87"/>
      <c r="BM48" s="86"/>
      <c r="BN48" s="50"/>
      <c r="BO48" s="170" t="str">
        <f t="shared" si="2"/>
        <v/>
      </c>
      <c r="BP48" s="87"/>
      <c r="BQ48" s="88"/>
    </row>
    <row r="49" spans="1:76" s="1" customFormat="1" x14ac:dyDescent="0.35">
      <c r="A49" s="89" t="s">
        <v>36</v>
      </c>
      <c r="B49" s="90"/>
      <c r="C49" s="174">
        <f>IF('October 2026 Log'!BM49="","",'October 2026 Log'!BM49)</f>
        <v>0</v>
      </c>
      <c r="D49" s="47"/>
      <c r="E49" s="166">
        <f>SUM(E43:E48)</f>
        <v>0</v>
      </c>
      <c r="F49" s="49"/>
      <c r="G49" s="166">
        <f>SUM(G43:G48)</f>
        <v>0</v>
      </c>
      <c r="H49" s="49"/>
      <c r="I49" s="166">
        <f>SUM(I43:I48)</f>
        <v>0</v>
      </c>
      <c r="J49" s="49"/>
      <c r="K49" s="166">
        <f>SUM(K43:K48)</f>
        <v>0</v>
      </c>
      <c r="L49" s="49"/>
      <c r="M49" s="166">
        <f>SUM(M43:M48)</f>
        <v>0</v>
      </c>
      <c r="N49" s="49"/>
      <c r="O49" s="166">
        <f>SUM(O43:O48)</f>
        <v>0</v>
      </c>
      <c r="P49" s="49"/>
      <c r="Q49" s="166">
        <f>SUM(Q43:Q48)</f>
        <v>0</v>
      </c>
      <c r="R49" s="49"/>
      <c r="S49" s="166">
        <f>SUM(S43:S48)</f>
        <v>0</v>
      </c>
      <c r="T49" s="49"/>
      <c r="U49" s="166">
        <f>SUM(U43:U48)</f>
        <v>0</v>
      </c>
      <c r="V49" s="49"/>
      <c r="W49" s="166">
        <f>SUM(W43:W48)</f>
        <v>0</v>
      </c>
      <c r="X49" s="49"/>
      <c r="Y49" s="166">
        <f>SUM(Y43:Y48)</f>
        <v>0</v>
      </c>
      <c r="Z49" s="49"/>
      <c r="AA49" s="166">
        <f>SUM(AA43:AA48)</f>
        <v>0</v>
      </c>
      <c r="AB49" s="49"/>
      <c r="AC49" s="166">
        <f>SUM(AC43:AC48)</f>
        <v>0</v>
      </c>
      <c r="AD49" s="49"/>
      <c r="AE49" s="166">
        <f>SUM(AE43:AE48)</f>
        <v>0</v>
      </c>
      <c r="AF49" s="49"/>
      <c r="AG49" s="166">
        <f>SUM(AG43:AG48)</f>
        <v>0</v>
      </c>
      <c r="AH49" s="49"/>
      <c r="AI49" s="166">
        <f>SUM(AI43:AI48)</f>
        <v>0</v>
      </c>
      <c r="AJ49" s="49"/>
      <c r="AK49" s="166">
        <f>SUM(AK43:AK48)</f>
        <v>0</v>
      </c>
      <c r="AL49" s="49"/>
      <c r="AM49" s="166">
        <f>SUM(AM43:AM48)</f>
        <v>0</v>
      </c>
      <c r="AN49" s="49"/>
      <c r="AO49" s="166">
        <f>SUM(AO43:AO48)</f>
        <v>0</v>
      </c>
      <c r="AP49" s="49"/>
      <c r="AQ49" s="166">
        <f>SUM(AQ43:AQ48)</f>
        <v>0</v>
      </c>
      <c r="AR49" s="49"/>
      <c r="AS49" s="166">
        <f>SUM(AS43:AS48)</f>
        <v>0</v>
      </c>
      <c r="AT49" s="49"/>
      <c r="AU49" s="166">
        <f>SUM(AU43:AU48)</f>
        <v>0</v>
      </c>
      <c r="AV49" s="49"/>
      <c r="AW49" s="166">
        <f>SUM(AW43:AW48)</f>
        <v>0</v>
      </c>
      <c r="AX49" s="49"/>
      <c r="AY49" s="166">
        <f>SUM(AY43:AY48)</f>
        <v>0</v>
      </c>
      <c r="AZ49" s="49"/>
      <c r="BA49" s="166">
        <f>SUM(BA43:BA48)</f>
        <v>0</v>
      </c>
      <c r="BB49" s="49"/>
      <c r="BC49" s="166">
        <f>SUM(BC43:BC48)</f>
        <v>0</v>
      </c>
      <c r="BD49" s="49"/>
      <c r="BE49" s="166">
        <f>SUM(BE43:BE48)</f>
        <v>0</v>
      </c>
      <c r="BF49" s="49"/>
      <c r="BG49" s="166">
        <f>SUM(BG43:BG48)</f>
        <v>0</v>
      </c>
      <c r="BH49" s="49"/>
      <c r="BI49" s="166">
        <f>SUM(BI43:BI48)</f>
        <v>0</v>
      </c>
      <c r="BJ49" s="49"/>
      <c r="BK49" s="166">
        <f>SUM(BK43:BK48)</f>
        <v>0</v>
      </c>
      <c r="BL49" s="49"/>
      <c r="BM49" s="48"/>
      <c r="BN49" s="50"/>
      <c r="BO49" s="170">
        <f t="shared" si="2"/>
        <v>0</v>
      </c>
      <c r="BP49" s="49"/>
      <c r="BQ49" s="172">
        <f>IF(BK49="","",BK49)</f>
        <v>0</v>
      </c>
      <c r="BR49"/>
      <c r="BS49"/>
      <c r="BT49"/>
      <c r="BU49"/>
      <c r="BV49"/>
      <c r="BW49"/>
      <c r="BX49"/>
    </row>
    <row r="50" spans="1:76" s="1" customFormat="1" x14ac:dyDescent="0.35">
      <c r="A50" s="89" t="s">
        <v>12</v>
      </c>
      <c r="B50" s="90"/>
      <c r="C50" s="174">
        <f>IF('October 2026 Log'!BM50="","",'October 2026 Log'!BM50)</f>
        <v>0</v>
      </c>
      <c r="D50" s="47"/>
      <c r="E50" s="166">
        <f t="shared" ref="E50" si="33">+E42+E49</f>
        <v>0</v>
      </c>
      <c r="F50" s="49"/>
      <c r="G50" s="166">
        <f t="shared" ref="G50" si="34">+G42+G49</f>
        <v>0</v>
      </c>
      <c r="H50" s="49"/>
      <c r="I50" s="166">
        <f t="shared" ref="I50" si="35">+I42+I49</f>
        <v>0</v>
      </c>
      <c r="J50" s="49"/>
      <c r="K50" s="166">
        <f t="shared" ref="K50" si="36">+K42+K49</f>
        <v>0</v>
      </c>
      <c r="L50" s="49"/>
      <c r="M50" s="166">
        <f t="shared" ref="M50" si="37">+M42+M49</f>
        <v>0</v>
      </c>
      <c r="N50" s="49"/>
      <c r="O50" s="166">
        <f t="shared" ref="O50" si="38">+O42+O49</f>
        <v>0</v>
      </c>
      <c r="P50" s="49"/>
      <c r="Q50" s="166">
        <f t="shared" ref="Q50" si="39">+Q42+Q49</f>
        <v>0</v>
      </c>
      <c r="R50" s="49"/>
      <c r="S50" s="166">
        <f t="shared" ref="S50" si="40">+S42+S49</f>
        <v>0</v>
      </c>
      <c r="T50" s="49"/>
      <c r="U50" s="166">
        <f t="shared" ref="U50" si="41">+U42+U49</f>
        <v>0</v>
      </c>
      <c r="V50" s="49"/>
      <c r="W50" s="166">
        <f t="shared" ref="W50" si="42">+W42+W49</f>
        <v>0</v>
      </c>
      <c r="X50" s="49"/>
      <c r="Y50" s="166">
        <f t="shared" ref="Y50" si="43">+Y42+Y49</f>
        <v>0</v>
      </c>
      <c r="Z50" s="49"/>
      <c r="AA50" s="166">
        <f t="shared" ref="AA50" si="44">+AA42+AA49</f>
        <v>0</v>
      </c>
      <c r="AB50" s="49"/>
      <c r="AC50" s="166">
        <f t="shared" ref="AC50" si="45">+AC42+AC49</f>
        <v>0</v>
      </c>
      <c r="AD50" s="49"/>
      <c r="AE50" s="166">
        <f t="shared" ref="AE50" si="46">+AE42+AE49</f>
        <v>0</v>
      </c>
      <c r="AF50" s="49"/>
      <c r="AG50" s="166">
        <f t="shared" ref="AG50" si="47">+AG42+AG49</f>
        <v>0</v>
      </c>
      <c r="AH50" s="49"/>
      <c r="AI50" s="166">
        <f t="shared" ref="AI50" si="48">+AI42+AI49</f>
        <v>0</v>
      </c>
      <c r="AJ50" s="49"/>
      <c r="AK50" s="166">
        <f t="shared" ref="AK50" si="49">+AK42+AK49</f>
        <v>0</v>
      </c>
      <c r="AL50" s="49"/>
      <c r="AM50" s="166">
        <f t="shared" ref="AM50" si="50">+AM42+AM49</f>
        <v>0</v>
      </c>
      <c r="AN50" s="49"/>
      <c r="AO50" s="166">
        <f t="shared" ref="AO50" si="51">+AO42+AO49</f>
        <v>0</v>
      </c>
      <c r="AP50" s="49"/>
      <c r="AQ50" s="166">
        <f t="shared" ref="AQ50" si="52">+AQ42+AQ49</f>
        <v>0</v>
      </c>
      <c r="AR50" s="49"/>
      <c r="AS50" s="166">
        <f t="shared" ref="AS50" si="53">+AS42+AS49</f>
        <v>0</v>
      </c>
      <c r="AT50" s="49"/>
      <c r="AU50" s="166">
        <f t="shared" ref="AU50" si="54">+AU42+AU49</f>
        <v>0</v>
      </c>
      <c r="AV50" s="49"/>
      <c r="AW50" s="166">
        <f t="shared" ref="AW50" si="55">+AW42+AW49</f>
        <v>0</v>
      </c>
      <c r="AX50" s="49"/>
      <c r="AY50" s="166">
        <f t="shared" ref="AY50" si="56">+AY42+AY49</f>
        <v>0</v>
      </c>
      <c r="AZ50" s="49"/>
      <c r="BA50" s="166">
        <f t="shared" ref="BA50" si="57">+BA42+BA49</f>
        <v>0</v>
      </c>
      <c r="BB50" s="49"/>
      <c r="BC50" s="166">
        <f t="shared" ref="BC50" si="58">+BC42+BC49</f>
        <v>0</v>
      </c>
      <c r="BD50" s="49"/>
      <c r="BE50" s="166">
        <f t="shared" ref="BE50" si="59">+BE42+BE49</f>
        <v>0</v>
      </c>
      <c r="BF50" s="49"/>
      <c r="BG50" s="166">
        <f t="shared" ref="BG50" si="60">+BG42+BG49</f>
        <v>0</v>
      </c>
      <c r="BH50" s="49"/>
      <c r="BI50" s="166">
        <f t="shared" ref="BI50" si="61">+BI42+BI49</f>
        <v>0</v>
      </c>
      <c r="BJ50" s="49"/>
      <c r="BK50" s="166">
        <f t="shared" ref="BK50" si="62">+BK42+BK49</f>
        <v>0</v>
      </c>
      <c r="BL50" s="49"/>
      <c r="BM50" s="48"/>
      <c r="BN50" s="50"/>
      <c r="BO50" s="170">
        <f t="shared" si="2"/>
        <v>0</v>
      </c>
      <c r="BP50" s="49"/>
      <c r="BQ50" s="172">
        <f>IF(BK50="","",BK50)</f>
        <v>0</v>
      </c>
      <c r="BR50"/>
      <c r="BS50"/>
      <c r="BT50"/>
      <c r="BU50"/>
      <c r="BV50"/>
      <c r="BW50"/>
      <c r="BX50"/>
    </row>
    <row r="51" spans="1:76" x14ac:dyDescent="0.35">
      <c r="A51" s="83" t="s">
        <v>13</v>
      </c>
      <c r="B51" s="54"/>
      <c r="C51" s="84"/>
      <c r="D51" s="85"/>
      <c r="E51" s="86"/>
      <c r="F51" s="87"/>
      <c r="G51" s="86"/>
      <c r="H51" s="87"/>
      <c r="I51" s="86"/>
      <c r="J51" s="87"/>
      <c r="K51" s="86"/>
      <c r="L51" s="87"/>
      <c r="M51" s="86"/>
      <c r="N51" s="87"/>
      <c r="O51" s="86"/>
      <c r="P51" s="87"/>
      <c r="Q51" s="86"/>
      <c r="R51" s="87"/>
      <c r="S51" s="86"/>
      <c r="T51" s="87"/>
      <c r="U51" s="86"/>
      <c r="V51" s="87"/>
      <c r="W51" s="86"/>
      <c r="X51" s="87"/>
      <c r="Y51" s="86"/>
      <c r="Z51" s="87"/>
      <c r="AA51" s="86"/>
      <c r="AB51" s="87"/>
      <c r="AC51" s="86"/>
      <c r="AD51" s="87"/>
      <c r="AE51" s="86"/>
      <c r="AF51" s="87"/>
      <c r="AG51" s="86"/>
      <c r="AH51" s="87"/>
      <c r="AI51" s="86"/>
      <c r="AJ51" s="87"/>
      <c r="AK51" s="86"/>
      <c r="AL51" s="87"/>
      <c r="AM51" s="86"/>
      <c r="AN51" s="87"/>
      <c r="AO51" s="86"/>
      <c r="AP51" s="87"/>
      <c r="AQ51" s="86"/>
      <c r="AR51" s="87"/>
      <c r="AS51" s="86"/>
      <c r="AT51" s="87"/>
      <c r="AU51" s="86"/>
      <c r="AV51" s="87"/>
      <c r="AW51" s="86"/>
      <c r="AX51" s="87"/>
      <c r="AY51" s="86"/>
      <c r="AZ51" s="87"/>
      <c r="BA51" s="86"/>
      <c r="BB51" s="87"/>
      <c r="BC51" s="86"/>
      <c r="BD51" s="87"/>
      <c r="BE51" s="86"/>
      <c r="BF51" s="87"/>
      <c r="BG51" s="86"/>
      <c r="BH51" s="87"/>
      <c r="BI51" s="86"/>
      <c r="BJ51" s="87"/>
      <c r="BK51" s="86"/>
      <c r="BL51" s="87"/>
      <c r="BM51" s="86"/>
      <c r="BN51" s="50"/>
      <c r="BO51" s="170" t="str">
        <f t="shared" si="2"/>
        <v/>
      </c>
      <c r="BP51" s="87"/>
      <c r="BQ51" s="88"/>
    </row>
    <row r="52" spans="1:76" x14ac:dyDescent="0.35">
      <c r="A52" s="83" t="s">
        <v>14</v>
      </c>
      <c r="B52" s="54"/>
      <c r="C52" s="84"/>
      <c r="D52" s="85"/>
      <c r="E52" s="86"/>
      <c r="F52" s="87"/>
      <c r="G52" s="86"/>
      <c r="H52" s="87"/>
      <c r="I52" s="86"/>
      <c r="J52" s="87"/>
      <c r="K52" s="86"/>
      <c r="L52" s="87"/>
      <c r="M52" s="86"/>
      <c r="N52" s="87"/>
      <c r="O52" s="86"/>
      <c r="P52" s="87"/>
      <c r="Q52" s="86"/>
      <c r="R52" s="87"/>
      <c r="S52" s="86"/>
      <c r="T52" s="87"/>
      <c r="U52" s="86"/>
      <c r="V52" s="87"/>
      <c r="W52" s="86"/>
      <c r="X52" s="87"/>
      <c r="Y52" s="86"/>
      <c r="Z52" s="87"/>
      <c r="AA52" s="86"/>
      <c r="AB52" s="87"/>
      <c r="AC52" s="86"/>
      <c r="AD52" s="87"/>
      <c r="AE52" s="86"/>
      <c r="AF52" s="87"/>
      <c r="AG52" s="86"/>
      <c r="AH52" s="87"/>
      <c r="AI52" s="86"/>
      <c r="AJ52" s="87"/>
      <c r="AK52" s="86"/>
      <c r="AL52" s="87"/>
      <c r="AM52" s="86"/>
      <c r="AN52" s="87"/>
      <c r="AO52" s="86"/>
      <c r="AP52" s="87"/>
      <c r="AQ52" s="86"/>
      <c r="AR52" s="87"/>
      <c r="AS52" s="86"/>
      <c r="AT52" s="87"/>
      <c r="AU52" s="86"/>
      <c r="AV52" s="87"/>
      <c r="AW52" s="86"/>
      <c r="AX52" s="87"/>
      <c r="AY52" s="86"/>
      <c r="AZ52" s="87"/>
      <c r="BA52" s="86"/>
      <c r="BB52" s="87"/>
      <c r="BC52" s="86"/>
      <c r="BD52" s="87"/>
      <c r="BE52" s="86"/>
      <c r="BF52" s="87"/>
      <c r="BG52" s="86"/>
      <c r="BH52" s="87"/>
      <c r="BI52" s="86"/>
      <c r="BJ52" s="87"/>
      <c r="BK52" s="86"/>
      <c r="BL52" s="87"/>
      <c r="BM52" s="86"/>
      <c r="BN52" s="50"/>
      <c r="BO52" s="170" t="str">
        <f t="shared" si="2"/>
        <v/>
      </c>
      <c r="BP52" s="87"/>
      <c r="BQ52" s="88"/>
    </row>
    <row r="53" spans="1:76" x14ac:dyDescent="0.35">
      <c r="A53" s="83" t="s">
        <v>42</v>
      </c>
      <c r="B53" s="54"/>
      <c r="C53" s="84"/>
      <c r="D53" s="85"/>
      <c r="E53" s="86"/>
      <c r="F53" s="87"/>
      <c r="G53" s="86"/>
      <c r="H53" s="87"/>
      <c r="I53" s="86"/>
      <c r="J53" s="87"/>
      <c r="K53" s="86"/>
      <c r="L53" s="87"/>
      <c r="M53" s="86"/>
      <c r="N53" s="87"/>
      <c r="O53" s="86"/>
      <c r="P53" s="87"/>
      <c r="Q53" s="86"/>
      <c r="R53" s="87"/>
      <c r="S53" s="86"/>
      <c r="T53" s="87"/>
      <c r="U53" s="86"/>
      <c r="V53" s="87"/>
      <c r="W53" s="86"/>
      <c r="X53" s="87"/>
      <c r="Y53" s="86"/>
      <c r="Z53" s="87"/>
      <c r="AA53" s="86"/>
      <c r="AB53" s="87"/>
      <c r="AC53" s="86"/>
      <c r="AD53" s="87"/>
      <c r="AE53" s="86"/>
      <c r="AF53" s="87"/>
      <c r="AG53" s="86"/>
      <c r="AH53" s="87"/>
      <c r="AI53" s="86"/>
      <c r="AJ53" s="87"/>
      <c r="AK53" s="86"/>
      <c r="AL53" s="87"/>
      <c r="AM53" s="86"/>
      <c r="AN53" s="87"/>
      <c r="AO53" s="86"/>
      <c r="AP53" s="87"/>
      <c r="AQ53" s="86"/>
      <c r="AR53" s="87"/>
      <c r="AS53" s="86"/>
      <c r="AT53" s="87"/>
      <c r="AU53" s="86"/>
      <c r="AV53" s="87"/>
      <c r="AW53" s="86"/>
      <c r="AX53" s="87"/>
      <c r="AY53" s="86"/>
      <c r="AZ53" s="87"/>
      <c r="BA53" s="86"/>
      <c r="BB53" s="87"/>
      <c r="BC53" s="86"/>
      <c r="BD53" s="87"/>
      <c r="BE53" s="86"/>
      <c r="BF53" s="87"/>
      <c r="BG53" s="86"/>
      <c r="BH53" s="87"/>
      <c r="BI53" s="86"/>
      <c r="BJ53" s="87"/>
      <c r="BK53" s="86"/>
      <c r="BL53" s="87"/>
      <c r="BM53" s="86"/>
      <c r="BN53" s="50"/>
      <c r="BO53" s="170" t="str">
        <f t="shared" si="2"/>
        <v/>
      </c>
      <c r="BP53" s="87"/>
      <c r="BQ53" s="88"/>
    </row>
    <row r="54" spans="1:76" x14ac:dyDescent="0.35">
      <c r="A54" s="89" t="s">
        <v>15</v>
      </c>
      <c r="B54" s="90"/>
      <c r="C54" s="174">
        <f>IF('October 2026 Log'!BM54="","",'October 2026 Log'!BM54)</f>
        <v>0</v>
      </c>
      <c r="D54" s="47"/>
      <c r="E54" s="166">
        <f>E22+E23+E32+E34+E50+E51+E52-E33+E24+E53+E112</f>
        <v>0</v>
      </c>
      <c r="F54" s="49"/>
      <c r="G54" s="166">
        <f>G22+G23+G32+G34+G50+G51+G52-G33+G24+G53+G112</f>
        <v>0</v>
      </c>
      <c r="H54" s="49"/>
      <c r="I54" s="166">
        <f>I22+I23+I32+I34+I50+I51+I52-I33+I24+I53+I112</f>
        <v>0</v>
      </c>
      <c r="J54" s="49"/>
      <c r="K54" s="166">
        <f>K22+K23+K32+K34+K50+K51+K52-K33+K24+K53+K112</f>
        <v>0</v>
      </c>
      <c r="L54" s="49"/>
      <c r="M54" s="166">
        <f>M22+M23+M32+M34+M50+M51+M52-M33+M24+M53+M112</f>
        <v>0</v>
      </c>
      <c r="N54" s="49"/>
      <c r="O54" s="166">
        <f>O22+O23+O32+O34+O50+O51+O52-O33+O24+O53+O112</f>
        <v>0</v>
      </c>
      <c r="P54" s="49"/>
      <c r="Q54" s="166">
        <f>Q22+Q23+Q32+Q34+Q50+Q51+Q52-Q33+Q24+Q53+Q112</f>
        <v>0</v>
      </c>
      <c r="R54" s="49"/>
      <c r="S54" s="166">
        <f>S22+S23+S32+S34+S50+S51+S52-S33+S24+S53+S112</f>
        <v>0</v>
      </c>
      <c r="T54" s="49"/>
      <c r="U54" s="166">
        <f>U22+U23+U32+U34+U50+U51+U52-U33+U24+U53+U112</f>
        <v>0</v>
      </c>
      <c r="V54" s="49"/>
      <c r="W54" s="166">
        <f>W22+W23+W32+W34+W50+W51+W52-W33+W24+W53+W112</f>
        <v>0</v>
      </c>
      <c r="X54" s="49"/>
      <c r="Y54" s="166">
        <f>Y22+Y23+Y32+Y34+Y50+Y51+Y52-Y33+Y24+Y53+Y112</f>
        <v>0</v>
      </c>
      <c r="Z54" s="49"/>
      <c r="AA54" s="166">
        <f>AA22+AA23+AA32+AA34+AA50+AA51+AA52-AA33+AA24+AA53+AA112</f>
        <v>0</v>
      </c>
      <c r="AB54" s="49"/>
      <c r="AC54" s="166">
        <f>AC22+AC23+AC32+AC34+AC50+AC51+AC52-AC33+AC24+AC53+AC112</f>
        <v>0</v>
      </c>
      <c r="AD54" s="49"/>
      <c r="AE54" s="166">
        <f>AE22+AE23+AE32+AE34+AE50+AE51+AE52-AE33+AE24+AE53+AE112</f>
        <v>0</v>
      </c>
      <c r="AF54" s="49"/>
      <c r="AG54" s="166">
        <f>AG22+AG23+AG32+AG34+AG50+AG51+AG52-AG33+AG24+AG53+AG112</f>
        <v>0</v>
      </c>
      <c r="AH54" s="49"/>
      <c r="AI54" s="166">
        <f>AI22+AI23+AI32+AI34+AI50+AI51+AI52-AI33+AI24+AI53+AI112</f>
        <v>0</v>
      </c>
      <c r="AJ54" s="49"/>
      <c r="AK54" s="166">
        <f>AK22+AK23+AK32+AK34+AK50+AK51+AK52-AK33+AK24+AK53+AK112</f>
        <v>0</v>
      </c>
      <c r="AL54" s="49"/>
      <c r="AM54" s="166">
        <f>AM22+AM23+AM32+AM34+AM50+AM51+AM52-AM33+AM24+AM53+AM112</f>
        <v>0</v>
      </c>
      <c r="AN54" s="49"/>
      <c r="AO54" s="166">
        <f>AO22+AO23+AO32+AO34+AO50+AO51+AO52-AO33+AO24+AO53+AO112</f>
        <v>0</v>
      </c>
      <c r="AP54" s="49"/>
      <c r="AQ54" s="166">
        <f>AQ22+AQ23+AQ32+AQ34+AQ50+AQ51+AQ52-AQ33+AQ24+AQ53+AQ112</f>
        <v>0</v>
      </c>
      <c r="AR54" s="49"/>
      <c r="AS54" s="166">
        <f>AS22+AS23+AS32+AS34+AS50+AS51+AS52-AS33+AS24+AS53+AS112</f>
        <v>0</v>
      </c>
      <c r="AT54" s="49"/>
      <c r="AU54" s="166">
        <f>AU22+AU23+AU32+AU34+AU50+AU51+AU52-AU33+AU24+AU53+AU112</f>
        <v>0</v>
      </c>
      <c r="AV54" s="49"/>
      <c r="AW54" s="166">
        <f>AW22+AW23+AW32+AW34+AW50+AW51+AW52-AW33+AW24+AW53+AW112</f>
        <v>0</v>
      </c>
      <c r="AX54" s="49"/>
      <c r="AY54" s="166">
        <f>AY22+AY23+AY32+AY34+AY50+AY51+AY52-AY33+AY24+AY53+AY112</f>
        <v>0</v>
      </c>
      <c r="AZ54" s="49"/>
      <c r="BA54" s="166">
        <f>BA22+BA23+BA32+BA34+BA50+BA51+BA52-BA33+BA24+BA53+BA112</f>
        <v>0</v>
      </c>
      <c r="BB54" s="49"/>
      <c r="BC54" s="166">
        <f>BC22+BC23+BC32+BC34+BC50+BC51+BC52-BC33+BC24+BC53+BC112</f>
        <v>0</v>
      </c>
      <c r="BD54" s="49"/>
      <c r="BE54" s="166">
        <f>BE22+BE23+BE32+BE34+BE50+BE51+BE52-BE33+BE24+BE53+BE112</f>
        <v>0</v>
      </c>
      <c r="BF54" s="49"/>
      <c r="BG54" s="166">
        <f>BG22+BG23+BG32+BG34+BG50+BG51+BG52-BG33+BG24+BG53+BG112</f>
        <v>0</v>
      </c>
      <c r="BH54" s="49"/>
      <c r="BI54" s="166">
        <f>BI22+BI23+BI32+BI34+BI50+BI51+BI52-BI33+BI24+BI53+BI112</f>
        <v>0</v>
      </c>
      <c r="BJ54" s="49"/>
      <c r="BK54" s="166">
        <f>BK22+BK23+BK32+BK34+BK50+BK51+BK52-BK33+BK24+BK53+BK112</f>
        <v>0</v>
      </c>
      <c r="BL54" s="49"/>
      <c r="BM54" s="48"/>
      <c r="BN54" s="50"/>
      <c r="BO54" s="170">
        <f t="shared" si="2"/>
        <v>0</v>
      </c>
      <c r="BP54" s="49"/>
      <c r="BQ54" s="172">
        <f t="shared" ref="BQ54:BQ59" si="63">IF(BK54="","",BK54)</f>
        <v>0</v>
      </c>
    </row>
    <row r="55" spans="1:76" x14ac:dyDescent="0.35">
      <c r="A55" s="83" t="s">
        <v>16</v>
      </c>
      <c r="B55" s="54"/>
      <c r="C55" s="174" t="str">
        <f>IF('October 2026 Log'!BM55="","",'October 2026 Log'!BM55)</f>
        <v/>
      </c>
      <c r="D55" s="85"/>
      <c r="E55" s="86"/>
      <c r="F55" s="87"/>
      <c r="G55" s="86"/>
      <c r="H55" s="87"/>
      <c r="I55" s="86"/>
      <c r="J55" s="87"/>
      <c r="K55" s="86"/>
      <c r="L55" s="87"/>
      <c r="M55" s="86"/>
      <c r="N55" s="87"/>
      <c r="O55" s="86"/>
      <c r="P55" s="87"/>
      <c r="Q55" s="86"/>
      <c r="R55" s="87"/>
      <c r="S55" s="86"/>
      <c r="T55" s="87"/>
      <c r="U55" s="86"/>
      <c r="V55" s="87"/>
      <c r="W55" s="86"/>
      <c r="X55" s="87"/>
      <c r="Y55" s="86"/>
      <c r="Z55" s="87"/>
      <c r="AA55" s="86"/>
      <c r="AB55" s="87"/>
      <c r="AC55" s="86"/>
      <c r="AD55" s="87"/>
      <c r="AE55" s="86"/>
      <c r="AF55" s="87"/>
      <c r="AG55" s="86"/>
      <c r="AH55" s="87"/>
      <c r="AI55" s="86"/>
      <c r="AJ55" s="87"/>
      <c r="AK55" s="86"/>
      <c r="AL55" s="87"/>
      <c r="AM55" s="86"/>
      <c r="AN55" s="87"/>
      <c r="AO55" s="86"/>
      <c r="AP55" s="87"/>
      <c r="AQ55" s="86"/>
      <c r="AR55" s="87"/>
      <c r="AS55" s="86"/>
      <c r="AT55" s="87"/>
      <c r="AU55" s="86"/>
      <c r="AV55" s="87"/>
      <c r="AW55" s="86"/>
      <c r="AX55" s="87"/>
      <c r="AY55" s="86"/>
      <c r="AZ55" s="87"/>
      <c r="BA55" s="86"/>
      <c r="BB55" s="87"/>
      <c r="BC55" s="86"/>
      <c r="BD55" s="87"/>
      <c r="BE55" s="86"/>
      <c r="BF55" s="87"/>
      <c r="BG55" s="86"/>
      <c r="BH55" s="87"/>
      <c r="BI55" s="86"/>
      <c r="BJ55" s="87"/>
      <c r="BK55" s="86"/>
      <c r="BL55" s="87"/>
      <c r="BM55" s="86"/>
      <c r="BN55" s="50"/>
      <c r="BO55" s="170" t="str">
        <f t="shared" si="2"/>
        <v/>
      </c>
      <c r="BP55" s="87"/>
      <c r="BQ55" s="178" t="str">
        <f t="shared" si="63"/>
        <v/>
      </c>
    </row>
    <row r="56" spans="1:76" x14ac:dyDescent="0.35">
      <c r="A56" s="83" t="s">
        <v>17</v>
      </c>
      <c r="B56" s="54"/>
      <c r="C56" s="174" t="str">
        <f>IF('October 2026 Log'!BM56="","",'October 2026 Log'!BM56)</f>
        <v/>
      </c>
      <c r="D56" s="85"/>
      <c r="E56" s="86"/>
      <c r="F56" s="87"/>
      <c r="G56" s="86"/>
      <c r="H56" s="87"/>
      <c r="I56" s="86"/>
      <c r="J56" s="87"/>
      <c r="K56" s="86"/>
      <c r="L56" s="87"/>
      <c r="M56" s="86"/>
      <c r="N56" s="87"/>
      <c r="O56" s="86"/>
      <c r="P56" s="87"/>
      <c r="Q56" s="86"/>
      <c r="R56" s="87"/>
      <c r="S56" s="86"/>
      <c r="T56" s="87"/>
      <c r="U56" s="86"/>
      <c r="V56" s="87"/>
      <c r="W56" s="86"/>
      <c r="X56" s="87"/>
      <c r="Y56" s="86"/>
      <c r="Z56" s="87"/>
      <c r="AA56" s="86"/>
      <c r="AB56" s="87"/>
      <c r="AC56" s="86"/>
      <c r="AD56" s="87"/>
      <c r="AE56" s="86"/>
      <c r="AF56" s="87"/>
      <c r="AG56" s="86"/>
      <c r="AH56" s="87"/>
      <c r="AI56" s="86"/>
      <c r="AJ56" s="87"/>
      <c r="AK56" s="86"/>
      <c r="AL56" s="87"/>
      <c r="AM56" s="86"/>
      <c r="AN56" s="87"/>
      <c r="AO56" s="86"/>
      <c r="AP56" s="87"/>
      <c r="AQ56" s="86"/>
      <c r="AR56" s="87"/>
      <c r="AS56" s="86"/>
      <c r="AT56" s="87"/>
      <c r="AU56" s="86"/>
      <c r="AV56" s="87"/>
      <c r="AW56" s="86"/>
      <c r="AX56" s="87"/>
      <c r="AY56" s="86"/>
      <c r="AZ56" s="87"/>
      <c r="BA56" s="86"/>
      <c r="BB56" s="87"/>
      <c r="BC56" s="86"/>
      <c r="BD56" s="87"/>
      <c r="BE56" s="86"/>
      <c r="BF56" s="87"/>
      <c r="BG56" s="86"/>
      <c r="BH56" s="87"/>
      <c r="BI56" s="86"/>
      <c r="BJ56" s="87"/>
      <c r="BK56" s="86"/>
      <c r="BL56" s="87"/>
      <c r="BM56" s="86"/>
      <c r="BN56" s="50"/>
      <c r="BO56" s="170" t="str">
        <f t="shared" si="2"/>
        <v/>
      </c>
      <c r="BP56" s="87"/>
      <c r="BQ56" s="178" t="str">
        <f t="shared" si="63"/>
        <v/>
      </c>
    </row>
    <row r="57" spans="1:76" x14ac:dyDescent="0.35">
      <c r="A57" s="89" t="s">
        <v>18</v>
      </c>
      <c r="B57" s="90"/>
      <c r="C57" s="174">
        <f>IF('October 2026 Log'!BM57="","",'October 2026 Log'!BM57)</f>
        <v>0</v>
      </c>
      <c r="D57" s="47"/>
      <c r="E57" s="166">
        <f>SUM(E55:E56)</f>
        <v>0</v>
      </c>
      <c r="F57" s="49"/>
      <c r="G57" s="166">
        <f>SUM(G55:G56)</f>
        <v>0</v>
      </c>
      <c r="H57" s="49"/>
      <c r="I57" s="166">
        <f>SUM(I55:I56)</f>
        <v>0</v>
      </c>
      <c r="J57" s="49"/>
      <c r="K57" s="166">
        <f>SUM(K55:K56)</f>
        <v>0</v>
      </c>
      <c r="L57" s="49"/>
      <c r="M57" s="166">
        <f>SUM(M55:M56)</f>
        <v>0</v>
      </c>
      <c r="N57" s="49"/>
      <c r="O57" s="166">
        <f>SUM(O55:O56)</f>
        <v>0</v>
      </c>
      <c r="P57" s="49"/>
      <c r="Q57" s="166">
        <f>SUM(Q55:Q56)</f>
        <v>0</v>
      </c>
      <c r="R57" s="49"/>
      <c r="S57" s="166">
        <f>SUM(S55:S56)</f>
        <v>0</v>
      </c>
      <c r="T57" s="49"/>
      <c r="U57" s="166">
        <f>SUM(U55:U56)</f>
        <v>0</v>
      </c>
      <c r="V57" s="49"/>
      <c r="W57" s="166">
        <f>SUM(W55:W56)</f>
        <v>0</v>
      </c>
      <c r="X57" s="49"/>
      <c r="Y57" s="166">
        <f>SUM(Y55:Y56)</f>
        <v>0</v>
      </c>
      <c r="Z57" s="49"/>
      <c r="AA57" s="166">
        <f>SUM(AA55:AA56)</f>
        <v>0</v>
      </c>
      <c r="AB57" s="49"/>
      <c r="AC57" s="166">
        <f>SUM(AC55:AC56)</f>
        <v>0</v>
      </c>
      <c r="AD57" s="49"/>
      <c r="AE57" s="166">
        <f>SUM(AE55:AE56)</f>
        <v>0</v>
      </c>
      <c r="AF57" s="49"/>
      <c r="AG57" s="166">
        <f>SUM(AG55:AG56)</f>
        <v>0</v>
      </c>
      <c r="AH57" s="49"/>
      <c r="AI57" s="166">
        <f>SUM(AI55:AI56)</f>
        <v>0</v>
      </c>
      <c r="AJ57" s="49"/>
      <c r="AK57" s="166">
        <f>SUM(AK55:AK56)</f>
        <v>0</v>
      </c>
      <c r="AL57" s="49"/>
      <c r="AM57" s="166">
        <f>SUM(AM55:AM56)</f>
        <v>0</v>
      </c>
      <c r="AN57" s="49"/>
      <c r="AO57" s="166">
        <f>SUM(AO55:AO56)</f>
        <v>0</v>
      </c>
      <c r="AP57" s="49"/>
      <c r="AQ57" s="166">
        <f>SUM(AQ55:AQ56)</f>
        <v>0</v>
      </c>
      <c r="AR57" s="49"/>
      <c r="AS57" s="166">
        <f>SUM(AS55:AS56)</f>
        <v>0</v>
      </c>
      <c r="AT57" s="49"/>
      <c r="AU57" s="166">
        <f>SUM(AU55:AU56)</f>
        <v>0</v>
      </c>
      <c r="AV57" s="49"/>
      <c r="AW57" s="166">
        <f>SUM(AW55:AW56)</f>
        <v>0</v>
      </c>
      <c r="AX57" s="49"/>
      <c r="AY57" s="166">
        <f>SUM(AY55:AY56)</f>
        <v>0</v>
      </c>
      <c r="AZ57" s="49"/>
      <c r="BA57" s="166">
        <f>SUM(BA55:BA56)</f>
        <v>0</v>
      </c>
      <c r="BB57" s="49"/>
      <c r="BC57" s="166">
        <f>SUM(BC55:BC56)</f>
        <v>0</v>
      </c>
      <c r="BD57" s="49"/>
      <c r="BE57" s="166">
        <f>SUM(BE55:BE56)</f>
        <v>0</v>
      </c>
      <c r="BF57" s="49"/>
      <c r="BG57" s="166">
        <f>SUM(BG55:BG56)</f>
        <v>0</v>
      </c>
      <c r="BH57" s="49"/>
      <c r="BI57" s="166">
        <f>SUM(BI55:BI56)</f>
        <v>0</v>
      </c>
      <c r="BJ57" s="49"/>
      <c r="BK57" s="166">
        <f>SUM(BK55:BK56)</f>
        <v>0</v>
      </c>
      <c r="BL57" s="49"/>
      <c r="BM57" s="48"/>
      <c r="BN57" s="50"/>
      <c r="BO57" s="170">
        <f t="shared" si="2"/>
        <v>0</v>
      </c>
      <c r="BP57" s="49"/>
      <c r="BQ57" s="172">
        <f t="shared" si="63"/>
        <v>0</v>
      </c>
    </row>
    <row r="58" spans="1:76" x14ac:dyDescent="0.35">
      <c r="A58" s="108" t="s">
        <v>19</v>
      </c>
      <c r="B58" s="109"/>
      <c r="C58" s="174">
        <f>IF('October 2026 Log'!BM58="","",'October 2026 Log'!BM58)</f>
        <v>0</v>
      </c>
      <c r="D58" s="47"/>
      <c r="E58" s="166">
        <f>+E54-E57</f>
        <v>0</v>
      </c>
      <c r="F58" s="49"/>
      <c r="G58" s="166">
        <f>+G54-G57</f>
        <v>0</v>
      </c>
      <c r="H58" s="49"/>
      <c r="I58" s="166">
        <f>+I54-I57</f>
        <v>0</v>
      </c>
      <c r="J58" s="49"/>
      <c r="K58" s="166">
        <f>+K54-K57</f>
        <v>0</v>
      </c>
      <c r="L58" s="49"/>
      <c r="M58" s="166">
        <f>+M54-M57</f>
        <v>0</v>
      </c>
      <c r="N58" s="49"/>
      <c r="O58" s="166">
        <f>+O54-O57</f>
        <v>0</v>
      </c>
      <c r="P58" s="49"/>
      <c r="Q58" s="166">
        <f>+Q54-Q57</f>
        <v>0</v>
      </c>
      <c r="R58" s="49"/>
      <c r="S58" s="166">
        <f>+S54-S57</f>
        <v>0</v>
      </c>
      <c r="T58" s="49"/>
      <c r="U58" s="166">
        <f>+U54-U57</f>
        <v>0</v>
      </c>
      <c r="V58" s="49"/>
      <c r="W58" s="166">
        <f>+W54-W57</f>
        <v>0</v>
      </c>
      <c r="X58" s="49"/>
      <c r="Y58" s="166">
        <f>+Y54-Y57</f>
        <v>0</v>
      </c>
      <c r="Z58" s="49"/>
      <c r="AA58" s="166">
        <f>+AA54-AA57</f>
        <v>0</v>
      </c>
      <c r="AB58" s="49"/>
      <c r="AC58" s="166">
        <f>+AC54-AC57</f>
        <v>0</v>
      </c>
      <c r="AD58" s="49"/>
      <c r="AE58" s="166">
        <f>+AE54-AE57</f>
        <v>0</v>
      </c>
      <c r="AF58" s="49"/>
      <c r="AG58" s="166">
        <f>+AG54-AG57</f>
        <v>0</v>
      </c>
      <c r="AH58" s="49"/>
      <c r="AI58" s="166">
        <f>+AI54-AI57</f>
        <v>0</v>
      </c>
      <c r="AJ58" s="49"/>
      <c r="AK58" s="166">
        <f>+AK54-AK57</f>
        <v>0</v>
      </c>
      <c r="AL58" s="49"/>
      <c r="AM58" s="166">
        <f>+AM54-AM57</f>
        <v>0</v>
      </c>
      <c r="AN58" s="49"/>
      <c r="AO58" s="166">
        <f>+AO54-AO57</f>
        <v>0</v>
      </c>
      <c r="AP58" s="49"/>
      <c r="AQ58" s="166">
        <f>+AQ54-AQ57</f>
        <v>0</v>
      </c>
      <c r="AR58" s="49"/>
      <c r="AS58" s="166">
        <f>+AS54-AS57</f>
        <v>0</v>
      </c>
      <c r="AT58" s="49"/>
      <c r="AU58" s="166">
        <f>+AU54-AU57</f>
        <v>0</v>
      </c>
      <c r="AV58" s="49"/>
      <c r="AW58" s="166">
        <f>+AW54-AW57</f>
        <v>0</v>
      </c>
      <c r="AX58" s="49"/>
      <c r="AY58" s="166">
        <f>+AY54-AY57</f>
        <v>0</v>
      </c>
      <c r="AZ58" s="49"/>
      <c r="BA58" s="166">
        <f>+BA54-BA57</f>
        <v>0</v>
      </c>
      <c r="BB58" s="49"/>
      <c r="BC58" s="166">
        <f>+BC54-BC57</f>
        <v>0</v>
      </c>
      <c r="BD58" s="49"/>
      <c r="BE58" s="166">
        <f>+BE54-BE57</f>
        <v>0</v>
      </c>
      <c r="BF58" s="49"/>
      <c r="BG58" s="166">
        <f>+BG54-BG57</f>
        <v>0</v>
      </c>
      <c r="BH58" s="49"/>
      <c r="BI58" s="166">
        <f>+BI54-BI57</f>
        <v>0</v>
      </c>
      <c r="BJ58" s="49"/>
      <c r="BK58" s="166">
        <f>+BK54-BK57</f>
        <v>0</v>
      </c>
      <c r="BL58" s="49"/>
      <c r="BM58" s="48"/>
      <c r="BN58" s="50"/>
      <c r="BO58" s="170">
        <f t="shared" si="2"/>
        <v>0</v>
      </c>
      <c r="BP58" s="49"/>
      <c r="BQ58" s="172">
        <f t="shared" si="63"/>
        <v>0</v>
      </c>
    </row>
    <row r="59" spans="1:76" x14ac:dyDescent="0.35">
      <c r="A59" s="108" t="s">
        <v>20</v>
      </c>
      <c r="B59" s="109"/>
      <c r="C59" s="174">
        <f>IF('October 2026 Log'!BM59="","",'October 2026 Log'!BM59)</f>
        <v>0</v>
      </c>
      <c r="D59" s="47"/>
      <c r="E59" s="166">
        <f>-E25+E26</f>
        <v>0</v>
      </c>
      <c r="F59" s="49"/>
      <c r="G59" s="166">
        <f>-G25+G26</f>
        <v>0</v>
      </c>
      <c r="H59" s="49"/>
      <c r="I59" s="166">
        <f>-I25+I26</f>
        <v>0</v>
      </c>
      <c r="J59" s="49"/>
      <c r="K59" s="166">
        <f>-K25+K26</f>
        <v>0</v>
      </c>
      <c r="L59" s="49"/>
      <c r="M59" s="166">
        <f>-M25+M26</f>
        <v>0</v>
      </c>
      <c r="N59" s="49"/>
      <c r="O59" s="166">
        <f>-O25+O26</f>
        <v>0</v>
      </c>
      <c r="P59" s="49"/>
      <c r="Q59" s="166">
        <f>-Q25+Q26</f>
        <v>0</v>
      </c>
      <c r="R59" s="49"/>
      <c r="S59" s="166">
        <f>-S25+S26</f>
        <v>0</v>
      </c>
      <c r="T59" s="49"/>
      <c r="U59" s="166">
        <f>-U25+U26</f>
        <v>0</v>
      </c>
      <c r="V59" s="49"/>
      <c r="W59" s="166">
        <f>-W25+W26</f>
        <v>0</v>
      </c>
      <c r="X59" s="49"/>
      <c r="Y59" s="166">
        <f>-Y25+Y26</f>
        <v>0</v>
      </c>
      <c r="Z59" s="49"/>
      <c r="AA59" s="166">
        <f>-AA25+AA26</f>
        <v>0</v>
      </c>
      <c r="AB59" s="49"/>
      <c r="AC59" s="166">
        <f>-AC25+AC26</f>
        <v>0</v>
      </c>
      <c r="AD59" s="49"/>
      <c r="AE59" s="166">
        <f>-AE25+AE26</f>
        <v>0</v>
      </c>
      <c r="AF59" s="49"/>
      <c r="AG59" s="166">
        <f>-AG25+AG26</f>
        <v>0</v>
      </c>
      <c r="AH59" s="49"/>
      <c r="AI59" s="166">
        <f>-AI25+AI26</f>
        <v>0</v>
      </c>
      <c r="AJ59" s="49"/>
      <c r="AK59" s="166">
        <f>-AK25+AK26</f>
        <v>0</v>
      </c>
      <c r="AL59" s="49"/>
      <c r="AM59" s="166">
        <f>-AM25+AM26</f>
        <v>0</v>
      </c>
      <c r="AN59" s="49"/>
      <c r="AO59" s="166">
        <f>-AO25+AO26</f>
        <v>0</v>
      </c>
      <c r="AP59" s="49"/>
      <c r="AQ59" s="166">
        <f>-AQ25+AQ26</f>
        <v>0</v>
      </c>
      <c r="AR59" s="49"/>
      <c r="AS59" s="166">
        <f>-AS25+AS26</f>
        <v>0</v>
      </c>
      <c r="AT59" s="49"/>
      <c r="AU59" s="166">
        <f>-AU25+AU26</f>
        <v>0</v>
      </c>
      <c r="AV59" s="49"/>
      <c r="AW59" s="166">
        <f>-AW25+AW26</f>
        <v>0</v>
      </c>
      <c r="AX59" s="49"/>
      <c r="AY59" s="166">
        <f>-AY25+AY26</f>
        <v>0</v>
      </c>
      <c r="AZ59" s="49"/>
      <c r="BA59" s="166">
        <f>-BA25+BA26</f>
        <v>0</v>
      </c>
      <c r="BB59" s="49"/>
      <c r="BC59" s="166">
        <f>-BC25+BC26</f>
        <v>0</v>
      </c>
      <c r="BD59" s="49"/>
      <c r="BE59" s="166">
        <f>-BE25+BE26</f>
        <v>0</v>
      </c>
      <c r="BF59" s="49"/>
      <c r="BG59" s="166">
        <f>-BG25+BG26</f>
        <v>0</v>
      </c>
      <c r="BH59" s="49"/>
      <c r="BI59" s="166">
        <f>-BI25+BI26</f>
        <v>0</v>
      </c>
      <c r="BJ59" s="49"/>
      <c r="BK59" s="166">
        <f>-BK25+BK26</f>
        <v>0</v>
      </c>
      <c r="BL59" s="49"/>
      <c r="BM59" s="48"/>
      <c r="BN59" s="50"/>
      <c r="BO59" s="170">
        <f t="shared" si="2"/>
        <v>0</v>
      </c>
      <c r="BP59" s="49"/>
      <c r="BQ59" s="172">
        <f t="shared" si="63"/>
        <v>0</v>
      </c>
    </row>
    <row r="60" spans="1:76" x14ac:dyDescent="0.35">
      <c r="A60" s="74"/>
      <c r="B60" s="75"/>
      <c r="C60" s="141"/>
      <c r="D60" s="102"/>
      <c r="E60" s="142"/>
      <c r="F60" s="104"/>
      <c r="G60" s="142"/>
      <c r="H60" s="104"/>
      <c r="I60" s="142"/>
      <c r="J60" s="104"/>
      <c r="K60" s="142"/>
      <c r="L60" s="104"/>
      <c r="M60" s="142"/>
      <c r="N60" s="104"/>
      <c r="O60" s="142"/>
      <c r="P60" s="104"/>
      <c r="Q60" s="142"/>
      <c r="R60" s="104"/>
      <c r="S60" s="142"/>
      <c r="T60" s="104"/>
      <c r="U60" s="142"/>
      <c r="V60" s="104"/>
      <c r="W60" s="142"/>
      <c r="X60" s="104"/>
      <c r="Y60" s="142"/>
      <c r="Z60" s="104"/>
      <c r="AA60" s="142"/>
      <c r="AB60" s="104"/>
      <c r="AC60" s="142"/>
      <c r="AD60" s="104"/>
      <c r="AE60" s="142"/>
      <c r="AF60" s="104"/>
      <c r="AG60" s="142"/>
      <c r="AH60" s="104"/>
      <c r="AI60" s="142"/>
      <c r="AJ60" s="104"/>
      <c r="AK60" s="142"/>
      <c r="AL60" s="104"/>
      <c r="AM60" s="142"/>
      <c r="AN60" s="104"/>
      <c r="AO60" s="142"/>
      <c r="AP60" s="104"/>
      <c r="AQ60" s="142"/>
      <c r="AR60" s="104"/>
      <c r="AS60" s="142"/>
      <c r="AT60" s="104"/>
      <c r="AU60" s="142"/>
      <c r="AV60" s="104"/>
      <c r="AW60" s="142"/>
      <c r="AX60" s="104"/>
      <c r="AY60" s="142"/>
      <c r="AZ60" s="104"/>
      <c r="BA60" s="142"/>
      <c r="BB60" s="104"/>
      <c r="BC60" s="142"/>
      <c r="BD60" s="104"/>
      <c r="BE60" s="142"/>
      <c r="BF60" s="104"/>
      <c r="BG60" s="142"/>
      <c r="BH60" s="104"/>
      <c r="BI60" s="142"/>
      <c r="BJ60" s="104"/>
      <c r="BK60" s="142"/>
      <c r="BL60" s="104"/>
      <c r="BM60" s="142"/>
      <c r="BN60" s="105"/>
      <c r="BO60" s="106"/>
      <c r="BP60" s="104"/>
      <c r="BQ60" s="107"/>
    </row>
    <row r="61" spans="1:76" s="8" customFormat="1" x14ac:dyDescent="0.35">
      <c r="A61" s="213" t="s">
        <v>68</v>
      </c>
      <c r="B61" s="214"/>
      <c r="C61" s="215"/>
      <c r="D61" s="47"/>
      <c r="E61" s="166" t="e">
        <f t="shared" ref="E61" si="64">+E73-D67</f>
        <v>#VALUE!</v>
      </c>
      <c r="F61" s="49"/>
      <c r="G61" s="166">
        <f t="shared" ref="G61" si="65">+G73-F67</f>
        <v>0</v>
      </c>
      <c r="H61" s="49"/>
      <c r="I61" s="166">
        <f t="shared" ref="I61" si="66">+I73-H67</f>
        <v>0</v>
      </c>
      <c r="J61" s="49"/>
      <c r="K61" s="166">
        <f t="shared" ref="K61" si="67">+K73-J67</f>
        <v>0</v>
      </c>
      <c r="L61" s="49"/>
      <c r="M61" s="166">
        <f t="shared" ref="M61" si="68">+M73-L67</f>
        <v>0</v>
      </c>
      <c r="N61" s="49"/>
      <c r="O61" s="166">
        <f t="shared" ref="O61" si="69">+O73-N67</f>
        <v>0</v>
      </c>
      <c r="P61" s="49"/>
      <c r="Q61" s="166">
        <f t="shared" ref="Q61" si="70">+Q73-P67</f>
        <v>0</v>
      </c>
      <c r="R61" s="49"/>
      <c r="S61" s="166">
        <f t="shared" ref="S61" si="71">+S73-R67</f>
        <v>0</v>
      </c>
      <c r="T61" s="49"/>
      <c r="U61" s="166">
        <f t="shared" ref="U61" si="72">+U73-T67</f>
        <v>0</v>
      </c>
      <c r="V61" s="49"/>
      <c r="W61" s="166">
        <f t="shared" ref="W61" si="73">+W73-V67</f>
        <v>0</v>
      </c>
      <c r="X61" s="49"/>
      <c r="Y61" s="166">
        <f t="shared" ref="Y61" si="74">+Y73-X67</f>
        <v>0</v>
      </c>
      <c r="Z61" s="49"/>
      <c r="AA61" s="166">
        <f t="shared" ref="AA61" si="75">+AA73-Z67</f>
        <v>0</v>
      </c>
      <c r="AB61" s="49"/>
      <c r="AC61" s="166">
        <f t="shared" ref="AC61" si="76">+AC73-AB67</f>
        <v>0</v>
      </c>
      <c r="AD61" s="49"/>
      <c r="AE61" s="166">
        <f t="shared" ref="AE61" si="77">+AE73-AD67</f>
        <v>0</v>
      </c>
      <c r="AF61" s="49"/>
      <c r="AG61" s="166">
        <f t="shared" ref="AG61" si="78">+AG73-AF67</f>
        <v>0</v>
      </c>
      <c r="AH61" s="49"/>
      <c r="AI61" s="166">
        <f t="shared" ref="AI61" si="79">+AI73-AH67</f>
        <v>0</v>
      </c>
      <c r="AJ61" s="49"/>
      <c r="AK61" s="166">
        <f t="shared" ref="AK61" si="80">+AK73-AJ67</f>
        <v>0</v>
      </c>
      <c r="AL61" s="49"/>
      <c r="AM61" s="166">
        <f t="shared" ref="AM61" si="81">+AM73-AL67</f>
        <v>0</v>
      </c>
      <c r="AN61" s="49"/>
      <c r="AO61" s="166">
        <f t="shared" ref="AO61" si="82">+AO73-AN67</f>
        <v>0</v>
      </c>
      <c r="AP61" s="49"/>
      <c r="AQ61" s="166">
        <f t="shared" ref="AQ61" si="83">+AQ73-AP67</f>
        <v>0</v>
      </c>
      <c r="AR61" s="49"/>
      <c r="AS61" s="166">
        <f t="shared" ref="AS61" si="84">+AS73-AR67</f>
        <v>0</v>
      </c>
      <c r="AT61" s="49"/>
      <c r="AU61" s="166">
        <f t="shared" ref="AU61" si="85">+AU73-AT67</f>
        <v>0</v>
      </c>
      <c r="AV61" s="49"/>
      <c r="AW61" s="166">
        <f t="shared" ref="AW61" si="86">+AW73-AV67</f>
        <v>0</v>
      </c>
      <c r="AX61" s="49"/>
      <c r="AY61" s="166">
        <f t="shared" ref="AY61" si="87">+AY73-AX67</f>
        <v>0</v>
      </c>
      <c r="AZ61" s="49"/>
      <c r="BA61" s="166">
        <f t="shared" ref="BA61" si="88">+BA73-AZ67</f>
        <v>0</v>
      </c>
      <c r="BB61" s="49"/>
      <c r="BC61" s="166">
        <f t="shared" ref="BC61" si="89">+BC73-BB67</f>
        <v>0</v>
      </c>
      <c r="BD61" s="49"/>
      <c r="BE61" s="166">
        <f t="shared" ref="BE61" si="90">+BE73-BD67</f>
        <v>0</v>
      </c>
      <c r="BF61" s="49"/>
      <c r="BG61" s="166">
        <f>+BG73-BF67</f>
        <v>0</v>
      </c>
      <c r="BH61" s="49"/>
      <c r="BI61" s="166">
        <f>+BI73-BH67</f>
        <v>0</v>
      </c>
      <c r="BJ61" s="49"/>
      <c r="BK61" s="166">
        <f t="shared" ref="BK61" si="91">+BK73-BJ67</f>
        <v>0</v>
      </c>
      <c r="BL61" s="49"/>
      <c r="BM61" s="48"/>
      <c r="BN61" s="50"/>
      <c r="BO61" s="170" t="e">
        <f>IF(COUNT(E61,G61,I61,K61,M61,O61,Q61,S61,U61,W61,Y61,AA61,AC61,AE61,AG61,AI61,AK61,AM61,AO61,AQ61,AS61,AU61,AW61,AY61,BA61,BC61,BE61,BG61,BI61,BK61,BM61)=0,"",SUM(E61,G61,I61,K61,M61,O61,Q61,S61,U61,W61,Y61,AA61,AC61,AE61,AG61,AI61,AK61,AM61,AO61,AQ61,AS61,AU61,AW61,AY61,BA61,BC61,BE61,BG61,BI61,BK61,BM61))</f>
        <v>#VALUE!</v>
      </c>
      <c r="BP61" s="49"/>
      <c r="BQ61" s="172" t="e">
        <f>+BQ73-BP67</f>
        <v>#VALUE!</v>
      </c>
      <c r="BR61"/>
      <c r="BS61"/>
      <c r="BT61"/>
      <c r="BU61"/>
      <c r="BV61"/>
      <c r="BW61"/>
      <c r="BX61"/>
    </row>
    <row r="62" spans="1:76" x14ac:dyDescent="0.35">
      <c r="A62" s="53" t="s">
        <v>24</v>
      </c>
      <c r="B62" s="187" t="e">
        <f>C62-C106</f>
        <v>#VALUE!</v>
      </c>
      <c r="C62" s="174" t="str">
        <f>IF('October 2026 Log'!BM62="","",'October 2026 Log'!BM62)</f>
        <v/>
      </c>
      <c r="D62" s="189" t="e">
        <f>+C62-E62+E106</f>
        <v>#VALUE!</v>
      </c>
      <c r="E62" s="48"/>
      <c r="F62" s="167">
        <f>+E62-G62+G106</f>
        <v>0</v>
      </c>
      <c r="G62" s="48"/>
      <c r="H62" s="167">
        <f>+G62-I62+I106</f>
        <v>0</v>
      </c>
      <c r="I62" s="48"/>
      <c r="J62" s="167">
        <f>+I62-K62+K106</f>
        <v>0</v>
      </c>
      <c r="K62" s="48"/>
      <c r="L62" s="167">
        <f>+K62-M62+M106</f>
        <v>0</v>
      </c>
      <c r="M62" s="48"/>
      <c r="N62" s="167">
        <f>+M62-O62+O106</f>
        <v>0</v>
      </c>
      <c r="O62" s="48"/>
      <c r="P62" s="167">
        <f>+O62-Q62+Q106</f>
        <v>0</v>
      </c>
      <c r="Q62" s="48"/>
      <c r="R62" s="167">
        <f>+Q62-S62+S106</f>
        <v>0</v>
      </c>
      <c r="S62" s="48"/>
      <c r="T62" s="167">
        <f>+S62-U62+U106</f>
        <v>0</v>
      </c>
      <c r="U62" s="48"/>
      <c r="V62" s="167">
        <f>+U62-W62+W106</f>
        <v>0</v>
      </c>
      <c r="W62" s="48"/>
      <c r="X62" s="167">
        <f>+W62-Y62+Y106</f>
        <v>0</v>
      </c>
      <c r="Y62" s="48"/>
      <c r="Z62" s="167">
        <f>+Y62-AA62+AA106</f>
        <v>0</v>
      </c>
      <c r="AA62" s="48"/>
      <c r="AB62" s="167">
        <f>+AA62-AC62+AC106</f>
        <v>0</v>
      </c>
      <c r="AC62" s="48"/>
      <c r="AD62" s="167">
        <f>+AC62-AE62+AE106</f>
        <v>0</v>
      </c>
      <c r="AE62" s="48"/>
      <c r="AF62" s="167">
        <f>+AE62-AG62+AG106</f>
        <v>0</v>
      </c>
      <c r="AG62" s="48"/>
      <c r="AH62" s="167">
        <f>+AG62-AI62+AI106</f>
        <v>0</v>
      </c>
      <c r="AI62" s="48"/>
      <c r="AJ62" s="167">
        <f>+AI62-AK62+AK106</f>
        <v>0</v>
      </c>
      <c r="AK62" s="48"/>
      <c r="AL62" s="167">
        <f>+AK62-AM62+AM106</f>
        <v>0</v>
      </c>
      <c r="AM62" s="48"/>
      <c r="AN62" s="167">
        <f>+AM62-AO62+AO106</f>
        <v>0</v>
      </c>
      <c r="AO62" s="48"/>
      <c r="AP62" s="167">
        <f>+AO62-AQ62+AQ106</f>
        <v>0</v>
      </c>
      <c r="AQ62" s="48"/>
      <c r="AR62" s="167">
        <f>+AQ62-AS62+AS106</f>
        <v>0</v>
      </c>
      <c r="AS62" s="48"/>
      <c r="AT62" s="167">
        <f>+AS62-AU62+AU106</f>
        <v>0</v>
      </c>
      <c r="AU62" s="48"/>
      <c r="AV62" s="167">
        <f>+AU62-AW62+AW106</f>
        <v>0</v>
      </c>
      <c r="AW62" s="48"/>
      <c r="AX62" s="167">
        <f>+AW62-AY62+AY106</f>
        <v>0</v>
      </c>
      <c r="AY62" s="48"/>
      <c r="AZ62" s="167">
        <f>+AY62-BA62+BA106</f>
        <v>0</v>
      </c>
      <c r="BA62" s="48"/>
      <c r="BB62" s="167">
        <f>+BA62-BC62+BC106</f>
        <v>0</v>
      </c>
      <c r="BC62" s="48"/>
      <c r="BD62" s="167">
        <f>+BC62-BE62+BE106</f>
        <v>0</v>
      </c>
      <c r="BE62" s="48"/>
      <c r="BF62" s="167">
        <f>+BE62-BG62+BG106</f>
        <v>0</v>
      </c>
      <c r="BG62" s="48"/>
      <c r="BH62" s="167">
        <f>+BG62-BI62+BI106</f>
        <v>0</v>
      </c>
      <c r="BI62" s="48"/>
      <c r="BJ62" s="167">
        <f>+BI62-BK62+BK106</f>
        <v>0</v>
      </c>
      <c r="BK62" s="48"/>
      <c r="BL62" s="49"/>
      <c r="BM62" s="48"/>
      <c r="BN62" s="50"/>
      <c r="BO62" s="170" t="e">
        <f>IF(COUNT(D62,F62,H62,J62,L62,N62,P62,R62,T62,V62,X62,Z62,AB62,AD62,AF62,AH62,AJ62,AL62,AN62,AP62,AR62,AT62,AV62,AX62,AZ62,BB62,BD62,BF62,BH62,BJ62,BL62)=0,"",SUM(D62,F62,H62,J62,L62,N62,P62,R62,T62,V62,X62,Z62,AB62,AD62,AF62,AH62,AJ62,AL62,AN62,AP62,AR62,AT62,AV62,AX62,AZ62,BB62,BD62,BF62,BH62,BJ62,BL62))</f>
        <v>#VALUE!</v>
      </c>
      <c r="BP62" s="167" t="e">
        <f>+BM62-BQ62+BQ106</f>
        <v>#VALUE!</v>
      </c>
      <c r="BQ62" s="178" t="str">
        <f>IF(BK62="","",BK62)</f>
        <v/>
      </c>
    </row>
    <row r="63" spans="1:76" x14ac:dyDescent="0.35">
      <c r="A63" s="53" t="s">
        <v>25</v>
      </c>
      <c r="B63" s="187" t="e">
        <f>C63-C107</f>
        <v>#VALUE!</v>
      </c>
      <c r="C63" s="174" t="str">
        <f>IF('October 2026 Log'!BM63="","",'October 2026 Log'!BM63)</f>
        <v/>
      </c>
      <c r="D63" s="189" t="e">
        <f>+C63-E63+E107</f>
        <v>#VALUE!</v>
      </c>
      <c r="E63" s="48"/>
      <c r="F63" s="167">
        <f>+E63-G63+G107</f>
        <v>0</v>
      </c>
      <c r="G63" s="48"/>
      <c r="H63" s="167">
        <f>+G63-I63+I107</f>
        <v>0</v>
      </c>
      <c r="I63" s="48"/>
      <c r="J63" s="167">
        <f>+I63-K63+K107</f>
        <v>0</v>
      </c>
      <c r="K63" s="48"/>
      <c r="L63" s="167">
        <f>+K63-M63+M107</f>
        <v>0</v>
      </c>
      <c r="M63" s="48"/>
      <c r="N63" s="167">
        <f>+M63-O63+O107</f>
        <v>0</v>
      </c>
      <c r="O63" s="48"/>
      <c r="P63" s="167">
        <f>+O63-Q63+Q107</f>
        <v>0</v>
      </c>
      <c r="Q63" s="48"/>
      <c r="R63" s="167">
        <f>+Q63-S63+S107</f>
        <v>0</v>
      </c>
      <c r="S63" s="48"/>
      <c r="T63" s="167">
        <f>+S63-U63+U107</f>
        <v>0</v>
      </c>
      <c r="U63" s="48"/>
      <c r="V63" s="167">
        <f>+U63-W63+W107</f>
        <v>0</v>
      </c>
      <c r="W63" s="48"/>
      <c r="X63" s="167">
        <f>+W63-Y63+Y107</f>
        <v>0</v>
      </c>
      <c r="Y63" s="48"/>
      <c r="Z63" s="167">
        <f>+Y63-AA63+AA107</f>
        <v>0</v>
      </c>
      <c r="AA63" s="48"/>
      <c r="AB63" s="167">
        <f>+AA63-AC63+AC107</f>
        <v>0</v>
      </c>
      <c r="AC63" s="48"/>
      <c r="AD63" s="167">
        <f>+AC63-AE63+AE107</f>
        <v>0</v>
      </c>
      <c r="AE63" s="48"/>
      <c r="AF63" s="167">
        <f>+AE63-AG63+AG107</f>
        <v>0</v>
      </c>
      <c r="AG63" s="48"/>
      <c r="AH63" s="167">
        <f>+AG63-AI63+AI107</f>
        <v>0</v>
      </c>
      <c r="AI63" s="48"/>
      <c r="AJ63" s="167">
        <f>+AI63-AK63+AK107</f>
        <v>0</v>
      </c>
      <c r="AK63" s="48"/>
      <c r="AL63" s="167">
        <f>+AK63-AM63+AM107</f>
        <v>0</v>
      </c>
      <c r="AM63" s="48"/>
      <c r="AN63" s="167">
        <f>+AM63-AO63+AO107</f>
        <v>0</v>
      </c>
      <c r="AO63" s="48"/>
      <c r="AP63" s="167">
        <f>+AO63-AQ63+AQ107</f>
        <v>0</v>
      </c>
      <c r="AQ63" s="48"/>
      <c r="AR63" s="167">
        <f>+AQ63-AS63+AS107</f>
        <v>0</v>
      </c>
      <c r="AS63" s="48"/>
      <c r="AT63" s="167">
        <f>+AS63-AU63+AU107</f>
        <v>0</v>
      </c>
      <c r="AU63" s="48"/>
      <c r="AV63" s="167">
        <f>+AU63-AW63+AW107</f>
        <v>0</v>
      </c>
      <c r="AW63" s="48"/>
      <c r="AX63" s="167">
        <f>+AW63-AY63+AY107</f>
        <v>0</v>
      </c>
      <c r="AY63" s="48"/>
      <c r="AZ63" s="167">
        <f>+AY63-BA63+BA107</f>
        <v>0</v>
      </c>
      <c r="BA63" s="48"/>
      <c r="BB63" s="167">
        <f>+BA63-BC63+BC107</f>
        <v>0</v>
      </c>
      <c r="BC63" s="48"/>
      <c r="BD63" s="167">
        <f>+BC63-BE63+BE107</f>
        <v>0</v>
      </c>
      <c r="BE63" s="48"/>
      <c r="BF63" s="167">
        <f>+BE63-BG63+BG107</f>
        <v>0</v>
      </c>
      <c r="BG63" s="48"/>
      <c r="BH63" s="167">
        <f>+BG63-BI63+BI107</f>
        <v>0</v>
      </c>
      <c r="BI63" s="48"/>
      <c r="BJ63" s="167">
        <f>+BI63-BK63+BK107</f>
        <v>0</v>
      </c>
      <c r="BK63" s="48"/>
      <c r="BL63" s="49"/>
      <c r="BM63" s="48"/>
      <c r="BN63" s="50"/>
      <c r="BO63" s="170" t="e">
        <f>IF(COUNT(D63,F63,H63,J63,L63,N63,P63,R63,T63,V63,X63,Z63,AB63,AD63,AF63,AH63,AJ63,AL63,AN63,AP63,AR63,AT63,AV63,AX63,AZ63,BB63,BD63,BF63,BH63,BJ63,BL63)=0,"",SUM(D63,F63,H63,J63,L63,N63,P63,R63,T63,V63,X63,Z63,AB63,AD63,AF63,AH63,AJ63,AL63,AN63,AP63,AR63,AT63,AV63,AX63,AZ63,BB63,BD63,BF63,BH63,BJ63,BL63))</f>
        <v>#VALUE!</v>
      </c>
      <c r="BP63" s="167" t="e">
        <f>+BM63-BQ63+BQ107</f>
        <v>#VALUE!</v>
      </c>
      <c r="BQ63" s="178" t="str">
        <f>IF(BK63="","",BK63)</f>
        <v/>
      </c>
    </row>
    <row r="64" spans="1:76" x14ac:dyDescent="0.35">
      <c r="A64" s="53" t="s">
        <v>25</v>
      </c>
      <c r="B64" s="187" t="e">
        <f>C64-C108</f>
        <v>#VALUE!</v>
      </c>
      <c r="C64" s="174" t="str">
        <f>IF('October 2026 Log'!BM64="","",'October 2026 Log'!BM64)</f>
        <v/>
      </c>
      <c r="D64" s="189" t="e">
        <f>+C64-E64+E108</f>
        <v>#VALUE!</v>
      </c>
      <c r="E64" s="48"/>
      <c r="F64" s="167">
        <f>+E64-G64+G108</f>
        <v>0</v>
      </c>
      <c r="G64" s="48"/>
      <c r="H64" s="167">
        <f>+G64-I64+I108</f>
        <v>0</v>
      </c>
      <c r="I64" s="48"/>
      <c r="J64" s="167">
        <f>+I64-K64+K108</f>
        <v>0</v>
      </c>
      <c r="K64" s="48"/>
      <c r="L64" s="167">
        <f>+K64-M64+M108</f>
        <v>0</v>
      </c>
      <c r="M64" s="48"/>
      <c r="N64" s="167">
        <f>+M64-O64+O108</f>
        <v>0</v>
      </c>
      <c r="O64" s="48"/>
      <c r="P64" s="167">
        <f>+O64-Q64+Q108</f>
        <v>0</v>
      </c>
      <c r="Q64" s="48"/>
      <c r="R64" s="167">
        <f>+Q64-S64+S108</f>
        <v>0</v>
      </c>
      <c r="S64" s="48"/>
      <c r="T64" s="167">
        <f>+S64-U64+U108</f>
        <v>0</v>
      </c>
      <c r="U64" s="48"/>
      <c r="V64" s="167">
        <f>+U64-W64+W108</f>
        <v>0</v>
      </c>
      <c r="W64" s="48"/>
      <c r="X64" s="167">
        <f>+W64-Y64+Y108</f>
        <v>0</v>
      </c>
      <c r="Y64" s="48"/>
      <c r="Z64" s="167">
        <f>+Y64-AA64+AA108</f>
        <v>0</v>
      </c>
      <c r="AA64" s="48"/>
      <c r="AB64" s="167">
        <f>+AA64-AC64+AC108</f>
        <v>0</v>
      </c>
      <c r="AC64" s="48"/>
      <c r="AD64" s="167">
        <f>+AC64-AE64+AE108</f>
        <v>0</v>
      </c>
      <c r="AE64" s="48"/>
      <c r="AF64" s="167">
        <f>+AE64-AG64+AG108</f>
        <v>0</v>
      </c>
      <c r="AG64" s="48"/>
      <c r="AH64" s="167">
        <f>+AG64-AI64+AI108</f>
        <v>0</v>
      </c>
      <c r="AI64" s="48"/>
      <c r="AJ64" s="167">
        <f>+AI64-AK64+AK108</f>
        <v>0</v>
      </c>
      <c r="AK64" s="48"/>
      <c r="AL64" s="167">
        <f>+AK64-AM64+AM108</f>
        <v>0</v>
      </c>
      <c r="AM64" s="48"/>
      <c r="AN64" s="167">
        <f>+AM64-AO64+AO108</f>
        <v>0</v>
      </c>
      <c r="AO64" s="48"/>
      <c r="AP64" s="167">
        <f>+AO64-AQ64+AQ108</f>
        <v>0</v>
      </c>
      <c r="AQ64" s="48"/>
      <c r="AR64" s="167">
        <f>+AQ64-AS64+AS108</f>
        <v>0</v>
      </c>
      <c r="AS64" s="48"/>
      <c r="AT64" s="167">
        <f>+AS64-AU64+AU108</f>
        <v>0</v>
      </c>
      <c r="AU64" s="48"/>
      <c r="AV64" s="167">
        <f>+AU64-AW64+AW108</f>
        <v>0</v>
      </c>
      <c r="AW64" s="48"/>
      <c r="AX64" s="167">
        <f>+AW64-AY64+AY108</f>
        <v>0</v>
      </c>
      <c r="AY64" s="48"/>
      <c r="AZ64" s="167">
        <f>+AY64-BA64+BA108</f>
        <v>0</v>
      </c>
      <c r="BA64" s="48"/>
      <c r="BB64" s="167">
        <f>+BA64-BC64+BC108</f>
        <v>0</v>
      </c>
      <c r="BC64" s="48"/>
      <c r="BD64" s="167">
        <f>+BC64-BE64+BE108</f>
        <v>0</v>
      </c>
      <c r="BE64" s="48"/>
      <c r="BF64" s="167">
        <f>+BE64-BG64+BG108</f>
        <v>0</v>
      </c>
      <c r="BG64" s="48"/>
      <c r="BH64" s="167">
        <f>+BG64-BI64+BI108</f>
        <v>0</v>
      </c>
      <c r="BI64" s="48"/>
      <c r="BJ64" s="167">
        <f>+BI64-BK64+BK108</f>
        <v>0</v>
      </c>
      <c r="BK64" s="48"/>
      <c r="BL64" s="49"/>
      <c r="BM64" s="48"/>
      <c r="BN64" s="50"/>
      <c r="BO64" s="170" t="e">
        <f>IF(COUNT(D64,F64,H64,J64,L64,N64,P64,R64,T64,V64,X64,Z64,AB64,AD64,AF64,AH64,AJ64,AL64,AN64,AP64,AR64,AT64,AV64,AX64,AZ64,BB64,BD64,BF64,BH64,BJ64,BL64)=0,"",SUM(D64,F64,H64,J64,L64,N64,P64,R64,T64,V64,X64,Z64,AB64,AD64,AF64,AH64,AJ64,AL64,AN64,AP64,AR64,AT64,AV64,AX64,AZ64,BB64,BD64,BF64,BH64,BJ64,BL64))</f>
        <v>#VALUE!</v>
      </c>
      <c r="BP64" s="167" t="e">
        <f>+BM64-BQ64+BQ108</f>
        <v>#VALUE!</v>
      </c>
      <c r="BQ64" s="178" t="str">
        <f>IF(BK64="","",BK64)</f>
        <v/>
      </c>
    </row>
    <row r="65" spans="1:69" x14ac:dyDescent="0.35">
      <c r="A65" s="53" t="s">
        <v>26</v>
      </c>
      <c r="B65" s="187" t="e">
        <f>C65-C109</f>
        <v>#VALUE!</v>
      </c>
      <c r="C65" s="174" t="str">
        <f>IF('October 2026 Log'!BM65="","",'October 2026 Log'!BM65)</f>
        <v/>
      </c>
      <c r="D65" s="189" t="e">
        <f>+C65-E65+E109</f>
        <v>#VALUE!</v>
      </c>
      <c r="E65" s="48"/>
      <c r="F65" s="167">
        <f>+E65-G65+G109</f>
        <v>0</v>
      </c>
      <c r="G65" s="48"/>
      <c r="H65" s="167">
        <f>+G65-I65+I109</f>
        <v>0</v>
      </c>
      <c r="I65" s="48"/>
      <c r="J65" s="167">
        <f>+I65-K65+K109</f>
        <v>0</v>
      </c>
      <c r="K65" s="48"/>
      <c r="L65" s="167">
        <f>+K65-M65+M109</f>
        <v>0</v>
      </c>
      <c r="M65" s="48"/>
      <c r="N65" s="167">
        <f>+M65-O65+O109</f>
        <v>0</v>
      </c>
      <c r="O65" s="48"/>
      <c r="P65" s="167">
        <f>+O65-Q65+Q109</f>
        <v>0</v>
      </c>
      <c r="Q65" s="48"/>
      <c r="R65" s="167">
        <f>+Q65-S65+S109</f>
        <v>0</v>
      </c>
      <c r="S65" s="48"/>
      <c r="T65" s="167">
        <f>+S65-U65+U109</f>
        <v>0</v>
      </c>
      <c r="U65" s="48"/>
      <c r="V65" s="167">
        <f>+U65-W65+W109</f>
        <v>0</v>
      </c>
      <c r="W65" s="48"/>
      <c r="X65" s="167">
        <f>+W65-Y65+Y109</f>
        <v>0</v>
      </c>
      <c r="Y65" s="48"/>
      <c r="Z65" s="167">
        <f>+Y65-AA65+AA109</f>
        <v>0</v>
      </c>
      <c r="AA65" s="48"/>
      <c r="AB65" s="167">
        <f>+AA65-AC65+AC109</f>
        <v>0</v>
      </c>
      <c r="AC65" s="48"/>
      <c r="AD65" s="167">
        <f>+AC65-AE65+AE109</f>
        <v>0</v>
      </c>
      <c r="AE65" s="48"/>
      <c r="AF65" s="167">
        <f>+AE65-AG65+AG109</f>
        <v>0</v>
      </c>
      <c r="AG65" s="48"/>
      <c r="AH65" s="167">
        <f>+AG65-AI65+AI109</f>
        <v>0</v>
      </c>
      <c r="AI65" s="48"/>
      <c r="AJ65" s="167">
        <f>+AI65-AK65+AK109</f>
        <v>0</v>
      </c>
      <c r="AK65" s="48"/>
      <c r="AL65" s="167">
        <f>+AK65-AM65+AM109</f>
        <v>0</v>
      </c>
      <c r="AM65" s="48"/>
      <c r="AN65" s="167">
        <f>+AM65-AO65+AO109</f>
        <v>0</v>
      </c>
      <c r="AO65" s="48"/>
      <c r="AP65" s="167">
        <f>+AO65-AQ65+AQ109</f>
        <v>0</v>
      </c>
      <c r="AQ65" s="48"/>
      <c r="AR65" s="167">
        <f>+AQ65-AS65+AS109</f>
        <v>0</v>
      </c>
      <c r="AS65" s="48"/>
      <c r="AT65" s="167">
        <f>+AS65-AU65+AU109</f>
        <v>0</v>
      </c>
      <c r="AU65" s="48"/>
      <c r="AV65" s="167">
        <f>+AU65-AW65+AW109</f>
        <v>0</v>
      </c>
      <c r="AW65" s="48"/>
      <c r="AX65" s="167">
        <f>+AW65-AY65+AY109</f>
        <v>0</v>
      </c>
      <c r="AY65" s="48"/>
      <c r="AZ65" s="167">
        <f>+AY65-BA65+BA109</f>
        <v>0</v>
      </c>
      <c r="BA65" s="48"/>
      <c r="BB65" s="167">
        <f>+BA65-BC65+BC109</f>
        <v>0</v>
      </c>
      <c r="BC65" s="48"/>
      <c r="BD65" s="167">
        <f>+BC65-BE65+BE109</f>
        <v>0</v>
      </c>
      <c r="BE65" s="48"/>
      <c r="BF65" s="167">
        <f>+BE65-BG65+BG109</f>
        <v>0</v>
      </c>
      <c r="BG65" s="48"/>
      <c r="BH65" s="167">
        <f>+BG65-BI65+BI109</f>
        <v>0</v>
      </c>
      <c r="BI65" s="48"/>
      <c r="BJ65" s="167">
        <f>+BI65-BK65+BK109</f>
        <v>0</v>
      </c>
      <c r="BK65" s="48"/>
      <c r="BL65" s="49"/>
      <c r="BM65" s="48"/>
      <c r="BN65" s="50"/>
      <c r="BO65" s="170" t="e">
        <f>IF(COUNT(D65,F65,H65,J65,L65,N65,P65,R65,T65,V65,X65,Z65,AB65,AD65,AF65,AH65,AJ65,AL65,AN65,AP65,AR65,AT65,AV65,AX65,AZ65,BB65,BD65,BF65,BH65,BJ65,BL65)=0,"",SUM(D65,F65,H65,J65,L65,N65,P65,R65,T65,V65,X65,Z65,AB65,AD65,AF65,AH65,AJ65,AL65,AN65,AP65,AR65,AT65,AV65,AX65,AZ65,BB65,BD65,BF65,BH65,BJ65,BL65))</f>
        <v>#VALUE!</v>
      </c>
      <c r="BP65" s="167" t="e">
        <f>+BM65-BQ65+BQ109</f>
        <v>#VALUE!</v>
      </c>
      <c r="BQ65" s="178" t="str">
        <f>IF(BK65="","",BK65)</f>
        <v/>
      </c>
    </row>
    <row r="66" spans="1:69" x14ac:dyDescent="0.35">
      <c r="A66" s="53" t="s">
        <v>26</v>
      </c>
      <c r="B66" s="187" t="e">
        <f>C66-C110</f>
        <v>#VALUE!</v>
      </c>
      <c r="C66" s="174" t="str">
        <f>IF('October 2026 Log'!BM66="","",'October 2026 Log'!BM66)</f>
        <v/>
      </c>
      <c r="D66" s="189" t="e">
        <f>+C66-E66+E110</f>
        <v>#VALUE!</v>
      </c>
      <c r="E66" s="48"/>
      <c r="F66" s="167">
        <f>+E66-G66+G110</f>
        <v>0</v>
      </c>
      <c r="G66" s="48"/>
      <c r="H66" s="167">
        <f>+G66-I66+I110</f>
        <v>0</v>
      </c>
      <c r="I66" s="48"/>
      <c r="J66" s="167">
        <f>+I66-K66+K110</f>
        <v>0</v>
      </c>
      <c r="K66" s="48"/>
      <c r="L66" s="167">
        <f>+K66-M66+M110</f>
        <v>0</v>
      </c>
      <c r="M66" s="48"/>
      <c r="N66" s="167">
        <f>+M66-O66+O110</f>
        <v>0</v>
      </c>
      <c r="O66" s="48"/>
      <c r="P66" s="167">
        <f>+O66-Q66+Q110</f>
        <v>0</v>
      </c>
      <c r="Q66" s="48"/>
      <c r="R66" s="167">
        <f>+Q66-S66+S110</f>
        <v>0</v>
      </c>
      <c r="S66" s="48"/>
      <c r="T66" s="167">
        <f>+S66-U66+U110</f>
        <v>0</v>
      </c>
      <c r="U66" s="48"/>
      <c r="V66" s="167">
        <f>+U66-W66+W110</f>
        <v>0</v>
      </c>
      <c r="W66" s="48"/>
      <c r="X66" s="167">
        <f>+W66-Y66+Y110</f>
        <v>0</v>
      </c>
      <c r="Y66" s="48"/>
      <c r="Z66" s="167">
        <f>+Y66-AA66+AA110</f>
        <v>0</v>
      </c>
      <c r="AA66" s="48"/>
      <c r="AB66" s="167">
        <f>+AA66-AC66+AC110</f>
        <v>0</v>
      </c>
      <c r="AC66" s="48"/>
      <c r="AD66" s="167">
        <f>+AC66-AE66+AE110</f>
        <v>0</v>
      </c>
      <c r="AE66" s="48"/>
      <c r="AF66" s="167">
        <f>+AE66-AG66+AG110</f>
        <v>0</v>
      </c>
      <c r="AG66" s="48"/>
      <c r="AH66" s="167">
        <f>+AG66-AI66+AI110</f>
        <v>0</v>
      </c>
      <c r="AI66" s="48"/>
      <c r="AJ66" s="167">
        <f>+AI66-AK66+AK110</f>
        <v>0</v>
      </c>
      <c r="AK66" s="48"/>
      <c r="AL66" s="167">
        <f>+AK66-AM66+AM110</f>
        <v>0</v>
      </c>
      <c r="AM66" s="48"/>
      <c r="AN66" s="167">
        <f>+AM66-AO66+AO110</f>
        <v>0</v>
      </c>
      <c r="AO66" s="48"/>
      <c r="AP66" s="167">
        <f>+AO66-AQ66+AQ110</f>
        <v>0</v>
      </c>
      <c r="AQ66" s="48"/>
      <c r="AR66" s="167">
        <f>+AQ66-AS66+AS110</f>
        <v>0</v>
      </c>
      <c r="AS66" s="48"/>
      <c r="AT66" s="167">
        <f>+AS66-AU66+AU110</f>
        <v>0</v>
      </c>
      <c r="AU66" s="48"/>
      <c r="AV66" s="167">
        <f>+AU66-AW66+AW110</f>
        <v>0</v>
      </c>
      <c r="AW66" s="48"/>
      <c r="AX66" s="167">
        <f>+AW66-AY66+AY110</f>
        <v>0</v>
      </c>
      <c r="AY66" s="48"/>
      <c r="AZ66" s="167">
        <f>+AY66-BA66+BA110</f>
        <v>0</v>
      </c>
      <c r="BA66" s="48"/>
      <c r="BB66" s="167">
        <f>+BA66-BC66+BC110</f>
        <v>0</v>
      </c>
      <c r="BC66" s="48"/>
      <c r="BD66" s="167">
        <f>+BC66-BE66+BE110</f>
        <v>0</v>
      </c>
      <c r="BE66" s="48"/>
      <c r="BF66" s="167">
        <f>+BE66-BG66+BG110</f>
        <v>0</v>
      </c>
      <c r="BG66" s="48"/>
      <c r="BH66" s="167">
        <f>+BG66-BI66+BI110</f>
        <v>0</v>
      </c>
      <c r="BI66" s="48"/>
      <c r="BJ66" s="167">
        <f>+BI66-BK66+BK110</f>
        <v>0</v>
      </c>
      <c r="BK66" s="48"/>
      <c r="BL66" s="49"/>
      <c r="BM66" s="48"/>
      <c r="BN66" s="50"/>
      <c r="BO66" s="170" t="e">
        <f>IF(COUNT(D66,F66,H66,J66,L66,N66,P66,R66,T66,V66,X66,Z66,AB66,AD66,AF66,AH66,AJ66,AL66,AN66,AP66,AR66,AT66,AV66,AX66,AZ66,BB66,BD66,BF66,BH66,BJ66,BL66)=0,"",SUM(D66,F66,H66,J66,L66,N66,P66,R66,T66,V66,X66,Z66,AB66,AD66,AF66,AH66,AJ66,AL66,AN66,AP66,AR66,AT66,AV66,AX66,AZ66,BB66,BD66,BF66,BH66,BJ66,BL66))</f>
        <v>#VALUE!</v>
      </c>
      <c r="BP66" s="167" t="e">
        <f>+BM66-BQ66+BQ110</f>
        <v>#VALUE!</v>
      </c>
      <c r="BQ66" s="178" t="str">
        <f>IF(BK66="","",BK66)</f>
        <v/>
      </c>
    </row>
    <row r="67" spans="1:69" x14ac:dyDescent="0.35">
      <c r="A67" s="98"/>
      <c r="B67" s="90"/>
      <c r="C67" s="131"/>
      <c r="D67" s="189" t="e">
        <f>SUM(D62:D66)</f>
        <v>#VALUE!</v>
      </c>
      <c r="E67" s="166" t="e">
        <f>+E73-D73</f>
        <v>#VALUE!</v>
      </c>
      <c r="F67" s="167">
        <f>SUM(F62:F66)</f>
        <v>0</v>
      </c>
      <c r="G67" s="166">
        <f>+G73-F73</f>
        <v>0</v>
      </c>
      <c r="H67" s="167">
        <f>SUM(H62:H66)</f>
        <v>0</v>
      </c>
      <c r="I67" s="166">
        <f>+I73-H73</f>
        <v>0</v>
      </c>
      <c r="J67" s="167">
        <f>SUM(J62:J66)</f>
        <v>0</v>
      </c>
      <c r="K67" s="166">
        <f>+K73-J73</f>
        <v>0</v>
      </c>
      <c r="L67" s="167">
        <f>SUM(L62:L66)</f>
        <v>0</v>
      </c>
      <c r="M67" s="166">
        <f>+M73-L73</f>
        <v>0</v>
      </c>
      <c r="N67" s="167">
        <f>SUM(N62:N66)</f>
        <v>0</v>
      </c>
      <c r="O67" s="166">
        <f>+O73-N73</f>
        <v>0</v>
      </c>
      <c r="P67" s="167">
        <f>SUM(P62:P66)</f>
        <v>0</v>
      </c>
      <c r="Q67" s="166">
        <f>+Q73-P73</f>
        <v>0</v>
      </c>
      <c r="R67" s="167">
        <f>SUM(R62:R66)</f>
        <v>0</v>
      </c>
      <c r="S67" s="166">
        <f>+S73-R73</f>
        <v>0</v>
      </c>
      <c r="T67" s="167">
        <f>SUM(T62:T66)</f>
        <v>0</v>
      </c>
      <c r="U67" s="166">
        <f>+U73-T73</f>
        <v>0</v>
      </c>
      <c r="V67" s="167">
        <f>SUM(V62:V66)</f>
        <v>0</v>
      </c>
      <c r="W67" s="166">
        <f>+W73-V73</f>
        <v>0</v>
      </c>
      <c r="X67" s="167">
        <f>SUM(X62:X66)</f>
        <v>0</v>
      </c>
      <c r="Y67" s="166">
        <f>+Y73-X73</f>
        <v>0</v>
      </c>
      <c r="Z67" s="167">
        <f>SUM(Z62:Z66)</f>
        <v>0</v>
      </c>
      <c r="AA67" s="166">
        <f>+AA73-Z73</f>
        <v>0</v>
      </c>
      <c r="AB67" s="167">
        <f>SUM(AB62:AB66)</f>
        <v>0</v>
      </c>
      <c r="AC67" s="166">
        <f>+AC73-AB73</f>
        <v>0</v>
      </c>
      <c r="AD67" s="167">
        <f>SUM(AD62:AD66)</f>
        <v>0</v>
      </c>
      <c r="AE67" s="166">
        <f>+AE73-AD73</f>
        <v>0</v>
      </c>
      <c r="AF67" s="167">
        <f>SUM(AF62:AF66)</f>
        <v>0</v>
      </c>
      <c r="AG67" s="166">
        <f>+AG73-AF73</f>
        <v>0</v>
      </c>
      <c r="AH67" s="167">
        <f>SUM(AH62:AH66)</f>
        <v>0</v>
      </c>
      <c r="AI67" s="166">
        <f>+AI73-AH73</f>
        <v>0</v>
      </c>
      <c r="AJ67" s="167">
        <f>SUM(AJ62:AJ66)</f>
        <v>0</v>
      </c>
      <c r="AK67" s="166">
        <f>+AK73-AJ73</f>
        <v>0</v>
      </c>
      <c r="AL67" s="167">
        <f>SUM(AL62:AL66)</f>
        <v>0</v>
      </c>
      <c r="AM67" s="166">
        <f>+AM73-AL73</f>
        <v>0</v>
      </c>
      <c r="AN67" s="167">
        <f>SUM(AN62:AN66)</f>
        <v>0</v>
      </c>
      <c r="AO67" s="166">
        <f>+AO73-AN73</f>
        <v>0</v>
      </c>
      <c r="AP67" s="167">
        <f>SUM(AP62:AP66)</f>
        <v>0</v>
      </c>
      <c r="AQ67" s="166">
        <f>+AQ73-AP73</f>
        <v>0</v>
      </c>
      <c r="AR67" s="167">
        <f>SUM(AR62:AR66)</f>
        <v>0</v>
      </c>
      <c r="AS67" s="166">
        <f>+AS73-AR73</f>
        <v>0</v>
      </c>
      <c r="AT67" s="167">
        <f>SUM(AT62:AT66)</f>
        <v>0</v>
      </c>
      <c r="AU67" s="166">
        <f>+AU73-AT73</f>
        <v>0</v>
      </c>
      <c r="AV67" s="167">
        <f>SUM(AV62:AV66)</f>
        <v>0</v>
      </c>
      <c r="AW67" s="166">
        <f>+AW73-AV73</f>
        <v>0</v>
      </c>
      <c r="AX67" s="167">
        <f>SUM(AX62:AX66)</f>
        <v>0</v>
      </c>
      <c r="AY67" s="166">
        <f>+AY73-AX73</f>
        <v>0</v>
      </c>
      <c r="AZ67" s="167">
        <f>SUM(AZ62:AZ66)</f>
        <v>0</v>
      </c>
      <c r="BA67" s="166">
        <f>+BA73-AZ73</f>
        <v>0</v>
      </c>
      <c r="BB67" s="167">
        <f>SUM(BB62:BB66)</f>
        <v>0</v>
      </c>
      <c r="BC67" s="166">
        <f>+BC73-BB73</f>
        <v>0</v>
      </c>
      <c r="BD67" s="167">
        <f>SUM(BD62:BD66)</f>
        <v>0</v>
      </c>
      <c r="BE67" s="166">
        <f>+BE73-BD73</f>
        <v>0</v>
      </c>
      <c r="BF67" s="167">
        <f>SUM(BF62:BF66)</f>
        <v>0</v>
      </c>
      <c r="BG67" s="166">
        <f>+BG73-BF73</f>
        <v>0</v>
      </c>
      <c r="BH67" s="167">
        <f>SUM(BH62:BH66)</f>
        <v>0</v>
      </c>
      <c r="BI67" s="166">
        <f>+BI73-BH73</f>
        <v>0</v>
      </c>
      <c r="BJ67" s="167">
        <f>SUM(BJ62:BJ66)</f>
        <v>0</v>
      </c>
      <c r="BK67" s="166">
        <f>+BK73-BJ73</f>
        <v>0</v>
      </c>
      <c r="BL67" s="49"/>
      <c r="BM67" s="48"/>
      <c r="BN67" s="50"/>
      <c r="BO67" s="170" t="e">
        <f t="shared" ref="BO67:BO75" si="92">IF(COUNT(E67,G67,I67,K67,M67,O67,Q67,S67,U67,W67,Y67,AA67,AC67,AE67,AG67,AI67,AK67,AM67,AO67,AQ67,AS67,AU67,AW67,AY67,BA67,BC67,BE67,BG67,BI67,BK67,BM67)=0,"",SUM(E67,G67,I67,K67,M67,O67,Q67,S67,U67,W67,Y67,AA67,AC67,AE67,AG67,AI67,AK67,AM67,AO67,AQ67,AS67,AU67,AW67,AY67,BA67,BC67,BE67,BG67,BI67,BK67,BM67))</f>
        <v>#VALUE!</v>
      </c>
      <c r="BP67" s="167" t="e">
        <f>SUM(BP62:BP66)</f>
        <v>#VALUE!</v>
      </c>
      <c r="BQ67" s="172" t="e">
        <f>+BQ73-BP73</f>
        <v>#VALUE!</v>
      </c>
    </row>
    <row r="68" spans="1:69" x14ac:dyDescent="0.35">
      <c r="A68" s="132" t="s">
        <v>87</v>
      </c>
      <c r="B68" s="133"/>
      <c r="C68" s="131"/>
      <c r="D68" s="189">
        <f>D91+D94</f>
        <v>0</v>
      </c>
      <c r="E68" s="166" t="e">
        <f>+E77-C77+E80-C80</f>
        <v>#VALUE!</v>
      </c>
      <c r="F68" s="167">
        <f>F91+F94</f>
        <v>0</v>
      </c>
      <c r="G68" s="166">
        <f>+G77-E77+G80-E80</f>
        <v>0</v>
      </c>
      <c r="H68" s="167">
        <f>H91+H94</f>
        <v>0</v>
      </c>
      <c r="I68" s="166">
        <f>+I77-G77+I80-G80</f>
        <v>0</v>
      </c>
      <c r="J68" s="167">
        <f>J91+J94</f>
        <v>0</v>
      </c>
      <c r="K68" s="166">
        <f>+K77-I77+K80-I80</f>
        <v>0</v>
      </c>
      <c r="L68" s="167">
        <f>L91+L94</f>
        <v>0</v>
      </c>
      <c r="M68" s="166">
        <f>+M77-K77+M80-K80</f>
        <v>0</v>
      </c>
      <c r="N68" s="167">
        <f>N91+N94</f>
        <v>0</v>
      </c>
      <c r="O68" s="166">
        <f>+O77-M77+O80-M80</f>
        <v>0</v>
      </c>
      <c r="P68" s="167">
        <f>P91+P94</f>
        <v>0</v>
      </c>
      <c r="Q68" s="166">
        <f>+Q77-O77+Q80-O80</f>
        <v>0</v>
      </c>
      <c r="R68" s="167">
        <f>R91+R94</f>
        <v>0</v>
      </c>
      <c r="S68" s="166">
        <f>+S77-Q77+S80-Q80</f>
        <v>0</v>
      </c>
      <c r="T68" s="167">
        <f>T91+T94</f>
        <v>0</v>
      </c>
      <c r="U68" s="166">
        <f>+U77-S77+U80-S80</f>
        <v>0</v>
      </c>
      <c r="V68" s="167">
        <f>V91+V94</f>
        <v>0</v>
      </c>
      <c r="W68" s="166">
        <f>+W77-U77+W80-U80</f>
        <v>0</v>
      </c>
      <c r="X68" s="167">
        <f>X91+X94</f>
        <v>0</v>
      </c>
      <c r="Y68" s="166">
        <f>+Y77-W77+Y80-W80</f>
        <v>0</v>
      </c>
      <c r="Z68" s="167">
        <f>Z91+Z94</f>
        <v>0</v>
      </c>
      <c r="AA68" s="166">
        <f>+AA77-Y77+AA80-Y80</f>
        <v>0</v>
      </c>
      <c r="AB68" s="167">
        <f>AB91+AB94</f>
        <v>0</v>
      </c>
      <c r="AC68" s="166">
        <f>+AC77-AA77+AC80-AA80</f>
        <v>0</v>
      </c>
      <c r="AD68" s="167">
        <f>AD91+AD94</f>
        <v>0</v>
      </c>
      <c r="AE68" s="166">
        <f>+AE77-AC77+AE80-AC80</f>
        <v>0</v>
      </c>
      <c r="AF68" s="167">
        <f>AF91+AF94</f>
        <v>0</v>
      </c>
      <c r="AG68" s="166">
        <f>+AG77-AE77+AG80-AE80</f>
        <v>0</v>
      </c>
      <c r="AH68" s="167">
        <f>AH91+AH94</f>
        <v>0</v>
      </c>
      <c r="AI68" s="166">
        <f>+AI77-AG77+AI80-AG80</f>
        <v>0</v>
      </c>
      <c r="AJ68" s="167">
        <f>AJ91+AJ94</f>
        <v>0</v>
      </c>
      <c r="AK68" s="166">
        <f>+AK77-AI77+AK80-AI80</f>
        <v>0</v>
      </c>
      <c r="AL68" s="167">
        <f>AL91+AL94</f>
        <v>0</v>
      </c>
      <c r="AM68" s="166">
        <f>+AM77-AK77+AM80-AK80</f>
        <v>0</v>
      </c>
      <c r="AN68" s="167">
        <f>AN91+AN94</f>
        <v>0</v>
      </c>
      <c r="AO68" s="166">
        <f>+AO77-AM77+AO80-AM80</f>
        <v>0</v>
      </c>
      <c r="AP68" s="167">
        <f>AP91+AP94</f>
        <v>0</v>
      </c>
      <c r="AQ68" s="166">
        <f>+AQ77-AO77+AQ80-AO80</f>
        <v>0</v>
      </c>
      <c r="AR68" s="167">
        <f>AR91+AR94</f>
        <v>0</v>
      </c>
      <c r="AS68" s="166">
        <f>+AS77-AQ77+AS80-AQ80</f>
        <v>0</v>
      </c>
      <c r="AT68" s="167">
        <f>AT91+AT94</f>
        <v>0</v>
      </c>
      <c r="AU68" s="166">
        <f>+AU77-AS77+AU80-AS80</f>
        <v>0</v>
      </c>
      <c r="AV68" s="167">
        <f>AV91+AV94</f>
        <v>0</v>
      </c>
      <c r="AW68" s="166">
        <f>+AW77-AU77+AW80-AU80</f>
        <v>0</v>
      </c>
      <c r="AX68" s="167">
        <f>AX91+AX94</f>
        <v>0</v>
      </c>
      <c r="AY68" s="166">
        <f>+AY77-AW77+AY80-AW80</f>
        <v>0</v>
      </c>
      <c r="AZ68" s="167">
        <f>AZ91+AZ94</f>
        <v>0</v>
      </c>
      <c r="BA68" s="166">
        <f>+BA77-AY77+BA80-AY80</f>
        <v>0</v>
      </c>
      <c r="BB68" s="167">
        <f>BB91+BB94</f>
        <v>0</v>
      </c>
      <c r="BC68" s="166">
        <f>+BC77-BA77+BC80-BA80</f>
        <v>0</v>
      </c>
      <c r="BD68" s="167">
        <f>BD91+BD94</f>
        <v>0</v>
      </c>
      <c r="BE68" s="166">
        <f>+BE77-BC77+BE80-BC80</f>
        <v>0</v>
      </c>
      <c r="BF68" s="167">
        <f>BF91+BF94</f>
        <v>0</v>
      </c>
      <c r="BG68" s="166">
        <f>+BG77-BE77+BG80-BE80</f>
        <v>0</v>
      </c>
      <c r="BH68" s="167">
        <f>BH91+BH94</f>
        <v>0</v>
      </c>
      <c r="BI68" s="166">
        <f>+BI77-BG77+BI80-BG80</f>
        <v>0</v>
      </c>
      <c r="BJ68" s="167">
        <f>BJ91+BJ94</f>
        <v>0</v>
      </c>
      <c r="BK68" s="166">
        <f>+BK77-BI77+BK80-BI80</f>
        <v>0</v>
      </c>
      <c r="BL68" s="49"/>
      <c r="BM68" s="48"/>
      <c r="BN68" s="50"/>
      <c r="BO68" s="170" t="e">
        <f t="shared" si="92"/>
        <v>#VALUE!</v>
      </c>
      <c r="BP68" s="167">
        <f>BP91+BP94</f>
        <v>0</v>
      </c>
      <c r="BQ68" s="172" t="e">
        <f>+BQ77-BM77+BQ80-BM80</f>
        <v>#VALUE!</v>
      </c>
    </row>
    <row r="69" spans="1:69" x14ac:dyDescent="0.35">
      <c r="A69" s="44" t="s">
        <v>88</v>
      </c>
      <c r="B69" s="133"/>
      <c r="C69" s="131"/>
      <c r="D69" s="189">
        <f>D99+D102</f>
        <v>0</v>
      </c>
      <c r="E69" s="166" t="e">
        <f>+E85-C85+E88-C88</f>
        <v>#VALUE!</v>
      </c>
      <c r="F69" s="167">
        <f>F99+F102</f>
        <v>0</v>
      </c>
      <c r="G69" s="166">
        <f>+G85-E85+G88-E88</f>
        <v>0</v>
      </c>
      <c r="H69" s="167">
        <f>H99+H102</f>
        <v>0</v>
      </c>
      <c r="I69" s="166">
        <f>+I85-G85+I88-G88</f>
        <v>0</v>
      </c>
      <c r="J69" s="167">
        <f>J99+J102</f>
        <v>0</v>
      </c>
      <c r="K69" s="166">
        <f>+K85-I85+K88-I88</f>
        <v>0</v>
      </c>
      <c r="L69" s="167">
        <f>L99+L102</f>
        <v>0</v>
      </c>
      <c r="M69" s="166">
        <f>+M85-K85+M88-K88</f>
        <v>0</v>
      </c>
      <c r="N69" s="167">
        <f>N99+N102</f>
        <v>0</v>
      </c>
      <c r="O69" s="166">
        <f>+O85-M85+O88-M88</f>
        <v>0</v>
      </c>
      <c r="P69" s="167">
        <f>P99+P102</f>
        <v>0</v>
      </c>
      <c r="Q69" s="166">
        <f>+Q85-O85+Q88-O88</f>
        <v>0</v>
      </c>
      <c r="R69" s="167">
        <f>R99+R102</f>
        <v>0</v>
      </c>
      <c r="S69" s="166">
        <f>+S85-Q85+S88-Q88</f>
        <v>0</v>
      </c>
      <c r="T69" s="167">
        <f>T99+T102</f>
        <v>0</v>
      </c>
      <c r="U69" s="166">
        <f>+U85-S85+U88-S88</f>
        <v>0</v>
      </c>
      <c r="V69" s="167">
        <f>V99+V102</f>
        <v>0</v>
      </c>
      <c r="W69" s="166">
        <f>+W85-U85+W88-U88</f>
        <v>0</v>
      </c>
      <c r="X69" s="167">
        <f>X99+X102</f>
        <v>0</v>
      </c>
      <c r="Y69" s="166">
        <f>+Y85-W85+Y88-W88</f>
        <v>0</v>
      </c>
      <c r="Z69" s="167">
        <f>Z99+Z102</f>
        <v>0</v>
      </c>
      <c r="AA69" s="166">
        <f>+AA85-Y85+AA88-Y88</f>
        <v>0</v>
      </c>
      <c r="AB69" s="167">
        <f>AB99+AB102</f>
        <v>0</v>
      </c>
      <c r="AC69" s="166">
        <f>+AC85-AA85+AC88-AA88</f>
        <v>0</v>
      </c>
      <c r="AD69" s="167">
        <f>AD99+AD102</f>
        <v>0</v>
      </c>
      <c r="AE69" s="166">
        <f>+AE85-AC85+AE88-AC88</f>
        <v>0</v>
      </c>
      <c r="AF69" s="167">
        <f>AF99+AF102</f>
        <v>0</v>
      </c>
      <c r="AG69" s="166">
        <f>+AG85-AE85+AG88-AE88</f>
        <v>0</v>
      </c>
      <c r="AH69" s="167">
        <f>AH99+AH102</f>
        <v>0</v>
      </c>
      <c r="AI69" s="166">
        <f>+AI85-AG85+AI88-AG88</f>
        <v>0</v>
      </c>
      <c r="AJ69" s="167">
        <f>AJ99+AJ102</f>
        <v>0</v>
      </c>
      <c r="AK69" s="166">
        <f>+AK85-AI85+AK88-AI88</f>
        <v>0</v>
      </c>
      <c r="AL69" s="167">
        <f>AL99+AL102</f>
        <v>0</v>
      </c>
      <c r="AM69" s="166">
        <f>+AM85-AK85+AM88-AK88</f>
        <v>0</v>
      </c>
      <c r="AN69" s="167">
        <f>AN99+AN102</f>
        <v>0</v>
      </c>
      <c r="AO69" s="166">
        <f>+AO85-AM85+AO88-AM88</f>
        <v>0</v>
      </c>
      <c r="AP69" s="167">
        <f>AP99+AP102</f>
        <v>0</v>
      </c>
      <c r="AQ69" s="166">
        <f>+AQ85-AO85+AQ88-AO88</f>
        <v>0</v>
      </c>
      <c r="AR69" s="167">
        <f>AR99+AR102</f>
        <v>0</v>
      </c>
      <c r="AS69" s="166">
        <f>+AS85-AQ85+AS88-AQ88</f>
        <v>0</v>
      </c>
      <c r="AT69" s="167">
        <f>AT99+AT102</f>
        <v>0</v>
      </c>
      <c r="AU69" s="166">
        <f>+AU85-AS85+AU88-AS88</f>
        <v>0</v>
      </c>
      <c r="AV69" s="167">
        <f>AV99+AV102</f>
        <v>0</v>
      </c>
      <c r="AW69" s="166">
        <f>+AW85-AU85+AW88-AU88</f>
        <v>0</v>
      </c>
      <c r="AX69" s="167">
        <f>AX99+AX102</f>
        <v>0</v>
      </c>
      <c r="AY69" s="166">
        <f>+AY85-AW85+AY88-AW88</f>
        <v>0</v>
      </c>
      <c r="AZ69" s="167">
        <f>AZ99+AZ102</f>
        <v>0</v>
      </c>
      <c r="BA69" s="166">
        <f>+BA85-AY85+BA88-AY88</f>
        <v>0</v>
      </c>
      <c r="BB69" s="167">
        <f>BB99+BB102</f>
        <v>0</v>
      </c>
      <c r="BC69" s="166">
        <f>+BC85-BA85+BC88-BA88</f>
        <v>0</v>
      </c>
      <c r="BD69" s="167">
        <f>BD99+BD102</f>
        <v>0</v>
      </c>
      <c r="BE69" s="166">
        <f>+BE85-BC85+BE88-BC88</f>
        <v>0</v>
      </c>
      <c r="BF69" s="167">
        <f>BF99+BF102</f>
        <v>0</v>
      </c>
      <c r="BG69" s="166">
        <f>+BG85-BE85+BG88-BE88</f>
        <v>0</v>
      </c>
      <c r="BH69" s="167">
        <f>BH99+BH102</f>
        <v>0</v>
      </c>
      <c r="BI69" s="166">
        <f>+BI85-BG85+BI88-BG88</f>
        <v>0</v>
      </c>
      <c r="BJ69" s="167">
        <f>BJ99+BJ102</f>
        <v>0</v>
      </c>
      <c r="BK69" s="166">
        <f>+BK85-BI85+BK88-BI88</f>
        <v>0</v>
      </c>
      <c r="BL69" s="49"/>
      <c r="BM69" s="48"/>
      <c r="BN69" s="50"/>
      <c r="BO69" s="170" t="e">
        <f t="shared" si="92"/>
        <v>#VALUE!</v>
      </c>
      <c r="BP69" s="167">
        <f>BP99+BP102</f>
        <v>0</v>
      </c>
      <c r="BQ69" s="172" t="e">
        <f>+BQ85-BM85+BQ88-BM88</f>
        <v>#VALUE!</v>
      </c>
    </row>
    <row r="70" spans="1:69" x14ac:dyDescent="0.35">
      <c r="A70" s="134" t="s">
        <v>89</v>
      </c>
      <c r="B70" s="133"/>
      <c r="C70" s="131"/>
      <c r="D70" s="189">
        <f>D93+D96</f>
        <v>0</v>
      </c>
      <c r="E70" s="166" t="e">
        <f>+E79-C79+E82-C82</f>
        <v>#VALUE!</v>
      </c>
      <c r="F70" s="167">
        <f>F93+F96</f>
        <v>0</v>
      </c>
      <c r="G70" s="166">
        <f>+G79-E79+G82-E82</f>
        <v>0</v>
      </c>
      <c r="H70" s="167">
        <f>H93+H96</f>
        <v>0</v>
      </c>
      <c r="I70" s="166">
        <f>+I79-G79+I82-G82</f>
        <v>0</v>
      </c>
      <c r="J70" s="167">
        <f>J93+J96</f>
        <v>0</v>
      </c>
      <c r="K70" s="166">
        <f>+K79-I79+K82-I82</f>
        <v>0</v>
      </c>
      <c r="L70" s="167">
        <f>L93+L96</f>
        <v>0</v>
      </c>
      <c r="M70" s="166">
        <f>+M79-K79+M82-K82</f>
        <v>0</v>
      </c>
      <c r="N70" s="167">
        <f>N93+N96</f>
        <v>0</v>
      </c>
      <c r="O70" s="166">
        <f>+O79-M79+O82-M82</f>
        <v>0</v>
      </c>
      <c r="P70" s="167">
        <f>P93+P96</f>
        <v>0</v>
      </c>
      <c r="Q70" s="166">
        <f>+Q79-O79+Q82-O82</f>
        <v>0</v>
      </c>
      <c r="R70" s="167">
        <f>R93+R96</f>
        <v>0</v>
      </c>
      <c r="S70" s="166">
        <f>+S79-Q79+S82-Q82</f>
        <v>0</v>
      </c>
      <c r="T70" s="167">
        <f>T93+T96</f>
        <v>0</v>
      </c>
      <c r="U70" s="166">
        <f>+U79-S79+U82-S82</f>
        <v>0</v>
      </c>
      <c r="V70" s="167">
        <f>V93+V96</f>
        <v>0</v>
      </c>
      <c r="W70" s="166">
        <f>+W79-U79+W82-U82</f>
        <v>0</v>
      </c>
      <c r="X70" s="167">
        <f>X93+X96</f>
        <v>0</v>
      </c>
      <c r="Y70" s="166">
        <f>+Y79-W79+Y82-W82</f>
        <v>0</v>
      </c>
      <c r="Z70" s="167">
        <f>Z93+Z96</f>
        <v>0</v>
      </c>
      <c r="AA70" s="166">
        <f>+AA79-Y79+AA82-Y82</f>
        <v>0</v>
      </c>
      <c r="AB70" s="167">
        <f>AB93+AB96</f>
        <v>0</v>
      </c>
      <c r="AC70" s="166">
        <f>+AC79-AA79+AC82-AA82</f>
        <v>0</v>
      </c>
      <c r="AD70" s="167">
        <f>AD93+AD96</f>
        <v>0</v>
      </c>
      <c r="AE70" s="166">
        <f>+AE79-AC79+AE82-AC82</f>
        <v>0</v>
      </c>
      <c r="AF70" s="167">
        <f>AF93+AF96</f>
        <v>0</v>
      </c>
      <c r="AG70" s="166">
        <f>+AG79-AE79+AG82-AE82</f>
        <v>0</v>
      </c>
      <c r="AH70" s="167">
        <f>AH93+AH96</f>
        <v>0</v>
      </c>
      <c r="AI70" s="166">
        <f>+AI79-AG79+AI82-AG82</f>
        <v>0</v>
      </c>
      <c r="AJ70" s="167">
        <f>AJ93+AJ96</f>
        <v>0</v>
      </c>
      <c r="AK70" s="166">
        <f>+AK79-AI79+AK82-AI82</f>
        <v>0</v>
      </c>
      <c r="AL70" s="167">
        <f>AL93+AL96</f>
        <v>0</v>
      </c>
      <c r="AM70" s="166">
        <f>+AM79-AK79+AM82-AK82</f>
        <v>0</v>
      </c>
      <c r="AN70" s="167">
        <f>AN93+AN96</f>
        <v>0</v>
      </c>
      <c r="AO70" s="166">
        <f>+AO79-AM79+AO82-AM82</f>
        <v>0</v>
      </c>
      <c r="AP70" s="167">
        <f>AP93+AP96</f>
        <v>0</v>
      </c>
      <c r="AQ70" s="166">
        <f>+AQ79-AO79+AQ82-AO82</f>
        <v>0</v>
      </c>
      <c r="AR70" s="167">
        <f>AR93+AR96</f>
        <v>0</v>
      </c>
      <c r="AS70" s="166">
        <f>+AS79-AQ79+AS82-AQ82</f>
        <v>0</v>
      </c>
      <c r="AT70" s="167">
        <f>AT93+AT96</f>
        <v>0</v>
      </c>
      <c r="AU70" s="166">
        <f>+AU79-AS79+AU82-AS82</f>
        <v>0</v>
      </c>
      <c r="AV70" s="167">
        <f>AV93+AV96</f>
        <v>0</v>
      </c>
      <c r="AW70" s="166">
        <f>+AW79-AU79+AW82-AU82</f>
        <v>0</v>
      </c>
      <c r="AX70" s="167">
        <f>AX93+AX96</f>
        <v>0</v>
      </c>
      <c r="AY70" s="166">
        <f>+AY79-AW79+AY82-AW82</f>
        <v>0</v>
      </c>
      <c r="AZ70" s="167">
        <f>AZ93+AZ96</f>
        <v>0</v>
      </c>
      <c r="BA70" s="166">
        <f>+BA79-AY79+BA82-AY82</f>
        <v>0</v>
      </c>
      <c r="BB70" s="167">
        <f>BB93+BB96</f>
        <v>0</v>
      </c>
      <c r="BC70" s="166">
        <f>+BC79-BA79+BC82-BA82</f>
        <v>0</v>
      </c>
      <c r="BD70" s="167">
        <f>BD93+BD96</f>
        <v>0</v>
      </c>
      <c r="BE70" s="166">
        <f>+BE79-BC79+BE82-BC82</f>
        <v>0</v>
      </c>
      <c r="BF70" s="167">
        <f>BF93+BF96</f>
        <v>0</v>
      </c>
      <c r="BG70" s="166">
        <f>+BG79-BE79+BG82-BE82</f>
        <v>0</v>
      </c>
      <c r="BH70" s="167">
        <f>BH93+BH96</f>
        <v>0</v>
      </c>
      <c r="BI70" s="166">
        <f>+BI79-BG79+BI82-BG82</f>
        <v>0</v>
      </c>
      <c r="BJ70" s="167">
        <f>BJ93+BJ96</f>
        <v>0</v>
      </c>
      <c r="BK70" s="166">
        <f>+BK79-BI79+BK82-BI82</f>
        <v>0</v>
      </c>
      <c r="BL70" s="49"/>
      <c r="BM70" s="48"/>
      <c r="BN70" s="50"/>
      <c r="BO70" s="170" t="e">
        <f t="shared" si="92"/>
        <v>#VALUE!</v>
      </c>
      <c r="BP70" s="167">
        <f>BP93+BP96</f>
        <v>0</v>
      </c>
      <c r="BQ70" s="172" t="e">
        <f>+BQ79-BM79+BQ82-BM82</f>
        <v>#VALUE!</v>
      </c>
    </row>
    <row r="71" spans="1:69" x14ac:dyDescent="0.35">
      <c r="A71" s="135" t="s">
        <v>90</v>
      </c>
      <c r="B71" s="133"/>
      <c r="C71" s="131"/>
      <c r="D71" s="189">
        <f>+D97+D100</f>
        <v>0</v>
      </c>
      <c r="E71" s="166" t="e">
        <f>+E83-C83+E86-C86</f>
        <v>#VALUE!</v>
      </c>
      <c r="F71" s="167">
        <f>+F97+F100</f>
        <v>0</v>
      </c>
      <c r="G71" s="166">
        <f>+G83-E83+G86-E86</f>
        <v>0</v>
      </c>
      <c r="H71" s="167">
        <f>+H97+H100</f>
        <v>0</v>
      </c>
      <c r="I71" s="166">
        <f>+I83-G83+I86-G86</f>
        <v>0</v>
      </c>
      <c r="J71" s="167">
        <f>+J97+J100</f>
        <v>0</v>
      </c>
      <c r="K71" s="166">
        <f>+K83-I83+K86-I86</f>
        <v>0</v>
      </c>
      <c r="L71" s="167">
        <f>+L97+L100</f>
        <v>0</v>
      </c>
      <c r="M71" s="166">
        <f>+M83-K83+M86-K86</f>
        <v>0</v>
      </c>
      <c r="N71" s="167">
        <f>+N97+N100</f>
        <v>0</v>
      </c>
      <c r="O71" s="166">
        <f>+O83-M83+O86-M86</f>
        <v>0</v>
      </c>
      <c r="P71" s="167">
        <f>+P97+P100</f>
        <v>0</v>
      </c>
      <c r="Q71" s="166">
        <f>+Q83-O83+Q86-O86</f>
        <v>0</v>
      </c>
      <c r="R71" s="167">
        <f>+R97+R100</f>
        <v>0</v>
      </c>
      <c r="S71" s="166">
        <f>+S83-Q83+S86-Q86</f>
        <v>0</v>
      </c>
      <c r="T71" s="167">
        <f>+T97+T100</f>
        <v>0</v>
      </c>
      <c r="U71" s="166">
        <f>+U83-S83+U86-S86</f>
        <v>0</v>
      </c>
      <c r="V71" s="167">
        <f>+V97+V100</f>
        <v>0</v>
      </c>
      <c r="W71" s="166">
        <f>+W83-U83+W86-U86</f>
        <v>0</v>
      </c>
      <c r="X71" s="167">
        <f>+X97+X100</f>
        <v>0</v>
      </c>
      <c r="Y71" s="166">
        <f>+Y83-W83+Y86-W86</f>
        <v>0</v>
      </c>
      <c r="Z71" s="167">
        <f>+Z97+Z100</f>
        <v>0</v>
      </c>
      <c r="AA71" s="166">
        <f>+AA83-Y83+AA86-Y86</f>
        <v>0</v>
      </c>
      <c r="AB71" s="167">
        <f>+AB97+AB100</f>
        <v>0</v>
      </c>
      <c r="AC71" s="166">
        <f>+AC83-AA83+AC86-AA86</f>
        <v>0</v>
      </c>
      <c r="AD71" s="167">
        <f>+AD97+AD100</f>
        <v>0</v>
      </c>
      <c r="AE71" s="166">
        <f>+AE83-AC83+AE86-AC86</f>
        <v>0</v>
      </c>
      <c r="AF71" s="167">
        <f>+AF97+AF100</f>
        <v>0</v>
      </c>
      <c r="AG71" s="166">
        <f>+AG83-AE83+AG86-AE86</f>
        <v>0</v>
      </c>
      <c r="AH71" s="167">
        <f>+AH97+AH100</f>
        <v>0</v>
      </c>
      <c r="AI71" s="166">
        <f>+AI83-AG83+AI86-AG86</f>
        <v>0</v>
      </c>
      <c r="AJ71" s="167">
        <f>+AJ97+AJ100</f>
        <v>0</v>
      </c>
      <c r="AK71" s="166">
        <f>+AK83-AI83+AK86-AI86</f>
        <v>0</v>
      </c>
      <c r="AL71" s="167">
        <f>+AL97+AL100</f>
        <v>0</v>
      </c>
      <c r="AM71" s="166">
        <f>+AM83-AK83+AM86-AK86</f>
        <v>0</v>
      </c>
      <c r="AN71" s="167">
        <f>+AN97+AN100</f>
        <v>0</v>
      </c>
      <c r="AO71" s="166">
        <f>+AO83-AM83+AO86-AM86</f>
        <v>0</v>
      </c>
      <c r="AP71" s="167">
        <f>+AP97+AP100</f>
        <v>0</v>
      </c>
      <c r="AQ71" s="166">
        <f>+AQ83-AO83+AQ86-AO86</f>
        <v>0</v>
      </c>
      <c r="AR71" s="167">
        <f>+AR97+AR100</f>
        <v>0</v>
      </c>
      <c r="AS71" s="166">
        <f>+AS83-AQ83+AS86-AQ86</f>
        <v>0</v>
      </c>
      <c r="AT71" s="167">
        <f>+AT97+AT100</f>
        <v>0</v>
      </c>
      <c r="AU71" s="166">
        <f>+AU83-AS83+AU86-AS86</f>
        <v>0</v>
      </c>
      <c r="AV71" s="167">
        <f>+AV97+AV100</f>
        <v>0</v>
      </c>
      <c r="AW71" s="166">
        <f>+AW83-AU83+AW86-AU86</f>
        <v>0</v>
      </c>
      <c r="AX71" s="167">
        <f>+AX97+AX100</f>
        <v>0</v>
      </c>
      <c r="AY71" s="166">
        <f>+AY83-AW83+AY86-AW86</f>
        <v>0</v>
      </c>
      <c r="AZ71" s="167">
        <f>+AZ97+AZ100</f>
        <v>0</v>
      </c>
      <c r="BA71" s="166">
        <f>+BA83-AY83+BA86-AY86</f>
        <v>0</v>
      </c>
      <c r="BB71" s="167">
        <f>+BB97+BB100</f>
        <v>0</v>
      </c>
      <c r="BC71" s="166">
        <f>+BC83-BA83+BC86-BA86</f>
        <v>0</v>
      </c>
      <c r="BD71" s="167">
        <f>+BD97+BD100</f>
        <v>0</v>
      </c>
      <c r="BE71" s="166">
        <f>+BE83-BC83+BE86-BC86</f>
        <v>0</v>
      </c>
      <c r="BF71" s="167">
        <f>+BF97+BF100</f>
        <v>0</v>
      </c>
      <c r="BG71" s="166">
        <f>+BG83-BE83+BG86-BE86</f>
        <v>0</v>
      </c>
      <c r="BH71" s="167">
        <f>+BH97+BH100</f>
        <v>0</v>
      </c>
      <c r="BI71" s="166">
        <f>+BI83-BG83+BI86-BG86</f>
        <v>0</v>
      </c>
      <c r="BJ71" s="167">
        <f>+BJ97+BJ100</f>
        <v>0</v>
      </c>
      <c r="BK71" s="166">
        <f>+BK83-BI83+BK86-BI86</f>
        <v>0</v>
      </c>
      <c r="BL71" s="49"/>
      <c r="BM71" s="48"/>
      <c r="BN71" s="50"/>
      <c r="BO71" s="170" t="e">
        <f t="shared" si="92"/>
        <v>#VALUE!</v>
      </c>
      <c r="BP71" s="167">
        <f>+BP97+BP100</f>
        <v>0</v>
      </c>
      <c r="BQ71" s="172" t="e">
        <f>+BQ83-BM83+BQ86-BM86</f>
        <v>#VALUE!</v>
      </c>
    </row>
    <row r="72" spans="1:69" x14ac:dyDescent="0.35">
      <c r="A72" s="136" t="s">
        <v>91</v>
      </c>
      <c r="B72" s="133"/>
      <c r="C72" s="131"/>
      <c r="D72" s="189">
        <f>+D92+D95+D98+D101</f>
        <v>0</v>
      </c>
      <c r="E72" s="166" t="e">
        <f>+E78-C78+E81-C81+E84-C84+E87-C87</f>
        <v>#VALUE!</v>
      </c>
      <c r="F72" s="167">
        <f>+F92+F95+F98+F101</f>
        <v>0</v>
      </c>
      <c r="G72" s="166">
        <f>+G78-E78+G81-E81+G84-E84+G87-E87</f>
        <v>0</v>
      </c>
      <c r="H72" s="167">
        <f>+H92+H95+H98+H101</f>
        <v>0</v>
      </c>
      <c r="I72" s="166">
        <f>+I78-G78+I81-G81+I84-G84+I87-G87</f>
        <v>0</v>
      </c>
      <c r="J72" s="167">
        <f>+J92+J95+J98+J101</f>
        <v>0</v>
      </c>
      <c r="K72" s="166">
        <f>+K78-I78+K81-I81+K84-I84+K87-I87</f>
        <v>0</v>
      </c>
      <c r="L72" s="167">
        <f>+L92+L95+L98+L101</f>
        <v>0</v>
      </c>
      <c r="M72" s="166">
        <f>+M78-K78+M81-K81+M84-K84+M87-K87</f>
        <v>0</v>
      </c>
      <c r="N72" s="167">
        <f>+N92+N95+N98+N101</f>
        <v>0</v>
      </c>
      <c r="O72" s="166">
        <f>+O78-M78+O81-M81+O84-M84+O87-M87</f>
        <v>0</v>
      </c>
      <c r="P72" s="167">
        <f>+P92+P95+P98+P101</f>
        <v>0</v>
      </c>
      <c r="Q72" s="166">
        <f>+Q78-O78+Q81-O81+Q84-O84+Q87-O87</f>
        <v>0</v>
      </c>
      <c r="R72" s="167">
        <f>+R92+R95+R98+R101</f>
        <v>0</v>
      </c>
      <c r="S72" s="166">
        <f>+S78-Q78+S81-Q81+S84-Q84+S87-Q87</f>
        <v>0</v>
      </c>
      <c r="T72" s="167">
        <f>+T92+T95+T98+T101</f>
        <v>0</v>
      </c>
      <c r="U72" s="166">
        <f>+U78-S78+U81-S81+U84-S84+U87-S87</f>
        <v>0</v>
      </c>
      <c r="V72" s="167">
        <f>+V92+V95+V98+V101</f>
        <v>0</v>
      </c>
      <c r="W72" s="166">
        <f>+W78-U78+W81-U81+W84-U84+W87-U87</f>
        <v>0</v>
      </c>
      <c r="X72" s="167">
        <f>+X92+X95+X98+X101</f>
        <v>0</v>
      </c>
      <c r="Y72" s="166">
        <f>+Y78-W78+Y81-W81+Y84-W84+Y87-W87</f>
        <v>0</v>
      </c>
      <c r="Z72" s="167">
        <f>+Z92+Z95+Z98+Z101</f>
        <v>0</v>
      </c>
      <c r="AA72" s="166">
        <f>+AA78-Y78+AA81-Y81+AA84-Y84+AA87-Y87</f>
        <v>0</v>
      </c>
      <c r="AB72" s="167">
        <f>+AB92+AB95+AB98+AB101</f>
        <v>0</v>
      </c>
      <c r="AC72" s="166">
        <f>+AC78-AA78+AC81-AA81+AC84-AA84+AC87-AA87</f>
        <v>0</v>
      </c>
      <c r="AD72" s="167">
        <f>+AD92+AD95+AD98+AD101</f>
        <v>0</v>
      </c>
      <c r="AE72" s="166">
        <f>+AE78-AC78+AE81-AC81+AE84-AC84+AE87-AC87</f>
        <v>0</v>
      </c>
      <c r="AF72" s="167">
        <f>+AF92+AF95+AF98+AF101</f>
        <v>0</v>
      </c>
      <c r="AG72" s="166">
        <f>+AG78-AE78+AG81-AE81+AG84-AE84+AG87-AE87</f>
        <v>0</v>
      </c>
      <c r="AH72" s="167">
        <f>+AH92+AH95+AH98+AH101</f>
        <v>0</v>
      </c>
      <c r="AI72" s="166">
        <f>+AI78-AG78+AI81-AG81+AI84-AG84+AI87-AG87</f>
        <v>0</v>
      </c>
      <c r="AJ72" s="167">
        <f>+AJ92+AJ95+AJ98+AJ101</f>
        <v>0</v>
      </c>
      <c r="AK72" s="166">
        <f>+AK78-AI78+AK81-AI81+AK84-AI84+AK87-AI87</f>
        <v>0</v>
      </c>
      <c r="AL72" s="167">
        <f>+AL92+AL95+AL98+AL101</f>
        <v>0</v>
      </c>
      <c r="AM72" s="166">
        <f>+AM78-AK78+AM81-AK81+AM84-AK84+AM87-AK87</f>
        <v>0</v>
      </c>
      <c r="AN72" s="167">
        <f>+AN92+AN95+AN98+AN101</f>
        <v>0</v>
      </c>
      <c r="AO72" s="166">
        <f>+AO78-AM78+AO81-AM81+AO84-AM84+AO87-AM87</f>
        <v>0</v>
      </c>
      <c r="AP72" s="167">
        <f>+AP92+AP95+AP98+AP101</f>
        <v>0</v>
      </c>
      <c r="AQ72" s="166">
        <f>+AQ78-AO78+AQ81-AO81+AQ84-AO84+AQ87-AO87</f>
        <v>0</v>
      </c>
      <c r="AR72" s="167">
        <f>+AR92+AR95+AR98+AR101</f>
        <v>0</v>
      </c>
      <c r="AS72" s="166">
        <f>+AS78-AQ78+AS81-AQ81+AS84-AQ84+AS87-AQ87</f>
        <v>0</v>
      </c>
      <c r="AT72" s="167">
        <f>+AT92+AT95+AT98+AT101</f>
        <v>0</v>
      </c>
      <c r="AU72" s="166">
        <f>+AU78-AS78+AU81-AS81+AU84-AS84+AU87-AS87</f>
        <v>0</v>
      </c>
      <c r="AV72" s="167">
        <f>+AV92+AV95+AV98+AV101</f>
        <v>0</v>
      </c>
      <c r="AW72" s="166">
        <f>+AW78-AU78+AW81-AU81+AW84-AU84+AW87-AU87</f>
        <v>0</v>
      </c>
      <c r="AX72" s="167">
        <f>+AX92+AX95+AX98+AX101</f>
        <v>0</v>
      </c>
      <c r="AY72" s="166">
        <f>+AY78-AW78+AY81-AW81+AY84-AW84+AY87-AW87</f>
        <v>0</v>
      </c>
      <c r="AZ72" s="167">
        <f>+AZ92+AZ95+AZ98+AZ101</f>
        <v>0</v>
      </c>
      <c r="BA72" s="166">
        <f>+BA78-AY78+BA81-AY81+BA84-AY84+BA87-AY87</f>
        <v>0</v>
      </c>
      <c r="BB72" s="167">
        <f>+BB92+BB95+BB98+BB101</f>
        <v>0</v>
      </c>
      <c r="BC72" s="166">
        <f>+BC78-BA78+BC81-BA81+BC84-BA84+BC87-BA87</f>
        <v>0</v>
      </c>
      <c r="BD72" s="167">
        <f>+BD92+BD95+BD98+BD101</f>
        <v>0</v>
      </c>
      <c r="BE72" s="166">
        <f>+BE78-BC78+BE81-BC81+BE84-BC84+BE87-BC87</f>
        <v>0</v>
      </c>
      <c r="BF72" s="167">
        <f>+BF92+BF95+BF98+BF101</f>
        <v>0</v>
      </c>
      <c r="BG72" s="166">
        <f>+BG78-BE78+BG81-BE81+BG84-BE84+BG87-BE87</f>
        <v>0</v>
      </c>
      <c r="BH72" s="167">
        <f>+BH92+BH95+BH98+BH101</f>
        <v>0</v>
      </c>
      <c r="BI72" s="166">
        <f>+BI78-BG78+BI81-BG81+BI84-BG84+BI87-BG87</f>
        <v>0</v>
      </c>
      <c r="BJ72" s="167">
        <f>+BJ92+BJ95+BJ98+BJ101</f>
        <v>0</v>
      </c>
      <c r="BK72" s="166">
        <f>+BK78-BI78+BK81-BI81+BK84-BI84+BK87-BI87</f>
        <v>0</v>
      </c>
      <c r="BL72" s="49"/>
      <c r="BM72" s="48"/>
      <c r="BN72" s="50"/>
      <c r="BO72" s="170" t="e">
        <f t="shared" si="92"/>
        <v>#VALUE!</v>
      </c>
      <c r="BP72" s="167">
        <f>+BP92+BP95+BP98+BP101</f>
        <v>0</v>
      </c>
      <c r="BQ72" s="172" t="e">
        <f>+BQ78-BM78+BQ81-BM81+BQ84-BM84+BQ87-BM87</f>
        <v>#VALUE!</v>
      </c>
    </row>
    <row r="73" spans="1:69" x14ac:dyDescent="0.35">
      <c r="A73" s="137"/>
      <c r="B73" s="138"/>
      <c r="C73" s="139"/>
      <c r="D73" s="189">
        <f t="shared" ref="D73:BK73" si="93">SUM(D68:D72)</f>
        <v>0</v>
      </c>
      <c r="E73" s="177" t="e">
        <f t="shared" si="93"/>
        <v>#VALUE!</v>
      </c>
      <c r="F73" s="167">
        <f t="shared" si="93"/>
        <v>0</v>
      </c>
      <c r="G73" s="177">
        <f t="shared" si="93"/>
        <v>0</v>
      </c>
      <c r="H73" s="167">
        <f t="shared" si="93"/>
        <v>0</v>
      </c>
      <c r="I73" s="177">
        <f t="shared" si="93"/>
        <v>0</v>
      </c>
      <c r="J73" s="167">
        <f t="shared" si="93"/>
        <v>0</v>
      </c>
      <c r="K73" s="177">
        <f t="shared" si="93"/>
        <v>0</v>
      </c>
      <c r="L73" s="167">
        <f t="shared" si="93"/>
        <v>0</v>
      </c>
      <c r="M73" s="177">
        <f t="shared" si="93"/>
        <v>0</v>
      </c>
      <c r="N73" s="167">
        <f t="shared" si="93"/>
        <v>0</v>
      </c>
      <c r="O73" s="177">
        <f t="shared" si="93"/>
        <v>0</v>
      </c>
      <c r="P73" s="167">
        <f t="shared" si="93"/>
        <v>0</v>
      </c>
      <c r="Q73" s="177">
        <f t="shared" si="93"/>
        <v>0</v>
      </c>
      <c r="R73" s="167">
        <f t="shared" si="93"/>
        <v>0</v>
      </c>
      <c r="S73" s="177">
        <f t="shared" si="93"/>
        <v>0</v>
      </c>
      <c r="T73" s="167">
        <f t="shared" si="93"/>
        <v>0</v>
      </c>
      <c r="U73" s="177">
        <f t="shared" si="93"/>
        <v>0</v>
      </c>
      <c r="V73" s="167">
        <f t="shared" si="93"/>
        <v>0</v>
      </c>
      <c r="W73" s="177">
        <f t="shared" si="93"/>
        <v>0</v>
      </c>
      <c r="X73" s="167">
        <f t="shared" si="93"/>
        <v>0</v>
      </c>
      <c r="Y73" s="177">
        <f t="shared" si="93"/>
        <v>0</v>
      </c>
      <c r="Z73" s="167">
        <f t="shared" si="93"/>
        <v>0</v>
      </c>
      <c r="AA73" s="177">
        <f t="shared" si="93"/>
        <v>0</v>
      </c>
      <c r="AB73" s="167">
        <f t="shared" si="93"/>
        <v>0</v>
      </c>
      <c r="AC73" s="177">
        <f t="shared" si="93"/>
        <v>0</v>
      </c>
      <c r="AD73" s="167">
        <f t="shared" si="93"/>
        <v>0</v>
      </c>
      <c r="AE73" s="177">
        <f t="shared" si="93"/>
        <v>0</v>
      </c>
      <c r="AF73" s="167">
        <f t="shared" si="93"/>
        <v>0</v>
      </c>
      <c r="AG73" s="177">
        <f t="shared" si="93"/>
        <v>0</v>
      </c>
      <c r="AH73" s="167">
        <f t="shared" si="93"/>
        <v>0</v>
      </c>
      <c r="AI73" s="177">
        <f t="shared" si="93"/>
        <v>0</v>
      </c>
      <c r="AJ73" s="167">
        <f t="shared" si="93"/>
        <v>0</v>
      </c>
      <c r="AK73" s="177">
        <f t="shared" si="93"/>
        <v>0</v>
      </c>
      <c r="AL73" s="167">
        <f t="shared" si="93"/>
        <v>0</v>
      </c>
      <c r="AM73" s="177">
        <f t="shared" si="93"/>
        <v>0</v>
      </c>
      <c r="AN73" s="167">
        <f t="shared" si="93"/>
        <v>0</v>
      </c>
      <c r="AO73" s="177">
        <f t="shared" si="93"/>
        <v>0</v>
      </c>
      <c r="AP73" s="167">
        <f t="shared" si="93"/>
        <v>0</v>
      </c>
      <c r="AQ73" s="177">
        <f t="shared" si="93"/>
        <v>0</v>
      </c>
      <c r="AR73" s="167">
        <f t="shared" si="93"/>
        <v>0</v>
      </c>
      <c r="AS73" s="177">
        <f t="shared" si="93"/>
        <v>0</v>
      </c>
      <c r="AT73" s="167">
        <f t="shared" si="93"/>
        <v>0</v>
      </c>
      <c r="AU73" s="177">
        <f t="shared" si="93"/>
        <v>0</v>
      </c>
      <c r="AV73" s="167">
        <f t="shared" si="93"/>
        <v>0</v>
      </c>
      <c r="AW73" s="177">
        <f t="shared" si="93"/>
        <v>0</v>
      </c>
      <c r="AX73" s="167">
        <f t="shared" si="93"/>
        <v>0</v>
      </c>
      <c r="AY73" s="177">
        <f t="shared" si="93"/>
        <v>0</v>
      </c>
      <c r="AZ73" s="167">
        <f t="shared" si="93"/>
        <v>0</v>
      </c>
      <c r="BA73" s="177">
        <f t="shared" si="93"/>
        <v>0</v>
      </c>
      <c r="BB73" s="167">
        <f t="shared" si="93"/>
        <v>0</v>
      </c>
      <c r="BC73" s="177">
        <f t="shared" si="93"/>
        <v>0</v>
      </c>
      <c r="BD73" s="167">
        <f t="shared" si="93"/>
        <v>0</v>
      </c>
      <c r="BE73" s="177">
        <f t="shared" si="93"/>
        <v>0</v>
      </c>
      <c r="BF73" s="167">
        <f t="shared" si="93"/>
        <v>0</v>
      </c>
      <c r="BG73" s="177">
        <f t="shared" si="93"/>
        <v>0</v>
      </c>
      <c r="BH73" s="167">
        <f t="shared" si="93"/>
        <v>0</v>
      </c>
      <c r="BI73" s="177">
        <f>SUM(BI68:BI72)</f>
        <v>0</v>
      </c>
      <c r="BJ73" s="167">
        <f t="shared" si="93"/>
        <v>0</v>
      </c>
      <c r="BK73" s="177">
        <f t="shared" si="93"/>
        <v>0</v>
      </c>
      <c r="BL73" s="49"/>
      <c r="BM73" s="91"/>
      <c r="BN73" s="92"/>
      <c r="BO73" s="170" t="e">
        <f t="shared" si="92"/>
        <v>#VALUE!</v>
      </c>
      <c r="BP73" s="167">
        <f t="shared" ref="BP73" si="94">SUM(BP68:BP72)</f>
        <v>0</v>
      </c>
      <c r="BQ73" s="179" t="e">
        <f>SUM(BQ68:BQ72)</f>
        <v>#VALUE!</v>
      </c>
    </row>
    <row r="74" spans="1:69" x14ac:dyDescent="0.35">
      <c r="A74" s="53" t="s">
        <v>30</v>
      </c>
      <c r="B74" s="138"/>
      <c r="C74" s="210" t="str">
        <f>IF('October 2026 Log'!BM74="","",'October 2026 Log'!BM74)</f>
        <v/>
      </c>
      <c r="D74" s="47"/>
      <c r="E74" s="48"/>
      <c r="F74" s="49"/>
      <c r="G74" s="48"/>
      <c r="H74" s="49"/>
      <c r="I74" s="48"/>
      <c r="J74" s="49"/>
      <c r="K74" s="48"/>
      <c r="L74" s="49"/>
      <c r="M74" s="48"/>
      <c r="N74" s="49"/>
      <c r="O74" s="48"/>
      <c r="P74" s="49"/>
      <c r="Q74" s="48"/>
      <c r="R74" s="49"/>
      <c r="S74" s="48"/>
      <c r="T74" s="49"/>
      <c r="U74" s="48"/>
      <c r="V74" s="49"/>
      <c r="W74" s="48"/>
      <c r="X74" s="49"/>
      <c r="Y74" s="48"/>
      <c r="Z74" s="49"/>
      <c r="AA74" s="48"/>
      <c r="AB74" s="49"/>
      <c r="AC74" s="48"/>
      <c r="AD74" s="49"/>
      <c r="AE74" s="48"/>
      <c r="AF74" s="49"/>
      <c r="AG74" s="48"/>
      <c r="AH74" s="49"/>
      <c r="AI74" s="48"/>
      <c r="AJ74" s="49"/>
      <c r="AK74" s="48"/>
      <c r="AL74" s="49"/>
      <c r="AM74" s="48"/>
      <c r="AN74" s="49"/>
      <c r="AO74" s="48"/>
      <c r="AP74" s="49"/>
      <c r="AQ74" s="48"/>
      <c r="AR74" s="49"/>
      <c r="AS74" s="48"/>
      <c r="AT74" s="49"/>
      <c r="AU74" s="48"/>
      <c r="AV74" s="49"/>
      <c r="AW74" s="48"/>
      <c r="AX74" s="49"/>
      <c r="AY74" s="48"/>
      <c r="AZ74" s="49"/>
      <c r="BA74" s="48"/>
      <c r="BB74" s="49"/>
      <c r="BC74" s="48"/>
      <c r="BD74" s="49"/>
      <c r="BE74" s="48"/>
      <c r="BF74" s="49"/>
      <c r="BG74" s="48"/>
      <c r="BH74" s="49"/>
      <c r="BI74" s="48"/>
      <c r="BJ74" s="49"/>
      <c r="BK74" s="48"/>
      <c r="BL74" s="49"/>
      <c r="BM74" s="48"/>
      <c r="BN74" s="50"/>
      <c r="BO74" s="170" t="str">
        <f t="shared" si="92"/>
        <v/>
      </c>
      <c r="BP74" s="49"/>
      <c r="BQ74" s="178" t="str">
        <f>IF(BK74="","",BK74)</f>
        <v/>
      </c>
    </row>
    <row r="75" spans="1:69" x14ac:dyDescent="0.35">
      <c r="A75" s="98" t="s">
        <v>31</v>
      </c>
      <c r="B75" s="138"/>
      <c r="C75" s="211">
        <f>IF('October 2026 Log'!BM75="","",'October 2026 Log'!BM75)</f>
        <v>0</v>
      </c>
      <c r="D75" s="47"/>
      <c r="E75" s="177">
        <f>+E57-E74</f>
        <v>0</v>
      </c>
      <c r="F75" s="49"/>
      <c r="G75" s="177">
        <f>+G57-G74</f>
        <v>0</v>
      </c>
      <c r="H75" s="49"/>
      <c r="I75" s="177">
        <f>+I57-I74</f>
        <v>0</v>
      </c>
      <c r="J75" s="49"/>
      <c r="K75" s="177">
        <f>+K57-K74</f>
        <v>0</v>
      </c>
      <c r="L75" s="49"/>
      <c r="M75" s="177">
        <f>+M57-M74</f>
        <v>0</v>
      </c>
      <c r="N75" s="49"/>
      <c r="O75" s="177">
        <f>+O57-O74</f>
        <v>0</v>
      </c>
      <c r="P75" s="49"/>
      <c r="Q75" s="177">
        <f>+Q57-Q74</f>
        <v>0</v>
      </c>
      <c r="R75" s="49"/>
      <c r="S75" s="177">
        <f>+S57-S74</f>
        <v>0</v>
      </c>
      <c r="T75" s="49"/>
      <c r="U75" s="177">
        <f>+U57-U74</f>
        <v>0</v>
      </c>
      <c r="V75" s="49"/>
      <c r="W75" s="177">
        <f>+W57-W74</f>
        <v>0</v>
      </c>
      <c r="X75" s="49"/>
      <c r="Y75" s="177">
        <f>+Y57-Y74</f>
        <v>0</v>
      </c>
      <c r="Z75" s="49"/>
      <c r="AA75" s="177">
        <f>+AA57-AA74</f>
        <v>0</v>
      </c>
      <c r="AB75" s="49"/>
      <c r="AC75" s="177">
        <f>+AC57-AC74</f>
        <v>0</v>
      </c>
      <c r="AD75" s="49"/>
      <c r="AE75" s="177">
        <f>+AE57-AE74</f>
        <v>0</v>
      </c>
      <c r="AF75" s="49"/>
      <c r="AG75" s="177">
        <f>+AG57-AG74</f>
        <v>0</v>
      </c>
      <c r="AH75" s="49"/>
      <c r="AI75" s="177">
        <f>+AI57-AI74</f>
        <v>0</v>
      </c>
      <c r="AJ75" s="49"/>
      <c r="AK75" s="177">
        <f>+AK57-AK74</f>
        <v>0</v>
      </c>
      <c r="AL75" s="49"/>
      <c r="AM75" s="177">
        <f>+AM57-AM74</f>
        <v>0</v>
      </c>
      <c r="AN75" s="49"/>
      <c r="AO75" s="177">
        <f>+AO57-AO74</f>
        <v>0</v>
      </c>
      <c r="AP75" s="49"/>
      <c r="AQ75" s="177">
        <f>+AQ57-AQ74</f>
        <v>0</v>
      </c>
      <c r="AR75" s="49"/>
      <c r="AS75" s="177">
        <f>+AS57-AS74</f>
        <v>0</v>
      </c>
      <c r="AT75" s="49"/>
      <c r="AU75" s="177">
        <f>+AU57-AU74</f>
        <v>0</v>
      </c>
      <c r="AV75" s="49"/>
      <c r="AW75" s="177">
        <f>+AW57-AW74</f>
        <v>0</v>
      </c>
      <c r="AX75" s="49"/>
      <c r="AY75" s="177">
        <f>+AY57-AY74</f>
        <v>0</v>
      </c>
      <c r="AZ75" s="49"/>
      <c r="BA75" s="177">
        <f>+BA57-BA74</f>
        <v>0</v>
      </c>
      <c r="BB75" s="49"/>
      <c r="BC75" s="177">
        <f>+BC57-BC74</f>
        <v>0</v>
      </c>
      <c r="BD75" s="49"/>
      <c r="BE75" s="177">
        <f>+BE57-BE74</f>
        <v>0</v>
      </c>
      <c r="BF75" s="49"/>
      <c r="BG75" s="177">
        <f>+BG57-BG74</f>
        <v>0</v>
      </c>
      <c r="BH75" s="49"/>
      <c r="BI75" s="177">
        <f>+BI57-BI74</f>
        <v>0</v>
      </c>
      <c r="BJ75" s="49"/>
      <c r="BK75" s="177">
        <f>+BK57-BK74</f>
        <v>0</v>
      </c>
      <c r="BL75" s="49"/>
      <c r="BM75" s="91"/>
      <c r="BN75" s="92"/>
      <c r="BO75" s="170">
        <f t="shared" si="92"/>
        <v>0</v>
      </c>
      <c r="BP75" s="49"/>
      <c r="BQ75" s="179">
        <f>IF(BK75="","",BK75)</f>
        <v>0</v>
      </c>
    </row>
    <row r="76" spans="1:69" ht="28.9" customHeight="1" x14ac:dyDescent="0.35">
      <c r="A76" s="74" t="s">
        <v>92</v>
      </c>
      <c r="B76" s="75"/>
      <c r="C76" s="141"/>
      <c r="D76" s="102"/>
      <c r="E76" s="142"/>
      <c r="F76" s="104"/>
      <c r="G76" s="142"/>
      <c r="H76" s="104"/>
      <c r="I76" s="142"/>
      <c r="J76" s="104"/>
      <c r="K76" s="142"/>
      <c r="L76" s="104"/>
      <c r="M76" s="142"/>
      <c r="N76" s="104"/>
      <c r="O76" s="142"/>
      <c r="P76" s="104"/>
      <c r="Q76" s="142"/>
      <c r="R76" s="104"/>
      <c r="S76" s="142"/>
      <c r="T76" s="104"/>
      <c r="U76" s="142"/>
      <c r="V76" s="104"/>
      <c r="W76" s="142"/>
      <c r="X76" s="104"/>
      <c r="Y76" s="142"/>
      <c r="Z76" s="104"/>
      <c r="AA76" s="142"/>
      <c r="AB76" s="104"/>
      <c r="AC76" s="142"/>
      <c r="AD76" s="104"/>
      <c r="AE76" s="142"/>
      <c r="AF76" s="104"/>
      <c r="AG76" s="142"/>
      <c r="AH76" s="104"/>
      <c r="AI76" s="142"/>
      <c r="AJ76" s="104"/>
      <c r="AK76" s="142"/>
      <c r="AL76" s="104"/>
      <c r="AM76" s="142"/>
      <c r="AN76" s="104"/>
      <c r="AO76" s="142"/>
      <c r="AP76" s="104"/>
      <c r="AQ76" s="142"/>
      <c r="AR76" s="104"/>
      <c r="AS76" s="142"/>
      <c r="AT76" s="104"/>
      <c r="AU76" s="142"/>
      <c r="AV76" s="104"/>
      <c r="AW76" s="142"/>
      <c r="AX76" s="104"/>
      <c r="AY76" s="142"/>
      <c r="AZ76" s="104"/>
      <c r="BA76" s="142"/>
      <c r="BB76" s="104"/>
      <c r="BC76" s="142"/>
      <c r="BD76" s="104"/>
      <c r="BE76" s="142"/>
      <c r="BF76" s="104"/>
      <c r="BG76" s="142"/>
      <c r="BH76" s="104"/>
      <c r="BI76" s="142"/>
      <c r="BJ76" s="104"/>
      <c r="BK76" s="142"/>
      <c r="BL76" s="104"/>
      <c r="BM76" s="142"/>
      <c r="BN76" s="105"/>
      <c r="BO76" s="106"/>
      <c r="BP76" s="104"/>
      <c r="BQ76" s="107"/>
    </row>
    <row r="77" spans="1:69" x14ac:dyDescent="0.35">
      <c r="A77" s="132" t="s">
        <v>75</v>
      </c>
      <c r="B77" s="54" t="s">
        <v>65</v>
      </c>
      <c r="C77" s="174" t="str">
        <f>IF('October 2026 Log'!BM77="","",'October 2026 Log'!BM77)</f>
        <v/>
      </c>
      <c r="D77" s="189" t="e">
        <f t="shared" ref="D77:D104" si="95">+E77-C77</f>
        <v>#VALUE!</v>
      </c>
      <c r="E77" s="86"/>
      <c r="F77" s="167">
        <f t="shared" ref="F77:F104" si="96">+G77-E77</f>
        <v>0</v>
      </c>
      <c r="G77" s="86"/>
      <c r="H77" s="167">
        <f t="shared" ref="H77:H104" si="97">+I77-G77</f>
        <v>0</v>
      </c>
      <c r="I77" s="86"/>
      <c r="J77" s="167">
        <f t="shared" ref="J77:J104" si="98">+K77-I77</f>
        <v>0</v>
      </c>
      <c r="K77" s="86"/>
      <c r="L77" s="167">
        <f t="shared" ref="L77:L89" si="99">+M77-K77</f>
        <v>0</v>
      </c>
      <c r="M77" s="86"/>
      <c r="N77" s="167">
        <f t="shared" ref="N77:N89" si="100">+O77-M77</f>
        <v>0</v>
      </c>
      <c r="O77" s="86"/>
      <c r="P77" s="167">
        <f t="shared" ref="P77:P89" si="101">+Q77-O77</f>
        <v>0</v>
      </c>
      <c r="Q77" s="86"/>
      <c r="R77" s="167">
        <f t="shared" ref="R77:R89" si="102">+S77-Q77</f>
        <v>0</v>
      </c>
      <c r="S77" s="86"/>
      <c r="T77" s="167">
        <f t="shared" ref="T77:T89" si="103">+U77-S77</f>
        <v>0</v>
      </c>
      <c r="U77" s="86"/>
      <c r="V77" s="167">
        <f t="shared" ref="V77:V89" si="104">+W77-U77</f>
        <v>0</v>
      </c>
      <c r="W77" s="86"/>
      <c r="X77" s="167">
        <f t="shared" ref="X77:X89" si="105">+Y77-W77</f>
        <v>0</v>
      </c>
      <c r="Y77" s="86"/>
      <c r="Z77" s="167">
        <f t="shared" ref="Z77:Z89" si="106">+AA77-Y77</f>
        <v>0</v>
      </c>
      <c r="AA77" s="86"/>
      <c r="AB77" s="167">
        <f t="shared" ref="AB77:AB89" si="107">+AC77-AA77</f>
        <v>0</v>
      </c>
      <c r="AC77" s="86"/>
      <c r="AD77" s="167">
        <f t="shared" ref="AD77:AD89" si="108">+AE77-AC77</f>
        <v>0</v>
      </c>
      <c r="AE77" s="86"/>
      <c r="AF77" s="167">
        <f t="shared" ref="AF77:AF89" si="109">+AG77-AE77</f>
        <v>0</v>
      </c>
      <c r="AG77" s="86"/>
      <c r="AH77" s="167">
        <f t="shared" ref="AH77:AH89" si="110">+AI77-AG77</f>
        <v>0</v>
      </c>
      <c r="AI77" s="86"/>
      <c r="AJ77" s="167">
        <f t="shared" ref="AJ77:AJ89" si="111">+AK77-AI77</f>
        <v>0</v>
      </c>
      <c r="AK77" s="86"/>
      <c r="AL77" s="167">
        <f t="shared" ref="AL77:AL89" si="112">+AM77-AK77</f>
        <v>0</v>
      </c>
      <c r="AM77" s="86"/>
      <c r="AN77" s="167">
        <f t="shared" ref="AN77:AN89" si="113">+AO77-AM77</f>
        <v>0</v>
      </c>
      <c r="AO77" s="86"/>
      <c r="AP77" s="167">
        <f t="shared" ref="AP77:AP89" si="114">+AQ77-AO77</f>
        <v>0</v>
      </c>
      <c r="AQ77" s="86"/>
      <c r="AR77" s="167">
        <f t="shared" ref="AR77:AR89" si="115">+AS77-AQ77</f>
        <v>0</v>
      </c>
      <c r="AS77" s="86"/>
      <c r="AT77" s="167">
        <f t="shared" ref="AT77:AT89" si="116">+AU77-AS77</f>
        <v>0</v>
      </c>
      <c r="AU77" s="86"/>
      <c r="AV77" s="167">
        <f t="shared" ref="AV77:AV89" si="117">+AW77-AU77</f>
        <v>0</v>
      </c>
      <c r="AW77" s="86"/>
      <c r="AX77" s="167">
        <f t="shared" ref="AX77:AX89" si="118">+AY77-AW77</f>
        <v>0</v>
      </c>
      <c r="AY77" s="86"/>
      <c r="AZ77" s="167">
        <f t="shared" ref="AZ77:AZ89" si="119">+BA77-AY77</f>
        <v>0</v>
      </c>
      <c r="BA77" s="86"/>
      <c r="BB77" s="167">
        <f t="shared" ref="BB77:BB89" si="120">+BC77-BA77</f>
        <v>0</v>
      </c>
      <c r="BC77" s="86"/>
      <c r="BD77" s="167">
        <f t="shared" ref="BD77:BD89" si="121">+BE77-BC77</f>
        <v>0</v>
      </c>
      <c r="BE77" s="86"/>
      <c r="BF77" s="167">
        <f t="shared" ref="BF77:BF89" si="122">+BG77-BE77</f>
        <v>0</v>
      </c>
      <c r="BG77" s="86"/>
      <c r="BH77" s="167">
        <f t="shared" ref="BH77:BH89" si="123">+BI77-BG77</f>
        <v>0</v>
      </c>
      <c r="BI77" s="86"/>
      <c r="BJ77" s="167">
        <f t="shared" ref="BJ77:BJ89" si="124">+BK77-BI77</f>
        <v>0</v>
      </c>
      <c r="BK77" s="86"/>
      <c r="BL77" s="49"/>
      <c r="BM77" s="86"/>
      <c r="BN77" s="50"/>
      <c r="BO77" s="170" t="e">
        <f t="shared" ref="BO77:BO88" si="125">IF(COUNT(D77,F77,H77,J77,L77,N77,P77,R77,T77,V77,X77,Z77,AB77,AD77,AF77,AH77,AJ77,AL77,AN77,AP77,AR77,AT77,AV77,AX77,AZ77,BB77,BD77,BF77,BH77,BJ77,BL77)=0,"",SUM(D77,F77,H77,J77,L77,N77,P77,R77,T77,V77,X77,Z77,AB77,AD77,AF77,AH77,AJ77,AL77,AN77,AP77,AR77,AT77,AV77,AX77,AZ77,BB77,BD77,BF77,BH77,BJ77,BL77))</f>
        <v>#VALUE!</v>
      </c>
      <c r="BP77" s="193" t="e">
        <f>+BQ77-BM77</f>
        <v>#VALUE!</v>
      </c>
      <c r="BQ77" s="212" t="str">
        <f t="shared" ref="BQ77:BQ88" si="126">IF(BK77="","",BK77)</f>
        <v/>
      </c>
    </row>
    <row r="78" spans="1:69" x14ac:dyDescent="0.35">
      <c r="A78" s="136" t="s">
        <v>76</v>
      </c>
      <c r="B78" s="54" t="s">
        <v>66</v>
      </c>
      <c r="C78" s="174" t="str">
        <f>IF('October 2026 Log'!BM78="","",'October 2026 Log'!BM78)</f>
        <v/>
      </c>
      <c r="D78" s="189" t="e">
        <f t="shared" si="95"/>
        <v>#VALUE!</v>
      </c>
      <c r="E78" s="86"/>
      <c r="F78" s="167">
        <f t="shared" si="96"/>
        <v>0</v>
      </c>
      <c r="G78" s="86"/>
      <c r="H78" s="167">
        <f t="shared" si="97"/>
        <v>0</v>
      </c>
      <c r="I78" s="86"/>
      <c r="J78" s="167">
        <f t="shared" si="98"/>
        <v>0</v>
      </c>
      <c r="K78" s="86"/>
      <c r="L78" s="167">
        <f t="shared" si="99"/>
        <v>0</v>
      </c>
      <c r="M78" s="86"/>
      <c r="N78" s="167">
        <f t="shared" si="100"/>
        <v>0</v>
      </c>
      <c r="O78" s="86"/>
      <c r="P78" s="167">
        <f t="shared" si="101"/>
        <v>0</v>
      </c>
      <c r="Q78" s="86"/>
      <c r="R78" s="167">
        <f t="shared" si="102"/>
        <v>0</v>
      </c>
      <c r="S78" s="86"/>
      <c r="T78" s="167">
        <f t="shared" si="103"/>
        <v>0</v>
      </c>
      <c r="U78" s="86"/>
      <c r="V78" s="167">
        <f t="shared" si="104"/>
        <v>0</v>
      </c>
      <c r="W78" s="86"/>
      <c r="X78" s="167">
        <f t="shared" si="105"/>
        <v>0</v>
      </c>
      <c r="Y78" s="86"/>
      <c r="Z78" s="167">
        <f t="shared" si="106"/>
        <v>0</v>
      </c>
      <c r="AA78" s="86"/>
      <c r="AB78" s="167">
        <f t="shared" si="107"/>
        <v>0</v>
      </c>
      <c r="AC78" s="86"/>
      <c r="AD78" s="167">
        <f t="shared" si="108"/>
        <v>0</v>
      </c>
      <c r="AE78" s="86"/>
      <c r="AF78" s="167">
        <f t="shared" si="109"/>
        <v>0</v>
      </c>
      <c r="AG78" s="86"/>
      <c r="AH78" s="167">
        <f t="shared" si="110"/>
        <v>0</v>
      </c>
      <c r="AI78" s="86"/>
      <c r="AJ78" s="167">
        <f t="shared" si="111"/>
        <v>0</v>
      </c>
      <c r="AK78" s="86"/>
      <c r="AL78" s="167">
        <f t="shared" si="112"/>
        <v>0</v>
      </c>
      <c r="AM78" s="86"/>
      <c r="AN78" s="167">
        <f t="shared" si="113"/>
        <v>0</v>
      </c>
      <c r="AO78" s="86"/>
      <c r="AP78" s="167">
        <f t="shared" si="114"/>
        <v>0</v>
      </c>
      <c r="AQ78" s="86"/>
      <c r="AR78" s="167">
        <f t="shared" si="115"/>
        <v>0</v>
      </c>
      <c r="AS78" s="86"/>
      <c r="AT78" s="167">
        <f t="shared" si="116"/>
        <v>0</v>
      </c>
      <c r="AU78" s="86"/>
      <c r="AV78" s="167">
        <f t="shared" si="117"/>
        <v>0</v>
      </c>
      <c r="AW78" s="86"/>
      <c r="AX78" s="167">
        <f t="shared" si="118"/>
        <v>0</v>
      </c>
      <c r="AY78" s="86"/>
      <c r="AZ78" s="167">
        <f t="shared" si="119"/>
        <v>0</v>
      </c>
      <c r="BA78" s="86"/>
      <c r="BB78" s="167">
        <f t="shared" si="120"/>
        <v>0</v>
      </c>
      <c r="BC78" s="86"/>
      <c r="BD78" s="167">
        <f t="shared" si="121"/>
        <v>0</v>
      </c>
      <c r="BE78" s="86"/>
      <c r="BF78" s="167">
        <f t="shared" si="122"/>
        <v>0</v>
      </c>
      <c r="BG78" s="86"/>
      <c r="BH78" s="167">
        <f t="shared" si="123"/>
        <v>0</v>
      </c>
      <c r="BI78" s="86"/>
      <c r="BJ78" s="167">
        <f t="shared" si="124"/>
        <v>0</v>
      </c>
      <c r="BK78" s="86"/>
      <c r="BL78" s="49"/>
      <c r="BM78" s="86"/>
      <c r="BN78" s="50"/>
      <c r="BO78" s="170" t="e">
        <f t="shared" si="125"/>
        <v>#VALUE!</v>
      </c>
      <c r="BP78" s="167" t="e">
        <f t="shared" ref="BP78:BP89" si="127">+BQ78-BM78</f>
        <v>#VALUE!</v>
      </c>
      <c r="BQ78" s="178" t="str">
        <f t="shared" si="126"/>
        <v/>
      </c>
    </row>
    <row r="79" spans="1:69" x14ac:dyDescent="0.35">
      <c r="A79" s="134" t="s">
        <v>77</v>
      </c>
      <c r="B79" s="54" t="s">
        <v>67</v>
      </c>
      <c r="C79" s="174" t="str">
        <f>IF('October 2026 Log'!BM79="","",'October 2026 Log'!BM79)</f>
        <v/>
      </c>
      <c r="D79" s="189" t="e">
        <f t="shared" si="95"/>
        <v>#VALUE!</v>
      </c>
      <c r="E79" s="86"/>
      <c r="F79" s="167">
        <f t="shared" si="96"/>
        <v>0</v>
      </c>
      <c r="G79" s="86"/>
      <c r="H79" s="167">
        <f t="shared" si="97"/>
        <v>0</v>
      </c>
      <c r="I79" s="86"/>
      <c r="J79" s="167">
        <f t="shared" si="98"/>
        <v>0</v>
      </c>
      <c r="K79" s="86"/>
      <c r="L79" s="167">
        <f t="shared" si="99"/>
        <v>0</v>
      </c>
      <c r="M79" s="86"/>
      <c r="N79" s="167">
        <f t="shared" si="100"/>
        <v>0</v>
      </c>
      <c r="O79" s="86"/>
      <c r="P79" s="167">
        <f t="shared" si="101"/>
        <v>0</v>
      </c>
      <c r="Q79" s="86"/>
      <c r="R79" s="167">
        <f t="shared" si="102"/>
        <v>0</v>
      </c>
      <c r="S79" s="86"/>
      <c r="T79" s="167">
        <f t="shared" si="103"/>
        <v>0</v>
      </c>
      <c r="U79" s="86"/>
      <c r="V79" s="167">
        <f t="shared" si="104"/>
        <v>0</v>
      </c>
      <c r="W79" s="86"/>
      <c r="X79" s="167">
        <f t="shared" si="105"/>
        <v>0</v>
      </c>
      <c r="Y79" s="86"/>
      <c r="Z79" s="167">
        <f t="shared" si="106"/>
        <v>0</v>
      </c>
      <c r="AA79" s="86"/>
      <c r="AB79" s="167">
        <f t="shared" si="107"/>
        <v>0</v>
      </c>
      <c r="AC79" s="86"/>
      <c r="AD79" s="167">
        <f t="shared" si="108"/>
        <v>0</v>
      </c>
      <c r="AE79" s="86"/>
      <c r="AF79" s="167">
        <f t="shared" si="109"/>
        <v>0</v>
      </c>
      <c r="AG79" s="86"/>
      <c r="AH79" s="167">
        <f t="shared" si="110"/>
        <v>0</v>
      </c>
      <c r="AI79" s="86"/>
      <c r="AJ79" s="167">
        <f t="shared" si="111"/>
        <v>0</v>
      </c>
      <c r="AK79" s="86"/>
      <c r="AL79" s="167">
        <f t="shared" si="112"/>
        <v>0</v>
      </c>
      <c r="AM79" s="86"/>
      <c r="AN79" s="167">
        <f t="shared" si="113"/>
        <v>0</v>
      </c>
      <c r="AO79" s="86"/>
      <c r="AP79" s="167">
        <f t="shared" si="114"/>
        <v>0</v>
      </c>
      <c r="AQ79" s="86"/>
      <c r="AR79" s="167">
        <f t="shared" si="115"/>
        <v>0</v>
      </c>
      <c r="AS79" s="86"/>
      <c r="AT79" s="167">
        <f t="shared" si="116"/>
        <v>0</v>
      </c>
      <c r="AU79" s="86"/>
      <c r="AV79" s="167">
        <f t="shared" si="117"/>
        <v>0</v>
      </c>
      <c r="AW79" s="86"/>
      <c r="AX79" s="167">
        <f t="shared" si="118"/>
        <v>0</v>
      </c>
      <c r="AY79" s="86"/>
      <c r="AZ79" s="167">
        <f t="shared" si="119"/>
        <v>0</v>
      </c>
      <c r="BA79" s="86"/>
      <c r="BB79" s="167">
        <f t="shared" si="120"/>
        <v>0</v>
      </c>
      <c r="BC79" s="86"/>
      <c r="BD79" s="167">
        <f t="shared" si="121"/>
        <v>0</v>
      </c>
      <c r="BE79" s="86"/>
      <c r="BF79" s="167">
        <f t="shared" si="122"/>
        <v>0</v>
      </c>
      <c r="BG79" s="86"/>
      <c r="BH79" s="167">
        <f t="shared" si="123"/>
        <v>0</v>
      </c>
      <c r="BI79" s="86"/>
      <c r="BJ79" s="167">
        <f t="shared" si="124"/>
        <v>0</v>
      </c>
      <c r="BK79" s="86"/>
      <c r="BL79" s="49"/>
      <c r="BM79" s="86"/>
      <c r="BN79" s="50"/>
      <c r="BO79" s="170" t="e">
        <f t="shared" si="125"/>
        <v>#VALUE!</v>
      </c>
      <c r="BP79" s="167" t="e">
        <f t="shared" si="127"/>
        <v>#VALUE!</v>
      </c>
      <c r="BQ79" s="178" t="str">
        <f t="shared" si="126"/>
        <v/>
      </c>
    </row>
    <row r="80" spans="1:69" x14ac:dyDescent="0.35">
      <c r="A80" s="132" t="s">
        <v>78</v>
      </c>
      <c r="B80" s="54" t="s">
        <v>65</v>
      </c>
      <c r="C80" s="174" t="str">
        <f>IF('October 2026 Log'!BM80="","",'October 2026 Log'!BM80)</f>
        <v/>
      </c>
      <c r="D80" s="189" t="e">
        <f t="shared" si="95"/>
        <v>#VALUE!</v>
      </c>
      <c r="E80" s="86"/>
      <c r="F80" s="167">
        <f t="shared" si="96"/>
        <v>0</v>
      </c>
      <c r="G80" s="86"/>
      <c r="H80" s="167">
        <f t="shared" si="97"/>
        <v>0</v>
      </c>
      <c r="I80" s="86"/>
      <c r="J80" s="167">
        <f t="shared" si="98"/>
        <v>0</v>
      </c>
      <c r="K80" s="86"/>
      <c r="L80" s="167">
        <f t="shared" si="99"/>
        <v>0</v>
      </c>
      <c r="M80" s="86"/>
      <c r="N80" s="167">
        <f t="shared" si="100"/>
        <v>0</v>
      </c>
      <c r="O80" s="86"/>
      <c r="P80" s="167">
        <f t="shared" si="101"/>
        <v>0</v>
      </c>
      <c r="Q80" s="86"/>
      <c r="R80" s="167">
        <f t="shared" si="102"/>
        <v>0</v>
      </c>
      <c r="S80" s="86"/>
      <c r="T80" s="167">
        <f t="shared" si="103"/>
        <v>0</v>
      </c>
      <c r="U80" s="86"/>
      <c r="V80" s="167">
        <f t="shared" si="104"/>
        <v>0</v>
      </c>
      <c r="W80" s="86"/>
      <c r="X80" s="167">
        <f t="shared" si="105"/>
        <v>0</v>
      </c>
      <c r="Y80" s="86"/>
      <c r="Z80" s="167">
        <f t="shared" si="106"/>
        <v>0</v>
      </c>
      <c r="AA80" s="86"/>
      <c r="AB80" s="167">
        <f t="shared" si="107"/>
        <v>0</v>
      </c>
      <c r="AC80" s="86"/>
      <c r="AD80" s="167">
        <f t="shared" si="108"/>
        <v>0</v>
      </c>
      <c r="AE80" s="86"/>
      <c r="AF80" s="167">
        <f t="shared" si="109"/>
        <v>0</v>
      </c>
      <c r="AG80" s="86"/>
      <c r="AH80" s="167">
        <f t="shared" si="110"/>
        <v>0</v>
      </c>
      <c r="AI80" s="86"/>
      <c r="AJ80" s="167">
        <f t="shared" si="111"/>
        <v>0</v>
      </c>
      <c r="AK80" s="86"/>
      <c r="AL80" s="167">
        <f t="shared" si="112"/>
        <v>0</v>
      </c>
      <c r="AM80" s="86"/>
      <c r="AN80" s="167">
        <f t="shared" si="113"/>
        <v>0</v>
      </c>
      <c r="AO80" s="86"/>
      <c r="AP80" s="167">
        <f t="shared" si="114"/>
        <v>0</v>
      </c>
      <c r="AQ80" s="86"/>
      <c r="AR80" s="167">
        <f t="shared" si="115"/>
        <v>0</v>
      </c>
      <c r="AS80" s="86"/>
      <c r="AT80" s="167">
        <f t="shared" si="116"/>
        <v>0</v>
      </c>
      <c r="AU80" s="86"/>
      <c r="AV80" s="167">
        <f t="shared" si="117"/>
        <v>0</v>
      </c>
      <c r="AW80" s="86"/>
      <c r="AX80" s="167">
        <f t="shared" si="118"/>
        <v>0</v>
      </c>
      <c r="AY80" s="86"/>
      <c r="AZ80" s="167">
        <f t="shared" si="119"/>
        <v>0</v>
      </c>
      <c r="BA80" s="86"/>
      <c r="BB80" s="167">
        <f t="shared" si="120"/>
        <v>0</v>
      </c>
      <c r="BC80" s="86"/>
      <c r="BD80" s="167">
        <f t="shared" si="121"/>
        <v>0</v>
      </c>
      <c r="BE80" s="86"/>
      <c r="BF80" s="167">
        <f t="shared" si="122"/>
        <v>0</v>
      </c>
      <c r="BG80" s="86"/>
      <c r="BH80" s="167">
        <f t="shared" si="123"/>
        <v>0</v>
      </c>
      <c r="BI80" s="86"/>
      <c r="BJ80" s="167">
        <f t="shared" si="124"/>
        <v>0</v>
      </c>
      <c r="BK80" s="86"/>
      <c r="BL80" s="49"/>
      <c r="BM80" s="86"/>
      <c r="BN80" s="50"/>
      <c r="BO80" s="170" t="e">
        <f t="shared" si="125"/>
        <v>#VALUE!</v>
      </c>
      <c r="BP80" s="167" t="e">
        <f t="shared" si="127"/>
        <v>#VALUE!</v>
      </c>
      <c r="BQ80" s="178" t="str">
        <f t="shared" si="126"/>
        <v/>
      </c>
    </row>
    <row r="81" spans="1:69" x14ac:dyDescent="0.35">
      <c r="A81" s="136" t="s">
        <v>79</v>
      </c>
      <c r="B81" s="54" t="s">
        <v>66</v>
      </c>
      <c r="C81" s="174" t="str">
        <f>IF('October 2026 Log'!BM81="","",'October 2026 Log'!BM81)</f>
        <v/>
      </c>
      <c r="D81" s="189" t="e">
        <f t="shared" si="95"/>
        <v>#VALUE!</v>
      </c>
      <c r="E81" s="86"/>
      <c r="F81" s="167">
        <f t="shared" si="96"/>
        <v>0</v>
      </c>
      <c r="G81" s="86"/>
      <c r="H81" s="167">
        <f t="shared" si="97"/>
        <v>0</v>
      </c>
      <c r="I81" s="86"/>
      <c r="J81" s="167">
        <f t="shared" si="98"/>
        <v>0</v>
      </c>
      <c r="K81" s="86"/>
      <c r="L81" s="167">
        <f t="shared" si="99"/>
        <v>0</v>
      </c>
      <c r="M81" s="86"/>
      <c r="N81" s="167">
        <f t="shared" si="100"/>
        <v>0</v>
      </c>
      <c r="O81" s="86"/>
      <c r="P81" s="167">
        <f t="shared" si="101"/>
        <v>0</v>
      </c>
      <c r="Q81" s="86"/>
      <c r="R81" s="167">
        <f t="shared" si="102"/>
        <v>0</v>
      </c>
      <c r="S81" s="86"/>
      <c r="T81" s="167">
        <f t="shared" si="103"/>
        <v>0</v>
      </c>
      <c r="U81" s="86"/>
      <c r="V81" s="167">
        <f t="shared" si="104"/>
        <v>0</v>
      </c>
      <c r="W81" s="86"/>
      <c r="X81" s="167">
        <f t="shared" si="105"/>
        <v>0</v>
      </c>
      <c r="Y81" s="86"/>
      <c r="Z81" s="167">
        <f t="shared" si="106"/>
        <v>0</v>
      </c>
      <c r="AA81" s="86"/>
      <c r="AB81" s="167">
        <f t="shared" si="107"/>
        <v>0</v>
      </c>
      <c r="AC81" s="86"/>
      <c r="AD81" s="167">
        <f t="shared" si="108"/>
        <v>0</v>
      </c>
      <c r="AE81" s="86"/>
      <c r="AF81" s="167">
        <f t="shared" si="109"/>
        <v>0</v>
      </c>
      <c r="AG81" s="86"/>
      <c r="AH81" s="167">
        <f t="shared" si="110"/>
        <v>0</v>
      </c>
      <c r="AI81" s="86"/>
      <c r="AJ81" s="167">
        <f t="shared" si="111"/>
        <v>0</v>
      </c>
      <c r="AK81" s="86"/>
      <c r="AL81" s="167">
        <f t="shared" si="112"/>
        <v>0</v>
      </c>
      <c r="AM81" s="86"/>
      <c r="AN81" s="167">
        <f t="shared" si="113"/>
        <v>0</v>
      </c>
      <c r="AO81" s="86"/>
      <c r="AP81" s="167">
        <f t="shared" si="114"/>
        <v>0</v>
      </c>
      <c r="AQ81" s="86"/>
      <c r="AR81" s="167">
        <f t="shared" si="115"/>
        <v>0</v>
      </c>
      <c r="AS81" s="86"/>
      <c r="AT81" s="167">
        <f t="shared" si="116"/>
        <v>0</v>
      </c>
      <c r="AU81" s="86"/>
      <c r="AV81" s="167">
        <f t="shared" si="117"/>
        <v>0</v>
      </c>
      <c r="AW81" s="86"/>
      <c r="AX81" s="167">
        <f t="shared" si="118"/>
        <v>0</v>
      </c>
      <c r="AY81" s="86"/>
      <c r="AZ81" s="167">
        <f t="shared" si="119"/>
        <v>0</v>
      </c>
      <c r="BA81" s="86"/>
      <c r="BB81" s="167">
        <f t="shared" si="120"/>
        <v>0</v>
      </c>
      <c r="BC81" s="86"/>
      <c r="BD81" s="167">
        <f t="shared" si="121"/>
        <v>0</v>
      </c>
      <c r="BE81" s="86"/>
      <c r="BF81" s="167">
        <f t="shared" si="122"/>
        <v>0</v>
      </c>
      <c r="BG81" s="86"/>
      <c r="BH81" s="167">
        <f t="shared" si="123"/>
        <v>0</v>
      </c>
      <c r="BI81" s="86"/>
      <c r="BJ81" s="167">
        <f t="shared" si="124"/>
        <v>0</v>
      </c>
      <c r="BK81" s="86"/>
      <c r="BL81" s="49"/>
      <c r="BM81" s="86"/>
      <c r="BN81" s="50"/>
      <c r="BO81" s="170" t="e">
        <f t="shared" si="125"/>
        <v>#VALUE!</v>
      </c>
      <c r="BP81" s="167" t="e">
        <f t="shared" si="127"/>
        <v>#VALUE!</v>
      </c>
      <c r="BQ81" s="178" t="str">
        <f t="shared" si="126"/>
        <v/>
      </c>
    </row>
    <row r="82" spans="1:69" x14ac:dyDescent="0.35">
      <c r="A82" s="134" t="s">
        <v>80</v>
      </c>
      <c r="B82" s="54" t="s">
        <v>67</v>
      </c>
      <c r="C82" s="174" t="str">
        <f>IF('October 2026 Log'!BM82="","",'October 2026 Log'!BM82)</f>
        <v/>
      </c>
      <c r="D82" s="189" t="e">
        <f t="shared" si="95"/>
        <v>#VALUE!</v>
      </c>
      <c r="E82" s="86"/>
      <c r="F82" s="167">
        <f t="shared" si="96"/>
        <v>0</v>
      </c>
      <c r="G82" s="86"/>
      <c r="H82" s="167">
        <f t="shared" si="97"/>
        <v>0</v>
      </c>
      <c r="I82" s="86"/>
      <c r="J82" s="167">
        <f t="shared" si="98"/>
        <v>0</v>
      </c>
      <c r="K82" s="86"/>
      <c r="L82" s="167">
        <f t="shared" si="99"/>
        <v>0</v>
      </c>
      <c r="M82" s="86"/>
      <c r="N82" s="167">
        <f t="shared" si="100"/>
        <v>0</v>
      </c>
      <c r="O82" s="86"/>
      <c r="P82" s="167">
        <f t="shared" si="101"/>
        <v>0</v>
      </c>
      <c r="Q82" s="86"/>
      <c r="R82" s="167">
        <f t="shared" si="102"/>
        <v>0</v>
      </c>
      <c r="S82" s="86"/>
      <c r="T82" s="167">
        <f t="shared" si="103"/>
        <v>0</v>
      </c>
      <c r="U82" s="86"/>
      <c r="V82" s="167">
        <f t="shared" si="104"/>
        <v>0</v>
      </c>
      <c r="W82" s="86"/>
      <c r="X82" s="167">
        <f t="shared" si="105"/>
        <v>0</v>
      </c>
      <c r="Y82" s="86"/>
      <c r="Z82" s="167">
        <f t="shared" si="106"/>
        <v>0</v>
      </c>
      <c r="AA82" s="86"/>
      <c r="AB82" s="167">
        <f t="shared" si="107"/>
        <v>0</v>
      </c>
      <c r="AC82" s="86"/>
      <c r="AD82" s="167">
        <f t="shared" si="108"/>
        <v>0</v>
      </c>
      <c r="AE82" s="86"/>
      <c r="AF82" s="167">
        <f t="shared" si="109"/>
        <v>0</v>
      </c>
      <c r="AG82" s="86"/>
      <c r="AH82" s="167">
        <f t="shared" si="110"/>
        <v>0</v>
      </c>
      <c r="AI82" s="86"/>
      <c r="AJ82" s="167">
        <f t="shared" si="111"/>
        <v>0</v>
      </c>
      <c r="AK82" s="86"/>
      <c r="AL82" s="167">
        <f t="shared" si="112"/>
        <v>0</v>
      </c>
      <c r="AM82" s="86"/>
      <c r="AN82" s="167">
        <f t="shared" si="113"/>
        <v>0</v>
      </c>
      <c r="AO82" s="86"/>
      <c r="AP82" s="167">
        <f t="shared" si="114"/>
        <v>0</v>
      </c>
      <c r="AQ82" s="86"/>
      <c r="AR82" s="167">
        <f t="shared" si="115"/>
        <v>0</v>
      </c>
      <c r="AS82" s="86"/>
      <c r="AT82" s="167">
        <f t="shared" si="116"/>
        <v>0</v>
      </c>
      <c r="AU82" s="86"/>
      <c r="AV82" s="167">
        <f t="shared" si="117"/>
        <v>0</v>
      </c>
      <c r="AW82" s="86"/>
      <c r="AX82" s="167">
        <f t="shared" si="118"/>
        <v>0</v>
      </c>
      <c r="AY82" s="86"/>
      <c r="AZ82" s="167">
        <f t="shared" si="119"/>
        <v>0</v>
      </c>
      <c r="BA82" s="86"/>
      <c r="BB82" s="167">
        <f t="shared" si="120"/>
        <v>0</v>
      </c>
      <c r="BC82" s="86"/>
      <c r="BD82" s="167">
        <f t="shared" si="121"/>
        <v>0</v>
      </c>
      <c r="BE82" s="86"/>
      <c r="BF82" s="167">
        <f t="shared" si="122"/>
        <v>0</v>
      </c>
      <c r="BG82" s="86"/>
      <c r="BH82" s="167">
        <f t="shared" si="123"/>
        <v>0</v>
      </c>
      <c r="BI82" s="86"/>
      <c r="BJ82" s="167">
        <f t="shared" si="124"/>
        <v>0</v>
      </c>
      <c r="BK82" s="86"/>
      <c r="BL82" s="49"/>
      <c r="BM82" s="86"/>
      <c r="BN82" s="50"/>
      <c r="BO82" s="170" t="e">
        <f t="shared" si="125"/>
        <v>#VALUE!</v>
      </c>
      <c r="BP82" s="167" t="e">
        <f t="shared" si="127"/>
        <v>#VALUE!</v>
      </c>
      <c r="BQ82" s="178" t="str">
        <f t="shared" si="126"/>
        <v/>
      </c>
    </row>
    <row r="83" spans="1:69" x14ac:dyDescent="0.35">
      <c r="A83" s="135" t="s">
        <v>81</v>
      </c>
      <c r="B83" s="54" t="s">
        <v>67</v>
      </c>
      <c r="C83" s="174" t="str">
        <f>IF('October 2026 Log'!BM83="","",'October 2026 Log'!BM83)</f>
        <v/>
      </c>
      <c r="D83" s="189" t="e">
        <f t="shared" si="95"/>
        <v>#VALUE!</v>
      </c>
      <c r="E83" s="86"/>
      <c r="F83" s="167">
        <f t="shared" si="96"/>
        <v>0</v>
      </c>
      <c r="G83" s="86"/>
      <c r="H83" s="167">
        <f t="shared" si="97"/>
        <v>0</v>
      </c>
      <c r="I83" s="86"/>
      <c r="J83" s="167">
        <f t="shared" si="98"/>
        <v>0</v>
      </c>
      <c r="K83" s="86"/>
      <c r="L83" s="167">
        <f t="shared" si="99"/>
        <v>0</v>
      </c>
      <c r="M83" s="86"/>
      <c r="N83" s="167">
        <f t="shared" si="100"/>
        <v>0</v>
      </c>
      <c r="O83" s="86"/>
      <c r="P83" s="167">
        <f t="shared" si="101"/>
        <v>0</v>
      </c>
      <c r="Q83" s="86"/>
      <c r="R83" s="167">
        <f t="shared" si="102"/>
        <v>0</v>
      </c>
      <c r="S83" s="86"/>
      <c r="T83" s="167">
        <f t="shared" si="103"/>
        <v>0</v>
      </c>
      <c r="U83" s="86"/>
      <c r="V83" s="167">
        <f t="shared" si="104"/>
        <v>0</v>
      </c>
      <c r="W83" s="86"/>
      <c r="X83" s="167">
        <f t="shared" si="105"/>
        <v>0</v>
      </c>
      <c r="Y83" s="86"/>
      <c r="Z83" s="167">
        <f t="shared" si="106"/>
        <v>0</v>
      </c>
      <c r="AA83" s="86"/>
      <c r="AB83" s="167">
        <f t="shared" si="107"/>
        <v>0</v>
      </c>
      <c r="AC83" s="86"/>
      <c r="AD83" s="167">
        <f t="shared" si="108"/>
        <v>0</v>
      </c>
      <c r="AE83" s="86"/>
      <c r="AF83" s="167">
        <f t="shared" si="109"/>
        <v>0</v>
      </c>
      <c r="AG83" s="86"/>
      <c r="AH83" s="167">
        <f t="shared" si="110"/>
        <v>0</v>
      </c>
      <c r="AI83" s="86"/>
      <c r="AJ83" s="167">
        <f t="shared" si="111"/>
        <v>0</v>
      </c>
      <c r="AK83" s="86"/>
      <c r="AL83" s="167">
        <f t="shared" si="112"/>
        <v>0</v>
      </c>
      <c r="AM83" s="86"/>
      <c r="AN83" s="167">
        <f t="shared" si="113"/>
        <v>0</v>
      </c>
      <c r="AO83" s="86"/>
      <c r="AP83" s="167">
        <f t="shared" si="114"/>
        <v>0</v>
      </c>
      <c r="AQ83" s="86"/>
      <c r="AR83" s="167">
        <f t="shared" si="115"/>
        <v>0</v>
      </c>
      <c r="AS83" s="86"/>
      <c r="AT83" s="167">
        <f t="shared" si="116"/>
        <v>0</v>
      </c>
      <c r="AU83" s="86"/>
      <c r="AV83" s="167">
        <f t="shared" si="117"/>
        <v>0</v>
      </c>
      <c r="AW83" s="86"/>
      <c r="AX83" s="167">
        <f t="shared" si="118"/>
        <v>0</v>
      </c>
      <c r="AY83" s="86"/>
      <c r="AZ83" s="167">
        <f t="shared" si="119"/>
        <v>0</v>
      </c>
      <c r="BA83" s="86"/>
      <c r="BB83" s="167">
        <f t="shared" si="120"/>
        <v>0</v>
      </c>
      <c r="BC83" s="86"/>
      <c r="BD83" s="167">
        <f t="shared" si="121"/>
        <v>0</v>
      </c>
      <c r="BE83" s="86"/>
      <c r="BF83" s="167">
        <f t="shared" si="122"/>
        <v>0</v>
      </c>
      <c r="BG83" s="86"/>
      <c r="BH83" s="167">
        <f t="shared" si="123"/>
        <v>0</v>
      </c>
      <c r="BI83" s="86"/>
      <c r="BJ83" s="167">
        <f t="shared" si="124"/>
        <v>0</v>
      </c>
      <c r="BK83" s="86"/>
      <c r="BL83" s="49"/>
      <c r="BM83" s="86"/>
      <c r="BN83" s="50"/>
      <c r="BO83" s="170" t="e">
        <f t="shared" si="125"/>
        <v>#VALUE!</v>
      </c>
      <c r="BP83" s="167" t="e">
        <f t="shared" si="127"/>
        <v>#VALUE!</v>
      </c>
      <c r="BQ83" s="178" t="str">
        <f t="shared" si="126"/>
        <v/>
      </c>
    </row>
    <row r="84" spans="1:69" x14ac:dyDescent="0.35">
      <c r="A84" s="136" t="s">
        <v>82</v>
      </c>
      <c r="B84" s="54" t="s">
        <v>66</v>
      </c>
      <c r="C84" s="174" t="str">
        <f>IF('October 2026 Log'!BM84="","",'October 2026 Log'!BM84)</f>
        <v/>
      </c>
      <c r="D84" s="189" t="e">
        <f t="shared" si="95"/>
        <v>#VALUE!</v>
      </c>
      <c r="E84" s="86"/>
      <c r="F84" s="167">
        <f t="shared" si="96"/>
        <v>0</v>
      </c>
      <c r="G84" s="86"/>
      <c r="H84" s="167">
        <f t="shared" si="97"/>
        <v>0</v>
      </c>
      <c r="I84" s="86"/>
      <c r="J84" s="167">
        <f t="shared" si="98"/>
        <v>0</v>
      </c>
      <c r="K84" s="86"/>
      <c r="L84" s="167">
        <f t="shared" si="99"/>
        <v>0</v>
      </c>
      <c r="M84" s="86"/>
      <c r="N84" s="167">
        <f t="shared" si="100"/>
        <v>0</v>
      </c>
      <c r="O84" s="86"/>
      <c r="P84" s="167">
        <f t="shared" si="101"/>
        <v>0</v>
      </c>
      <c r="Q84" s="86"/>
      <c r="R84" s="167">
        <f t="shared" si="102"/>
        <v>0</v>
      </c>
      <c r="S84" s="86"/>
      <c r="T84" s="167">
        <f t="shared" si="103"/>
        <v>0</v>
      </c>
      <c r="U84" s="86"/>
      <c r="V84" s="167">
        <f t="shared" si="104"/>
        <v>0</v>
      </c>
      <c r="W84" s="86"/>
      <c r="X84" s="167">
        <f t="shared" si="105"/>
        <v>0</v>
      </c>
      <c r="Y84" s="86"/>
      <c r="Z84" s="167">
        <f t="shared" si="106"/>
        <v>0</v>
      </c>
      <c r="AA84" s="86"/>
      <c r="AB84" s="167">
        <f t="shared" si="107"/>
        <v>0</v>
      </c>
      <c r="AC84" s="86"/>
      <c r="AD84" s="167">
        <f t="shared" si="108"/>
        <v>0</v>
      </c>
      <c r="AE84" s="86"/>
      <c r="AF84" s="167">
        <f t="shared" si="109"/>
        <v>0</v>
      </c>
      <c r="AG84" s="86"/>
      <c r="AH84" s="167">
        <f t="shared" si="110"/>
        <v>0</v>
      </c>
      <c r="AI84" s="86"/>
      <c r="AJ84" s="167">
        <f t="shared" si="111"/>
        <v>0</v>
      </c>
      <c r="AK84" s="86"/>
      <c r="AL84" s="167">
        <f t="shared" si="112"/>
        <v>0</v>
      </c>
      <c r="AM84" s="86"/>
      <c r="AN84" s="167">
        <f t="shared" si="113"/>
        <v>0</v>
      </c>
      <c r="AO84" s="86"/>
      <c r="AP84" s="167">
        <f t="shared" si="114"/>
        <v>0</v>
      </c>
      <c r="AQ84" s="86"/>
      <c r="AR84" s="167">
        <f t="shared" si="115"/>
        <v>0</v>
      </c>
      <c r="AS84" s="86"/>
      <c r="AT84" s="167">
        <f t="shared" si="116"/>
        <v>0</v>
      </c>
      <c r="AU84" s="86"/>
      <c r="AV84" s="167">
        <f t="shared" si="117"/>
        <v>0</v>
      </c>
      <c r="AW84" s="86"/>
      <c r="AX84" s="167">
        <f t="shared" si="118"/>
        <v>0</v>
      </c>
      <c r="AY84" s="86"/>
      <c r="AZ84" s="167">
        <f t="shared" si="119"/>
        <v>0</v>
      </c>
      <c r="BA84" s="86"/>
      <c r="BB84" s="167">
        <f t="shared" si="120"/>
        <v>0</v>
      </c>
      <c r="BC84" s="86"/>
      <c r="BD84" s="167">
        <f t="shared" si="121"/>
        <v>0</v>
      </c>
      <c r="BE84" s="86"/>
      <c r="BF84" s="167">
        <f t="shared" si="122"/>
        <v>0</v>
      </c>
      <c r="BG84" s="86"/>
      <c r="BH84" s="167">
        <f t="shared" si="123"/>
        <v>0</v>
      </c>
      <c r="BI84" s="86"/>
      <c r="BJ84" s="167">
        <f t="shared" si="124"/>
        <v>0</v>
      </c>
      <c r="BK84" s="86"/>
      <c r="BL84" s="49"/>
      <c r="BM84" s="86"/>
      <c r="BN84" s="50"/>
      <c r="BO84" s="170" t="e">
        <f t="shared" si="125"/>
        <v>#VALUE!</v>
      </c>
      <c r="BP84" s="167" t="e">
        <f t="shared" si="127"/>
        <v>#VALUE!</v>
      </c>
      <c r="BQ84" s="178" t="str">
        <f t="shared" si="126"/>
        <v/>
      </c>
    </row>
    <row r="85" spans="1:69" x14ac:dyDescent="0.35">
      <c r="A85" s="44" t="s">
        <v>83</v>
      </c>
      <c r="B85" s="54" t="s">
        <v>65</v>
      </c>
      <c r="C85" s="174" t="str">
        <f>IF('October 2026 Log'!BM85="","",'October 2026 Log'!BM85)</f>
        <v/>
      </c>
      <c r="D85" s="189" t="e">
        <f t="shared" si="95"/>
        <v>#VALUE!</v>
      </c>
      <c r="E85" s="86"/>
      <c r="F85" s="167">
        <f t="shared" si="96"/>
        <v>0</v>
      </c>
      <c r="G85" s="86"/>
      <c r="H85" s="167">
        <f t="shared" si="97"/>
        <v>0</v>
      </c>
      <c r="I85" s="86"/>
      <c r="J85" s="167">
        <f t="shared" si="98"/>
        <v>0</v>
      </c>
      <c r="K85" s="86"/>
      <c r="L85" s="167">
        <f t="shared" si="99"/>
        <v>0</v>
      </c>
      <c r="M85" s="86"/>
      <c r="N85" s="167">
        <f t="shared" si="100"/>
        <v>0</v>
      </c>
      <c r="O85" s="86"/>
      <c r="P85" s="167">
        <f t="shared" si="101"/>
        <v>0</v>
      </c>
      <c r="Q85" s="86"/>
      <c r="R85" s="167">
        <f t="shared" si="102"/>
        <v>0</v>
      </c>
      <c r="S85" s="86"/>
      <c r="T85" s="167">
        <f t="shared" si="103"/>
        <v>0</v>
      </c>
      <c r="U85" s="86"/>
      <c r="V85" s="167">
        <f t="shared" si="104"/>
        <v>0</v>
      </c>
      <c r="W85" s="86"/>
      <c r="X85" s="167">
        <f t="shared" si="105"/>
        <v>0</v>
      </c>
      <c r="Y85" s="86"/>
      <c r="Z85" s="167">
        <f t="shared" si="106"/>
        <v>0</v>
      </c>
      <c r="AA85" s="86"/>
      <c r="AB85" s="167">
        <f t="shared" si="107"/>
        <v>0</v>
      </c>
      <c r="AC85" s="86"/>
      <c r="AD85" s="167">
        <f t="shared" si="108"/>
        <v>0</v>
      </c>
      <c r="AE85" s="86"/>
      <c r="AF85" s="167">
        <f t="shared" si="109"/>
        <v>0</v>
      </c>
      <c r="AG85" s="86"/>
      <c r="AH85" s="167">
        <f t="shared" si="110"/>
        <v>0</v>
      </c>
      <c r="AI85" s="86"/>
      <c r="AJ85" s="167">
        <f t="shared" si="111"/>
        <v>0</v>
      </c>
      <c r="AK85" s="86"/>
      <c r="AL85" s="167">
        <f t="shared" si="112"/>
        <v>0</v>
      </c>
      <c r="AM85" s="86"/>
      <c r="AN85" s="167">
        <f t="shared" si="113"/>
        <v>0</v>
      </c>
      <c r="AO85" s="86"/>
      <c r="AP85" s="167">
        <f t="shared" si="114"/>
        <v>0</v>
      </c>
      <c r="AQ85" s="86"/>
      <c r="AR85" s="167">
        <f t="shared" si="115"/>
        <v>0</v>
      </c>
      <c r="AS85" s="86"/>
      <c r="AT85" s="167">
        <f t="shared" si="116"/>
        <v>0</v>
      </c>
      <c r="AU85" s="86"/>
      <c r="AV85" s="167">
        <f t="shared" si="117"/>
        <v>0</v>
      </c>
      <c r="AW85" s="86"/>
      <c r="AX85" s="167">
        <f t="shared" si="118"/>
        <v>0</v>
      </c>
      <c r="AY85" s="86"/>
      <c r="AZ85" s="167">
        <f t="shared" si="119"/>
        <v>0</v>
      </c>
      <c r="BA85" s="86"/>
      <c r="BB85" s="167">
        <f t="shared" si="120"/>
        <v>0</v>
      </c>
      <c r="BC85" s="86"/>
      <c r="BD85" s="167">
        <f t="shared" si="121"/>
        <v>0</v>
      </c>
      <c r="BE85" s="86"/>
      <c r="BF85" s="167">
        <f t="shared" si="122"/>
        <v>0</v>
      </c>
      <c r="BG85" s="86"/>
      <c r="BH85" s="167">
        <f t="shared" si="123"/>
        <v>0</v>
      </c>
      <c r="BI85" s="86"/>
      <c r="BJ85" s="167">
        <f t="shared" si="124"/>
        <v>0</v>
      </c>
      <c r="BK85" s="86"/>
      <c r="BL85" s="49"/>
      <c r="BM85" s="86"/>
      <c r="BN85" s="50"/>
      <c r="BO85" s="170" t="e">
        <f t="shared" si="125"/>
        <v>#VALUE!</v>
      </c>
      <c r="BP85" s="167" t="e">
        <f t="shared" si="127"/>
        <v>#VALUE!</v>
      </c>
      <c r="BQ85" s="178" t="str">
        <f t="shared" si="126"/>
        <v/>
      </c>
    </row>
    <row r="86" spans="1:69" x14ac:dyDescent="0.35">
      <c r="A86" s="135" t="s">
        <v>84</v>
      </c>
      <c r="B86" s="54" t="s">
        <v>67</v>
      </c>
      <c r="C86" s="174" t="str">
        <f>IF('October 2026 Log'!BM86="","",'October 2026 Log'!BM86)</f>
        <v/>
      </c>
      <c r="D86" s="189" t="e">
        <f t="shared" si="95"/>
        <v>#VALUE!</v>
      </c>
      <c r="E86" s="86"/>
      <c r="F86" s="167">
        <f t="shared" si="96"/>
        <v>0</v>
      </c>
      <c r="G86" s="86"/>
      <c r="H86" s="167">
        <f t="shared" si="97"/>
        <v>0</v>
      </c>
      <c r="I86" s="86"/>
      <c r="J86" s="167">
        <f t="shared" si="98"/>
        <v>0</v>
      </c>
      <c r="K86" s="86"/>
      <c r="L86" s="167">
        <f t="shared" si="99"/>
        <v>0</v>
      </c>
      <c r="M86" s="86"/>
      <c r="N86" s="167">
        <f t="shared" si="100"/>
        <v>0</v>
      </c>
      <c r="O86" s="86"/>
      <c r="P86" s="167">
        <f t="shared" si="101"/>
        <v>0</v>
      </c>
      <c r="Q86" s="86"/>
      <c r="R86" s="167">
        <f t="shared" si="102"/>
        <v>0</v>
      </c>
      <c r="S86" s="86"/>
      <c r="T86" s="167">
        <f t="shared" si="103"/>
        <v>0</v>
      </c>
      <c r="U86" s="86"/>
      <c r="V86" s="167">
        <f t="shared" si="104"/>
        <v>0</v>
      </c>
      <c r="W86" s="86"/>
      <c r="X86" s="167">
        <f t="shared" si="105"/>
        <v>0</v>
      </c>
      <c r="Y86" s="86"/>
      <c r="Z86" s="167">
        <f t="shared" si="106"/>
        <v>0</v>
      </c>
      <c r="AA86" s="86"/>
      <c r="AB86" s="167">
        <f t="shared" si="107"/>
        <v>0</v>
      </c>
      <c r="AC86" s="86"/>
      <c r="AD86" s="167">
        <f t="shared" si="108"/>
        <v>0</v>
      </c>
      <c r="AE86" s="86"/>
      <c r="AF86" s="167">
        <f t="shared" si="109"/>
        <v>0</v>
      </c>
      <c r="AG86" s="86"/>
      <c r="AH86" s="167">
        <f t="shared" si="110"/>
        <v>0</v>
      </c>
      <c r="AI86" s="86"/>
      <c r="AJ86" s="167">
        <f t="shared" si="111"/>
        <v>0</v>
      </c>
      <c r="AK86" s="86"/>
      <c r="AL86" s="167">
        <f t="shared" si="112"/>
        <v>0</v>
      </c>
      <c r="AM86" s="86"/>
      <c r="AN86" s="167">
        <f t="shared" si="113"/>
        <v>0</v>
      </c>
      <c r="AO86" s="86"/>
      <c r="AP86" s="167">
        <f t="shared" si="114"/>
        <v>0</v>
      </c>
      <c r="AQ86" s="86"/>
      <c r="AR86" s="167">
        <f t="shared" si="115"/>
        <v>0</v>
      </c>
      <c r="AS86" s="86"/>
      <c r="AT86" s="167">
        <f t="shared" si="116"/>
        <v>0</v>
      </c>
      <c r="AU86" s="86"/>
      <c r="AV86" s="167">
        <f t="shared" si="117"/>
        <v>0</v>
      </c>
      <c r="AW86" s="86"/>
      <c r="AX86" s="167">
        <f t="shared" si="118"/>
        <v>0</v>
      </c>
      <c r="AY86" s="86"/>
      <c r="AZ86" s="167">
        <f t="shared" si="119"/>
        <v>0</v>
      </c>
      <c r="BA86" s="86"/>
      <c r="BB86" s="167">
        <f t="shared" si="120"/>
        <v>0</v>
      </c>
      <c r="BC86" s="86"/>
      <c r="BD86" s="167">
        <f t="shared" si="121"/>
        <v>0</v>
      </c>
      <c r="BE86" s="86"/>
      <c r="BF86" s="167">
        <f t="shared" si="122"/>
        <v>0</v>
      </c>
      <c r="BG86" s="86"/>
      <c r="BH86" s="167">
        <f t="shared" si="123"/>
        <v>0</v>
      </c>
      <c r="BI86" s="86"/>
      <c r="BJ86" s="167">
        <f t="shared" si="124"/>
        <v>0</v>
      </c>
      <c r="BK86" s="86"/>
      <c r="BL86" s="49"/>
      <c r="BM86" s="86"/>
      <c r="BN86" s="50"/>
      <c r="BO86" s="170" t="e">
        <f t="shared" si="125"/>
        <v>#VALUE!</v>
      </c>
      <c r="BP86" s="167" t="e">
        <f t="shared" si="127"/>
        <v>#VALUE!</v>
      </c>
      <c r="BQ86" s="178" t="str">
        <f t="shared" si="126"/>
        <v/>
      </c>
    </row>
    <row r="87" spans="1:69" x14ac:dyDescent="0.35">
      <c r="A87" s="136" t="s">
        <v>85</v>
      </c>
      <c r="B87" s="54" t="s">
        <v>66</v>
      </c>
      <c r="C87" s="174" t="str">
        <f>IF('October 2026 Log'!BM87="","",'October 2026 Log'!BM87)</f>
        <v/>
      </c>
      <c r="D87" s="189" t="e">
        <f t="shared" si="95"/>
        <v>#VALUE!</v>
      </c>
      <c r="E87" s="86"/>
      <c r="F87" s="167">
        <f t="shared" si="96"/>
        <v>0</v>
      </c>
      <c r="G87" s="86"/>
      <c r="H87" s="167">
        <f t="shared" si="97"/>
        <v>0</v>
      </c>
      <c r="I87" s="86"/>
      <c r="J87" s="167">
        <f t="shared" si="98"/>
        <v>0</v>
      </c>
      <c r="K87" s="86"/>
      <c r="L87" s="167">
        <f t="shared" si="99"/>
        <v>0</v>
      </c>
      <c r="M87" s="86"/>
      <c r="N87" s="167">
        <f t="shared" si="100"/>
        <v>0</v>
      </c>
      <c r="O87" s="86"/>
      <c r="P87" s="167">
        <f t="shared" si="101"/>
        <v>0</v>
      </c>
      <c r="Q87" s="86"/>
      <c r="R87" s="167">
        <f t="shared" si="102"/>
        <v>0</v>
      </c>
      <c r="S87" s="86"/>
      <c r="T87" s="167">
        <f t="shared" si="103"/>
        <v>0</v>
      </c>
      <c r="U87" s="86"/>
      <c r="V87" s="167">
        <f t="shared" si="104"/>
        <v>0</v>
      </c>
      <c r="W87" s="86"/>
      <c r="X87" s="167">
        <f t="shared" si="105"/>
        <v>0</v>
      </c>
      <c r="Y87" s="86"/>
      <c r="Z87" s="167">
        <f t="shared" si="106"/>
        <v>0</v>
      </c>
      <c r="AA87" s="86"/>
      <c r="AB87" s="167">
        <f t="shared" si="107"/>
        <v>0</v>
      </c>
      <c r="AC87" s="86"/>
      <c r="AD87" s="167">
        <f t="shared" si="108"/>
        <v>0</v>
      </c>
      <c r="AE87" s="86"/>
      <c r="AF87" s="167">
        <f t="shared" si="109"/>
        <v>0</v>
      </c>
      <c r="AG87" s="86"/>
      <c r="AH87" s="167">
        <f t="shared" si="110"/>
        <v>0</v>
      </c>
      <c r="AI87" s="86"/>
      <c r="AJ87" s="167">
        <f t="shared" si="111"/>
        <v>0</v>
      </c>
      <c r="AK87" s="86"/>
      <c r="AL87" s="167">
        <f t="shared" si="112"/>
        <v>0</v>
      </c>
      <c r="AM87" s="86"/>
      <c r="AN87" s="167">
        <f t="shared" si="113"/>
        <v>0</v>
      </c>
      <c r="AO87" s="86"/>
      <c r="AP87" s="167">
        <f t="shared" si="114"/>
        <v>0</v>
      </c>
      <c r="AQ87" s="86"/>
      <c r="AR87" s="167">
        <f t="shared" si="115"/>
        <v>0</v>
      </c>
      <c r="AS87" s="86"/>
      <c r="AT87" s="167">
        <f t="shared" si="116"/>
        <v>0</v>
      </c>
      <c r="AU87" s="86"/>
      <c r="AV87" s="167">
        <f t="shared" si="117"/>
        <v>0</v>
      </c>
      <c r="AW87" s="86"/>
      <c r="AX87" s="167">
        <f t="shared" si="118"/>
        <v>0</v>
      </c>
      <c r="AY87" s="86"/>
      <c r="AZ87" s="167">
        <f t="shared" si="119"/>
        <v>0</v>
      </c>
      <c r="BA87" s="86"/>
      <c r="BB87" s="167">
        <f t="shared" si="120"/>
        <v>0</v>
      </c>
      <c r="BC87" s="86"/>
      <c r="BD87" s="167">
        <f t="shared" si="121"/>
        <v>0</v>
      </c>
      <c r="BE87" s="86"/>
      <c r="BF87" s="167">
        <f t="shared" si="122"/>
        <v>0</v>
      </c>
      <c r="BG87" s="86"/>
      <c r="BH87" s="167">
        <f t="shared" si="123"/>
        <v>0</v>
      </c>
      <c r="BI87" s="86"/>
      <c r="BJ87" s="167">
        <f t="shared" si="124"/>
        <v>0</v>
      </c>
      <c r="BK87" s="86"/>
      <c r="BL87" s="49"/>
      <c r="BM87" s="86"/>
      <c r="BN87" s="50"/>
      <c r="BO87" s="170" t="e">
        <f t="shared" si="125"/>
        <v>#VALUE!</v>
      </c>
      <c r="BP87" s="167" t="e">
        <f t="shared" si="127"/>
        <v>#VALUE!</v>
      </c>
      <c r="BQ87" s="178" t="str">
        <f t="shared" si="126"/>
        <v/>
      </c>
    </row>
    <row r="88" spans="1:69" x14ac:dyDescent="0.35">
      <c r="A88" s="44" t="s">
        <v>86</v>
      </c>
      <c r="B88" s="54" t="s">
        <v>65</v>
      </c>
      <c r="C88" s="174" t="str">
        <f>IF('October 2026 Log'!BM88="","",'October 2026 Log'!BM88)</f>
        <v/>
      </c>
      <c r="D88" s="189" t="e">
        <f t="shared" si="95"/>
        <v>#VALUE!</v>
      </c>
      <c r="E88" s="86"/>
      <c r="F88" s="167">
        <f t="shared" si="96"/>
        <v>0</v>
      </c>
      <c r="G88" s="86"/>
      <c r="H88" s="167">
        <f t="shared" si="97"/>
        <v>0</v>
      </c>
      <c r="I88" s="86"/>
      <c r="J88" s="167">
        <f t="shared" si="98"/>
        <v>0</v>
      </c>
      <c r="K88" s="86"/>
      <c r="L88" s="167">
        <f t="shared" si="99"/>
        <v>0</v>
      </c>
      <c r="M88" s="86"/>
      <c r="N88" s="167">
        <f t="shared" si="100"/>
        <v>0</v>
      </c>
      <c r="O88" s="86"/>
      <c r="P88" s="167">
        <f t="shared" si="101"/>
        <v>0</v>
      </c>
      <c r="Q88" s="86"/>
      <c r="R88" s="167">
        <f t="shared" si="102"/>
        <v>0</v>
      </c>
      <c r="S88" s="86"/>
      <c r="T88" s="167">
        <f t="shared" si="103"/>
        <v>0</v>
      </c>
      <c r="U88" s="86"/>
      <c r="V88" s="167">
        <f t="shared" si="104"/>
        <v>0</v>
      </c>
      <c r="W88" s="86"/>
      <c r="X88" s="167">
        <f t="shared" si="105"/>
        <v>0</v>
      </c>
      <c r="Y88" s="86"/>
      <c r="Z88" s="167">
        <f t="shared" si="106"/>
        <v>0</v>
      </c>
      <c r="AA88" s="86"/>
      <c r="AB88" s="167">
        <f t="shared" si="107"/>
        <v>0</v>
      </c>
      <c r="AC88" s="86"/>
      <c r="AD88" s="167">
        <f t="shared" si="108"/>
        <v>0</v>
      </c>
      <c r="AE88" s="86"/>
      <c r="AF88" s="167">
        <f t="shared" si="109"/>
        <v>0</v>
      </c>
      <c r="AG88" s="86"/>
      <c r="AH88" s="167">
        <f t="shared" si="110"/>
        <v>0</v>
      </c>
      <c r="AI88" s="86"/>
      <c r="AJ88" s="167">
        <f t="shared" si="111"/>
        <v>0</v>
      </c>
      <c r="AK88" s="86"/>
      <c r="AL88" s="167">
        <f t="shared" si="112"/>
        <v>0</v>
      </c>
      <c r="AM88" s="86"/>
      <c r="AN88" s="167">
        <f t="shared" si="113"/>
        <v>0</v>
      </c>
      <c r="AO88" s="86"/>
      <c r="AP88" s="167">
        <f t="shared" si="114"/>
        <v>0</v>
      </c>
      <c r="AQ88" s="86"/>
      <c r="AR88" s="167">
        <f t="shared" si="115"/>
        <v>0</v>
      </c>
      <c r="AS88" s="86"/>
      <c r="AT88" s="167">
        <f t="shared" si="116"/>
        <v>0</v>
      </c>
      <c r="AU88" s="86"/>
      <c r="AV88" s="167">
        <f t="shared" si="117"/>
        <v>0</v>
      </c>
      <c r="AW88" s="86"/>
      <c r="AX88" s="167">
        <f t="shared" si="118"/>
        <v>0</v>
      </c>
      <c r="AY88" s="86"/>
      <c r="AZ88" s="167">
        <f t="shared" si="119"/>
        <v>0</v>
      </c>
      <c r="BA88" s="86"/>
      <c r="BB88" s="167">
        <f t="shared" si="120"/>
        <v>0</v>
      </c>
      <c r="BC88" s="86"/>
      <c r="BD88" s="167">
        <f t="shared" si="121"/>
        <v>0</v>
      </c>
      <c r="BE88" s="86"/>
      <c r="BF88" s="167">
        <f t="shared" si="122"/>
        <v>0</v>
      </c>
      <c r="BG88" s="86"/>
      <c r="BH88" s="167">
        <f t="shared" si="123"/>
        <v>0</v>
      </c>
      <c r="BI88" s="86"/>
      <c r="BJ88" s="167">
        <f t="shared" si="124"/>
        <v>0</v>
      </c>
      <c r="BK88" s="86"/>
      <c r="BL88" s="49"/>
      <c r="BM88" s="86"/>
      <c r="BN88" s="50"/>
      <c r="BO88" s="170" t="e">
        <f t="shared" si="125"/>
        <v>#VALUE!</v>
      </c>
      <c r="BP88" s="167" t="e">
        <f t="shared" si="127"/>
        <v>#VALUE!</v>
      </c>
      <c r="BQ88" s="178" t="str">
        <f t="shared" si="126"/>
        <v/>
      </c>
    </row>
    <row r="89" spans="1:69" x14ac:dyDescent="0.35">
      <c r="A89" s="53"/>
      <c r="B89" s="54"/>
      <c r="C89" s="144"/>
      <c r="D89" s="192">
        <f t="shared" si="95"/>
        <v>0</v>
      </c>
      <c r="E89" s="145"/>
      <c r="F89" s="173">
        <f t="shared" si="96"/>
        <v>0</v>
      </c>
      <c r="G89" s="145"/>
      <c r="H89" s="173">
        <f t="shared" si="97"/>
        <v>0</v>
      </c>
      <c r="I89" s="145"/>
      <c r="J89" s="173">
        <f t="shared" si="98"/>
        <v>0</v>
      </c>
      <c r="K89" s="145"/>
      <c r="L89" s="173">
        <f t="shared" si="99"/>
        <v>0</v>
      </c>
      <c r="M89" s="145"/>
      <c r="N89" s="173">
        <f t="shared" si="100"/>
        <v>0</v>
      </c>
      <c r="O89" s="145"/>
      <c r="P89" s="173">
        <f t="shared" si="101"/>
        <v>0</v>
      </c>
      <c r="Q89" s="145"/>
      <c r="R89" s="173">
        <f t="shared" si="102"/>
        <v>0</v>
      </c>
      <c r="S89" s="145"/>
      <c r="T89" s="173">
        <f t="shared" si="103"/>
        <v>0</v>
      </c>
      <c r="U89" s="145"/>
      <c r="V89" s="173">
        <f t="shared" si="104"/>
        <v>0</v>
      </c>
      <c r="W89" s="145"/>
      <c r="X89" s="173">
        <f t="shared" si="105"/>
        <v>0</v>
      </c>
      <c r="Y89" s="145"/>
      <c r="Z89" s="173">
        <f t="shared" si="106"/>
        <v>0</v>
      </c>
      <c r="AA89" s="145"/>
      <c r="AB89" s="173">
        <f t="shared" si="107"/>
        <v>0</v>
      </c>
      <c r="AC89" s="145"/>
      <c r="AD89" s="173">
        <f t="shared" si="108"/>
        <v>0</v>
      </c>
      <c r="AE89" s="145"/>
      <c r="AF89" s="173">
        <f t="shared" si="109"/>
        <v>0</v>
      </c>
      <c r="AG89" s="145"/>
      <c r="AH89" s="173">
        <f t="shared" si="110"/>
        <v>0</v>
      </c>
      <c r="AI89" s="145"/>
      <c r="AJ89" s="173">
        <f t="shared" si="111"/>
        <v>0</v>
      </c>
      <c r="AK89" s="145"/>
      <c r="AL89" s="173">
        <f t="shared" si="112"/>
        <v>0</v>
      </c>
      <c r="AM89" s="145"/>
      <c r="AN89" s="173">
        <f t="shared" si="113"/>
        <v>0</v>
      </c>
      <c r="AO89" s="145"/>
      <c r="AP89" s="173">
        <f t="shared" si="114"/>
        <v>0</v>
      </c>
      <c r="AQ89" s="145"/>
      <c r="AR89" s="173">
        <f t="shared" si="115"/>
        <v>0</v>
      </c>
      <c r="AS89" s="145"/>
      <c r="AT89" s="173">
        <f t="shared" si="116"/>
        <v>0</v>
      </c>
      <c r="AU89" s="145"/>
      <c r="AV89" s="173">
        <f t="shared" si="117"/>
        <v>0</v>
      </c>
      <c r="AW89" s="145"/>
      <c r="AX89" s="173">
        <f t="shared" si="118"/>
        <v>0</v>
      </c>
      <c r="AY89" s="145"/>
      <c r="AZ89" s="173">
        <f t="shared" si="119"/>
        <v>0</v>
      </c>
      <c r="BA89" s="145"/>
      <c r="BB89" s="173">
        <f t="shared" si="120"/>
        <v>0</v>
      </c>
      <c r="BC89" s="145"/>
      <c r="BD89" s="173">
        <f t="shared" si="121"/>
        <v>0</v>
      </c>
      <c r="BE89" s="145"/>
      <c r="BF89" s="173">
        <f t="shared" si="122"/>
        <v>0</v>
      </c>
      <c r="BG89" s="145"/>
      <c r="BH89" s="173">
        <f t="shared" si="123"/>
        <v>0</v>
      </c>
      <c r="BI89" s="145"/>
      <c r="BJ89" s="173">
        <f t="shared" si="124"/>
        <v>0</v>
      </c>
      <c r="BK89" s="145"/>
      <c r="BL89" s="87"/>
      <c r="BM89" s="145"/>
      <c r="BN89" s="50"/>
      <c r="BO89" s="51"/>
      <c r="BP89" s="173">
        <f t="shared" si="127"/>
        <v>0</v>
      </c>
      <c r="BQ89" s="88"/>
    </row>
    <row r="90" spans="1:69" x14ac:dyDescent="0.35">
      <c r="A90" s="74" t="s">
        <v>93</v>
      </c>
      <c r="B90" s="75"/>
      <c r="C90" s="141"/>
      <c r="D90" s="102"/>
      <c r="E90" s="142"/>
      <c r="F90" s="104"/>
      <c r="G90" s="142"/>
      <c r="H90" s="104"/>
      <c r="I90" s="142"/>
      <c r="J90" s="104"/>
      <c r="K90" s="142"/>
      <c r="L90" s="104"/>
      <c r="M90" s="142"/>
      <c r="N90" s="104"/>
      <c r="O90" s="142"/>
      <c r="P90" s="104"/>
      <c r="Q90" s="142"/>
      <c r="R90" s="104"/>
      <c r="S90" s="142"/>
      <c r="T90" s="104"/>
      <c r="U90" s="142"/>
      <c r="V90" s="104"/>
      <c r="W90" s="142"/>
      <c r="X90" s="104"/>
      <c r="Y90" s="142"/>
      <c r="Z90" s="104"/>
      <c r="AA90" s="142"/>
      <c r="AB90" s="104"/>
      <c r="AC90" s="142"/>
      <c r="AD90" s="104"/>
      <c r="AE90" s="142"/>
      <c r="AF90" s="104"/>
      <c r="AG90" s="142"/>
      <c r="AH90" s="104"/>
      <c r="AI90" s="142"/>
      <c r="AJ90" s="104"/>
      <c r="AK90" s="142"/>
      <c r="AL90" s="104"/>
      <c r="AM90" s="142"/>
      <c r="AN90" s="104"/>
      <c r="AO90" s="142"/>
      <c r="AP90" s="104"/>
      <c r="AQ90" s="142"/>
      <c r="AR90" s="104"/>
      <c r="AS90" s="142"/>
      <c r="AT90" s="104"/>
      <c r="AU90" s="142"/>
      <c r="AV90" s="104"/>
      <c r="AW90" s="142"/>
      <c r="AX90" s="104"/>
      <c r="AY90" s="142"/>
      <c r="AZ90" s="104"/>
      <c r="BA90" s="142"/>
      <c r="BB90" s="104"/>
      <c r="BC90" s="142"/>
      <c r="BD90" s="104"/>
      <c r="BE90" s="142"/>
      <c r="BF90" s="104"/>
      <c r="BG90" s="142"/>
      <c r="BH90" s="104"/>
      <c r="BI90" s="142"/>
      <c r="BJ90" s="104"/>
      <c r="BK90" s="142"/>
      <c r="BL90" s="104"/>
      <c r="BM90" s="142"/>
      <c r="BN90" s="105"/>
      <c r="BO90" s="106"/>
      <c r="BP90" s="104"/>
      <c r="BQ90" s="107"/>
    </row>
    <row r="91" spans="1:69" x14ac:dyDescent="0.35">
      <c r="A91" s="132" t="s">
        <v>75</v>
      </c>
      <c r="B91" s="54" t="s">
        <v>65</v>
      </c>
      <c r="C91" s="144"/>
      <c r="D91" s="146"/>
      <c r="E91" s="166" t="e">
        <f>+D91-D77</f>
        <v>#VALUE!</v>
      </c>
      <c r="F91" s="147"/>
      <c r="G91" s="166">
        <f>+F91-F77</f>
        <v>0</v>
      </c>
      <c r="H91" s="147"/>
      <c r="I91" s="166">
        <f>+H91-H77</f>
        <v>0</v>
      </c>
      <c r="J91" s="147"/>
      <c r="K91" s="166">
        <f>+J91-J77</f>
        <v>0</v>
      </c>
      <c r="L91" s="147"/>
      <c r="M91" s="166">
        <f>+L91-L77</f>
        <v>0</v>
      </c>
      <c r="N91" s="147"/>
      <c r="O91" s="166">
        <f>+N91-N77</f>
        <v>0</v>
      </c>
      <c r="P91" s="147"/>
      <c r="Q91" s="166">
        <f>+P91-P77</f>
        <v>0</v>
      </c>
      <c r="R91" s="147"/>
      <c r="S91" s="166">
        <f>+R91-R77</f>
        <v>0</v>
      </c>
      <c r="T91" s="147"/>
      <c r="U91" s="166">
        <f>+T91-T77</f>
        <v>0</v>
      </c>
      <c r="V91" s="147"/>
      <c r="W91" s="166">
        <f>+V91-V77</f>
        <v>0</v>
      </c>
      <c r="X91" s="147"/>
      <c r="Y91" s="166">
        <f>+X91-X77</f>
        <v>0</v>
      </c>
      <c r="Z91" s="147"/>
      <c r="AA91" s="166">
        <f>+Z91-Z77</f>
        <v>0</v>
      </c>
      <c r="AB91" s="147"/>
      <c r="AC91" s="166">
        <f>+AB91-AB77</f>
        <v>0</v>
      </c>
      <c r="AD91" s="147"/>
      <c r="AE91" s="166">
        <f>+AD91-AD77</f>
        <v>0</v>
      </c>
      <c r="AF91" s="147"/>
      <c r="AG91" s="166">
        <f>+AF91-AF77</f>
        <v>0</v>
      </c>
      <c r="AH91" s="147"/>
      <c r="AI91" s="166">
        <f>+AH91-AH77</f>
        <v>0</v>
      </c>
      <c r="AJ91" s="147"/>
      <c r="AK91" s="166">
        <f>+AJ91-AJ77</f>
        <v>0</v>
      </c>
      <c r="AL91" s="147"/>
      <c r="AM91" s="166">
        <f>+AL91-AL77</f>
        <v>0</v>
      </c>
      <c r="AN91" s="147"/>
      <c r="AO91" s="166">
        <f>+AN91-AN77</f>
        <v>0</v>
      </c>
      <c r="AP91" s="147"/>
      <c r="AQ91" s="166">
        <f>+AP91-AP77</f>
        <v>0</v>
      </c>
      <c r="AR91" s="147"/>
      <c r="AS91" s="166">
        <f>+AR91-AR77</f>
        <v>0</v>
      </c>
      <c r="AT91" s="147"/>
      <c r="AU91" s="166">
        <f>+AT91-AT77</f>
        <v>0</v>
      </c>
      <c r="AV91" s="147"/>
      <c r="AW91" s="166">
        <f>+AV91-AV77</f>
        <v>0</v>
      </c>
      <c r="AX91" s="147"/>
      <c r="AY91" s="166">
        <f>+AX91-AX77</f>
        <v>0</v>
      </c>
      <c r="AZ91" s="147"/>
      <c r="BA91" s="166">
        <f>+AZ91-AZ77</f>
        <v>0</v>
      </c>
      <c r="BB91" s="147"/>
      <c r="BC91" s="166">
        <f>+BB91-BB77</f>
        <v>0</v>
      </c>
      <c r="BD91" s="147"/>
      <c r="BE91" s="166">
        <f>+BD91-BD77</f>
        <v>0</v>
      </c>
      <c r="BF91" s="147"/>
      <c r="BG91" s="166">
        <f>+BF91-BF77</f>
        <v>0</v>
      </c>
      <c r="BH91" s="147"/>
      <c r="BI91" s="166">
        <f>+BH91-BH77</f>
        <v>0</v>
      </c>
      <c r="BJ91" s="147"/>
      <c r="BK91" s="166">
        <f>+BJ91-BJ77</f>
        <v>0</v>
      </c>
      <c r="BL91" s="147"/>
      <c r="BM91" s="48"/>
      <c r="BN91" s="50"/>
      <c r="BO91" s="170" t="e">
        <f t="shared" ref="BO91:BO103" si="128">IF(COUNT(E91,G91,I91,K91,M91,O91,Q91,S91,U91,W91,Y91,AA91,AC91,AE91,AG91,AI91,AK91,AM91,AO91,AQ91,AS91,AU91,AW91,AY91,BA91,BC91,BE91,BG91,BI91,BK91,BM91)=0,"",SUM(E91,G91,I91,K91,M91,O91,Q91,S91,U91,W91,Y91,AA91,AC91,AE91,AG91,AI91,AK91,AM91,AO91,AQ91,AS91,AU91,AW91,AY91,BA91,BC91,BE91,BG91,BI91,BK91,BM91))</f>
        <v>#VALUE!</v>
      </c>
      <c r="BP91" s="87"/>
      <c r="BQ91" s="172" t="e">
        <f t="shared" ref="BQ91:BQ102" si="129">+BP91-BP77</f>
        <v>#VALUE!</v>
      </c>
    </row>
    <row r="92" spans="1:69" x14ac:dyDescent="0.35">
      <c r="A92" s="136"/>
      <c r="B92" s="54" t="s">
        <v>66</v>
      </c>
      <c r="C92" s="144"/>
      <c r="D92" s="146"/>
      <c r="E92" s="166" t="e">
        <f t="shared" ref="E92:K102" si="130">+D92-D78</f>
        <v>#VALUE!</v>
      </c>
      <c r="F92" s="147"/>
      <c r="G92" s="166">
        <f t="shared" si="130"/>
        <v>0</v>
      </c>
      <c r="H92" s="147"/>
      <c r="I92" s="166">
        <f t="shared" si="130"/>
        <v>0</v>
      </c>
      <c r="J92" s="147"/>
      <c r="K92" s="166">
        <f t="shared" si="130"/>
        <v>0</v>
      </c>
      <c r="L92" s="147"/>
      <c r="M92" s="166">
        <f t="shared" ref="M92:M102" si="131">+L92-L78</f>
        <v>0</v>
      </c>
      <c r="N92" s="147"/>
      <c r="O92" s="166">
        <f t="shared" ref="O92:O102" si="132">+N92-N78</f>
        <v>0</v>
      </c>
      <c r="P92" s="147"/>
      <c r="Q92" s="166">
        <f t="shared" ref="Q92:Q102" si="133">+P92-P78</f>
        <v>0</v>
      </c>
      <c r="R92" s="147"/>
      <c r="S92" s="166">
        <f t="shared" ref="S92:S102" si="134">+R92-R78</f>
        <v>0</v>
      </c>
      <c r="T92" s="147"/>
      <c r="U92" s="166">
        <f t="shared" ref="U92:U102" si="135">+T92-T78</f>
        <v>0</v>
      </c>
      <c r="V92" s="147"/>
      <c r="W92" s="166">
        <f t="shared" ref="W92:W102" si="136">+V92-V78</f>
        <v>0</v>
      </c>
      <c r="X92" s="147"/>
      <c r="Y92" s="166">
        <f t="shared" ref="Y92:Y102" si="137">+X92-X78</f>
        <v>0</v>
      </c>
      <c r="Z92" s="147"/>
      <c r="AA92" s="166">
        <f t="shared" ref="AA92:AA102" si="138">+Z92-Z78</f>
        <v>0</v>
      </c>
      <c r="AB92" s="147"/>
      <c r="AC92" s="166">
        <f t="shared" ref="AC92:AC102" si="139">+AB92-AB78</f>
        <v>0</v>
      </c>
      <c r="AD92" s="147"/>
      <c r="AE92" s="166">
        <f t="shared" ref="AE92:AE102" si="140">+AD92-AD78</f>
        <v>0</v>
      </c>
      <c r="AF92" s="147"/>
      <c r="AG92" s="166">
        <f t="shared" ref="AG92:AG102" si="141">+AF92-AF78</f>
        <v>0</v>
      </c>
      <c r="AH92" s="147"/>
      <c r="AI92" s="166">
        <f t="shared" ref="AI92:AI102" si="142">+AH92-AH78</f>
        <v>0</v>
      </c>
      <c r="AJ92" s="147"/>
      <c r="AK92" s="166">
        <f t="shared" ref="AK92:AK102" si="143">+AJ92-AJ78</f>
        <v>0</v>
      </c>
      <c r="AL92" s="147"/>
      <c r="AM92" s="166">
        <f t="shared" ref="AM92:AM102" si="144">+AL92-AL78</f>
        <v>0</v>
      </c>
      <c r="AN92" s="147"/>
      <c r="AO92" s="166">
        <f t="shared" ref="AO92:AO102" si="145">+AN92-AN78</f>
        <v>0</v>
      </c>
      <c r="AP92" s="147"/>
      <c r="AQ92" s="166">
        <f t="shared" ref="AQ92:AQ102" si="146">+AP92-AP78</f>
        <v>0</v>
      </c>
      <c r="AR92" s="147"/>
      <c r="AS92" s="166">
        <f t="shared" ref="AS92:AS102" si="147">+AR92-AR78</f>
        <v>0</v>
      </c>
      <c r="AT92" s="147"/>
      <c r="AU92" s="166">
        <f t="shared" ref="AU92:AU102" si="148">+AT92-AT78</f>
        <v>0</v>
      </c>
      <c r="AV92" s="147"/>
      <c r="AW92" s="166">
        <f t="shared" ref="AW92:AW102" si="149">+AV92-AV78</f>
        <v>0</v>
      </c>
      <c r="AX92" s="147"/>
      <c r="AY92" s="166">
        <f t="shared" ref="AY92:AY102" si="150">+AX92-AX78</f>
        <v>0</v>
      </c>
      <c r="AZ92" s="147"/>
      <c r="BA92" s="166">
        <f t="shared" ref="BA92:BA102" si="151">+AZ92-AZ78</f>
        <v>0</v>
      </c>
      <c r="BB92" s="147"/>
      <c r="BC92" s="166">
        <f t="shared" ref="BC92:BC102" si="152">+BB92-BB78</f>
        <v>0</v>
      </c>
      <c r="BD92" s="147"/>
      <c r="BE92" s="166">
        <f t="shared" ref="BE92:BE102" si="153">+BD92-BD78</f>
        <v>0</v>
      </c>
      <c r="BF92" s="147"/>
      <c r="BG92" s="166">
        <f t="shared" ref="BG92:BG102" si="154">+BF92-BF78</f>
        <v>0</v>
      </c>
      <c r="BH92" s="147"/>
      <c r="BI92" s="166">
        <f t="shared" ref="BI92:BI102" si="155">+BH92-BH78</f>
        <v>0</v>
      </c>
      <c r="BJ92" s="147"/>
      <c r="BK92" s="166">
        <f t="shared" ref="BK92:BK102" si="156">+BJ92-BJ78</f>
        <v>0</v>
      </c>
      <c r="BL92" s="147"/>
      <c r="BM92" s="48"/>
      <c r="BN92" s="50"/>
      <c r="BO92" s="170" t="e">
        <f t="shared" si="128"/>
        <v>#VALUE!</v>
      </c>
      <c r="BP92" s="87"/>
      <c r="BQ92" s="172" t="e">
        <f t="shared" si="129"/>
        <v>#VALUE!</v>
      </c>
    </row>
    <row r="93" spans="1:69" x14ac:dyDescent="0.35">
      <c r="A93" s="134" t="s">
        <v>77</v>
      </c>
      <c r="B93" s="54" t="s">
        <v>67</v>
      </c>
      <c r="C93" s="144"/>
      <c r="D93" s="146"/>
      <c r="E93" s="166" t="e">
        <f t="shared" si="130"/>
        <v>#VALUE!</v>
      </c>
      <c r="F93" s="147"/>
      <c r="G93" s="166">
        <f t="shared" si="130"/>
        <v>0</v>
      </c>
      <c r="H93" s="147"/>
      <c r="I93" s="166">
        <f t="shared" si="130"/>
        <v>0</v>
      </c>
      <c r="J93" s="147"/>
      <c r="K93" s="166">
        <f t="shared" si="130"/>
        <v>0</v>
      </c>
      <c r="L93" s="147"/>
      <c r="M93" s="166">
        <f t="shared" si="131"/>
        <v>0</v>
      </c>
      <c r="N93" s="147"/>
      <c r="O93" s="166">
        <f t="shared" si="132"/>
        <v>0</v>
      </c>
      <c r="P93" s="147"/>
      <c r="Q93" s="166">
        <f t="shared" si="133"/>
        <v>0</v>
      </c>
      <c r="R93" s="147"/>
      <c r="S93" s="166">
        <f t="shared" si="134"/>
        <v>0</v>
      </c>
      <c r="T93" s="147"/>
      <c r="U93" s="166">
        <f t="shared" si="135"/>
        <v>0</v>
      </c>
      <c r="V93" s="147"/>
      <c r="W93" s="166">
        <f t="shared" si="136"/>
        <v>0</v>
      </c>
      <c r="X93" s="147"/>
      <c r="Y93" s="166">
        <f t="shared" si="137"/>
        <v>0</v>
      </c>
      <c r="Z93" s="147"/>
      <c r="AA93" s="166">
        <f t="shared" si="138"/>
        <v>0</v>
      </c>
      <c r="AB93" s="147"/>
      <c r="AC93" s="166">
        <f t="shared" si="139"/>
        <v>0</v>
      </c>
      <c r="AD93" s="147"/>
      <c r="AE93" s="166">
        <f t="shared" si="140"/>
        <v>0</v>
      </c>
      <c r="AF93" s="147"/>
      <c r="AG93" s="166">
        <f t="shared" si="141"/>
        <v>0</v>
      </c>
      <c r="AH93" s="147"/>
      <c r="AI93" s="166">
        <f t="shared" si="142"/>
        <v>0</v>
      </c>
      <c r="AJ93" s="147"/>
      <c r="AK93" s="166">
        <f t="shared" si="143"/>
        <v>0</v>
      </c>
      <c r="AL93" s="147"/>
      <c r="AM93" s="166">
        <f t="shared" si="144"/>
        <v>0</v>
      </c>
      <c r="AN93" s="147"/>
      <c r="AO93" s="48"/>
      <c r="AP93" s="147"/>
      <c r="AQ93" s="166">
        <f t="shared" si="146"/>
        <v>0</v>
      </c>
      <c r="AR93" s="147"/>
      <c r="AS93" s="166">
        <f t="shared" si="147"/>
        <v>0</v>
      </c>
      <c r="AT93" s="147"/>
      <c r="AU93" s="166">
        <f t="shared" si="148"/>
        <v>0</v>
      </c>
      <c r="AV93" s="147"/>
      <c r="AW93" s="166">
        <f t="shared" si="149"/>
        <v>0</v>
      </c>
      <c r="AX93" s="147"/>
      <c r="AY93" s="166">
        <f t="shared" si="150"/>
        <v>0</v>
      </c>
      <c r="AZ93" s="147"/>
      <c r="BA93" s="166">
        <f t="shared" si="151"/>
        <v>0</v>
      </c>
      <c r="BB93" s="147"/>
      <c r="BC93" s="166">
        <f t="shared" si="152"/>
        <v>0</v>
      </c>
      <c r="BD93" s="147"/>
      <c r="BE93" s="166">
        <f t="shared" si="153"/>
        <v>0</v>
      </c>
      <c r="BF93" s="147"/>
      <c r="BG93" s="166">
        <f t="shared" si="154"/>
        <v>0</v>
      </c>
      <c r="BH93" s="147"/>
      <c r="BI93" s="166">
        <f t="shared" si="155"/>
        <v>0</v>
      </c>
      <c r="BJ93" s="147"/>
      <c r="BK93" s="166">
        <f t="shared" si="156"/>
        <v>0</v>
      </c>
      <c r="BL93" s="147"/>
      <c r="BM93" s="48"/>
      <c r="BN93" s="50"/>
      <c r="BO93" s="170" t="e">
        <f t="shared" si="128"/>
        <v>#VALUE!</v>
      </c>
      <c r="BP93" s="87"/>
      <c r="BQ93" s="172" t="e">
        <f t="shared" si="129"/>
        <v>#VALUE!</v>
      </c>
    </row>
    <row r="94" spans="1:69" x14ac:dyDescent="0.35">
      <c r="A94" s="132" t="s">
        <v>78</v>
      </c>
      <c r="B94" s="54" t="s">
        <v>65</v>
      </c>
      <c r="C94" s="144"/>
      <c r="D94" s="146"/>
      <c r="E94" s="166" t="e">
        <f t="shared" si="130"/>
        <v>#VALUE!</v>
      </c>
      <c r="F94" s="147"/>
      <c r="G94" s="166">
        <f t="shared" si="130"/>
        <v>0</v>
      </c>
      <c r="H94" s="147"/>
      <c r="I94" s="166">
        <f t="shared" si="130"/>
        <v>0</v>
      </c>
      <c r="J94" s="147"/>
      <c r="K94" s="166">
        <f t="shared" si="130"/>
        <v>0</v>
      </c>
      <c r="L94" s="147"/>
      <c r="M94" s="166">
        <f t="shared" si="131"/>
        <v>0</v>
      </c>
      <c r="N94" s="147"/>
      <c r="O94" s="166">
        <f t="shared" si="132"/>
        <v>0</v>
      </c>
      <c r="P94" s="147"/>
      <c r="Q94" s="166">
        <f t="shared" si="133"/>
        <v>0</v>
      </c>
      <c r="R94" s="147"/>
      <c r="S94" s="166">
        <f t="shared" si="134"/>
        <v>0</v>
      </c>
      <c r="T94" s="147"/>
      <c r="U94" s="166">
        <f t="shared" si="135"/>
        <v>0</v>
      </c>
      <c r="V94" s="147"/>
      <c r="W94" s="166">
        <f t="shared" si="136"/>
        <v>0</v>
      </c>
      <c r="X94" s="147"/>
      <c r="Y94" s="166">
        <f t="shared" si="137"/>
        <v>0</v>
      </c>
      <c r="Z94" s="147"/>
      <c r="AA94" s="166">
        <f t="shared" si="138"/>
        <v>0</v>
      </c>
      <c r="AB94" s="147"/>
      <c r="AC94" s="166">
        <f t="shared" si="139"/>
        <v>0</v>
      </c>
      <c r="AD94" s="147"/>
      <c r="AE94" s="166">
        <f t="shared" si="140"/>
        <v>0</v>
      </c>
      <c r="AF94" s="147"/>
      <c r="AG94" s="166">
        <f t="shared" si="141"/>
        <v>0</v>
      </c>
      <c r="AH94" s="147"/>
      <c r="AI94" s="166">
        <f t="shared" si="142"/>
        <v>0</v>
      </c>
      <c r="AJ94" s="147"/>
      <c r="AK94" s="166">
        <f t="shared" si="143"/>
        <v>0</v>
      </c>
      <c r="AL94" s="147"/>
      <c r="AM94" s="166">
        <f t="shared" si="144"/>
        <v>0</v>
      </c>
      <c r="AN94" s="147"/>
      <c r="AO94" s="166">
        <f t="shared" si="145"/>
        <v>0</v>
      </c>
      <c r="AP94" s="147"/>
      <c r="AQ94" s="166">
        <f t="shared" si="146"/>
        <v>0</v>
      </c>
      <c r="AR94" s="147"/>
      <c r="AS94" s="166">
        <f t="shared" si="147"/>
        <v>0</v>
      </c>
      <c r="AT94" s="147"/>
      <c r="AU94" s="166">
        <f t="shared" si="148"/>
        <v>0</v>
      </c>
      <c r="AV94" s="147"/>
      <c r="AW94" s="166">
        <f t="shared" si="149"/>
        <v>0</v>
      </c>
      <c r="AX94" s="147"/>
      <c r="AY94" s="166">
        <f t="shared" si="150"/>
        <v>0</v>
      </c>
      <c r="AZ94" s="147"/>
      <c r="BA94" s="166">
        <f t="shared" si="151"/>
        <v>0</v>
      </c>
      <c r="BB94" s="147"/>
      <c r="BC94" s="166">
        <f t="shared" si="152"/>
        <v>0</v>
      </c>
      <c r="BD94" s="147"/>
      <c r="BE94" s="166">
        <f t="shared" si="153"/>
        <v>0</v>
      </c>
      <c r="BF94" s="147"/>
      <c r="BG94" s="166">
        <f t="shared" si="154"/>
        <v>0</v>
      </c>
      <c r="BH94" s="147"/>
      <c r="BI94" s="166">
        <f t="shared" si="155"/>
        <v>0</v>
      </c>
      <c r="BJ94" s="147"/>
      <c r="BK94" s="166">
        <f t="shared" si="156"/>
        <v>0</v>
      </c>
      <c r="BL94" s="147"/>
      <c r="BM94" s="48"/>
      <c r="BN94" s="50"/>
      <c r="BO94" s="170" t="e">
        <f t="shared" si="128"/>
        <v>#VALUE!</v>
      </c>
      <c r="BP94" s="87"/>
      <c r="BQ94" s="172" t="e">
        <f t="shared" si="129"/>
        <v>#VALUE!</v>
      </c>
    </row>
    <row r="95" spans="1:69" x14ac:dyDescent="0.35">
      <c r="A95" s="136"/>
      <c r="B95" s="54" t="s">
        <v>66</v>
      </c>
      <c r="C95" s="144"/>
      <c r="D95" s="146"/>
      <c r="E95" s="166" t="e">
        <f t="shared" si="130"/>
        <v>#VALUE!</v>
      </c>
      <c r="F95" s="147"/>
      <c r="G95" s="166">
        <f t="shared" si="130"/>
        <v>0</v>
      </c>
      <c r="H95" s="147"/>
      <c r="I95" s="166">
        <f t="shared" si="130"/>
        <v>0</v>
      </c>
      <c r="J95" s="147"/>
      <c r="K95" s="166">
        <f t="shared" si="130"/>
        <v>0</v>
      </c>
      <c r="L95" s="147"/>
      <c r="M95" s="166">
        <f t="shared" si="131"/>
        <v>0</v>
      </c>
      <c r="N95" s="147"/>
      <c r="O95" s="166">
        <f t="shared" si="132"/>
        <v>0</v>
      </c>
      <c r="P95" s="147"/>
      <c r="Q95" s="166">
        <f t="shared" si="133"/>
        <v>0</v>
      </c>
      <c r="R95" s="147"/>
      <c r="S95" s="166">
        <f t="shared" si="134"/>
        <v>0</v>
      </c>
      <c r="T95" s="147"/>
      <c r="U95" s="166">
        <f t="shared" si="135"/>
        <v>0</v>
      </c>
      <c r="V95" s="147"/>
      <c r="W95" s="166">
        <f t="shared" si="136"/>
        <v>0</v>
      </c>
      <c r="X95" s="147"/>
      <c r="Y95" s="166">
        <f t="shared" si="137"/>
        <v>0</v>
      </c>
      <c r="Z95" s="147"/>
      <c r="AA95" s="166">
        <f t="shared" si="138"/>
        <v>0</v>
      </c>
      <c r="AB95" s="147"/>
      <c r="AC95" s="166">
        <f t="shared" si="139"/>
        <v>0</v>
      </c>
      <c r="AD95" s="147"/>
      <c r="AE95" s="166">
        <f t="shared" si="140"/>
        <v>0</v>
      </c>
      <c r="AF95" s="147"/>
      <c r="AG95" s="166">
        <f t="shared" si="141"/>
        <v>0</v>
      </c>
      <c r="AH95" s="147"/>
      <c r="AI95" s="166">
        <f t="shared" si="142"/>
        <v>0</v>
      </c>
      <c r="AJ95" s="147"/>
      <c r="AK95" s="166">
        <f t="shared" si="143"/>
        <v>0</v>
      </c>
      <c r="AL95" s="147"/>
      <c r="AM95" s="166">
        <f t="shared" si="144"/>
        <v>0</v>
      </c>
      <c r="AN95" s="147"/>
      <c r="AO95" s="166">
        <f t="shared" si="145"/>
        <v>0</v>
      </c>
      <c r="AP95" s="147"/>
      <c r="AQ95" s="166">
        <f t="shared" si="146"/>
        <v>0</v>
      </c>
      <c r="AR95" s="147"/>
      <c r="AS95" s="166">
        <f t="shared" si="147"/>
        <v>0</v>
      </c>
      <c r="AT95" s="147"/>
      <c r="AU95" s="166">
        <f t="shared" si="148"/>
        <v>0</v>
      </c>
      <c r="AV95" s="147"/>
      <c r="AW95" s="166">
        <f t="shared" si="149"/>
        <v>0</v>
      </c>
      <c r="AX95" s="147"/>
      <c r="AY95" s="166">
        <f t="shared" si="150"/>
        <v>0</v>
      </c>
      <c r="AZ95" s="147"/>
      <c r="BA95" s="166">
        <f t="shared" si="151"/>
        <v>0</v>
      </c>
      <c r="BB95" s="147"/>
      <c r="BC95" s="166">
        <f t="shared" si="152"/>
        <v>0</v>
      </c>
      <c r="BD95" s="147"/>
      <c r="BE95" s="166">
        <f t="shared" si="153"/>
        <v>0</v>
      </c>
      <c r="BF95" s="147"/>
      <c r="BG95" s="166">
        <f t="shared" si="154"/>
        <v>0</v>
      </c>
      <c r="BH95" s="147"/>
      <c r="BI95" s="166">
        <f t="shared" si="155"/>
        <v>0</v>
      </c>
      <c r="BJ95" s="147"/>
      <c r="BK95" s="166">
        <f t="shared" si="156"/>
        <v>0</v>
      </c>
      <c r="BL95" s="147"/>
      <c r="BM95" s="48"/>
      <c r="BN95" s="50"/>
      <c r="BO95" s="170" t="e">
        <f t="shared" si="128"/>
        <v>#VALUE!</v>
      </c>
      <c r="BP95" s="87"/>
      <c r="BQ95" s="172" t="e">
        <f t="shared" si="129"/>
        <v>#VALUE!</v>
      </c>
    </row>
    <row r="96" spans="1:69" x14ac:dyDescent="0.35">
      <c r="A96" s="134" t="s">
        <v>80</v>
      </c>
      <c r="B96" s="54" t="s">
        <v>67</v>
      </c>
      <c r="C96" s="144"/>
      <c r="D96" s="146"/>
      <c r="E96" s="166" t="e">
        <f t="shared" si="130"/>
        <v>#VALUE!</v>
      </c>
      <c r="F96" s="147"/>
      <c r="G96" s="166">
        <f t="shared" si="130"/>
        <v>0</v>
      </c>
      <c r="H96" s="147"/>
      <c r="I96" s="166">
        <f t="shared" si="130"/>
        <v>0</v>
      </c>
      <c r="J96" s="147"/>
      <c r="K96" s="166">
        <f t="shared" si="130"/>
        <v>0</v>
      </c>
      <c r="L96" s="147"/>
      <c r="M96" s="166">
        <f t="shared" si="131"/>
        <v>0</v>
      </c>
      <c r="N96" s="147"/>
      <c r="O96" s="166">
        <f t="shared" si="132"/>
        <v>0</v>
      </c>
      <c r="P96" s="147"/>
      <c r="Q96" s="166">
        <f t="shared" si="133"/>
        <v>0</v>
      </c>
      <c r="R96" s="147"/>
      <c r="S96" s="166">
        <f t="shared" si="134"/>
        <v>0</v>
      </c>
      <c r="T96" s="147"/>
      <c r="U96" s="166">
        <f t="shared" si="135"/>
        <v>0</v>
      </c>
      <c r="V96" s="147"/>
      <c r="W96" s="166">
        <f t="shared" si="136"/>
        <v>0</v>
      </c>
      <c r="X96" s="147"/>
      <c r="Y96" s="166">
        <f t="shared" si="137"/>
        <v>0</v>
      </c>
      <c r="Z96" s="147"/>
      <c r="AA96" s="166">
        <f t="shared" si="138"/>
        <v>0</v>
      </c>
      <c r="AB96" s="147"/>
      <c r="AC96" s="166">
        <f t="shared" si="139"/>
        <v>0</v>
      </c>
      <c r="AD96" s="147"/>
      <c r="AE96" s="166">
        <f t="shared" si="140"/>
        <v>0</v>
      </c>
      <c r="AF96" s="147"/>
      <c r="AG96" s="166">
        <f t="shared" si="141"/>
        <v>0</v>
      </c>
      <c r="AH96" s="147"/>
      <c r="AI96" s="166">
        <f t="shared" si="142"/>
        <v>0</v>
      </c>
      <c r="AJ96" s="147"/>
      <c r="AK96" s="166">
        <f t="shared" si="143"/>
        <v>0</v>
      </c>
      <c r="AL96" s="147"/>
      <c r="AM96" s="166">
        <f t="shared" si="144"/>
        <v>0</v>
      </c>
      <c r="AN96" s="147"/>
      <c r="AO96" s="166">
        <f t="shared" si="145"/>
        <v>0</v>
      </c>
      <c r="AP96" s="147"/>
      <c r="AQ96" s="166">
        <f t="shared" si="146"/>
        <v>0</v>
      </c>
      <c r="AR96" s="147"/>
      <c r="AS96" s="166">
        <f t="shared" si="147"/>
        <v>0</v>
      </c>
      <c r="AT96" s="147"/>
      <c r="AU96" s="166">
        <f t="shared" si="148"/>
        <v>0</v>
      </c>
      <c r="AV96" s="147"/>
      <c r="AW96" s="166">
        <f t="shared" si="149"/>
        <v>0</v>
      </c>
      <c r="AX96" s="147"/>
      <c r="AY96" s="166">
        <f t="shared" si="150"/>
        <v>0</v>
      </c>
      <c r="AZ96" s="147"/>
      <c r="BA96" s="166">
        <f t="shared" si="151"/>
        <v>0</v>
      </c>
      <c r="BB96" s="147"/>
      <c r="BC96" s="166">
        <f t="shared" si="152"/>
        <v>0</v>
      </c>
      <c r="BD96" s="147"/>
      <c r="BE96" s="166">
        <f t="shared" si="153"/>
        <v>0</v>
      </c>
      <c r="BF96" s="147"/>
      <c r="BG96" s="166">
        <f t="shared" si="154"/>
        <v>0</v>
      </c>
      <c r="BH96" s="147"/>
      <c r="BI96" s="166">
        <f t="shared" si="155"/>
        <v>0</v>
      </c>
      <c r="BJ96" s="147"/>
      <c r="BK96" s="166">
        <f t="shared" si="156"/>
        <v>0</v>
      </c>
      <c r="BL96" s="147"/>
      <c r="BM96" s="48"/>
      <c r="BN96" s="50"/>
      <c r="BO96" s="170" t="e">
        <f t="shared" si="128"/>
        <v>#VALUE!</v>
      </c>
      <c r="BP96" s="87"/>
      <c r="BQ96" s="172" t="e">
        <f t="shared" si="129"/>
        <v>#VALUE!</v>
      </c>
    </row>
    <row r="97" spans="1:76" x14ac:dyDescent="0.35">
      <c r="A97" s="135"/>
      <c r="B97" s="54" t="s">
        <v>67</v>
      </c>
      <c r="C97" s="144"/>
      <c r="D97" s="146"/>
      <c r="E97" s="166" t="e">
        <f t="shared" si="130"/>
        <v>#VALUE!</v>
      </c>
      <c r="F97" s="147"/>
      <c r="G97" s="166">
        <f t="shared" si="130"/>
        <v>0</v>
      </c>
      <c r="H97" s="147"/>
      <c r="I97" s="166">
        <f t="shared" si="130"/>
        <v>0</v>
      </c>
      <c r="J97" s="147"/>
      <c r="K97" s="166">
        <f t="shared" si="130"/>
        <v>0</v>
      </c>
      <c r="L97" s="147"/>
      <c r="M97" s="166">
        <f t="shared" si="131"/>
        <v>0</v>
      </c>
      <c r="N97" s="147"/>
      <c r="O97" s="166">
        <f t="shared" si="132"/>
        <v>0</v>
      </c>
      <c r="P97" s="147"/>
      <c r="Q97" s="166">
        <f t="shared" si="133"/>
        <v>0</v>
      </c>
      <c r="R97" s="147"/>
      <c r="S97" s="166">
        <f t="shared" si="134"/>
        <v>0</v>
      </c>
      <c r="T97" s="147"/>
      <c r="U97" s="166">
        <f t="shared" si="135"/>
        <v>0</v>
      </c>
      <c r="V97" s="147"/>
      <c r="W97" s="166">
        <f t="shared" si="136"/>
        <v>0</v>
      </c>
      <c r="X97" s="147"/>
      <c r="Y97" s="166">
        <f t="shared" si="137"/>
        <v>0</v>
      </c>
      <c r="Z97" s="147"/>
      <c r="AA97" s="166">
        <f t="shared" si="138"/>
        <v>0</v>
      </c>
      <c r="AB97" s="147"/>
      <c r="AC97" s="166">
        <f t="shared" si="139"/>
        <v>0</v>
      </c>
      <c r="AD97" s="147"/>
      <c r="AE97" s="166">
        <f t="shared" si="140"/>
        <v>0</v>
      </c>
      <c r="AF97" s="147"/>
      <c r="AG97" s="166">
        <f t="shared" si="141"/>
        <v>0</v>
      </c>
      <c r="AH97" s="147"/>
      <c r="AI97" s="166">
        <f t="shared" si="142"/>
        <v>0</v>
      </c>
      <c r="AJ97" s="147"/>
      <c r="AK97" s="166">
        <f t="shared" si="143"/>
        <v>0</v>
      </c>
      <c r="AL97" s="147"/>
      <c r="AM97" s="166">
        <f t="shared" si="144"/>
        <v>0</v>
      </c>
      <c r="AN97" s="147"/>
      <c r="AO97" s="166">
        <f t="shared" si="145"/>
        <v>0</v>
      </c>
      <c r="AP97" s="147"/>
      <c r="AQ97" s="166">
        <f t="shared" si="146"/>
        <v>0</v>
      </c>
      <c r="AR97" s="147"/>
      <c r="AS97" s="166">
        <f t="shared" si="147"/>
        <v>0</v>
      </c>
      <c r="AT97" s="147"/>
      <c r="AU97" s="166">
        <f t="shared" si="148"/>
        <v>0</v>
      </c>
      <c r="AV97" s="147"/>
      <c r="AW97" s="166">
        <f t="shared" si="149"/>
        <v>0</v>
      </c>
      <c r="AX97" s="147"/>
      <c r="AY97" s="166">
        <f t="shared" si="150"/>
        <v>0</v>
      </c>
      <c r="AZ97" s="147"/>
      <c r="BA97" s="166">
        <f t="shared" si="151"/>
        <v>0</v>
      </c>
      <c r="BB97" s="147"/>
      <c r="BC97" s="166">
        <f t="shared" si="152"/>
        <v>0</v>
      </c>
      <c r="BD97" s="147"/>
      <c r="BE97" s="166">
        <f t="shared" si="153"/>
        <v>0</v>
      </c>
      <c r="BF97" s="147"/>
      <c r="BG97" s="166">
        <f t="shared" si="154"/>
        <v>0</v>
      </c>
      <c r="BH97" s="147"/>
      <c r="BI97" s="166">
        <f t="shared" si="155"/>
        <v>0</v>
      </c>
      <c r="BJ97" s="147"/>
      <c r="BK97" s="166">
        <f t="shared" si="156"/>
        <v>0</v>
      </c>
      <c r="BL97" s="147"/>
      <c r="BM97" s="48"/>
      <c r="BN97" s="50"/>
      <c r="BO97" s="170" t="e">
        <f t="shared" si="128"/>
        <v>#VALUE!</v>
      </c>
      <c r="BP97" s="87"/>
      <c r="BQ97" s="172" t="e">
        <f t="shared" si="129"/>
        <v>#VALUE!</v>
      </c>
    </row>
    <row r="98" spans="1:76" x14ac:dyDescent="0.35">
      <c r="A98" s="136" t="s">
        <v>82</v>
      </c>
      <c r="B98" s="54" t="s">
        <v>66</v>
      </c>
      <c r="C98" s="144"/>
      <c r="D98" s="146"/>
      <c r="E98" s="166" t="e">
        <f t="shared" si="130"/>
        <v>#VALUE!</v>
      </c>
      <c r="F98" s="147"/>
      <c r="G98" s="166">
        <f t="shared" si="130"/>
        <v>0</v>
      </c>
      <c r="H98" s="147"/>
      <c r="I98" s="166">
        <f t="shared" si="130"/>
        <v>0</v>
      </c>
      <c r="J98" s="147"/>
      <c r="K98" s="166">
        <f t="shared" si="130"/>
        <v>0</v>
      </c>
      <c r="L98" s="147"/>
      <c r="M98" s="166">
        <f t="shared" si="131"/>
        <v>0</v>
      </c>
      <c r="N98" s="147"/>
      <c r="O98" s="166">
        <f t="shared" si="132"/>
        <v>0</v>
      </c>
      <c r="P98" s="147"/>
      <c r="Q98" s="166">
        <f t="shared" si="133"/>
        <v>0</v>
      </c>
      <c r="R98" s="147"/>
      <c r="S98" s="166">
        <f t="shared" si="134"/>
        <v>0</v>
      </c>
      <c r="T98" s="147"/>
      <c r="U98" s="166">
        <f t="shared" si="135"/>
        <v>0</v>
      </c>
      <c r="V98" s="147"/>
      <c r="W98" s="166">
        <f t="shared" si="136"/>
        <v>0</v>
      </c>
      <c r="X98" s="147"/>
      <c r="Y98" s="166">
        <f t="shared" si="137"/>
        <v>0</v>
      </c>
      <c r="Z98" s="147"/>
      <c r="AA98" s="166">
        <f t="shared" si="138"/>
        <v>0</v>
      </c>
      <c r="AB98" s="147"/>
      <c r="AC98" s="166">
        <f t="shared" si="139"/>
        <v>0</v>
      </c>
      <c r="AD98" s="147"/>
      <c r="AE98" s="166">
        <f t="shared" si="140"/>
        <v>0</v>
      </c>
      <c r="AF98" s="147"/>
      <c r="AG98" s="166">
        <f t="shared" si="141"/>
        <v>0</v>
      </c>
      <c r="AH98" s="147"/>
      <c r="AI98" s="166">
        <f t="shared" si="142"/>
        <v>0</v>
      </c>
      <c r="AJ98" s="147"/>
      <c r="AK98" s="166">
        <f t="shared" si="143"/>
        <v>0</v>
      </c>
      <c r="AL98" s="147"/>
      <c r="AM98" s="166">
        <f t="shared" si="144"/>
        <v>0</v>
      </c>
      <c r="AN98" s="147"/>
      <c r="AO98" s="166">
        <f t="shared" si="145"/>
        <v>0</v>
      </c>
      <c r="AP98" s="147"/>
      <c r="AQ98" s="166">
        <f t="shared" si="146"/>
        <v>0</v>
      </c>
      <c r="AR98" s="147"/>
      <c r="AS98" s="166">
        <f t="shared" si="147"/>
        <v>0</v>
      </c>
      <c r="AT98" s="147"/>
      <c r="AU98" s="166">
        <f t="shared" si="148"/>
        <v>0</v>
      </c>
      <c r="AV98" s="147"/>
      <c r="AW98" s="166">
        <f t="shared" si="149"/>
        <v>0</v>
      </c>
      <c r="AX98" s="147"/>
      <c r="AY98" s="166">
        <f t="shared" si="150"/>
        <v>0</v>
      </c>
      <c r="AZ98" s="147"/>
      <c r="BA98" s="166">
        <f t="shared" si="151"/>
        <v>0</v>
      </c>
      <c r="BB98" s="147"/>
      <c r="BC98" s="166">
        <f t="shared" si="152"/>
        <v>0</v>
      </c>
      <c r="BD98" s="147"/>
      <c r="BE98" s="166">
        <f t="shared" si="153"/>
        <v>0</v>
      </c>
      <c r="BF98" s="147"/>
      <c r="BG98" s="166">
        <f t="shared" si="154"/>
        <v>0</v>
      </c>
      <c r="BH98" s="147"/>
      <c r="BI98" s="166">
        <f t="shared" si="155"/>
        <v>0</v>
      </c>
      <c r="BJ98" s="147"/>
      <c r="BK98" s="166">
        <f t="shared" si="156"/>
        <v>0</v>
      </c>
      <c r="BL98" s="147"/>
      <c r="BM98" s="48"/>
      <c r="BN98" s="50"/>
      <c r="BO98" s="170" t="e">
        <f t="shared" si="128"/>
        <v>#VALUE!</v>
      </c>
      <c r="BP98" s="87"/>
      <c r="BQ98" s="172" t="e">
        <f t="shared" si="129"/>
        <v>#VALUE!</v>
      </c>
    </row>
    <row r="99" spans="1:76" x14ac:dyDescent="0.35">
      <c r="A99" s="44"/>
      <c r="B99" s="54" t="s">
        <v>65</v>
      </c>
      <c r="C99" s="144"/>
      <c r="D99" s="146"/>
      <c r="E99" s="166" t="e">
        <f t="shared" si="130"/>
        <v>#VALUE!</v>
      </c>
      <c r="F99" s="147"/>
      <c r="G99" s="166">
        <f t="shared" si="130"/>
        <v>0</v>
      </c>
      <c r="H99" s="147"/>
      <c r="I99" s="166">
        <f t="shared" si="130"/>
        <v>0</v>
      </c>
      <c r="J99" s="147"/>
      <c r="K99" s="166">
        <f t="shared" si="130"/>
        <v>0</v>
      </c>
      <c r="L99" s="147"/>
      <c r="M99" s="166">
        <f t="shared" si="131"/>
        <v>0</v>
      </c>
      <c r="N99" s="147"/>
      <c r="O99" s="166">
        <f t="shared" si="132"/>
        <v>0</v>
      </c>
      <c r="P99" s="147"/>
      <c r="Q99" s="166">
        <f t="shared" si="133"/>
        <v>0</v>
      </c>
      <c r="R99" s="147"/>
      <c r="S99" s="166">
        <f t="shared" si="134"/>
        <v>0</v>
      </c>
      <c r="T99" s="147"/>
      <c r="U99" s="166">
        <f t="shared" si="135"/>
        <v>0</v>
      </c>
      <c r="V99" s="147"/>
      <c r="W99" s="166">
        <f t="shared" si="136"/>
        <v>0</v>
      </c>
      <c r="X99" s="147"/>
      <c r="Y99" s="166">
        <f t="shared" si="137"/>
        <v>0</v>
      </c>
      <c r="Z99" s="147"/>
      <c r="AA99" s="166">
        <f t="shared" si="138"/>
        <v>0</v>
      </c>
      <c r="AB99" s="147"/>
      <c r="AC99" s="166">
        <f t="shared" si="139"/>
        <v>0</v>
      </c>
      <c r="AD99" s="147"/>
      <c r="AE99" s="166">
        <f t="shared" si="140"/>
        <v>0</v>
      </c>
      <c r="AF99" s="147"/>
      <c r="AG99" s="166">
        <f t="shared" si="141"/>
        <v>0</v>
      </c>
      <c r="AH99" s="147"/>
      <c r="AI99" s="166">
        <f t="shared" si="142"/>
        <v>0</v>
      </c>
      <c r="AJ99" s="147"/>
      <c r="AK99" s="166">
        <f t="shared" si="143"/>
        <v>0</v>
      </c>
      <c r="AL99" s="147"/>
      <c r="AM99" s="166">
        <f t="shared" si="144"/>
        <v>0</v>
      </c>
      <c r="AN99" s="147"/>
      <c r="AO99" s="166">
        <f t="shared" si="145"/>
        <v>0</v>
      </c>
      <c r="AP99" s="147"/>
      <c r="AQ99" s="166">
        <f t="shared" si="146"/>
        <v>0</v>
      </c>
      <c r="AR99" s="147"/>
      <c r="AS99" s="166">
        <f t="shared" si="147"/>
        <v>0</v>
      </c>
      <c r="AT99" s="147"/>
      <c r="AU99" s="166">
        <f t="shared" si="148"/>
        <v>0</v>
      </c>
      <c r="AV99" s="147"/>
      <c r="AW99" s="166">
        <f t="shared" si="149"/>
        <v>0</v>
      </c>
      <c r="AX99" s="147"/>
      <c r="AY99" s="166">
        <f t="shared" si="150"/>
        <v>0</v>
      </c>
      <c r="AZ99" s="147"/>
      <c r="BA99" s="166">
        <f t="shared" si="151"/>
        <v>0</v>
      </c>
      <c r="BB99" s="147"/>
      <c r="BC99" s="166">
        <f t="shared" si="152"/>
        <v>0</v>
      </c>
      <c r="BD99" s="147"/>
      <c r="BE99" s="166">
        <f t="shared" si="153"/>
        <v>0</v>
      </c>
      <c r="BF99" s="147"/>
      <c r="BG99" s="166">
        <f t="shared" si="154"/>
        <v>0</v>
      </c>
      <c r="BH99" s="147"/>
      <c r="BI99" s="166">
        <f t="shared" si="155"/>
        <v>0</v>
      </c>
      <c r="BJ99" s="147"/>
      <c r="BK99" s="166">
        <f t="shared" si="156"/>
        <v>0</v>
      </c>
      <c r="BL99" s="147"/>
      <c r="BM99" s="48"/>
      <c r="BN99" s="50"/>
      <c r="BO99" s="170" t="e">
        <f t="shared" si="128"/>
        <v>#VALUE!</v>
      </c>
      <c r="BP99" s="87"/>
      <c r="BQ99" s="172" t="e">
        <f t="shared" si="129"/>
        <v>#VALUE!</v>
      </c>
    </row>
    <row r="100" spans="1:76" x14ac:dyDescent="0.35">
      <c r="A100" s="135" t="s">
        <v>84</v>
      </c>
      <c r="B100" s="54" t="s">
        <v>67</v>
      </c>
      <c r="C100" s="144"/>
      <c r="D100" s="146"/>
      <c r="E100" s="166" t="e">
        <f t="shared" si="130"/>
        <v>#VALUE!</v>
      </c>
      <c r="F100" s="147"/>
      <c r="G100" s="166">
        <f t="shared" si="130"/>
        <v>0</v>
      </c>
      <c r="H100" s="147"/>
      <c r="I100" s="166">
        <f t="shared" si="130"/>
        <v>0</v>
      </c>
      <c r="J100" s="147"/>
      <c r="K100" s="166">
        <f t="shared" si="130"/>
        <v>0</v>
      </c>
      <c r="L100" s="147"/>
      <c r="M100" s="166">
        <f t="shared" si="131"/>
        <v>0</v>
      </c>
      <c r="N100" s="147"/>
      <c r="O100" s="166">
        <f t="shared" si="132"/>
        <v>0</v>
      </c>
      <c r="P100" s="147"/>
      <c r="Q100" s="166">
        <f t="shared" si="133"/>
        <v>0</v>
      </c>
      <c r="R100" s="147"/>
      <c r="S100" s="166">
        <f t="shared" si="134"/>
        <v>0</v>
      </c>
      <c r="T100" s="147"/>
      <c r="U100" s="166">
        <f t="shared" si="135"/>
        <v>0</v>
      </c>
      <c r="V100" s="147"/>
      <c r="W100" s="166">
        <f t="shared" si="136"/>
        <v>0</v>
      </c>
      <c r="X100" s="147"/>
      <c r="Y100" s="166">
        <f t="shared" si="137"/>
        <v>0</v>
      </c>
      <c r="Z100" s="147"/>
      <c r="AA100" s="166">
        <f t="shared" si="138"/>
        <v>0</v>
      </c>
      <c r="AB100" s="147"/>
      <c r="AC100" s="166">
        <f t="shared" si="139"/>
        <v>0</v>
      </c>
      <c r="AD100" s="147"/>
      <c r="AE100" s="166">
        <f t="shared" si="140"/>
        <v>0</v>
      </c>
      <c r="AF100" s="147"/>
      <c r="AG100" s="166">
        <f t="shared" si="141"/>
        <v>0</v>
      </c>
      <c r="AH100" s="147"/>
      <c r="AI100" s="166">
        <f t="shared" si="142"/>
        <v>0</v>
      </c>
      <c r="AJ100" s="147"/>
      <c r="AK100" s="166">
        <f t="shared" si="143"/>
        <v>0</v>
      </c>
      <c r="AL100" s="147"/>
      <c r="AM100" s="166">
        <f t="shared" si="144"/>
        <v>0</v>
      </c>
      <c r="AN100" s="147"/>
      <c r="AO100" s="166">
        <f t="shared" si="145"/>
        <v>0</v>
      </c>
      <c r="AP100" s="147"/>
      <c r="AQ100" s="166">
        <f t="shared" si="146"/>
        <v>0</v>
      </c>
      <c r="AR100" s="147"/>
      <c r="AS100" s="166">
        <f t="shared" si="147"/>
        <v>0</v>
      </c>
      <c r="AT100" s="147"/>
      <c r="AU100" s="166">
        <f t="shared" si="148"/>
        <v>0</v>
      </c>
      <c r="AV100" s="147"/>
      <c r="AW100" s="166">
        <f t="shared" si="149"/>
        <v>0</v>
      </c>
      <c r="AX100" s="147"/>
      <c r="AY100" s="166">
        <f t="shared" si="150"/>
        <v>0</v>
      </c>
      <c r="AZ100" s="147"/>
      <c r="BA100" s="166">
        <f t="shared" si="151"/>
        <v>0</v>
      </c>
      <c r="BB100" s="147"/>
      <c r="BC100" s="166">
        <f t="shared" si="152"/>
        <v>0</v>
      </c>
      <c r="BD100" s="147"/>
      <c r="BE100" s="166">
        <f t="shared" si="153"/>
        <v>0</v>
      </c>
      <c r="BF100" s="147"/>
      <c r="BG100" s="166">
        <f t="shared" si="154"/>
        <v>0</v>
      </c>
      <c r="BH100" s="147"/>
      <c r="BI100" s="166">
        <f t="shared" si="155"/>
        <v>0</v>
      </c>
      <c r="BJ100" s="147"/>
      <c r="BK100" s="166">
        <f t="shared" si="156"/>
        <v>0</v>
      </c>
      <c r="BL100" s="147"/>
      <c r="BM100" s="48"/>
      <c r="BN100" s="50"/>
      <c r="BO100" s="170" t="e">
        <f t="shared" si="128"/>
        <v>#VALUE!</v>
      </c>
      <c r="BP100" s="87"/>
      <c r="BQ100" s="172" t="e">
        <f t="shared" si="129"/>
        <v>#VALUE!</v>
      </c>
    </row>
    <row r="101" spans="1:76" x14ac:dyDescent="0.35">
      <c r="A101" s="136" t="s">
        <v>85</v>
      </c>
      <c r="B101" s="54" t="s">
        <v>66</v>
      </c>
      <c r="C101" s="144"/>
      <c r="D101" s="146"/>
      <c r="E101" s="166" t="e">
        <f t="shared" si="130"/>
        <v>#VALUE!</v>
      </c>
      <c r="F101" s="147"/>
      <c r="G101" s="166">
        <f t="shared" si="130"/>
        <v>0</v>
      </c>
      <c r="H101" s="147"/>
      <c r="I101" s="166">
        <f t="shared" si="130"/>
        <v>0</v>
      </c>
      <c r="J101" s="147"/>
      <c r="K101" s="166">
        <f t="shared" si="130"/>
        <v>0</v>
      </c>
      <c r="L101" s="147"/>
      <c r="M101" s="166">
        <f t="shared" si="131"/>
        <v>0</v>
      </c>
      <c r="N101" s="147"/>
      <c r="O101" s="166">
        <f t="shared" si="132"/>
        <v>0</v>
      </c>
      <c r="P101" s="147"/>
      <c r="Q101" s="166">
        <f t="shared" si="133"/>
        <v>0</v>
      </c>
      <c r="R101" s="147"/>
      <c r="S101" s="166">
        <f t="shared" si="134"/>
        <v>0</v>
      </c>
      <c r="T101" s="147"/>
      <c r="U101" s="166">
        <f t="shared" si="135"/>
        <v>0</v>
      </c>
      <c r="V101" s="147"/>
      <c r="W101" s="166">
        <f t="shared" si="136"/>
        <v>0</v>
      </c>
      <c r="X101" s="147"/>
      <c r="Y101" s="166">
        <f t="shared" si="137"/>
        <v>0</v>
      </c>
      <c r="Z101" s="147"/>
      <c r="AA101" s="166">
        <f t="shared" si="138"/>
        <v>0</v>
      </c>
      <c r="AB101" s="147"/>
      <c r="AC101" s="166">
        <f t="shared" si="139"/>
        <v>0</v>
      </c>
      <c r="AD101" s="147"/>
      <c r="AE101" s="166">
        <f t="shared" si="140"/>
        <v>0</v>
      </c>
      <c r="AF101" s="147"/>
      <c r="AG101" s="166">
        <f t="shared" si="141"/>
        <v>0</v>
      </c>
      <c r="AH101" s="147"/>
      <c r="AI101" s="166">
        <f t="shared" si="142"/>
        <v>0</v>
      </c>
      <c r="AJ101" s="147"/>
      <c r="AK101" s="166">
        <f t="shared" si="143"/>
        <v>0</v>
      </c>
      <c r="AL101" s="147"/>
      <c r="AM101" s="166">
        <f t="shared" si="144"/>
        <v>0</v>
      </c>
      <c r="AN101" s="147"/>
      <c r="AO101" s="166">
        <f t="shared" si="145"/>
        <v>0</v>
      </c>
      <c r="AP101" s="147"/>
      <c r="AQ101" s="166">
        <f t="shared" si="146"/>
        <v>0</v>
      </c>
      <c r="AR101" s="147"/>
      <c r="AS101" s="166">
        <f t="shared" si="147"/>
        <v>0</v>
      </c>
      <c r="AT101" s="147"/>
      <c r="AU101" s="166">
        <f t="shared" si="148"/>
        <v>0</v>
      </c>
      <c r="AV101" s="147"/>
      <c r="AW101" s="166">
        <f t="shared" si="149"/>
        <v>0</v>
      </c>
      <c r="AX101" s="147"/>
      <c r="AY101" s="166">
        <f t="shared" si="150"/>
        <v>0</v>
      </c>
      <c r="AZ101" s="147"/>
      <c r="BA101" s="166">
        <f t="shared" si="151"/>
        <v>0</v>
      </c>
      <c r="BB101" s="147"/>
      <c r="BC101" s="166">
        <f t="shared" si="152"/>
        <v>0</v>
      </c>
      <c r="BD101" s="147"/>
      <c r="BE101" s="166">
        <f t="shared" si="153"/>
        <v>0</v>
      </c>
      <c r="BF101" s="147"/>
      <c r="BG101" s="166">
        <f t="shared" si="154"/>
        <v>0</v>
      </c>
      <c r="BH101" s="147"/>
      <c r="BI101" s="166">
        <f t="shared" si="155"/>
        <v>0</v>
      </c>
      <c r="BJ101" s="147"/>
      <c r="BK101" s="166">
        <f t="shared" si="156"/>
        <v>0</v>
      </c>
      <c r="BL101" s="147"/>
      <c r="BM101" s="48"/>
      <c r="BN101" s="50"/>
      <c r="BO101" s="170" t="e">
        <f t="shared" si="128"/>
        <v>#VALUE!</v>
      </c>
      <c r="BP101" s="87"/>
      <c r="BQ101" s="172" t="e">
        <f t="shared" si="129"/>
        <v>#VALUE!</v>
      </c>
    </row>
    <row r="102" spans="1:76" x14ac:dyDescent="0.35">
      <c r="A102" s="44" t="s">
        <v>86</v>
      </c>
      <c r="B102" s="54" t="s">
        <v>65</v>
      </c>
      <c r="C102" s="144"/>
      <c r="D102" s="146"/>
      <c r="E102" s="166" t="e">
        <f t="shared" si="130"/>
        <v>#VALUE!</v>
      </c>
      <c r="F102" s="147"/>
      <c r="G102" s="166">
        <f t="shared" si="130"/>
        <v>0</v>
      </c>
      <c r="H102" s="147"/>
      <c r="I102" s="166">
        <f t="shared" si="130"/>
        <v>0</v>
      </c>
      <c r="J102" s="147"/>
      <c r="K102" s="166">
        <f t="shared" si="130"/>
        <v>0</v>
      </c>
      <c r="L102" s="147"/>
      <c r="M102" s="166">
        <f t="shared" si="131"/>
        <v>0</v>
      </c>
      <c r="N102" s="147"/>
      <c r="O102" s="166">
        <f t="shared" si="132"/>
        <v>0</v>
      </c>
      <c r="P102" s="147"/>
      <c r="Q102" s="166">
        <f t="shared" si="133"/>
        <v>0</v>
      </c>
      <c r="R102" s="147"/>
      <c r="S102" s="166">
        <f t="shared" si="134"/>
        <v>0</v>
      </c>
      <c r="T102" s="147"/>
      <c r="U102" s="166">
        <f t="shared" si="135"/>
        <v>0</v>
      </c>
      <c r="V102" s="147"/>
      <c r="W102" s="166">
        <f t="shared" si="136"/>
        <v>0</v>
      </c>
      <c r="X102" s="147"/>
      <c r="Y102" s="166">
        <f t="shared" si="137"/>
        <v>0</v>
      </c>
      <c r="Z102" s="147"/>
      <c r="AA102" s="166">
        <f t="shared" si="138"/>
        <v>0</v>
      </c>
      <c r="AB102" s="147"/>
      <c r="AC102" s="166">
        <f t="shared" si="139"/>
        <v>0</v>
      </c>
      <c r="AD102" s="147"/>
      <c r="AE102" s="166">
        <f t="shared" si="140"/>
        <v>0</v>
      </c>
      <c r="AF102" s="147"/>
      <c r="AG102" s="166">
        <f t="shared" si="141"/>
        <v>0</v>
      </c>
      <c r="AH102" s="147"/>
      <c r="AI102" s="166">
        <f t="shared" si="142"/>
        <v>0</v>
      </c>
      <c r="AJ102" s="147"/>
      <c r="AK102" s="166">
        <f t="shared" si="143"/>
        <v>0</v>
      </c>
      <c r="AL102" s="147"/>
      <c r="AM102" s="166">
        <f t="shared" si="144"/>
        <v>0</v>
      </c>
      <c r="AN102" s="147"/>
      <c r="AO102" s="166">
        <f t="shared" si="145"/>
        <v>0</v>
      </c>
      <c r="AP102" s="147"/>
      <c r="AQ102" s="166">
        <f t="shared" si="146"/>
        <v>0</v>
      </c>
      <c r="AR102" s="147"/>
      <c r="AS102" s="166">
        <f t="shared" si="147"/>
        <v>0</v>
      </c>
      <c r="AT102" s="147"/>
      <c r="AU102" s="166">
        <f t="shared" si="148"/>
        <v>0</v>
      </c>
      <c r="AV102" s="147"/>
      <c r="AW102" s="166">
        <f t="shared" si="149"/>
        <v>0</v>
      </c>
      <c r="AX102" s="147"/>
      <c r="AY102" s="166">
        <f t="shared" si="150"/>
        <v>0</v>
      </c>
      <c r="AZ102" s="147"/>
      <c r="BA102" s="166">
        <f t="shared" si="151"/>
        <v>0</v>
      </c>
      <c r="BB102" s="147"/>
      <c r="BC102" s="166">
        <f t="shared" si="152"/>
        <v>0</v>
      </c>
      <c r="BD102" s="147"/>
      <c r="BE102" s="166">
        <f t="shared" si="153"/>
        <v>0</v>
      </c>
      <c r="BF102" s="147"/>
      <c r="BG102" s="166">
        <f t="shared" si="154"/>
        <v>0</v>
      </c>
      <c r="BH102" s="147"/>
      <c r="BI102" s="166">
        <f t="shared" si="155"/>
        <v>0</v>
      </c>
      <c r="BJ102" s="147"/>
      <c r="BK102" s="166">
        <f t="shared" si="156"/>
        <v>0</v>
      </c>
      <c r="BL102" s="147"/>
      <c r="BM102" s="48"/>
      <c r="BN102" s="50"/>
      <c r="BO102" s="170" t="e">
        <f t="shared" si="128"/>
        <v>#VALUE!</v>
      </c>
      <c r="BP102" s="87"/>
      <c r="BQ102" s="172" t="e">
        <f t="shared" si="129"/>
        <v>#VALUE!</v>
      </c>
    </row>
    <row r="103" spans="1:76" x14ac:dyDescent="0.35">
      <c r="A103" s="53"/>
      <c r="B103" s="54"/>
      <c r="C103" s="144"/>
      <c r="D103" s="189">
        <f>SUM(D91:D102)</f>
        <v>0</v>
      </c>
      <c r="E103" s="166" t="e">
        <f t="shared" ref="E103:BP103" si="157">SUM(E91:E102)</f>
        <v>#VALUE!</v>
      </c>
      <c r="F103" s="167">
        <f t="shared" si="157"/>
        <v>0</v>
      </c>
      <c r="G103" s="166">
        <f t="shared" si="157"/>
        <v>0</v>
      </c>
      <c r="H103" s="167">
        <f t="shared" si="157"/>
        <v>0</v>
      </c>
      <c r="I103" s="166">
        <f t="shared" si="157"/>
        <v>0</v>
      </c>
      <c r="J103" s="167">
        <f t="shared" si="157"/>
        <v>0</v>
      </c>
      <c r="K103" s="166">
        <f t="shared" si="157"/>
        <v>0</v>
      </c>
      <c r="L103" s="167">
        <f t="shared" si="157"/>
        <v>0</v>
      </c>
      <c r="M103" s="166">
        <f t="shared" si="157"/>
        <v>0</v>
      </c>
      <c r="N103" s="167">
        <f t="shared" si="157"/>
        <v>0</v>
      </c>
      <c r="O103" s="166">
        <f t="shared" si="157"/>
        <v>0</v>
      </c>
      <c r="P103" s="167">
        <f t="shared" si="157"/>
        <v>0</v>
      </c>
      <c r="Q103" s="166">
        <f t="shared" si="157"/>
        <v>0</v>
      </c>
      <c r="R103" s="167">
        <f t="shared" si="157"/>
        <v>0</v>
      </c>
      <c r="S103" s="166">
        <f t="shared" si="157"/>
        <v>0</v>
      </c>
      <c r="T103" s="167">
        <f t="shared" si="157"/>
        <v>0</v>
      </c>
      <c r="U103" s="166">
        <f t="shared" si="157"/>
        <v>0</v>
      </c>
      <c r="V103" s="167">
        <f t="shared" si="157"/>
        <v>0</v>
      </c>
      <c r="W103" s="166">
        <f t="shared" si="157"/>
        <v>0</v>
      </c>
      <c r="X103" s="167">
        <f t="shared" si="157"/>
        <v>0</v>
      </c>
      <c r="Y103" s="166">
        <f t="shared" si="157"/>
        <v>0</v>
      </c>
      <c r="Z103" s="167">
        <f t="shared" si="157"/>
        <v>0</v>
      </c>
      <c r="AA103" s="166">
        <f t="shared" si="157"/>
        <v>0</v>
      </c>
      <c r="AB103" s="167">
        <f t="shared" si="157"/>
        <v>0</v>
      </c>
      <c r="AC103" s="166">
        <f t="shared" si="157"/>
        <v>0</v>
      </c>
      <c r="AD103" s="167">
        <f t="shared" si="157"/>
        <v>0</v>
      </c>
      <c r="AE103" s="166">
        <f t="shared" si="157"/>
        <v>0</v>
      </c>
      <c r="AF103" s="167">
        <f t="shared" si="157"/>
        <v>0</v>
      </c>
      <c r="AG103" s="166">
        <f t="shared" si="157"/>
        <v>0</v>
      </c>
      <c r="AH103" s="167">
        <f t="shared" si="157"/>
        <v>0</v>
      </c>
      <c r="AI103" s="166">
        <f t="shared" si="157"/>
        <v>0</v>
      </c>
      <c r="AJ103" s="167">
        <f t="shared" si="157"/>
        <v>0</v>
      </c>
      <c r="AK103" s="166">
        <f t="shared" si="157"/>
        <v>0</v>
      </c>
      <c r="AL103" s="167">
        <f t="shared" si="157"/>
        <v>0</v>
      </c>
      <c r="AM103" s="166">
        <f t="shared" si="157"/>
        <v>0</v>
      </c>
      <c r="AN103" s="167">
        <f t="shared" si="157"/>
        <v>0</v>
      </c>
      <c r="AO103" s="166">
        <f t="shared" si="157"/>
        <v>0</v>
      </c>
      <c r="AP103" s="167">
        <f t="shared" si="157"/>
        <v>0</v>
      </c>
      <c r="AQ103" s="194">
        <f t="shared" si="157"/>
        <v>0</v>
      </c>
      <c r="AR103" s="167">
        <f t="shared" si="157"/>
        <v>0</v>
      </c>
      <c r="AS103" s="166">
        <f t="shared" si="157"/>
        <v>0</v>
      </c>
      <c r="AT103" s="167">
        <f t="shared" si="157"/>
        <v>0</v>
      </c>
      <c r="AU103" s="166">
        <f t="shared" si="157"/>
        <v>0</v>
      </c>
      <c r="AV103" s="167">
        <f t="shared" si="157"/>
        <v>0</v>
      </c>
      <c r="AW103" s="166">
        <f t="shared" si="157"/>
        <v>0</v>
      </c>
      <c r="AX103" s="167">
        <f t="shared" si="157"/>
        <v>0</v>
      </c>
      <c r="AY103" s="166">
        <f t="shared" si="157"/>
        <v>0</v>
      </c>
      <c r="AZ103" s="167">
        <f t="shared" si="157"/>
        <v>0</v>
      </c>
      <c r="BA103" s="166">
        <f t="shared" si="157"/>
        <v>0</v>
      </c>
      <c r="BB103" s="167">
        <f t="shared" si="157"/>
        <v>0</v>
      </c>
      <c r="BC103" s="166">
        <f t="shared" si="157"/>
        <v>0</v>
      </c>
      <c r="BD103" s="167">
        <f t="shared" si="157"/>
        <v>0</v>
      </c>
      <c r="BE103" s="166">
        <f t="shared" si="157"/>
        <v>0</v>
      </c>
      <c r="BF103" s="167">
        <f t="shared" si="157"/>
        <v>0</v>
      </c>
      <c r="BG103" s="166">
        <f t="shared" si="157"/>
        <v>0</v>
      </c>
      <c r="BH103" s="167">
        <f t="shared" si="157"/>
        <v>0</v>
      </c>
      <c r="BI103" s="166">
        <f t="shared" si="157"/>
        <v>0</v>
      </c>
      <c r="BJ103" s="167">
        <f t="shared" si="157"/>
        <v>0</v>
      </c>
      <c r="BK103" s="166">
        <f t="shared" si="157"/>
        <v>0</v>
      </c>
      <c r="BL103" s="49"/>
      <c r="BM103" s="48"/>
      <c r="BN103" s="50"/>
      <c r="BO103" s="170" t="e">
        <f t="shared" si="128"/>
        <v>#VALUE!</v>
      </c>
      <c r="BP103" s="173">
        <f t="shared" si="157"/>
        <v>0</v>
      </c>
      <c r="BQ103" s="172" t="e">
        <f>SUM(BQ91:BQ102)</f>
        <v>#VALUE!</v>
      </c>
    </row>
    <row r="104" spans="1:76" x14ac:dyDescent="0.35">
      <c r="A104" s="53"/>
      <c r="B104" s="54"/>
      <c r="C104" s="144"/>
      <c r="D104" s="189">
        <f t="shared" si="95"/>
        <v>0</v>
      </c>
      <c r="E104" s="48"/>
      <c r="F104" s="167">
        <f t="shared" si="96"/>
        <v>0</v>
      </c>
      <c r="G104" s="48"/>
      <c r="H104" s="167">
        <f t="shared" si="97"/>
        <v>0</v>
      </c>
      <c r="I104" s="48"/>
      <c r="J104" s="167">
        <f t="shared" si="98"/>
        <v>0</v>
      </c>
      <c r="K104" s="48"/>
      <c r="L104" s="167">
        <f t="shared" ref="L104" si="158">+M104-K104</f>
        <v>0</v>
      </c>
      <c r="M104" s="48"/>
      <c r="N104" s="167">
        <f t="shared" ref="N104" si="159">+O104-M104</f>
        <v>0</v>
      </c>
      <c r="O104" s="48"/>
      <c r="P104" s="167">
        <f t="shared" ref="P104" si="160">+Q104-O104</f>
        <v>0</v>
      </c>
      <c r="Q104" s="48"/>
      <c r="R104" s="167">
        <f t="shared" ref="R104" si="161">+S104-Q104</f>
        <v>0</v>
      </c>
      <c r="S104" s="48"/>
      <c r="T104" s="167">
        <f t="shared" ref="T104" si="162">+U104-S104</f>
        <v>0</v>
      </c>
      <c r="U104" s="48"/>
      <c r="V104" s="167">
        <f t="shared" ref="V104" si="163">+W104-U104</f>
        <v>0</v>
      </c>
      <c r="W104" s="48"/>
      <c r="X104" s="167">
        <f t="shared" ref="X104" si="164">+Y104-W104</f>
        <v>0</v>
      </c>
      <c r="Y104" s="48"/>
      <c r="Z104" s="167">
        <f t="shared" ref="Z104" si="165">+AA104-Y104</f>
        <v>0</v>
      </c>
      <c r="AA104" s="48"/>
      <c r="AB104" s="167">
        <f t="shared" ref="AB104" si="166">+AC104-AA104</f>
        <v>0</v>
      </c>
      <c r="AC104" s="48"/>
      <c r="AD104" s="167">
        <f t="shared" ref="AD104" si="167">+AE104-AC104</f>
        <v>0</v>
      </c>
      <c r="AE104" s="48"/>
      <c r="AF104" s="167">
        <f t="shared" ref="AF104" si="168">+AG104-AE104</f>
        <v>0</v>
      </c>
      <c r="AG104" s="48"/>
      <c r="AH104" s="167">
        <f t="shared" ref="AH104" si="169">+AI104-AG104</f>
        <v>0</v>
      </c>
      <c r="AI104" s="48"/>
      <c r="AJ104" s="167">
        <f t="shared" ref="AJ104" si="170">+AK104-AI104</f>
        <v>0</v>
      </c>
      <c r="AK104" s="48"/>
      <c r="AL104" s="167">
        <f t="shared" ref="AL104" si="171">+AM104-AK104</f>
        <v>0</v>
      </c>
      <c r="AM104" s="48"/>
      <c r="AN104" s="167">
        <f t="shared" ref="AN104" si="172">+AO104-AM104</f>
        <v>0</v>
      </c>
      <c r="AO104" s="48"/>
      <c r="AP104" s="167">
        <f t="shared" ref="AP104" si="173">+AQ104-AO104</f>
        <v>0</v>
      </c>
      <c r="AQ104" s="48"/>
      <c r="AR104" s="167">
        <f t="shared" ref="AR104" si="174">+AS104-AQ104</f>
        <v>0</v>
      </c>
      <c r="AS104" s="48"/>
      <c r="AT104" s="167">
        <f t="shared" ref="AT104" si="175">+AU104-AS104</f>
        <v>0</v>
      </c>
      <c r="AU104" s="48"/>
      <c r="AV104" s="167">
        <f t="shared" ref="AV104" si="176">+AW104-AU104</f>
        <v>0</v>
      </c>
      <c r="AW104" s="48"/>
      <c r="AX104" s="167">
        <f t="shared" ref="AX104" si="177">+AY104-AW104</f>
        <v>0</v>
      </c>
      <c r="AY104" s="48"/>
      <c r="AZ104" s="167">
        <f t="shared" ref="AZ104" si="178">+BA104-AY104</f>
        <v>0</v>
      </c>
      <c r="BA104" s="48"/>
      <c r="BB104" s="167">
        <f t="shared" ref="BB104" si="179">+BC104-BA104</f>
        <v>0</v>
      </c>
      <c r="BC104" s="48"/>
      <c r="BD104" s="167">
        <f t="shared" ref="BD104" si="180">+BE104-BC104</f>
        <v>0</v>
      </c>
      <c r="BE104" s="48"/>
      <c r="BF104" s="167">
        <f t="shared" ref="BF104" si="181">+BG104-BE104</f>
        <v>0</v>
      </c>
      <c r="BG104" s="48"/>
      <c r="BH104" s="167">
        <f t="shared" ref="BH104" si="182">+BI104-BG104</f>
        <v>0</v>
      </c>
      <c r="BI104" s="48"/>
      <c r="BJ104" s="167">
        <f t="shared" ref="BJ104" si="183">+BK104-BI104</f>
        <v>0</v>
      </c>
      <c r="BK104" s="48"/>
      <c r="BL104" s="49"/>
      <c r="BM104" s="48"/>
      <c r="BN104" s="50"/>
      <c r="BO104" s="51"/>
      <c r="BP104" s="173">
        <f t="shared" ref="BP104" si="184">+BQ104-BM104</f>
        <v>0</v>
      </c>
      <c r="BQ104" s="52"/>
    </row>
    <row r="105" spans="1:76" x14ac:dyDescent="0.35">
      <c r="A105" s="74"/>
      <c r="B105" s="75"/>
      <c r="C105" s="76"/>
      <c r="D105" s="77"/>
      <c r="E105" s="148"/>
      <c r="F105" s="79"/>
      <c r="G105" s="148"/>
      <c r="H105" s="79"/>
      <c r="I105" s="148"/>
      <c r="J105" s="79"/>
      <c r="K105" s="148"/>
      <c r="L105" s="79"/>
      <c r="M105" s="148"/>
      <c r="N105" s="79"/>
      <c r="O105" s="148"/>
      <c r="P105" s="79"/>
      <c r="Q105" s="148"/>
      <c r="R105" s="79"/>
      <c r="S105" s="148"/>
      <c r="T105" s="79"/>
      <c r="U105" s="148"/>
      <c r="V105" s="79"/>
      <c r="W105" s="148"/>
      <c r="X105" s="79"/>
      <c r="Y105" s="148"/>
      <c r="Z105" s="79"/>
      <c r="AA105" s="148"/>
      <c r="AB105" s="79"/>
      <c r="AC105" s="148"/>
      <c r="AD105" s="79"/>
      <c r="AE105" s="148"/>
      <c r="AF105" s="79"/>
      <c r="AG105" s="148"/>
      <c r="AH105" s="79"/>
      <c r="AI105" s="148"/>
      <c r="AJ105" s="79"/>
      <c r="AK105" s="148"/>
      <c r="AL105" s="79"/>
      <c r="AM105" s="148"/>
      <c r="AN105" s="79"/>
      <c r="AO105" s="148"/>
      <c r="AP105" s="79"/>
      <c r="AQ105" s="148"/>
      <c r="AR105" s="79"/>
      <c r="AS105" s="148"/>
      <c r="AT105" s="79"/>
      <c r="AU105" s="148"/>
      <c r="AV105" s="79"/>
      <c r="AW105" s="148"/>
      <c r="AX105" s="79"/>
      <c r="AY105" s="148"/>
      <c r="AZ105" s="79"/>
      <c r="BA105" s="148"/>
      <c r="BB105" s="79"/>
      <c r="BC105" s="148"/>
      <c r="BD105" s="79"/>
      <c r="BE105" s="148"/>
      <c r="BF105" s="79"/>
      <c r="BG105" s="148"/>
      <c r="BH105" s="79"/>
      <c r="BI105" s="148"/>
      <c r="BJ105" s="79"/>
      <c r="BK105" s="148"/>
      <c r="BL105" s="79"/>
      <c r="BM105" s="148"/>
      <c r="BN105" s="80"/>
      <c r="BO105" s="81"/>
      <c r="BP105" s="79"/>
      <c r="BQ105" s="82"/>
    </row>
    <row r="106" spans="1:76" x14ac:dyDescent="0.35">
      <c r="A106" s="53" t="s">
        <v>32</v>
      </c>
      <c r="B106" s="54"/>
      <c r="C106" s="67"/>
      <c r="D106" s="68"/>
      <c r="E106" s="69"/>
      <c r="F106" s="70"/>
      <c r="G106" s="69"/>
      <c r="H106" s="70"/>
      <c r="I106" s="69"/>
      <c r="J106" s="70"/>
      <c r="K106" s="69"/>
      <c r="L106" s="70"/>
      <c r="M106" s="69"/>
      <c r="N106" s="70"/>
      <c r="O106" s="69"/>
      <c r="P106" s="70"/>
      <c r="Q106" s="69"/>
      <c r="R106" s="70"/>
      <c r="S106" s="69"/>
      <c r="T106" s="70"/>
      <c r="U106" s="69"/>
      <c r="V106" s="70"/>
      <c r="W106" s="69"/>
      <c r="X106" s="70"/>
      <c r="Y106" s="69"/>
      <c r="Z106" s="70"/>
      <c r="AA106" s="69"/>
      <c r="AB106" s="70"/>
      <c r="AC106" s="69"/>
      <c r="AD106" s="70"/>
      <c r="AE106" s="69"/>
      <c r="AF106" s="70"/>
      <c r="AG106" s="69"/>
      <c r="AH106" s="70"/>
      <c r="AI106" s="69"/>
      <c r="AJ106" s="70"/>
      <c r="AK106" s="69"/>
      <c r="AL106" s="70"/>
      <c r="AM106" s="69"/>
      <c r="AN106" s="70"/>
      <c r="AO106" s="69"/>
      <c r="AP106" s="70"/>
      <c r="AQ106" s="69"/>
      <c r="AR106" s="70"/>
      <c r="AS106" s="69"/>
      <c r="AT106" s="70"/>
      <c r="AU106" s="69"/>
      <c r="AV106" s="70"/>
      <c r="AW106" s="69"/>
      <c r="AX106" s="70"/>
      <c r="AY106" s="69"/>
      <c r="AZ106" s="70"/>
      <c r="BA106" s="69"/>
      <c r="BB106" s="70"/>
      <c r="BC106" s="69"/>
      <c r="BD106" s="70"/>
      <c r="BE106" s="69"/>
      <c r="BF106" s="70"/>
      <c r="BG106" s="69"/>
      <c r="BH106" s="70"/>
      <c r="BI106" s="69"/>
      <c r="BJ106" s="70"/>
      <c r="BK106" s="69"/>
      <c r="BL106" s="70"/>
      <c r="BM106" s="69"/>
      <c r="BN106" s="71"/>
      <c r="BO106" s="182" t="str">
        <f t="shared" ref="BO106:BO120" si="185">IF(COUNT(E106,G106,I106,K106,M106,O106,Q106,S106,U106,W106,Y106,AA106,AC106,AE106,AG106,AI106,AK106,AM106,AO106,AQ106,AS106,AU106,AW106,AY106,BA106,BC106,BE106,BG106,BI106,BK106,BM106)=0,"",SUM(E106,G106,I106,K106,M106,O106,Q106,S106,U106,W106,Y106,AA106,AC106,AE106,AG106,AI106,AK106,AM106,AO106,AQ106,AS106,AU106,AW106,AY106,BA106,BC106,BE106,BG106,BI106,BK106,BM106))</f>
        <v/>
      </c>
      <c r="BP106" s="70"/>
      <c r="BQ106" s="73"/>
    </row>
    <row r="107" spans="1:76" x14ac:dyDescent="0.35">
      <c r="A107" s="53" t="s">
        <v>33</v>
      </c>
      <c r="B107" s="54"/>
      <c r="C107" s="67"/>
      <c r="D107" s="68"/>
      <c r="E107" s="69"/>
      <c r="F107" s="70"/>
      <c r="G107" s="69"/>
      <c r="H107" s="70"/>
      <c r="I107" s="69"/>
      <c r="J107" s="70"/>
      <c r="K107" s="69"/>
      <c r="L107" s="70"/>
      <c r="M107" s="69"/>
      <c r="N107" s="70"/>
      <c r="O107" s="69"/>
      <c r="P107" s="70"/>
      <c r="Q107" s="69"/>
      <c r="R107" s="70"/>
      <c r="S107" s="69"/>
      <c r="T107" s="70"/>
      <c r="U107" s="69"/>
      <c r="V107" s="70"/>
      <c r="W107" s="69"/>
      <c r="X107" s="70"/>
      <c r="Y107" s="69"/>
      <c r="Z107" s="70"/>
      <c r="AA107" s="69"/>
      <c r="AB107" s="70"/>
      <c r="AC107" s="69"/>
      <c r="AD107" s="70"/>
      <c r="AE107" s="69"/>
      <c r="AF107" s="70"/>
      <c r="AG107" s="69"/>
      <c r="AH107" s="70"/>
      <c r="AI107" s="69"/>
      <c r="AJ107" s="70"/>
      <c r="AK107" s="69"/>
      <c r="AL107" s="70"/>
      <c r="AM107" s="69"/>
      <c r="AN107" s="70"/>
      <c r="AO107" s="69"/>
      <c r="AP107" s="70"/>
      <c r="AQ107" s="69"/>
      <c r="AR107" s="70"/>
      <c r="AS107" s="69"/>
      <c r="AT107" s="70"/>
      <c r="AU107" s="69"/>
      <c r="AV107" s="70"/>
      <c r="AW107" s="69"/>
      <c r="AX107" s="70"/>
      <c r="AY107" s="69"/>
      <c r="AZ107" s="70"/>
      <c r="BA107" s="69"/>
      <c r="BB107" s="70"/>
      <c r="BC107" s="69"/>
      <c r="BD107" s="70"/>
      <c r="BE107" s="69"/>
      <c r="BF107" s="70"/>
      <c r="BG107" s="69"/>
      <c r="BH107" s="70"/>
      <c r="BI107" s="69"/>
      <c r="BJ107" s="70"/>
      <c r="BK107" s="69"/>
      <c r="BL107" s="70"/>
      <c r="BM107" s="69"/>
      <c r="BN107" s="71"/>
      <c r="BO107" s="182" t="str">
        <f t="shared" si="185"/>
        <v/>
      </c>
      <c r="BP107" s="70"/>
      <c r="BQ107" s="73"/>
    </row>
    <row r="108" spans="1:76" x14ac:dyDescent="0.35">
      <c r="A108" s="53" t="s">
        <v>33</v>
      </c>
      <c r="B108" s="54"/>
      <c r="C108" s="67"/>
      <c r="D108" s="68"/>
      <c r="E108" s="69"/>
      <c r="F108" s="70"/>
      <c r="G108" s="69"/>
      <c r="H108" s="70"/>
      <c r="I108" s="69"/>
      <c r="J108" s="70"/>
      <c r="K108" s="69"/>
      <c r="L108" s="70"/>
      <c r="M108" s="69"/>
      <c r="N108" s="70"/>
      <c r="O108" s="69"/>
      <c r="P108" s="70"/>
      <c r="Q108" s="69"/>
      <c r="R108" s="70"/>
      <c r="S108" s="69"/>
      <c r="T108" s="70"/>
      <c r="U108" s="69"/>
      <c r="V108" s="70"/>
      <c r="W108" s="69"/>
      <c r="X108" s="70"/>
      <c r="Y108" s="69"/>
      <c r="Z108" s="70"/>
      <c r="AA108" s="69"/>
      <c r="AB108" s="70"/>
      <c r="AC108" s="69"/>
      <c r="AD108" s="70"/>
      <c r="AE108" s="69"/>
      <c r="AF108" s="70"/>
      <c r="AG108" s="69"/>
      <c r="AH108" s="70"/>
      <c r="AI108" s="69"/>
      <c r="AJ108" s="70"/>
      <c r="AK108" s="69"/>
      <c r="AL108" s="70"/>
      <c r="AM108" s="69"/>
      <c r="AN108" s="70"/>
      <c r="AO108" s="69"/>
      <c r="AP108" s="70"/>
      <c r="AQ108" s="69"/>
      <c r="AR108" s="70"/>
      <c r="AS108" s="69"/>
      <c r="AT108" s="70"/>
      <c r="AU108" s="69"/>
      <c r="AV108" s="70"/>
      <c r="AW108" s="69"/>
      <c r="AX108" s="70"/>
      <c r="AY108" s="69"/>
      <c r="AZ108" s="70"/>
      <c r="BA108" s="69"/>
      <c r="BB108" s="70"/>
      <c r="BC108" s="69"/>
      <c r="BD108" s="70"/>
      <c r="BE108" s="69"/>
      <c r="BF108" s="70"/>
      <c r="BG108" s="69"/>
      <c r="BH108" s="70"/>
      <c r="BI108" s="69"/>
      <c r="BJ108" s="70"/>
      <c r="BK108" s="69"/>
      <c r="BL108" s="70"/>
      <c r="BM108" s="69"/>
      <c r="BN108" s="71"/>
      <c r="BO108" s="182" t="str">
        <f t="shared" si="185"/>
        <v/>
      </c>
      <c r="BP108" s="70"/>
      <c r="BQ108" s="73"/>
    </row>
    <row r="109" spans="1:76" x14ac:dyDescent="0.35">
      <c r="A109" s="53" t="s">
        <v>34</v>
      </c>
      <c r="B109" s="54"/>
      <c r="C109" s="67"/>
      <c r="D109" s="68"/>
      <c r="E109" s="69"/>
      <c r="F109" s="70"/>
      <c r="G109" s="69"/>
      <c r="H109" s="70"/>
      <c r="I109" s="69"/>
      <c r="J109" s="70"/>
      <c r="K109" s="69"/>
      <c r="L109" s="70"/>
      <c r="M109" s="69"/>
      <c r="N109" s="70"/>
      <c r="O109" s="69"/>
      <c r="P109" s="70"/>
      <c r="Q109" s="69"/>
      <c r="R109" s="70"/>
      <c r="S109" s="69"/>
      <c r="T109" s="70"/>
      <c r="U109" s="69"/>
      <c r="V109" s="70"/>
      <c r="W109" s="69"/>
      <c r="X109" s="70"/>
      <c r="Y109" s="69"/>
      <c r="Z109" s="70"/>
      <c r="AA109" s="69"/>
      <c r="AB109" s="70"/>
      <c r="AC109" s="69"/>
      <c r="AD109" s="70"/>
      <c r="AE109" s="69"/>
      <c r="AF109" s="70"/>
      <c r="AG109" s="69"/>
      <c r="AH109" s="70"/>
      <c r="AI109" s="69"/>
      <c r="AJ109" s="70"/>
      <c r="AK109" s="69"/>
      <c r="AL109" s="70"/>
      <c r="AM109" s="69"/>
      <c r="AN109" s="70"/>
      <c r="AO109" s="69"/>
      <c r="AP109" s="70"/>
      <c r="AQ109" s="69"/>
      <c r="AR109" s="70"/>
      <c r="AS109" s="69"/>
      <c r="AT109" s="70"/>
      <c r="AU109" s="69"/>
      <c r="AV109" s="70"/>
      <c r="AW109" s="69"/>
      <c r="AX109" s="70"/>
      <c r="AY109" s="69"/>
      <c r="AZ109" s="70"/>
      <c r="BA109" s="69"/>
      <c r="BB109" s="70"/>
      <c r="BC109" s="69"/>
      <c r="BD109" s="70"/>
      <c r="BE109" s="69"/>
      <c r="BF109" s="70"/>
      <c r="BG109" s="69"/>
      <c r="BH109" s="70"/>
      <c r="BI109" s="69"/>
      <c r="BJ109" s="70"/>
      <c r="BK109" s="69"/>
      <c r="BL109" s="70"/>
      <c r="BM109" s="69"/>
      <c r="BN109" s="71"/>
      <c r="BO109" s="182" t="str">
        <f t="shared" si="185"/>
        <v/>
      </c>
      <c r="BP109" s="70"/>
      <c r="BQ109" s="73"/>
    </row>
    <row r="110" spans="1:76" x14ac:dyDescent="0.35">
      <c r="A110" s="53" t="s">
        <v>34</v>
      </c>
      <c r="B110" s="54"/>
      <c r="C110" s="67"/>
      <c r="D110" s="68"/>
      <c r="E110" s="69"/>
      <c r="F110" s="70"/>
      <c r="G110" s="69"/>
      <c r="H110" s="70"/>
      <c r="I110" s="69"/>
      <c r="J110" s="70"/>
      <c r="K110" s="69"/>
      <c r="L110" s="70"/>
      <c r="M110" s="69"/>
      <c r="N110" s="70"/>
      <c r="O110" s="69"/>
      <c r="P110" s="70"/>
      <c r="Q110" s="69"/>
      <c r="R110" s="70"/>
      <c r="S110" s="69"/>
      <c r="T110" s="70"/>
      <c r="U110" s="69"/>
      <c r="V110" s="70"/>
      <c r="W110" s="69"/>
      <c r="X110" s="70"/>
      <c r="Y110" s="69"/>
      <c r="Z110" s="70"/>
      <c r="AA110" s="69"/>
      <c r="AB110" s="70"/>
      <c r="AC110" s="69"/>
      <c r="AD110" s="70"/>
      <c r="AE110" s="69"/>
      <c r="AF110" s="70"/>
      <c r="AG110" s="69"/>
      <c r="AH110" s="70"/>
      <c r="AI110" s="69"/>
      <c r="AJ110" s="70"/>
      <c r="AK110" s="69"/>
      <c r="AL110" s="70"/>
      <c r="AM110" s="69"/>
      <c r="AN110" s="70"/>
      <c r="AO110" s="69"/>
      <c r="AP110" s="70"/>
      <c r="AQ110" s="69"/>
      <c r="AR110" s="70"/>
      <c r="AS110" s="69"/>
      <c r="AT110" s="70"/>
      <c r="AU110" s="69"/>
      <c r="AV110" s="70"/>
      <c r="AW110" s="69"/>
      <c r="AX110" s="70"/>
      <c r="AY110" s="69"/>
      <c r="AZ110" s="70"/>
      <c r="BA110" s="69"/>
      <c r="BB110" s="70"/>
      <c r="BC110" s="69"/>
      <c r="BD110" s="70"/>
      <c r="BE110" s="69"/>
      <c r="BF110" s="70"/>
      <c r="BG110" s="69"/>
      <c r="BH110" s="70"/>
      <c r="BI110" s="69"/>
      <c r="BJ110" s="70"/>
      <c r="BK110" s="69"/>
      <c r="BL110" s="70"/>
      <c r="BM110" s="69"/>
      <c r="BN110" s="71"/>
      <c r="BO110" s="182" t="str">
        <f t="shared" si="185"/>
        <v/>
      </c>
      <c r="BP110" s="70"/>
      <c r="BQ110" s="73"/>
    </row>
    <row r="111" spans="1:76" s="6" customFormat="1" x14ac:dyDescent="0.35">
      <c r="A111" s="149" t="s">
        <v>71</v>
      </c>
      <c r="B111" s="150"/>
      <c r="C111" s="67"/>
      <c r="D111" s="151"/>
      <c r="E111" s="69"/>
      <c r="F111" s="152"/>
      <c r="G111" s="69"/>
      <c r="H111" s="152"/>
      <c r="I111" s="69"/>
      <c r="J111" s="152"/>
      <c r="K111" s="69"/>
      <c r="L111" s="152"/>
      <c r="M111" s="69"/>
      <c r="N111" s="152"/>
      <c r="O111" s="69"/>
      <c r="P111" s="152"/>
      <c r="Q111" s="69"/>
      <c r="R111" s="152"/>
      <c r="S111" s="69"/>
      <c r="T111" s="152"/>
      <c r="U111" s="69"/>
      <c r="V111" s="152"/>
      <c r="W111" s="69"/>
      <c r="X111" s="152"/>
      <c r="Y111" s="69"/>
      <c r="Z111" s="152"/>
      <c r="AA111" s="69"/>
      <c r="AB111" s="152"/>
      <c r="AC111" s="69"/>
      <c r="AD111" s="152"/>
      <c r="AE111" s="69"/>
      <c r="AF111" s="152"/>
      <c r="AG111" s="69"/>
      <c r="AH111" s="152"/>
      <c r="AI111" s="69"/>
      <c r="AJ111" s="152"/>
      <c r="AK111" s="69"/>
      <c r="AL111" s="152"/>
      <c r="AM111" s="69"/>
      <c r="AN111" s="152"/>
      <c r="AO111" s="69"/>
      <c r="AP111" s="152"/>
      <c r="AQ111" s="69"/>
      <c r="AR111" s="152"/>
      <c r="AS111" s="69"/>
      <c r="AT111" s="152"/>
      <c r="AU111" s="69"/>
      <c r="AV111" s="152"/>
      <c r="AW111" s="69"/>
      <c r="AX111" s="152"/>
      <c r="AY111" s="69"/>
      <c r="AZ111" s="152"/>
      <c r="BA111" s="69"/>
      <c r="BB111" s="152"/>
      <c r="BC111" s="69"/>
      <c r="BD111" s="152"/>
      <c r="BE111" s="69"/>
      <c r="BF111" s="152"/>
      <c r="BG111" s="69"/>
      <c r="BH111" s="152"/>
      <c r="BI111" s="69"/>
      <c r="BJ111" s="152"/>
      <c r="BK111" s="69"/>
      <c r="BL111" s="152"/>
      <c r="BM111" s="69"/>
      <c r="BN111" s="71"/>
      <c r="BO111" s="182" t="str">
        <f t="shared" si="185"/>
        <v/>
      </c>
      <c r="BP111" s="152"/>
      <c r="BQ111" s="73"/>
      <c r="BR111"/>
      <c r="BS111"/>
      <c r="BT111"/>
      <c r="BU111"/>
      <c r="BV111"/>
      <c r="BW111"/>
      <c r="BX111"/>
    </row>
    <row r="112" spans="1:76" x14ac:dyDescent="0.35">
      <c r="A112" s="53" t="s">
        <v>72</v>
      </c>
      <c r="B112" s="54"/>
      <c r="C112" s="67"/>
      <c r="D112" s="68"/>
      <c r="E112" s="69"/>
      <c r="F112" s="70"/>
      <c r="G112" s="69"/>
      <c r="H112" s="70"/>
      <c r="I112" s="69"/>
      <c r="J112" s="70"/>
      <c r="K112" s="69"/>
      <c r="L112" s="70"/>
      <c r="M112" s="69"/>
      <c r="N112" s="70"/>
      <c r="O112" s="69"/>
      <c r="P112" s="70"/>
      <c r="Q112" s="69"/>
      <c r="R112" s="70"/>
      <c r="S112" s="69"/>
      <c r="T112" s="70"/>
      <c r="U112" s="69"/>
      <c r="V112" s="70"/>
      <c r="W112" s="69"/>
      <c r="X112" s="70"/>
      <c r="Y112" s="69"/>
      <c r="Z112" s="70"/>
      <c r="AA112" s="69"/>
      <c r="AB112" s="70"/>
      <c r="AC112" s="69"/>
      <c r="AD112" s="70"/>
      <c r="AE112" s="69"/>
      <c r="AF112" s="70"/>
      <c r="AG112" s="69"/>
      <c r="AH112" s="70"/>
      <c r="AI112" s="69"/>
      <c r="AJ112" s="70"/>
      <c r="AK112" s="69"/>
      <c r="AL112" s="70"/>
      <c r="AM112" s="69"/>
      <c r="AN112" s="70"/>
      <c r="AO112" s="69"/>
      <c r="AP112" s="70"/>
      <c r="AQ112" s="69"/>
      <c r="AR112" s="70"/>
      <c r="AS112" s="69"/>
      <c r="AT112" s="70"/>
      <c r="AU112" s="69"/>
      <c r="AV112" s="70"/>
      <c r="AW112" s="69"/>
      <c r="AX112" s="70"/>
      <c r="AY112" s="69"/>
      <c r="AZ112" s="70"/>
      <c r="BA112" s="69"/>
      <c r="BB112" s="70"/>
      <c r="BC112" s="69"/>
      <c r="BD112" s="70"/>
      <c r="BE112" s="69"/>
      <c r="BF112" s="70"/>
      <c r="BG112" s="69"/>
      <c r="BH112" s="70"/>
      <c r="BI112" s="69"/>
      <c r="BJ112" s="70"/>
      <c r="BK112" s="69"/>
      <c r="BL112" s="70"/>
      <c r="BM112" s="69"/>
      <c r="BN112" s="71"/>
      <c r="BO112" s="182" t="str">
        <f t="shared" si="185"/>
        <v/>
      </c>
      <c r="BP112" s="70"/>
      <c r="BQ112" s="73"/>
    </row>
    <row r="113" spans="1:69" x14ac:dyDescent="0.35">
      <c r="A113" s="53" t="s">
        <v>73</v>
      </c>
      <c r="B113" s="54"/>
      <c r="C113" s="67"/>
      <c r="D113" s="68"/>
      <c r="E113" s="69"/>
      <c r="F113" s="70"/>
      <c r="G113" s="69"/>
      <c r="H113" s="70"/>
      <c r="I113" s="69"/>
      <c r="J113" s="70"/>
      <c r="K113" s="69"/>
      <c r="L113" s="70"/>
      <c r="M113" s="69"/>
      <c r="N113" s="70"/>
      <c r="O113" s="69"/>
      <c r="P113" s="70"/>
      <c r="Q113" s="69"/>
      <c r="R113" s="70"/>
      <c r="S113" s="69"/>
      <c r="T113" s="70"/>
      <c r="U113" s="69"/>
      <c r="V113" s="70"/>
      <c r="W113" s="69"/>
      <c r="X113" s="70"/>
      <c r="Y113" s="69"/>
      <c r="Z113" s="70"/>
      <c r="AA113" s="69"/>
      <c r="AB113" s="70"/>
      <c r="AC113" s="69"/>
      <c r="AD113" s="70"/>
      <c r="AE113" s="69"/>
      <c r="AF113" s="70"/>
      <c r="AG113" s="69"/>
      <c r="AH113" s="70"/>
      <c r="AI113" s="69"/>
      <c r="AJ113" s="70"/>
      <c r="AK113" s="69"/>
      <c r="AL113" s="70"/>
      <c r="AM113" s="69"/>
      <c r="AN113" s="70"/>
      <c r="AO113" s="69"/>
      <c r="AP113" s="70"/>
      <c r="AQ113" s="69"/>
      <c r="AR113" s="70"/>
      <c r="AS113" s="69"/>
      <c r="AT113" s="70"/>
      <c r="AU113" s="69"/>
      <c r="AV113" s="70"/>
      <c r="AW113" s="69"/>
      <c r="AX113" s="70"/>
      <c r="AY113" s="69"/>
      <c r="AZ113" s="70"/>
      <c r="BA113" s="69"/>
      <c r="BB113" s="70"/>
      <c r="BC113" s="69"/>
      <c r="BD113" s="70"/>
      <c r="BE113" s="69"/>
      <c r="BF113" s="70"/>
      <c r="BG113" s="69"/>
      <c r="BH113" s="70"/>
      <c r="BI113" s="69"/>
      <c r="BJ113" s="70"/>
      <c r="BK113" s="69"/>
      <c r="BL113" s="70"/>
      <c r="BM113" s="69"/>
      <c r="BN113" s="71"/>
      <c r="BO113" s="182" t="str">
        <f t="shared" si="185"/>
        <v/>
      </c>
      <c r="BP113" s="70"/>
      <c r="BQ113" s="73"/>
    </row>
    <row r="114" spans="1:69" x14ac:dyDescent="0.35">
      <c r="A114" s="53" t="s">
        <v>70</v>
      </c>
      <c r="B114" s="54"/>
      <c r="C114" s="67"/>
      <c r="D114" s="68"/>
      <c r="E114" s="69"/>
      <c r="F114" s="70"/>
      <c r="G114" s="69"/>
      <c r="H114" s="70"/>
      <c r="I114" s="69"/>
      <c r="J114" s="70"/>
      <c r="K114" s="69"/>
      <c r="L114" s="70"/>
      <c r="M114" s="69"/>
      <c r="N114" s="70"/>
      <c r="O114" s="69"/>
      <c r="P114" s="70"/>
      <c r="Q114" s="69"/>
      <c r="R114" s="70"/>
      <c r="S114" s="69"/>
      <c r="T114" s="70"/>
      <c r="U114" s="69"/>
      <c r="V114" s="70"/>
      <c r="W114" s="69"/>
      <c r="X114" s="70"/>
      <c r="Y114" s="69"/>
      <c r="Z114" s="70"/>
      <c r="AA114" s="69"/>
      <c r="AB114" s="70"/>
      <c r="AC114" s="69"/>
      <c r="AD114" s="70"/>
      <c r="AE114" s="69"/>
      <c r="AF114" s="70"/>
      <c r="AG114" s="69"/>
      <c r="AH114" s="70"/>
      <c r="AI114" s="69"/>
      <c r="AJ114" s="70"/>
      <c r="AK114" s="69"/>
      <c r="AL114" s="70"/>
      <c r="AM114" s="69"/>
      <c r="AN114" s="70"/>
      <c r="AO114" s="69"/>
      <c r="AP114" s="70"/>
      <c r="AQ114" s="69"/>
      <c r="AR114" s="70"/>
      <c r="AS114" s="69"/>
      <c r="AT114" s="70"/>
      <c r="AU114" s="69"/>
      <c r="AV114" s="70"/>
      <c r="AW114" s="69"/>
      <c r="AX114" s="70"/>
      <c r="AY114" s="69"/>
      <c r="AZ114" s="70"/>
      <c r="BA114" s="69"/>
      <c r="BB114" s="70"/>
      <c r="BC114" s="69"/>
      <c r="BD114" s="70"/>
      <c r="BE114" s="69"/>
      <c r="BF114" s="70"/>
      <c r="BG114" s="69"/>
      <c r="BH114" s="70"/>
      <c r="BI114" s="69"/>
      <c r="BJ114" s="70"/>
      <c r="BK114" s="69"/>
      <c r="BL114" s="70"/>
      <c r="BM114" s="69"/>
      <c r="BN114" s="71"/>
      <c r="BO114" s="182" t="str">
        <f t="shared" si="185"/>
        <v/>
      </c>
      <c r="BP114" s="70"/>
      <c r="BQ114" s="73"/>
    </row>
    <row r="115" spans="1:69" x14ac:dyDescent="0.35">
      <c r="A115" s="53" t="s">
        <v>27</v>
      </c>
      <c r="B115" s="54"/>
      <c r="C115" s="67"/>
      <c r="D115" s="68"/>
      <c r="E115" s="69"/>
      <c r="F115" s="70"/>
      <c r="G115" s="69"/>
      <c r="H115" s="70"/>
      <c r="I115" s="69"/>
      <c r="J115" s="70"/>
      <c r="K115" s="69"/>
      <c r="L115" s="70"/>
      <c r="M115" s="69"/>
      <c r="N115" s="70"/>
      <c r="O115" s="69"/>
      <c r="P115" s="70"/>
      <c r="Q115" s="69"/>
      <c r="R115" s="70"/>
      <c r="S115" s="69"/>
      <c r="T115" s="70"/>
      <c r="U115" s="69"/>
      <c r="V115" s="70"/>
      <c r="W115" s="69"/>
      <c r="X115" s="70"/>
      <c r="Y115" s="69"/>
      <c r="Z115" s="70"/>
      <c r="AA115" s="69"/>
      <c r="AB115" s="70"/>
      <c r="AC115" s="69"/>
      <c r="AD115" s="70"/>
      <c r="AE115" s="69"/>
      <c r="AF115" s="70"/>
      <c r="AG115" s="69"/>
      <c r="AH115" s="70"/>
      <c r="AI115" s="69"/>
      <c r="AJ115" s="70"/>
      <c r="AK115" s="69"/>
      <c r="AL115" s="70"/>
      <c r="AM115" s="69"/>
      <c r="AN115" s="70"/>
      <c r="AO115" s="69"/>
      <c r="AP115" s="70"/>
      <c r="AQ115" s="69"/>
      <c r="AR115" s="70"/>
      <c r="AS115" s="69"/>
      <c r="AT115" s="70"/>
      <c r="AU115" s="69"/>
      <c r="AV115" s="70"/>
      <c r="AW115" s="69"/>
      <c r="AX115" s="70"/>
      <c r="AY115" s="69"/>
      <c r="AZ115" s="70"/>
      <c r="BA115" s="69"/>
      <c r="BB115" s="70"/>
      <c r="BC115" s="69"/>
      <c r="BD115" s="70"/>
      <c r="BE115" s="69"/>
      <c r="BF115" s="70"/>
      <c r="BG115" s="69"/>
      <c r="BH115" s="70"/>
      <c r="BI115" s="69"/>
      <c r="BJ115" s="70"/>
      <c r="BK115" s="69"/>
      <c r="BL115" s="70"/>
      <c r="BM115" s="69"/>
      <c r="BN115" s="71"/>
      <c r="BO115" s="182" t="str">
        <f t="shared" si="185"/>
        <v/>
      </c>
      <c r="BP115" s="70"/>
      <c r="BQ115" s="73"/>
    </row>
    <row r="116" spans="1:69" x14ac:dyDescent="0.35">
      <c r="A116" s="53" t="s">
        <v>28</v>
      </c>
      <c r="B116" s="54"/>
      <c r="C116" s="67"/>
      <c r="D116" s="68"/>
      <c r="E116" s="69"/>
      <c r="F116" s="70"/>
      <c r="G116" s="69"/>
      <c r="H116" s="70"/>
      <c r="I116" s="69"/>
      <c r="J116" s="70"/>
      <c r="K116" s="69"/>
      <c r="L116" s="70"/>
      <c r="M116" s="69"/>
      <c r="N116" s="70"/>
      <c r="O116" s="69"/>
      <c r="P116" s="70"/>
      <c r="Q116" s="69"/>
      <c r="R116" s="70"/>
      <c r="S116" s="69"/>
      <c r="T116" s="70"/>
      <c r="U116" s="69"/>
      <c r="V116" s="70"/>
      <c r="W116" s="69"/>
      <c r="X116" s="70"/>
      <c r="Y116" s="69"/>
      <c r="Z116" s="70"/>
      <c r="AA116" s="69"/>
      <c r="AB116" s="70"/>
      <c r="AC116" s="69"/>
      <c r="AD116" s="70"/>
      <c r="AE116" s="69"/>
      <c r="AF116" s="70"/>
      <c r="AG116" s="69"/>
      <c r="AH116" s="70"/>
      <c r="AI116" s="69"/>
      <c r="AJ116" s="70"/>
      <c r="AK116" s="69"/>
      <c r="AL116" s="70"/>
      <c r="AM116" s="69"/>
      <c r="AN116" s="70"/>
      <c r="AO116" s="69"/>
      <c r="AP116" s="70"/>
      <c r="AQ116" s="69"/>
      <c r="AR116" s="70"/>
      <c r="AS116" s="69"/>
      <c r="AT116" s="70"/>
      <c r="AU116" s="69"/>
      <c r="AV116" s="70"/>
      <c r="AW116" s="69"/>
      <c r="AX116" s="70"/>
      <c r="AY116" s="69"/>
      <c r="AZ116" s="70"/>
      <c r="BA116" s="69"/>
      <c r="BB116" s="70"/>
      <c r="BC116" s="69"/>
      <c r="BD116" s="70"/>
      <c r="BE116" s="69"/>
      <c r="BF116" s="70"/>
      <c r="BG116" s="69"/>
      <c r="BH116" s="70"/>
      <c r="BI116" s="69"/>
      <c r="BJ116" s="70"/>
      <c r="BK116" s="69"/>
      <c r="BL116" s="70"/>
      <c r="BM116" s="69"/>
      <c r="BN116" s="71"/>
      <c r="BO116" s="182" t="str">
        <f t="shared" si="185"/>
        <v/>
      </c>
      <c r="BP116" s="70"/>
      <c r="BQ116" s="73"/>
    </row>
    <row r="117" spans="1:69" x14ac:dyDescent="0.35">
      <c r="A117" s="53" t="s">
        <v>29</v>
      </c>
      <c r="B117" s="54"/>
      <c r="C117" s="67"/>
      <c r="D117" s="68"/>
      <c r="E117" s="69"/>
      <c r="F117" s="70"/>
      <c r="G117" s="69"/>
      <c r="H117" s="70"/>
      <c r="I117" s="69"/>
      <c r="J117" s="70"/>
      <c r="K117" s="69"/>
      <c r="L117" s="70"/>
      <c r="M117" s="69"/>
      <c r="N117" s="70"/>
      <c r="O117" s="69"/>
      <c r="P117" s="70"/>
      <c r="Q117" s="69"/>
      <c r="R117" s="70"/>
      <c r="S117" s="69"/>
      <c r="T117" s="70"/>
      <c r="U117" s="69"/>
      <c r="V117" s="70"/>
      <c r="W117" s="69"/>
      <c r="X117" s="70"/>
      <c r="Y117" s="69"/>
      <c r="Z117" s="70"/>
      <c r="AA117" s="69"/>
      <c r="AB117" s="70"/>
      <c r="AC117" s="69"/>
      <c r="AD117" s="70"/>
      <c r="AE117" s="69"/>
      <c r="AF117" s="70"/>
      <c r="AG117" s="69"/>
      <c r="AH117" s="70"/>
      <c r="AI117" s="69"/>
      <c r="AJ117" s="70"/>
      <c r="AK117" s="69"/>
      <c r="AL117" s="70"/>
      <c r="AM117" s="69"/>
      <c r="AN117" s="70"/>
      <c r="AO117" s="69"/>
      <c r="AP117" s="70"/>
      <c r="AQ117" s="69"/>
      <c r="AR117" s="70"/>
      <c r="AS117" s="69"/>
      <c r="AT117" s="70"/>
      <c r="AU117" s="69"/>
      <c r="AV117" s="70"/>
      <c r="AW117" s="69"/>
      <c r="AX117" s="70"/>
      <c r="AY117" s="69"/>
      <c r="AZ117" s="70"/>
      <c r="BA117" s="69"/>
      <c r="BB117" s="70"/>
      <c r="BC117" s="69"/>
      <c r="BD117" s="70"/>
      <c r="BE117" s="69"/>
      <c r="BF117" s="70"/>
      <c r="BG117" s="69"/>
      <c r="BH117" s="70"/>
      <c r="BI117" s="69"/>
      <c r="BJ117" s="70"/>
      <c r="BK117" s="69"/>
      <c r="BL117" s="70"/>
      <c r="BM117" s="69"/>
      <c r="BN117" s="71"/>
      <c r="BO117" s="182" t="str">
        <f t="shared" si="185"/>
        <v/>
      </c>
      <c r="BP117" s="70"/>
      <c r="BQ117" s="73"/>
    </row>
    <row r="118" spans="1:69" x14ac:dyDescent="0.35">
      <c r="A118" s="74"/>
      <c r="B118" s="75"/>
      <c r="C118" s="153"/>
      <c r="D118" s="77"/>
      <c r="E118" s="78"/>
      <c r="F118" s="79"/>
      <c r="G118" s="78"/>
      <c r="H118" s="79"/>
      <c r="I118" s="78"/>
      <c r="J118" s="79"/>
      <c r="K118" s="78"/>
      <c r="L118" s="79"/>
      <c r="M118" s="78"/>
      <c r="N118" s="79"/>
      <c r="O118" s="78"/>
      <c r="P118" s="79"/>
      <c r="Q118" s="78"/>
      <c r="R118" s="79"/>
      <c r="S118" s="78"/>
      <c r="T118" s="79"/>
      <c r="U118" s="78"/>
      <c r="V118" s="79"/>
      <c r="W118" s="78"/>
      <c r="X118" s="79"/>
      <c r="Y118" s="78"/>
      <c r="Z118" s="79"/>
      <c r="AA118" s="78"/>
      <c r="AB118" s="79"/>
      <c r="AC118" s="78"/>
      <c r="AD118" s="79"/>
      <c r="AE118" s="78"/>
      <c r="AF118" s="79"/>
      <c r="AG118" s="78"/>
      <c r="AH118" s="79"/>
      <c r="AI118" s="78"/>
      <c r="AJ118" s="79"/>
      <c r="AK118" s="78"/>
      <c r="AL118" s="79"/>
      <c r="AM118" s="78"/>
      <c r="AN118" s="79"/>
      <c r="AO118" s="78"/>
      <c r="AP118" s="79"/>
      <c r="AQ118" s="78"/>
      <c r="AR118" s="79"/>
      <c r="AS118" s="78"/>
      <c r="AT118" s="79"/>
      <c r="AU118" s="78"/>
      <c r="AV118" s="79"/>
      <c r="AW118" s="78"/>
      <c r="AX118" s="79"/>
      <c r="AY118" s="78"/>
      <c r="AZ118" s="79"/>
      <c r="BA118" s="78"/>
      <c r="BB118" s="79"/>
      <c r="BC118" s="78"/>
      <c r="BD118" s="79"/>
      <c r="BE118" s="78"/>
      <c r="BF118" s="79"/>
      <c r="BG118" s="78"/>
      <c r="BH118" s="79"/>
      <c r="BI118" s="78"/>
      <c r="BJ118" s="79"/>
      <c r="BK118" s="78"/>
      <c r="BL118" s="79"/>
      <c r="BM118" s="78"/>
      <c r="BN118" s="80"/>
      <c r="BO118" s="195" t="str">
        <f t="shared" si="185"/>
        <v/>
      </c>
      <c r="BP118" s="79"/>
      <c r="BQ118" s="82"/>
    </row>
    <row r="119" spans="1:69" x14ac:dyDescent="0.35">
      <c r="A119" s="53" t="s">
        <v>55</v>
      </c>
      <c r="B119" s="54"/>
      <c r="C119" s="67"/>
      <c r="D119" s="68"/>
      <c r="E119" s="69"/>
      <c r="F119" s="70"/>
      <c r="G119" s="69"/>
      <c r="H119" s="70"/>
      <c r="I119" s="69"/>
      <c r="J119" s="70"/>
      <c r="K119" s="69"/>
      <c r="L119" s="70"/>
      <c r="M119" s="69"/>
      <c r="N119" s="70"/>
      <c r="O119" s="69"/>
      <c r="P119" s="70"/>
      <c r="Q119" s="69"/>
      <c r="R119" s="70"/>
      <c r="S119" s="69"/>
      <c r="T119" s="70"/>
      <c r="U119" s="69"/>
      <c r="V119" s="70"/>
      <c r="W119" s="69"/>
      <c r="X119" s="70"/>
      <c r="Y119" s="69"/>
      <c r="Z119" s="70"/>
      <c r="AA119" s="69"/>
      <c r="AB119" s="70"/>
      <c r="AC119" s="69"/>
      <c r="AD119" s="70"/>
      <c r="AE119" s="69"/>
      <c r="AF119" s="70"/>
      <c r="AG119" s="69"/>
      <c r="AH119" s="70"/>
      <c r="AI119" s="69"/>
      <c r="AJ119" s="70"/>
      <c r="AK119" s="69"/>
      <c r="AL119" s="70"/>
      <c r="AM119" s="69"/>
      <c r="AN119" s="70"/>
      <c r="AO119" s="69"/>
      <c r="AP119" s="70"/>
      <c r="AQ119" s="69"/>
      <c r="AR119" s="70"/>
      <c r="AS119" s="69"/>
      <c r="AT119" s="70"/>
      <c r="AU119" s="69"/>
      <c r="AV119" s="70"/>
      <c r="AW119" s="69"/>
      <c r="AX119" s="70"/>
      <c r="AY119" s="69"/>
      <c r="AZ119" s="70"/>
      <c r="BA119" s="69"/>
      <c r="BB119" s="70"/>
      <c r="BC119" s="69"/>
      <c r="BD119" s="70"/>
      <c r="BE119" s="69"/>
      <c r="BF119" s="70"/>
      <c r="BG119" s="69"/>
      <c r="BH119" s="70"/>
      <c r="BI119" s="69"/>
      <c r="BJ119" s="70"/>
      <c r="BK119" s="69"/>
      <c r="BL119" s="70"/>
      <c r="BM119" s="69"/>
      <c r="BN119" s="71"/>
      <c r="BO119" s="182" t="str">
        <f t="shared" si="185"/>
        <v/>
      </c>
      <c r="BP119" s="70"/>
      <c r="BQ119" s="73"/>
    </row>
    <row r="120" spans="1:69" ht="15" thickBot="1" x14ac:dyDescent="0.4">
      <c r="A120" s="154" t="s">
        <v>56</v>
      </c>
      <c r="B120" s="155"/>
      <c r="C120" s="156"/>
      <c r="D120" s="157"/>
      <c r="E120" s="158"/>
      <c r="F120" s="159"/>
      <c r="G120" s="158"/>
      <c r="H120" s="159"/>
      <c r="I120" s="158"/>
      <c r="J120" s="159"/>
      <c r="K120" s="158"/>
      <c r="L120" s="159"/>
      <c r="M120" s="158"/>
      <c r="N120" s="159"/>
      <c r="O120" s="158"/>
      <c r="P120" s="159"/>
      <c r="Q120" s="158"/>
      <c r="R120" s="159"/>
      <c r="S120" s="158"/>
      <c r="T120" s="159"/>
      <c r="U120" s="158"/>
      <c r="V120" s="159"/>
      <c r="W120" s="158"/>
      <c r="X120" s="159"/>
      <c r="Y120" s="158"/>
      <c r="Z120" s="159"/>
      <c r="AA120" s="158"/>
      <c r="AB120" s="159"/>
      <c r="AC120" s="158"/>
      <c r="AD120" s="159"/>
      <c r="AE120" s="158"/>
      <c r="AF120" s="159"/>
      <c r="AG120" s="158"/>
      <c r="AH120" s="159"/>
      <c r="AI120" s="158"/>
      <c r="AJ120" s="159"/>
      <c r="AK120" s="158"/>
      <c r="AL120" s="159"/>
      <c r="AM120" s="158"/>
      <c r="AN120" s="159"/>
      <c r="AO120" s="158"/>
      <c r="AP120" s="159"/>
      <c r="AQ120" s="158"/>
      <c r="AR120" s="159"/>
      <c r="AS120" s="158"/>
      <c r="AT120" s="159"/>
      <c r="AU120" s="158"/>
      <c r="AV120" s="159"/>
      <c r="AW120" s="158"/>
      <c r="AX120" s="159"/>
      <c r="AY120" s="158"/>
      <c r="AZ120" s="159"/>
      <c r="BA120" s="158"/>
      <c r="BB120" s="159"/>
      <c r="BC120" s="158"/>
      <c r="BD120" s="159"/>
      <c r="BE120" s="158"/>
      <c r="BF120" s="159"/>
      <c r="BG120" s="158"/>
      <c r="BH120" s="159"/>
      <c r="BI120" s="158"/>
      <c r="BJ120" s="159"/>
      <c r="BK120" s="158"/>
      <c r="BL120" s="159"/>
      <c r="BM120" s="158"/>
      <c r="BN120" s="160"/>
      <c r="BO120" s="196" t="str">
        <f t="shared" si="185"/>
        <v/>
      </c>
      <c r="BP120" s="159"/>
      <c r="BQ120" s="161"/>
    </row>
    <row r="121" spans="1:69" x14ac:dyDescent="0.35">
      <c r="AT121"/>
      <c r="AU121"/>
      <c r="AW121"/>
      <c r="BA121"/>
    </row>
    <row r="122" spans="1:69" x14ac:dyDescent="0.35">
      <c r="AT122"/>
      <c r="AU122"/>
      <c r="AW122"/>
      <c r="BA122"/>
    </row>
    <row r="123" spans="1:69" x14ac:dyDescent="0.35">
      <c r="AT123"/>
      <c r="AU123"/>
      <c r="AW123"/>
      <c r="BA123"/>
    </row>
    <row r="124" spans="1:69" x14ac:dyDescent="0.35">
      <c r="AT124"/>
      <c r="AU124"/>
      <c r="AW124"/>
      <c r="BA124"/>
    </row>
    <row r="125" spans="1:69" x14ac:dyDescent="0.35">
      <c r="AT125"/>
      <c r="AU125"/>
      <c r="AW125"/>
      <c r="BA125"/>
    </row>
    <row r="126" spans="1:69" x14ac:dyDescent="0.35">
      <c r="AT126"/>
      <c r="AU126"/>
      <c r="AW126"/>
      <c r="BA126"/>
    </row>
    <row r="127" spans="1:69" x14ac:dyDescent="0.35">
      <c r="AT127"/>
      <c r="AU127"/>
      <c r="AW127"/>
      <c r="BA127"/>
    </row>
    <row r="128" spans="1:69" x14ac:dyDescent="0.35">
      <c r="AT128"/>
      <c r="AU128"/>
      <c r="AW128"/>
      <c r="BA128"/>
    </row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</sheetData>
  <sheetProtection sheet="1" objects="1" scenarios="1"/>
  <mergeCells count="100">
    <mergeCell ref="AD5:AE5"/>
    <mergeCell ref="A1:BQ1"/>
    <mergeCell ref="A2:BQ2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BB5:BC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P5:BQ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BD5:BE5"/>
    <mergeCell ref="BF5:BG5"/>
    <mergeCell ref="BH5:BI5"/>
    <mergeCell ref="BJ5:BK5"/>
    <mergeCell ref="BL5:BM5"/>
    <mergeCell ref="BN5:BO5"/>
    <mergeCell ref="AR6:AS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BP6:BQ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Z12:AA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AX12:AY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BL12:BM12"/>
    <mergeCell ref="BP12:BQ12"/>
    <mergeCell ref="AZ12:BA12"/>
    <mergeCell ref="BB12:BC12"/>
    <mergeCell ref="BD12:BE12"/>
    <mergeCell ref="BF12:BG12"/>
    <mergeCell ref="BH12:BI12"/>
    <mergeCell ref="BJ12:BK12"/>
  </mergeCells>
  <conditionalFormatting sqref="D77:BL88">
    <cfRule type="cellIs" dxfId="99" priority="9" operator="lessThan">
      <formula>0</formula>
    </cfRule>
  </conditionalFormatting>
  <conditionalFormatting sqref="D7:BM11 BP7:BQ104 BO7:BO120">
    <cfRule type="cellIs" dxfId="98" priority="1" operator="lessThan">
      <formula>0</formula>
    </cfRule>
  </conditionalFormatting>
  <conditionalFormatting sqref="D22:BM22">
    <cfRule type="cellIs" dxfId="97" priority="2" operator="lessThan">
      <formula>0</formula>
    </cfRule>
  </conditionalFormatting>
  <conditionalFormatting sqref="D30:BM31">
    <cfRule type="cellIs" dxfId="96" priority="3" operator="lessThan">
      <formula>0</formula>
    </cfRule>
  </conditionalFormatting>
  <conditionalFormatting sqref="D42:BM42">
    <cfRule type="cellIs" dxfId="95" priority="4" operator="lessThan">
      <formula>0</formula>
    </cfRule>
  </conditionalFormatting>
  <conditionalFormatting sqref="D49:BM50">
    <cfRule type="cellIs" dxfId="94" priority="5" operator="lessThan">
      <formula>0</formula>
    </cfRule>
  </conditionalFormatting>
  <conditionalFormatting sqref="D54:BM54">
    <cfRule type="cellIs" dxfId="93" priority="6" operator="lessThan">
      <formula>0</formula>
    </cfRule>
  </conditionalFormatting>
  <conditionalFormatting sqref="D57:BM59">
    <cfRule type="cellIs" dxfId="92" priority="7" operator="lessThan">
      <formula>0</formula>
    </cfRule>
  </conditionalFormatting>
  <conditionalFormatting sqref="D61:BM75">
    <cfRule type="cellIs" dxfId="91" priority="8" operator="lessThan">
      <formula>0</formula>
    </cfRule>
  </conditionalFormatting>
  <conditionalFormatting sqref="E91:BM104">
    <cfRule type="cellIs" dxfId="90" priority="10" operator="lessThan">
      <formula>0</formula>
    </cfRule>
  </conditionalFormatting>
  <pageMargins left="0.25" right="0.25" top="0.75" bottom="0.75" header="0.3" footer="0.3"/>
  <pageSetup scale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219-FC4A-43B7-9669-47EA3047702B}">
  <sheetPr>
    <pageSetUpPr fitToPage="1"/>
  </sheetPr>
  <dimension ref="A1:BX134"/>
  <sheetViews>
    <sheetView zoomScaleNormal="100" workbookViewId="0">
      <pane xSplit="1" ySplit="12" topLeftCell="B13" activePane="bottomRight" state="frozen"/>
      <selection pane="topRight" activeCell="B1" sqref="B1"/>
      <selection pane="bottomLeft" activeCell="A9" sqref="A9"/>
      <selection pane="bottomRight" activeCell="A13" sqref="A13:XFD13"/>
    </sheetView>
  </sheetViews>
  <sheetFormatPr defaultRowHeight="14.5" x14ac:dyDescent="0.35"/>
  <cols>
    <col min="1" max="1" width="28.54296875" customWidth="1"/>
    <col min="2" max="2" width="15.26953125" customWidth="1"/>
    <col min="3" max="3" width="18.1796875" customWidth="1"/>
    <col min="4" max="45" width="11.81640625" customWidth="1"/>
    <col min="46" max="47" width="11.81640625" style="3" customWidth="1"/>
    <col min="48" max="48" width="11.81640625" customWidth="1"/>
    <col min="49" max="49" width="11.81640625" style="3" customWidth="1"/>
    <col min="50" max="52" width="11.81640625" customWidth="1"/>
    <col min="53" max="53" width="11.81640625" style="3" customWidth="1"/>
    <col min="54" max="65" width="11.81640625" customWidth="1"/>
    <col min="66" max="69" width="15.54296875" customWidth="1"/>
    <col min="70" max="70" width="12.7265625" customWidth="1"/>
    <col min="71" max="71" width="11.1796875" bestFit="1" customWidth="1"/>
    <col min="72" max="72" width="14.81640625" customWidth="1"/>
    <col min="73" max="73" width="8.81640625" customWidth="1"/>
    <col min="74" max="74" width="11.26953125" customWidth="1"/>
    <col min="75" max="75" width="9.26953125" bestFit="1" customWidth="1"/>
    <col min="76" max="76" width="13.453125" customWidth="1"/>
  </cols>
  <sheetData>
    <row r="1" spans="1:76" ht="48" customHeight="1" x14ac:dyDescent="0.35">
      <c r="A1" s="241" t="str">
        <f>"TEXAN FILLING STATION — "&amp;UPPER(TEXT(B3,"MMMM YYYY"))&amp;" DAILY CONTROL"</f>
        <v>TEXAN FILLING STATION — DECEMBER 2026 DAILY CONTROL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  <c r="BL1" s="233"/>
      <c r="BM1" s="233"/>
      <c r="BN1" s="233"/>
      <c r="BO1" s="233"/>
      <c r="BP1" s="233"/>
      <c r="BQ1" s="233"/>
    </row>
    <row r="2" spans="1:76" ht="24" customHeight="1" x14ac:dyDescent="0.35">
      <c r="A2" s="234" t="s">
        <v>108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  <c r="BP2" s="234"/>
      <c r="BQ2" s="234"/>
    </row>
    <row r="3" spans="1:76" x14ac:dyDescent="0.35">
      <c r="A3" s="26" t="s">
        <v>109</v>
      </c>
      <c r="B3" s="27">
        <v>46357</v>
      </c>
      <c r="C3" s="28" t="s">
        <v>110</v>
      </c>
      <c r="D3" s="28" t="s">
        <v>111</v>
      </c>
      <c r="E3" s="29" t="s">
        <v>112</v>
      </c>
      <c r="F3" s="30" t="s">
        <v>113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2"/>
      <c r="AU3" s="32"/>
      <c r="AV3" s="31"/>
      <c r="AW3" s="32"/>
      <c r="AX3" s="31"/>
      <c r="AY3" s="31"/>
      <c r="AZ3" s="31"/>
      <c r="BA3" s="32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</row>
    <row r="4" spans="1:76" ht="15" thickBot="1" x14ac:dyDescent="0.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2"/>
      <c r="AU4" s="32"/>
      <c r="AV4" s="31"/>
      <c r="AW4" s="32"/>
      <c r="AX4" s="31"/>
      <c r="AY4" s="31"/>
      <c r="AZ4" s="31"/>
      <c r="BA4" s="32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</row>
    <row r="5" spans="1:76" ht="16.149999999999999" customHeight="1" x14ac:dyDescent="0.35">
      <c r="A5" s="164">
        <f>68*0.1</f>
        <v>6.8000000000000007</v>
      </c>
      <c r="B5" s="33"/>
      <c r="C5" s="34" t="s">
        <v>116</v>
      </c>
      <c r="D5" s="235" t="str">
        <f>IF(D6="","",UPPER(TEXT(D6,"dddd")))</f>
        <v>TUESDAY</v>
      </c>
      <c r="E5" s="229"/>
      <c r="F5" s="228" t="str">
        <f>IF(F6="","",UPPER(TEXT(F6,"dddd")))</f>
        <v>WEDNESDAY</v>
      </c>
      <c r="G5" s="229"/>
      <c r="H5" s="228" t="str">
        <f>IF(H6="","",UPPER(TEXT(H6,"dddd")))</f>
        <v>THURSDAY</v>
      </c>
      <c r="I5" s="229"/>
      <c r="J5" s="228" t="str">
        <f>IF(J6="","",UPPER(TEXT(J6,"dddd")))</f>
        <v>FRIDAY</v>
      </c>
      <c r="K5" s="229"/>
      <c r="L5" s="228" t="str">
        <f>IF(L6="","",UPPER(TEXT(L6,"dddd")))</f>
        <v>SATURDAY</v>
      </c>
      <c r="M5" s="229"/>
      <c r="N5" s="228" t="str">
        <f>IF(N6="","",UPPER(TEXT(N6,"dddd")))</f>
        <v>SUNDAY</v>
      </c>
      <c r="O5" s="229"/>
      <c r="P5" s="228" t="str">
        <f>IF(P6="","",UPPER(TEXT(P6,"dddd")))</f>
        <v>MONDAY</v>
      </c>
      <c r="Q5" s="229"/>
      <c r="R5" s="228" t="str">
        <f>IF(R6="","",UPPER(TEXT(R6,"dddd")))</f>
        <v>TUESDAY</v>
      </c>
      <c r="S5" s="229"/>
      <c r="T5" s="228" t="str">
        <f>IF(T6="","",UPPER(TEXT(T6,"dddd")))</f>
        <v>WEDNESDAY</v>
      </c>
      <c r="U5" s="229"/>
      <c r="V5" s="228" t="str">
        <f>IF(V6="","",UPPER(TEXT(V6,"dddd")))</f>
        <v>THURSDAY</v>
      </c>
      <c r="W5" s="229"/>
      <c r="X5" s="228" t="str">
        <f>IF(X6="","",UPPER(TEXT(X6,"dddd")))</f>
        <v>FRIDAY</v>
      </c>
      <c r="Y5" s="229"/>
      <c r="Z5" s="228" t="str">
        <f>IF(Z6="","",UPPER(TEXT(Z6,"dddd")))</f>
        <v>SATURDAY</v>
      </c>
      <c r="AA5" s="229"/>
      <c r="AB5" s="228" t="str">
        <f>IF(AB6="","",UPPER(TEXT(AB6,"dddd")))</f>
        <v>SUNDAY</v>
      </c>
      <c r="AC5" s="229"/>
      <c r="AD5" s="228" t="str">
        <f>IF(AD6="","",UPPER(TEXT(AD6,"dddd")))</f>
        <v>MONDAY</v>
      </c>
      <c r="AE5" s="229"/>
      <c r="AF5" s="228" t="str">
        <f>IF(AF6="","",UPPER(TEXT(AF6,"dddd")))</f>
        <v>TUESDAY</v>
      </c>
      <c r="AG5" s="229"/>
      <c r="AH5" s="228" t="str">
        <f>IF(AH6="","",UPPER(TEXT(AH6,"dddd")))</f>
        <v>WEDNESDAY</v>
      </c>
      <c r="AI5" s="229"/>
      <c r="AJ5" s="228" t="str">
        <f>IF(AJ6="","",UPPER(TEXT(AJ6,"dddd")))</f>
        <v>THURSDAY</v>
      </c>
      <c r="AK5" s="229"/>
      <c r="AL5" s="228" t="str">
        <f>IF(AL6="","",UPPER(TEXT(AL6,"dddd")))</f>
        <v>FRIDAY</v>
      </c>
      <c r="AM5" s="229"/>
      <c r="AN5" s="228" t="str">
        <f>IF(AN6="","",UPPER(TEXT(AN6,"dddd")))</f>
        <v>SATURDAY</v>
      </c>
      <c r="AO5" s="229"/>
      <c r="AP5" s="228" t="str">
        <f>IF(AP6="","",UPPER(TEXT(AP6,"dddd")))</f>
        <v>SUNDAY</v>
      </c>
      <c r="AQ5" s="229"/>
      <c r="AR5" s="228" t="str">
        <f>IF(AR6="","",UPPER(TEXT(AR6,"dddd")))</f>
        <v>MONDAY</v>
      </c>
      <c r="AS5" s="229"/>
      <c r="AT5" s="228" t="str">
        <f>IF(AT6="","",UPPER(TEXT(AT6,"dddd")))</f>
        <v>TUESDAY</v>
      </c>
      <c r="AU5" s="229"/>
      <c r="AV5" s="228" t="str">
        <f>IF(AV6="","",UPPER(TEXT(AV6,"dddd")))</f>
        <v>WEDNESDAY</v>
      </c>
      <c r="AW5" s="229"/>
      <c r="AX5" s="228" t="str">
        <f>IF(AX6="","",UPPER(TEXT(AX6,"dddd")))</f>
        <v>THURSDAY</v>
      </c>
      <c r="AY5" s="229"/>
      <c r="AZ5" s="228" t="str">
        <f>IF(AZ6="","",UPPER(TEXT(AZ6,"dddd")))</f>
        <v>FRIDAY</v>
      </c>
      <c r="BA5" s="229"/>
      <c r="BB5" s="228" t="str">
        <f>IF(BB6="","",UPPER(TEXT(BB6,"dddd")))</f>
        <v>SATURDAY</v>
      </c>
      <c r="BC5" s="229"/>
      <c r="BD5" s="228" t="str">
        <f>IF(BD6="","",UPPER(TEXT(BD6,"dddd")))</f>
        <v>SUNDAY</v>
      </c>
      <c r="BE5" s="229"/>
      <c r="BF5" s="228" t="str">
        <f>IF(BF6="","",UPPER(TEXT(BF6,"dddd")))</f>
        <v>MONDAY</v>
      </c>
      <c r="BG5" s="229"/>
      <c r="BH5" s="228" t="str">
        <f>IF(BH6="","",UPPER(TEXT(BH6,"dddd")))</f>
        <v>TUESDAY</v>
      </c>
      <c r="BI5" s="229"/>
      <c r="BJ5" s="228" t="str">
        <f>IF(BJ6="","",UPPER(TEXT(BJ6,"dddd")))</f>
        <v>WEDNESDAY</v>
      </c>
      <c r="BK5" s="229"/>
      <c r="BL5" s="228" t="str">
        <f>IF(BL6="","",UPPER(TEXT(BL6,"dddd")))</f>
        <v>THURSDAY</v>
      </c>
      <c r="BM5" s="229"/>
      <c r="BN5" s="230" t="s">
        <v>114</v>
      </c>
      <c r="BO5" s="231"/>
      <c r="BP5" s="225" t="s">
        <v>118</v>
      </c>
      <c r="BQ5" s="226"/>
    </row>
    <row r="6" spans="1:76" x14ac:dyDescent="0.35">
      <c r="A6" s="35"/>
      <c r="B6" s="36"/>
      <c r="C6" s="37" t="s">
        <v>117</v>
      </c>
      <c r="D6" s="227">
        <f>IF($B$3="","",IF(MONTH($B$3+0)=MONTH($B$3),$B$3+0,""))</f>
        <v>46357</v>
      </c>
      <c r="E6" s="222"/>
      <c r="F6" s="220">
        <f>IF($B$3="","",IF(MONTH($B$3+1)=MONTH($B$3),$B$3+1,""))</f>
        <v>46358</v>
      </c>
      <c r="G6" s="222"/>
      <c r="H6" s="220">
        <f>IF($B$3="","",IF(MONTH($B$3+2)=MONTH($B$3),$B$3+2,""))</f>
        <v>46359</v>
      </c>
      <c r="I6" s="222"/>
      <c r="J6" s="220">
        <f>IF($B$3="","",IF(MONTH($B$3+3)=MONTH($B$3),$B$3+3,""))</f>
        <v>46360</v>
      </c>
      <c r="K6" s="222"/>
      <c r="L6" s="220">
        <f>IF($B$3="","",IF(MONTH($B$3+4)=MONTH($B$3),$B$3+4,""))</f>
        <v>46361</v>
      </c>
      <c r="M6" s="222"/>
      <c r="N6" s="220">
        <f>IF($B$3="","",IF(MONTH($B$3+5)=MONTH($B$3),$B$3+5,""))</f>
        <v>46362</v>
      </c>
      <c r="O6" s="222"/>
      <c r="P6" s="220">
        <f>IF($B$3="","",IF(MONTH($B$3+6)=MONTH($B$3),$B$3+6,""))</f>
        <v>46363</v>
      </c>
      <c r="Q6" s="222"/>
      <c r="R6" s="220">
        <f>IF($B$3="","",IF(MONTH($B$3+7)=MONTH($B$3),$B$3+7,""))</f>
        <v>46364</v>
      </c>
      <c r="S6" s="222"/>
      <c r="T6" s="220">
        <f>IF($B$3="","",IF(MONTH($B$3+8)=MONTH($B$3),$B$3+8,""))</f>
        <v>46365</v>
      </c>
      <c r="U6" s="222"/>
      <c r="V6" s="220">
        <f>IF($B$3="","",IF(MONTH($B$3+9)=MONTH($B$3),$B$3+9,""))</f>
        <v>46366</v>
      </c>
      <c r="W6" s="222"/>
      <c r="X6" s="220">
        <f>IF($B$3="","",IF(MONTH($B$3+10)=MONTH($B$3),$B$3+10,""))</f>
        <v>46367</v>
      </c>
      <c r="Y6" s="222"/>
      <c r="Z6" s="220">
        <f>IF($B$3="","",IF(MONTH($B$3+11)=MONTH($B$3),$B$3+11,""))</f>
        <v>46368</v>
      </c>
      <c r="AA6" s="222"/>
      <c r="AB6" s="220">
        <f>IF($B$3="","",IF(MONTH($B$3+12)=MONTH($B$3),$B$3+12,""))</f>
        <v>46369</v>
      </c>
      <c r="AC6" s="222"/>
      <c r="AD6" s="220">
        <f>IF($B$3="","",IF(MONTH($B$3+13)=MONTH($B$3),$B$3+13,""))</f>
        <v>46370</v>
      </c>
      <c r="AE6" s="222"/>
      <c r="AF6" s="220">
        <f>IF($B$3="","",IF(MONTH($B$3+14)=MONTH($B$3),$B$3+14,""))</f>
        <v>46371</v>
      </c>
      <c r="AG6" s="222"/>
      <c r="AH6" s="220">
        <f>IF($B$3="","",IF(MONTH($B$3+15)=MONTH($B$3),$B$3+15,""))</f>
        <v>46372</v>
      </c>
      <c r="AI6" s="222"/>
      <c r="AJ6" s="220">
        <f>IF($B$3="","",IF(MONTH($B$3+16)=MONTH($B$3),$B$3+16,""))</f>
        <v>46373</v>
      </c>
      <c r="AK6" s="222"/>
      <c r="AL6" s="220">
        <f>IF($B$3="","",IF(MONTH($B$3+17)=MONTH($B$3),$B$3+17,""))</f>
        <v>46374</v>
      </c>
      <c r="AM6" s="222"/>
      <c r="AN6" s="220">
        <f>IF($B$3="","",IF(MONTH($B$3+18)=MONTH($B$3),$B$3+18,""))</f>
        <v>46375</v>
      </c>
      <c r="AO6" s="222"/>
      <c r="AP6" s="220">
        <f>IF($B$3="","",IF(MONTH($B$3+19)=MONTH($B$3),$B$3+19,""))</f>
        <v>46376</v>
      </c>
      <c r="AQ6" s="222"/>
      <c r="AR6" s="220">
        <f>IF($B$3="","",IF(MONTH($B$3+20)=MONTH($B$3),$B$3+20,""))</f>
        <v>46377</v>
      </c>
      <c r="AS6" s="222"/>
      <c r="AT6" s="220">
        <f>IF($B$3="","",IF(MONTH($B$3+21)=MONTH($B$3),$B$3+21,""))</f>
        <v>46378</v>
      </c>
      <c r="AU6" s="222"/>
      <c r="AV6" s="220">
        <f>IF($B$3="","",IF(MONTH($B$3+22)=MONTH($B$3),$B$3+22,""))</f>
        <v>46379</v>
      </c>
      <c r="AW6" s="222"/>
      <c r="AX6" s="220">
        <f>IF($B$3="","",IF(MONTH($B$3+23)=MONTH($B$3),$B$3+23,""))</f>
        <v>46380</v>
      </c>
      <c r="AY6" s="222"/>
      <c r="AZ6" s="220">
        <f>IF($B$3="","",IF(MONTH($B$3+24)=MONTH($B$3),$B$3+24,""))</f>
        <v>46381</v>
      </c>
      <c r="BA6" s="222"/>
      <c r="BB6" s="220">
        <f>IF($B$3="","",IF(MONTH($B$3+25)=MONTH($B$3),$B$3+25,""))</f>
        <v>46382</v>
      </c>
      <c r="BC6" s="222"/>
      <c r="BD6" s="220">
        <f>IF($B$3="","",IF(MONTH($B$3+26)=MONTH($B$3),$B$3+26,""))</f>
        <v>46383</v>
      </c>
      <c r="BE6" s="222"/>
      <c r="BF6" s="220">
        <f>IF($B$3="","",IF(MONTH($B$3+27)=MONTH($B$3),$B$3+27,""))</f>
        <v>46384</v>
      </c>
      <c r="BG6" s="222"/>
      <c r="BH6" s="220">
        <f>IF($B$3="","",IF(MONTH($B$3+28)=MONTH($B$3),$B$3+28,""))</f>
        <v>46385</v>
      </c>
      <c r="BI6" s="222"/>
      <c r="BJ6" s="220">
        <f>IF($B$3="","",IF(MONTH($B$3+29)=MONTH($B$3),$B$3+29,""))</f>
        <v>46386</v>
      </c>
      <c r="BK6" s="222"/>
      <c r="BL6" s="220">
        <f>IF($B$3="","",IF(MONTH($B$3+30)=MONTH($B$3),$B$3+30,""))</f>
        <v>46387</v>
      </c>
      <c r="BM6" s="222"/>
      <c r="BN6" s="223" t="s">
        <v>115</v>
      </c>
      <c r="BO6" s="224"/>
      <c r="BP6" s="220">
        <f>IF($B$3="","",EOMONTH($B$3,0)+1)</f>
        <v>46388</v>
      </c>
      <c r="BQ6" s="221"/>
    </row>
    <row r="7" spans="1:76" x14ac:dyDescent="0.35">
      <c r="A7" s="38" t="s">
        <v>20</v>
      </c>
      <c r="B7" s="39"/>
      <c r="C7" s="40"/>
      <c r="D7" s="41"/>
      <c r="E7" s="165">
        <f>E59</f>
        <v>0</v>
      </c>
      <c r="F7" s="42"/>
      <c r="G7" s="165">
        <f>G59</f>
        <v>0</v>
      </c>
      <c r="H7" s="42"/>
      <c r="I7" s="165">
        <f>I59</f>
        <v>0</v>
      </c>
      <c r="J7" s="42"/>
      <c r="K7" s="165">
        <f>K59</f>
        <v>0</v>
      </c>
      <c r="L7" s="42"/>
      <c r="M7" s="165">
        <f>M59</f>
        <v>0</v>
      </c>
      <c r="N7" s="42"/>
      <c r="O7" s="165">
        <f>O59</f>
        <v>0</v>
      </c>
      <c r="P7" s="42"/>
      <c r="Q7" s="165">
        <f>Q59</f>
        <v>0</v>
      </c>
      <c r="R7" s="42"/>
      <c r="S7" s="165">
        <f>S59</f>
        <v>0</v>
      </c>
      <c r="T7" s="42"/>
      <c r="U7" s="165">
        <f>U59</f>
        <v>0</v>
      </c>
      <c r="V7" s="42"/>
      <c r="W7" s="165">
        <f>W59</f>
        <v>0</v>
      </c>
      <c r="X7" s="42"/>
      <c r="Y7" s="165">
        <f>Y59</f>
        <v>0</v>
      </c>
      <c r="Z7" s="42"/>
      <c r="AA7" s="165">
        <f>AA59</f>
        <v>0</v>
      </c>
      <c r="AB7" s="42"/>
      <c r="AC7" s="165">
        <f>AC59</f>
        <v>0</v>
      </c>
      <c r="AD7" s="42"/>
      <c r="AE7" s="165">
        <f>AE59</f>
        <v>0</v>
      </c>
      <c r="AF7" s="42"/>
      <c r="AG7" s="165">
        <f>AG59</f>
        <v>0</v>
      </c>
      <c r="AH7" s="42"/>
      <c r="AI7" s="165">
        <f>AI59</f>
        <v>0</v>
      </c>
      <c r="AJ7" s="42"/>
      <c r="AK7" s="165">
        <f>AK59</f>
        <v>0</v>
      </c>
      <c r="AL7" s="42"/>
      <c r="AM7" s="165">
        <f>AM59</f>
        <v>0</v>
      </c>
      <c r="AN7" s="42"/>
      <c r="AO7" s="165">
        <f>AO59</f>
        <v>0</v>
      </c>
      <c r="AP7" s="42"/>
      <c r="AQ7" s="165">
        <f>AQ59</f>
        <v>0</v>
      </c>
      <c r="AR7" s="42"/>
      <c r="AS7" s="165">
        <f>AS59</f>
        <v>0</v>
      </c>
      <c r="AT7" s="42"/>
      <c r="AU7" s="165">
        <f>AU59</f>
        <v>0</v>
      </c>
      <c r="AV7" s="42"/>
      <c r="AW7" s="165">
        <f>AW59</f>
        <v>0</v>
      </c>
      <c r="AX7" s="42"/>
      <c r="AY7" s="165">
        <f>AY59</f>
        <v>0</v>
      </c>
      <c r="AZ7" s="42"/>
      <c r="BA7" s="165">
        <f>BA59</f>
        <v>0</v>
      </c>
      <c r="BB7" s="42"/>
      <c r="BC7" s="165">
        <f>BC59</f>
        <v>0</v>
      </c>
      <c r="BD7" s="42"/>
      <c r="BE7" s="165">
        <f>BE59</f>
        <v>0</v>
      </c>
      <c r="BF7" s="42"/>
      <c r="BG7" s="165">
        <f>BG59</f>
        <v>0</v>
      </c>
      <c r="BH7" s="42"/>
      <c r="BI7" s="165">
        <f>BI59</f>
        <v>0</v>
      </c>
      <c r="BJ7" s="42"/>
      <c r="BK7" s="165">
        <f>BK59</f>
        <v>0</v>
      </c>
      <c r="BL7" s="42"/>
      <c r="BM7" s="165">
        <f>BM59</f>
        <v>0</v>
      </c>
      <c r="BN7" s="43"/>
      <c r="BO7" s="169">
        <f>IF(COUNT(E7,G7,I7,K7,M7,O7,Q7,S7,U7,W7,Y7,AA7,AC7,AE7,AG7,AI7,AK7,AM7,AO7,AQ7,AS7,AU7,AW7,AY7,BA7,BC7,BE7,BG7,BI7,BK7,BM7)=0,"",SUM(E7,G7,I7,K7,M7,O7,Q7,S7,U7,W7,Y7,AA7,AC7,AE7,AG7,AI7,AK7,AM7,AO7,AQ7,AS7,AU7,AW7,AY7,BA7,BC7,BE7,BG7,BI7,BK7,BM7))</f>
        <v>0</v>
      </c>
      <c r="BP7" s="42"/>
      <c r="BQ7" s="171">
        <f>BQ59</f>
        <v>0</v>
      </c>
    </row>
    <row r="8" spans="1:76" x14ac:dyDescent="0.35">
      <c r="A8" s="38" t="s">
        <v>49</v>
      </c>
      <c r="B8" s="39"/>
      <c r="C8" s="40"/>
      <c r="D8" s="41"/>
      <c r="E8" s="165">
        <f>E58</f>
        <v>0</v>
      </c>
      <c r="F8" s="42"/>
      <c r="G8" s="165">
        <f>G58</f>
        <v>0</v>
      </c>
      <c r="H8" s="42"/>
      <c r="I8" s="165">
        <f>I58</f>
        <v>0</v>
      </c>
      <c r="J8" s="42"/>
      <c r="K8" s="165">
        <f>K58</f>
        <v>0</v>
      </c>
      <c r="L8" s="42"/>
      <c r="M8" s="165">
        <f>M58</f>
        <v>0</v>
      </c>
      <c r="N8" s="42"/>
      <c r="O8" s="165">
        <f>O58</f>
        <v>0</v>
      </c>
      <c r="P8" s="42"/>
      <c r="Q8" s="165">
        <f>Q58</f>
        <v>0</v>
      </c>
      <c r="R8" s="42"/>
      <c r="S8" s="165">
        <f>S58</f>
        <v>0</v>
      </c>
      <c r="T8" s="42"/>
      <c r="U8" s="165">
        <f>U58</f>
        <v>0</v>
      </c>
      <c r="V8" s="42"/>
      <c r="W8" s="165">
        <f>W58</f>
        <v>0</v>
      </c>
      <c r="X8" s="42"/>
      <c r="Y8" s="165">
        <f>Y58</f>
        <v>0</v>
      </c>
      <c r="Z8" s="42"/>
      <c r="AA8" s="165">
        <f>AA58</f>
        <v>0</v>
      </c>
      <c r="AB8" s="42"/>
      <c r="AC8" s="165">
        <f>AC58</f>
        <v>0</v>
      </c>
      <c r="AD8" s="42"/>
      <c r="AE8" s="165">
        <f>AE58</f>
        <v>0</v>
      </c>
      <c r="AF8" s="42"/>
      <c r="AG8" s="165">
        <f>AG58</f>
        <v>0</v>
      </c>
      <c r="AH8" s="42"/>
      <c r="AI8" s="165">
        <f>AI58</f>
        <v>0</v>
      </c>
      <c r="AJ8" s="42"/>
      <c r="AK8" s="165">
        <f>AK58</f>
        <v>0</v>
      </c>
      <c r="AL8" s="42"/>
      <c r="AM8" s="165">
        <f>AM58</f>
        <v>0</v>
      </c>
      <c r="AN8" s="42"/>
      <c r="AO8" s="165">
        <f>AO58</f>
        <v>0</v>
      </c>
      <c r="AP8" s="42"/>
      <c r="AQ8" s="165">
        <f>AQ58</f>
        <v>0</v>
      </c>
      <c r="AR8" s="42"/>
      <c r="AS8" s="165">
        <f>AS58</f>
        <v>0</v>
      </c>
      <c r="AT8" s="42"/>
      <c r="AU8" s="168">
        <f>AU58</f>
        <v>0</v>
      </c>
      <c r="AV8" s="42"/>
      <c r="AW8" s="165">
        <f>AW58</f>
        <v>0</v>
      </c>
      <c r="AX8" s="42"/>
      <c r="AY8" s="165">
        <f>AY58</f>
        <v>0</v>
      </c>
      <c r="AZ8" s="42"/>
      <c r="BA8" s="165">
        <f>BA58</f>
        <v>0</v>
      </c>
      <c r="BB8" s="42"/>
      <c r="BC8" s="165">
        <f>BC58</f>
        <v>0</v>
      </c>
      <c r="BD8" s="42"/>
      <c r="BE8" s="165">
        <f>BE58</f>
        <v>0</v>
      </c>
      <c r="BF8" s="42"/>
      <c r="BG8" s="165">
        <f>BG58</f>
        <v>0</v>
      </c>
      <c r="BH8" s="42"/>
      <c r="BI8" s="165">
        <f>BI58</f>
        <v>0</v>
      </c>
      <c r="BJ8" s="42"/>
      <c r="BK8" s="165">
        <f>BK58</f>
        <v>0</v>
      </c>
      <c r="BL8" s="42"/>
      <c r="BM8" s="165">
        <f>BM58</f>
        <v>0</v>
      </c>
      <c r="BN8" s="43"/>
      <c r="BO8" s="169">
        <f>IF(COUNT(E8,G8,I8,K8,M8,O8,Q8,S8,U8,W8,Y8,AA8,AC8,AE8,AG8,AI8,AK8,AM8,AO8,AQ8,AS8,AU8,AW8,AY8,BA8,BC8,BE8,BG8,BI8,BK8,BM8)=0,"",SUM(E8,G8,I8,K8,M8,O8,Q8,S8,U8,W8,Y8,AA8,AC8,AE8,AG8,AI8,AK8,AM8,AO8,AQ8,AS8,AU8,AW8,AY8,BA8,BC8,BE8,BG8,BI8,BK8,BM8))</f>
        <v>0</v>
      </c>
      <c r="BP8" s="42"/>
      <c r="BQ8" s="171">
        <f>BQ58</f>
        <v>0</v>
      </c>
    </row>
    <row r="9" spans="1:76" x14ac:dyDescent="0.35">
      <c r="A9" s="38" t="s">
        <v>50</v>
      </c>
      <c r="B9" s="39"/>
      <c r="C9" s="40"/>
      <c r="D9" s="41"/>
      <c r="E9" s="165" t="e">
        <f>E61</f>
        <v>#VALUE!</v>
      </c>
      <c r="F9" s="42"/>
      <c r="G9" s="165">
        <f>G61</f>
        <v>0</v>
      </c>
      <c r="H9" s="42"/>
      <c r="I9" s="165">
        <f>I61</f>
        <v>0</v>
      </c>
      <c r="J9" s="42"/>
      <c r="K9" s="165">
        <f>K61</f>
        <v>0</v>
      </c>
      <c r="L9" s="42"/>
      <c r="M9" s="165">
        <f>M61</f>
        <v>0</v>
      </c>
      <c r="N9" s="42"/>
      <c r="O9" s="165">
        <f>O61</f>
        <v>0</v>
      </c>
      <c r="P9" s="42"/>
      <c r="Q9" s="165">
        <f>Q61</f>
        <v>0</v>
      </c>
      <c r="R9" s="42"/>
      <c r="S9" s="165">
        <f>S61</f>
        <v>0</v>
      </c>
      <c r="T9" s="42"/>
      <c r="U9" s="165">
        <f>U61</f>
        <v>0</v>
      </c>
      <c r="V9" s="42"/>
      <c r="W9" s="165">
        <f>W61</f>
        <v>0</v>
      </c>
      <c r="X9" s="42"/>
      <c r="Y9" s="165">
        <f>Y61</f>
        <v>0</v>
      </c>
      <c r="Z9" s="42"/>
      <c r="AA9" s="165">
        <f>AA61</f>
        <v>0</v>
      </c>
      <c r="AB9" s="42"/>
      <c r="AC9" s="165">
        <f>AC61</f>
        <v>0</v>
      </c>
      <c r="AD9" s="42"/>
      <c r="AE9" s="165">
        <f>AE61</f>
        <v>0</v>
      </c>
      <c r="AF9" s="42"/>
      <c r="AG9" s="165">
        <f>AG61</f>
        <v>0</v>
      </c>
      <c r="AH9" s="42"/>
      <c r="AI9" s="165">
        <f>AI61</f>
        <v>0</v>
      </c>
      <c r="AJ9" s="42"/>
      <c r="AK9" s="165">
        <f>AK61</f>
        <v>0</v>
      </c>
      <c r="AL9" s="42"/>
      <c r="AM9" s="165">
        <f>AM61</f>
        <v>0</v>
      </c>
      <c r="AN9" s="42"/>
      <c r="AO9" s="165">
        <f>AO61</f>
        <v>0</v>
      </c>
      <c r="AP9" s="42"/>
      <c r="AQ9" s="165">
        <f>AQ61</f>
        <v>0</v>
      </c>
      <c r="AR9" s="42"/>
      <c r="AS9" s="165">
        <f>AS61</f>
        <v>0</v>
      </c>
      <c r="AT9" s="42"/>
      <c r="AU9" s="165">
        <f>AU61</f>
        <v>0</v>
      </c>
      <c r="AV9" s="42"/>
      <c r="AW9" s="165">
        <f>AW61</f>
        <v>0</v>
      </c>
      <c r="AX9" s="42"/>
      <c r="AY9" s="165">
        <f>AY61</f>
        <v>0</v>
      </c>
      <c r="AZ9" s="42"/>
      <c r="BA9" s="165">
        <f>BA61</f>
        <v>0</v>
      </c>
      <c r="BB9" s="42"/>
      <c r="BC9" s="165">
        <f>BC61</f>
        <v>0</v>
      </c>
      <c r="BD9" s="42"/>
      <c r="BE9" s="165">
        <f>BE61</f>
        <v>0</v>
      </c>
      <c r="BF9" s="42"/>
      <c r="BG9" s="165">
        <f>BG61</f>
        <v>0</v>
      </c>
      <c r="BH9" s="42"/>
      <c r="BI9" s="165">
        <f>BI61</f>
        <v>0</v>
      </c>
      <c r="BJ9" s="42"/>
      <c r="BK9" s="165">
        <f>BK61</f>
        <v>0</v>
      </c>
      <c r="BL9" s="42"/>
      <c r="BM9" s="165">
        <f>BM61</f>
        <v>0</v>
      </c>
      <c r="BN9" s="43"/>
      <c r="BO9" s="169" t="e">
        <f>IF(COUNT(E9,G9,I9,K9,M9,O9,Q9,S9,U9,W9,Y9,AA9,AC9,AE9,AG9,AI9,AK9,AM9,AO9,AQ9,AS9,AU9,AW9,AY9,BA9,BC9,BE9,BG9,BI9,BK9,BM9)=0,"",SUM(E9,G9,I9,K9,M9,O9,Q9,S9,U9,W9,Y9,AA9,AC9,AE9,AG9,AI9,AK9,AM9,AO9,AQ9,AS9,AU9,AW9,AY9,BA9,BC9,BE9,BG9,BI9,BK9,BM9))</f>
        <v>#VALUE!</v>
      </c>
      <c r="BP9" s="42"/>
      <c r="BQ9" s="171">
        <f>BQ61</f>
        <v>0</v>
      </c>
    </row>
    <row r="10" spans="1:76" s="2" customFormat="1" x14ac:dyDescent="0.35">
      <c r="A10" s="44" t="s">
        <v>47</v>
      </c>
      <c r="B10" s="45"/>
      <c r="C10" s="46">
        <v>1413.73</v>
      </c>
      <c r="D10" s="47"/>
      <c r="E10" s="166" t="e">
        <f>E73</f>
        <v>#VALUE!</v>
      </c>
      <c r="F10" s="49"/>
      <c r="G10" s="166">
        <f t="shared" ref="G10:BQ10" si="0">G73</f>
        <v>0</v>
      </c>
      <c r="H10" s="49"/>
      <c r="I10" s="166">
        <f t="shared" si="0"/>
        <v>0</v>
      </c>
      <c r="J10" s="49"/>
      <c r="K10" s="166">
        <f t="shared" si="0"/>
        <v>0</v>
      </c>
      <c r="L10" s="49"/>
      <c r="M10" s="166">
        <f t="shared" si="0"/>
        <v>0</v>
      </c>
      <c r="N10" s="49"/>
      <c r="O10" s="166">
        <f t="shared" si="0"/>
        <v>0</v>
      </c>
      <c r="P10" s="49"/>
      <c r="Q10" s="166">
        <f t="shared" si="0"/>
        <v>0</v>
      </c>
      <c r="R10" s="49"/>
      <c r="S10" s="166">
        <f t="shared" si="0"/>
        <v>0</v>
      </c>
      <c r="T10" s="49"/>
      <c r="U10" s="166">
        <f t="shared" si="0"/>
        <v>0</v>
      </c>
      <c r="V10" s="49"/>
      <c r="W10" s="166">
        <f t="shared" si="0"/>
        <v>0</v>
      </c>
      <c r="X10" s="49"/>
      <c r="Y10" s="166">
        <f t="shared" si="0"/>
        <v>0</v>
      </c>
      <c r="Z10" s="49"/>
      <c r="AA10" s="166">
        <f t="shared" si="0"/>
        <v>0</v>
      </c>
      <c r="AB10" s="49"/>
      <c r="AC10" s="166">
        <f t="shared" si="0"/>
        <v>0</v>
      </c>
      <c r="AD10" s="49"/>
      <c r="AE10" s="166">
        <f t="shared" si="0"/>
        <v>0</v>
      </c>
      <c r="AF10" s="49"/>
      <c r="AG10" s="166">
        <f t="shared" si="0"/>
        <v>0</v>
      </c>
      <c r="AH10" s="49"/>
      <c r="AI10" s="166">
        <f t="shared" si="0"/>
        <v>0</v>
      </c>
      <c r="AJ10" s="49"/>
      <c r="AK10" s="166">
        <f t="shared" si="0"/>
        <v>0</v>
      </c>
      <c r="AL10" s="49"/>
      <c r="AM10" s="166">
        <f t="shared" si="0"/>
        <v>0</v>
      </c>
      <c r="AN10" s="49"/>
      <c r="AO10" s="166">
        <f t="shared" si="0"/>
        <v>0</v>
      </c>
      <c r="AP10" s="49"/>
      <c r="AQ10" s="166">
        <f t="shared" si="0"/>
        <v>0</v>
      </c>
      <c r="AR10" s="49"/>
      <c r="AS10" s="166">
        <f t="shared" si="0"/>
        <v>0</v>
      </c>
      <c r="AT10" s="49"/>
      <c r="AU10" s="166">
        <f t="shared" si="0"/>
        <v>0</v>
      </c>
      <c r="AV10" s="49"/>
      <c r="AW10" s="166">
        <f t="shared" si="0"/>
        <v>0</v>
      </c>
      <c r="AX10" s="49"/>
      <c r="AY10" s="166">
        <f t="shared" si="0"/>
        <v>0</v>
      </c>
      <c r="AZ10" s="49"/>
      <c r="BA10" s="166">
        <f t="shared" si="0"/>
        <v>0</v>
      </c>
      <c r="BB10" s="49"/>
      <c r="BC10" s="166">
        <f t="shared" si="0"/>
        <v>0</v>
      </c>
      <c r="BD10" s="49"/>
      <c r="BE10" s="166">
        <f t="shared" si="0"/>
        <v>0</v>
      </c>
      <c r="BF10" s="49"/>
      <c r="BG10" s="166">
        <f t="shared" si="0"/>
        <v>0</v>
      </c>
      <c r="BH10" s="49"/>
      <c r="BI10" s="166">
        <f t="shared" si="0"/>
        <v>0</v>
      </c>
      <c r="BJ10" s="49"/>
      <c r="BK10" s="166">
        <f t="shared" si="0"/>
        <v>0</v>
      </c>
      <c r="BL10" s="49"/>
      <c r="BM10" s="166">
        <f t="shared" si="0"/>
        <v>0</v>
      </c>
      <c r="BN10" s="50"/>
      <c r="BO10" s="170" t="e">
        <f>IF(COUNT(E10,G10,I10,K10,M10,O10,Q10,S10,U10,W10,Y10,AA10,AC10,AE10,AG10,AI10,AK10,AM10,AO10,AQ10,AS10,AU10,AW10,AY10,BA10,BC10,BE10,BG10,BI10,BK10,BM10)=0,"",SUM(E10,G10,I10,K10,M10,O10,Q10,S10,U10,W10,Y10,AA10,AC10,AE10,AG10,AI10,AK10,AM10,AO10,AQ10,AS10,AU10,AW10,AY10,BA10,BC10,BE10,BG10,BI10,BK10,BM10))</f>
        <v>#VALUE!</v>
      </c>
      <c r="BP10" s="49"/>
      <c r="BQ10" s="172">
        <f t="shared" si="0"/>
        <v>0</v>
      </c>
      <c r="BR10"/>
      <c r="BS10"/>
      <c r="BT10"/>
      <c r="BU10"/>
      <c r="BV10"/>
      <c r="BW10"/>
      <c r="BX10"/>
    </row>
    <row r="11" spans="1:76" s="2" customFormat="1" x14ac:dyDescent="0.35">
      <c r="A11" s="44" t="s">
        <v>48</v>
      </c>
      <c r="B11" s="45"/>
      <c r="C11" s="46">
        <v>5252.8</v>
      </c>
      <c r="D11" s="47"/>
      <c r="E11" s="166">
        <f>E75+E56</f>
        <v>0</v>
      </c>
      <c r="F11" s="49"/>
      <c r="G11" s="166">
        <f>G75+G56</f>
        <v>0</v>
      </c>
      <c r="H11" s="49"/>
      <c r="I11" s="166">
        <f>I75+I56</f>
        <v>0</v>
      </c>
      <c r="J11" s="49"/>
      <c r="K11" s="166">
        <f>K75+K56</f>
        <v>0</v>
      </c>
      <c r="L11" s="49"/>
      <c r="M11" s="166">
        <f>M75+M56</f>
        <v>0</v>
      </c>
      <c r="N11" s="49"/>
      <c r="O11" s="166">
        <f>O75+O56</f>
        <v>0</v>
      </c>
      <c r="P11" s="49"/>
      <c r="Q11" s="166">
        <f>Q75+Q56</f>
        <v>0</v>
      </c>
      <c r="R11" s="49"/>
      <c r="S11" s="166">
        <f>S75+S56</f>
        <v>0</v>
      </c>
      <c r="T11" s="49"/>
      <c r="U11" s="166">
        <f>U75+U56</f>
        <v>0</v>
      </c>
      <c r="V11" s="49"/>
      <c r="W11" s="166">
        <f>W75+W56</f>
        <v>0</v>
      </c>
      <c r="X11" s="167">
        <f t="shared" ref="X11:AL11" si="1">X75</f>
        <v>0</v>
      </c>
      <c r="Y11" s="166">
        <f>Y75+Y56</f>
        <v>0</v>
      </c>
      <c r="Z11" s="167">
        <f t="shared" si="1"/>
        <v>0</v>
      </c>
      <c r="AA11" s="166">
        <f>AA75+AA56</f>
        <v>0</v>
      </c>
      <c r="AB11" s="167">
        <f t="shared" si="1"/>
        <v>0</v>
      </c>
      <c r="AC11" s="166">
        <f>AC75+AC56</f>
        <v>0</v>
      </c>
      <c r="AD11" s="167">
        <f t="shared" si="1"/>
        <v>0</v>
      </c>
      <c r="AE11" s="166">
        <f>AE75+AE56</f>
        <v>0</v>
      </c>
      <c r="AF11" s="167">
        <f t="shared" si="1"/>
        <v>0</v>
      </c>
      <c r="AG11" s="166">
        <f>AG75+AG56</f>
        <v>0</v>
      </c>
      <c r="AH11" s="167">
        <f t="shared" si="1"/>
        <v>0</v>
      </c>
      <c r="AI11" s="166">
        <f>AI75+AI56</f>
        <v>0</v>
      </c>
      <c r="AJ11" s="167">
        <f t="shared" si="1"/>
        <v>0</v>
      </c>
      <c r="AK11" s="166">
        <f>AK75+AK56</f>
        <v>0</v>
      </c>
      <c r="AL11" s="167">
        <f t="shared" si="1"/>
        <v>0</v>
      </c>
      <c r="AM11" s="166">
        <f>AM75+AM56</f>
        <v>0</v>
      </c>
      <c r="AN11" s="49"/>
      <c r="AO11" s="166">
        <f>AO75+AO56</f>
        <v>0</v>
      </c>
      <c r="AP11" s="49"/>
      <c r="AQ11" s="166">
        <f>AQ75+AQ56</f>
        <v>0</v>
      </c>
      <c r="AR11" s="49"/>
      <c r="AS11" s="166">
        <f>AS75+AS56</f>
        <v>0</v>
      </c>
      <c r="AT11" s="49"/>
      <c r="AU11" s="166">
        <f>AU75+AU56</f>
        <v>0</v>
      </c>
      <c r="AV11" s="49"/>
      <c r="AW11" s="166">
        <f>AW75+AW56</f>
        <v>0</v>
      </c>
      <c r="AX11" s="49"/>
      <c r="AY11" s="166">
        <f>AY75+AY56</f>
        <v>0</v>
      </c>
      <c r="AZ11" s="49"/>
      <c r="BA11" s="166">
        <f>BA75+BA56</f>
        <v>0</v>
      </c>
      <c r="BB11" s="49"/>
      <c r="BC11" s="166">
        <f>BC75+BC56</f>
        <v>0</v>
      </c>
      <c r="BD11" s="49"/>
      <c r="BE11" s="166">
        <f>BE75+BE56</f>
        <v>0</v>
      </c>
      <c r="BF11" s="49"/>
      <c r="BG11" s="166">
        <f>BG75+BG56</f>
        <v>0</v>
      </c>
      <c r="BH11" s="49"/>
      <c r="BI11" s="166">
        <f>BI75+BI56</f>
        <v>0</v>
      </c>
      <c r="BJ11" s="49"/>
      <c r="BK11" s="166">
        <f>BK75+BK56</f>
        <v>0</v>
      </c>
      <c r="BL11" s="49"/>
      <c r="BM11" s="166">
        <f>BM75+BM56</f>
        <v>0</v>
      </c>
      <c r="BN11" s="50"/>
      <c r="BO11" s="170">
        <f>IF(COUNT(E11,G11,I11,K11,M11,O11,Q11,S11,U11,W11,Y11,AA11,AC11,AE11,AG11,AI11,AK11,AM11,AO11,AQ11,AS11,AU11,AW11,AY11,BA11,BC11,BE11,BG11,BI11,BK11,BM11)=0,"",SUM(E11,G11,I11,K11,M11,O11,Q11,S11,U11,W11,Y11,AA11,AC11,AE11,AG11,AI11,AK11,AM11,AO11,AQ11,AS11,AU11,AW11,AY11,BA11,BC11,BE11,BG11,BI11,BK11,BM11))</f>
        <v>0</v>
      </c>
      <c r="BP11" s="49"/>
      <c r="BQ11" s="172" t="e">
        <f>BQ75+BQ56</f>
        <v>#VALUE!</v>
      </c>
      <c r="BR11"/>
      <c r="BS11"/>
      <c r="BT11"/>
      <c r="BU11"/>
      <c r="BV11"/>
      <c r="BW11"/>
      <c r="BX11"/>
    </row>
    <row r="12" spans="1:76" ht="13.5" customHeight="1" x14ac:dyDescent="0.35">
      <c r="A12" s="53"/>
      <c r="B12" s="54"/>
      <c r="C12" s="55"/>
      <c r="D12" s="219"/>
      <c r="E12" s="217"/>
      <c r="F12" s="216"/>
      <c r="G12" s="217"/>
      <c r="H12" s="216"/>
      <c r="I12" s="217"/>
      <c r="J12" s="216"/>
      <c r="K12" s="217"/>
      <c r="L12" s="216"/>
      <c r="M12" s="217"/>
      <c r="N12" s="216"/>
      <c r="O12" s="217"/>
      <c r="P12" s="216"/>
      <c r="Q12" s="217"/>
      <c r="R12" s="216"/>
      <c r="S12" s="217"/>
      <c r="T12" s="216"/>
      <c r="U12" s="217"/>
      <c r="V12" s="216"/>
      <c r="W12" s="217"/>
      <c r="X12" s="216"/>
      <c r="Y12" s="217"/>
      <c r="Z12" s="216"/>
      <c r="AA12" s="217"/>
      <c r="AB12" s="216"/>
      <c r="AC12" s="217"/>
      <c r="AD12" s="216"/>
      <c r="AE12" s="217"/>
      <c r="AF12" s="216"/>
      <c r="AG12" s="217"/>
      <c r="AH12" s="216"/>
      <c r="AI12" s="217"/>
      <c r="AJ12" s="216"/>
      <c r="AK12" s="217"/>
      <c r="AL12" s="216"/>
      <c r="AM12" s="217"/>
      <c r="AN12" s="216"/>
      <c r="AO12" s="217"/>
      <c r="AP12" s="216"/>
      <c r="AQ12" s="217"/>
      <c r="AR12" s="216"/>
      <c r="AS12" s="217"/>
      <c r="AT12" s="216"/>
      <c r="AU12" s="217"/>
      <c r="AV12" s="216"/>
      <c r="AW12" s="217"/>
      <c r="AX12" s="216"/>
      <c r="AY12" s="217"/>
      <c r="AZ12" s="216"/>
      <c r="BA12" s="217"/>
      <c r="BB12" s="216"/>
      <c r="BC12" s="217"/>
      <c r="BD12" s="216"/>
      <c r="BE12" s="217"/>
      <c r="BF12" s="216"/>
      <c r="BG12" s="217"/>
      <c r="BH12" s="216"/>
      <c r="BI12" s="217"/>
      <c r="BJ12" s="216"/>
      <c r="BK12" s="217"/>
      <c r="BL12" s="216"/>
      <c r="BM12" s="217"/>
      <c r="BN12" s="56"/>
      <c r="BO12" s="57"/>
      <c r="BP12" s="216"/>
      <c r="BQ12" s="218"/>
    </row>
    <row r="13" spans="1:76" x14ac:dyDescent="0.35">
      <c r="A13" s="58" t="s">
        <v>39</v>
      </c>
      <c r="B13" s="59"/>
      <c r="C13" s="205" t="str">
        <f>IF('November 2026 Log'!BK13="","",'November 2026 Log'!BK13)</f>
        <v/>
      </c>
      <c r="D13" s="61" t="s">
        <v>52</v>
      </c>
      <c r="E13" s="62"/>
      <c r="F13" s="63" t="s">
        <v>52</v>
      </c>
      <c r="G13" s="62"/>
      <c r="H13" s="63" t="s">
        <v>52</v>
      </c>
      <c r="I13" s="62"/>
      <c r="J13" s="63" t="s">
        <v>52</v>
      </c>
      <c r="K13" s="62"/>
      <c r="L13" s="63" t="s">
        <v>52</v>
      </c>
      <c r="M13" s="62"/>
      <c r="N13" s="63" t="s">
        <v>52</v>
      </c>
      <c r="O13" s="62"/>
      <c r="P13" s="63" t="s">
        <v>52</v>
      </c>
      <c r="Q13" s="62"/>
      <c r="R13" s="63" t="s">
        <v>52</v>
      </c>
      <c r="S13" s="62"/>
      <c r="T13" s="63" t="s">
        <v>52</v>
      </c>
      <c r="U13" s="62"/>
      <c r="V13" s="63" t="s">
        <v>52</v>
      </c>
      <c r="W13" s="62"/>
      <c r="X13" s="63" t="s">
        <v>52</v>
      </c>
      <c r="Y13" s="62"/>
      <c r="Z13" s="63" t="s">
        <v>52</v>
      </c>
      <c r="AA13" s="62"/>
      <c r="AB13" s="63" t="s">
        <v>52</v>
      </c>
      <c r="AC13" s="62"/>
      <c r="AD13" s="63" t="s">
        <v>52</v>
      </c>
      <c r="AE13" s="62"/>
      <c r="AF13" s="63" t="s">
        <v>52</v>
      </c>
      <c r="AG13" s="62"/>
      <c r="AH13" s="63" t="s">
        <v>52</v>
      </c>
      <c r="AI13" s="62"/>
      <c r="AJ13" s="63" t="s">
        <v>52</v>
      </c>
      <c r="AK13" s="62"/>
      <c r="AL13" s="63" t="s">
        <v>52</v>
      </c>
      <c r="AM13" s="62"/>
      <c r="AN13" s="63" t="s">
        <v>52</v>
      </c>
      <c r="AO13" s="62"/>
      <c r="AP13" s="63" t="s">
        <v>52</v>
      </c>
      <c r="AQ13" s="62"/>
      <c r="AR13" s="63" t="s">
        <v>52</v>
      </c>
      <c r="AS13" s="62"/>
      <c r="AT13" s="63" t="s">
        <v>52</v>
      </c>
      <c r="AU13" s="62"/>
      <c r="AV13" s="63" t="s">
        <v>52</v>
      </c>
      <c r="AW13" s="62"/>
      <c r="AX13" s="63" t="s">
        <v>52</v>
      </c>
      <c r="AY13" s="62"/>
      <c r="AZ13" s="63" t="s">
        <v>52</v>
      </c>
      <c r="BA13" s="62"/>
      <c r="BB13" s="63" t="s">
        <v>52</v>
      </c>
      <c r="BC13" s="62"/>
      <c r="BD13" s="63" t="s">
        <v>52</v>
      </c>
      <c r="BE13" s="62"/>
      <c r="BF13" s="63" t="s">
        <v>52</v>
      </c>
      <c r="BG13" s="62"/>
      <c r="BH13" s="63" t="s">
        <v>52</v>
      </c>
      <c r="BI13" s="62"/>
      <c r="BJ13" s="63" t="s">
        <v>52</v>
      </c>
      <c r="BK13" s="62"/>
      <c r="BL13" s="63" t="s">
        <v>52</v>
      </c>
      <c r="BM13" s="62"/>
      <c r="BN13" s="64"/>
      <c r="BO13" s="65"/>
      <c r="BP13" s="63" t="s">
        <v>52</v>
      </c>
      <c r="BQ13" s="207" t="str">
        <f>IF(BM13="","",BM13)</f>
        <v/>
      </c>
    </row>
    <row r="14" spans="1:76" x14ac:dyDescent="0.35">
      <c r="A14" s="53" t="s">
        <v>40</v>
      </c>
      <c r="B14" s="59"/>
      <c r="C14" s="206" t="str">
        <f>IF('November 2026 Log'!BK14="","",'November 2026 Log'!BK14)</f>
        <v/>
      </c>
      <c r="D14" s="68" t="s">
        <v>40</v>
      </c>
      <c r="E14" s="69"/>
      <c r="F14" s="70" t="s">
        <v>40</v>
      </c>
      <c r="G14" s="69"/>
      <c r="H14" s="70" t="s">
        <v>40</v>
      </c>
      <c r="I14" s="69"/>
      <c r="J14" s="70" t="s">
        <v>40</v>
      </c>
      <c r="K14" s="69"/>
      <c r="L14" s="70" t="s">
        <v>40</v>
      </c>
      <c r="M14" s="69"/>
      <c r="N14" s="70" t="s">
        <v>40</v>
      </c>
      <c r="O14" s="69"/>
      <c r="P14" s="70" t="s">
        <v>40</v>
      </c>
      <c r="Q14" s="69"/>
      <c r="R14" s="70" t="s">
        <v>40</v>
      </c>
      <c r="S14" s="69"/>
      <c r="T14" s="70" t="s">
        <v>40</v>
      </c>
      <c r="U14" s="69"/>
      <c r="V14" s="70" t="s">
        <v>40</v>
      </c>
      <c r="W14" s="69"/>
      <c r="X14" s="70" t="s">
        <v>40</v>
      </c>
      <c r="Y14" s="69"/>
      <c r="Z14" s="70" t="s">
        <v>40</v>
      </c>
      <c r="AA14" s="69"/>
      <c r="AB14" s="70" t="s">
        <v>40</v>
      </c>
      <c r="AC14" s="69"/>
      <c r="AD14" s="70" t="s">
        <v>40</v>
      </c>
      <c r="AE14" s="69"/>
      <c r="AF14" s="70" t="s">
        <v>40</v>
      </c>
      <c r="AG14" s="69"/>
      <c r="AH14" s="70" t="s">
        <v>40</v>
      </c>
      <c r="AI14" s="69"/>
      <c r="AJ14" s="70" t="s">
        <v>40</v>
      </c>
      <c r="AK14" s="69"/>
      <c r="AL14" s="70" t="s">
        <v>40</v>
      </c>
      <c r="AM14" s="69"/>
      <c r="AN14" s="70" t="s">
        <v>40</v>
      </c>
      <c r="AO14" s="69"/>
      <c r="AP14" s="70" t="s">
        <v>40</v>
      </c>
      <c r="AQ14" s="69"/>
      <c r="AR14" s="70" t="s">
        <v>40</v>
      </c>
      <c r="AS14" s="69"/>
      <c r="AT14" s="70" t="s">
        <v>40</v>
      </c>
      <c r="AU14" s="69"/>
      <c r="AV14" s="70" t="s">
        <v>40</v>
      </c>
      <c r="AW14" s="69"/>
      <c r="AX14" s="70" t="s">
        <v>40</v>
      </c>
      <c r="AY14" s="69"/>
      <c r="AZ14" s="70" t="s">
        <v>40</v>
      </c>
      <c r="BA14" s="69"/>
      <c r="BB14" s="70" t="s">
        <v>40</v>
      </c>
      <c r="BC14" s="69"/>
      <c r="BD14" s="70" t="s">
        <v>40</v>
      </c>
      <c r="BE14" s="69"/>
      <c r="BF14" s="70" t="s">
        <v>40</v>
      </c>
      <c r="BG14" s="69"/>
      <c r="BH14" s="70" t="s">
        <v>40</v>
      </c>
      <c r="BI14" s="69"/>
      <c r="BJ14" s="70" t="s">
        <v>40</v>
      </c>
      <c r="BK14" s="69"/>
      <c r="BL14" s="70" t="s">
        <v>40</v>
      </c>
      <c r="BM14" s="69"/>
      <c r="BN14" s="71"/>
      <c r="BO14" s="72"/>
      <c r="BP14" s="70" t="s">
        <v>40</v>
      </c>
      <c r="BQ14" s="208" t="str">
        <f>IF(BM14="","",BM14)</f>
        <v/>
      </c>
    </row>
    <row r="15" spans="1:76" x14ac:dyDescent="0.35">
      <c r="A15" s="53" t="s">
        <v>38</v>
      </c>
      <c r="B15" s="54"/>
      <c r="C15" s="206" t="str">
        <f>IF('November 2026 Log'!BK15="","",'November 2026 Log'!BK15)</f>
        <v/>
      </c>
      <c r="D15" s="68" t="s">
        <v>53</v>
      </c>
      <c r="E15" s="69"/>
      <c r="F15" s="70" t="s">
        <v>53</v>
      </c>
      <c r="G15" s="69"/>
      <c r="H15" s="70" t="s">
        <v>53</v>
      </c>
      <c r="I15" s="69"/>
      <c r="J15" s="70" t="s">
        <v>53</v>
      </c>
      <c r="K15" s="69"/>
      <c r="L15" s="70" t="s">
        <v>53</v>
      </c>
      <c r="M15" s="69"/>
      <c r="N15" s="70" t="s">
        <v>53</v>
      </c>
      <c r="O15" s="69"/>
      <c r="P15" s="70" t="s">
        <v>53</v>
      </c>
      <c r="Q15" s="69"/>
      <c r="R15" s="70" t="s">
        <v>53</v>
      </c>
      <c r="S15" s="69"/>
      <c r="T15" s="70" t="s">
        <v>53</v>
      </c>
      <c r="U15" s="69"/>
      <c r="V15" s="70" t="s">
        <v>53</v>
      </c>
      <c r="W15" s="69"/>
      <c r="X15" s="70" t="s">
        <v>53</v>
      </c>
      <c r="Y15" s="69"/>
      <c r="Z15" s="70" t="s">
        <v>53</v>
      </c>
      <c r="AA15" s="69"/>
      <c r="AB15" s="70" t="s">
        <v>53</v>
      </c>
      <c r="AC15" s="69"/>
      <c r="AD15" s="70" t="s">
        <v>53</v>
      </c>
      <c r="AE15" s="69"/>
      <c r="AF15" s="70" t="s">
        <v>53</v>
      </c>
      <c r="AG15" s="69"/>
      <c r="AH15" s="70" t="s">
        <v>53</v>
      </c>
      <c r="AI15" s="69"/>
      <c r="AJ15" s="70" t="s">
        <v>53</v>
      </c>
      <c r="AK15" s="69"/>
      <c r="AL15" s="70" t="s">
        <v>53</v>
      </c>
      <c r="AM15" s="69"/>
      <c r="AN15" s="70" t="s">
        <v>53</v>
      </c>
      <c r="AO15" s="69"/>
      <c r="AP15" s="70" t="s">
        <v>53</v>
      </c>
      <c r="AQ15" s="69"/>
      <c r="AR15" s="70" t="s">
        <v>53</v>
      </c>
      <c r="AS15" s="69"/>
      <c r="AT15" s="70" t="s">
        <v>53</v>
      </c>
      <c r="AU15" s="69"/>
      <c r="AV15" s="70" t="s">
        <v>53</v>
      </c>
      <c r="AW15" s="69"/>
      <c r="AX15" s="70" t="s">
        <v>53</v>
      </c>
      <c r="AY15" s="69"/>
      <c r="AZ15" s="70" t="s">
        <v>53</v>
      </c>
      <c r="BA15" s="69"/>
      <c r="BB15" s="70" t="s">
        <v>53</v>
      </c>
      <c r="BC15" s="69"/>
      <c r="BD15" s="70" t="s">
        <v>53</v>
      </c>
      <c r="BE15" s="69"/>
      <c r="BF15" s="70" t="s">
        <v>53</v>
      </c>
      <c r="BG15" s="69"/>
      <c r="BH15" s="70" t="s">
        <v>53</v>
      </c>
      <c r="BI15" s="69"/>
      <c r="BJ15" s="70" t="s">
        <v>53</v>
      </c>
      <c r="BK15" s="69"/>
      <c r="BL15" s="70" t="s">
        <v>53</v>
      </c>
      <c r="BM15" s="69"/>
      <c r="BN15" s="71"/>
      <c r="BO15" s="72"/>
      <c r="BP15" s="70" t="s">
        <v>53</v>
      </c>
      <c r="BQ15" s="208" t="str">
        <f>IF(BM15="","",BM15)</f>
        <v/>
      </c>
    </row>
    <row r="16" spans="1:76" x14ac:dyDescent="0.35">
      <c r="A16" s="74" t="s">
        <v>51</v>
      </c>
      <c r="B16" s="75"/>
      <c r="C16" s="76"/>
      <c r="D16" s="77"/>
      <c r="E16" s="78"/>
      <c r="F16" s="79"/>
      <c r="G16" s="78"/>
      <c r="H16" s="79"/>
      <c r="I16" s="78"/>
      <c r="J16" s="79"/>
      <c r="K16" s="78"/>
      <c r="L16" s="79"/>
      <c r="M16" s="78"/>
      <c r="N16" s="79"/>
      <c r="O16" s="78"/>
      <c r="P16" s="79"/>
      <c r="Q16" s="78"/>
      <c r="R16" s="79"/>
      <c r="S16" s="78"/>
      <c r="T16" s="79"/>
      <c r="U16" s="78"/>
      <c r="V16" s="79"/>
      <c r="W16" s="78"/>
      <c r="X16" s="79"/>
      <c r="Y16" s="78"/>
      <c r="Z16" s="79"/>
      <c r="AA16" s="78"/>
      <c r="AB16" s="79"/>
      <c r="AC16" s="78"/>
      <c r="AD16" s="79"/>
      <c r="AE16" s="78"/>
      <c r="AF16" s="79"/>
      <c r="AG16" s="78"/>
      <c r="AH16" s="79"/>
      <c r="AI16" s="78"/>
      <c r="AJ16" s="79"/>
      <c r="AK16" s="78"/>
      <c r="AL16" s="79"/>
      <c r="AM16" s="78"/>
      <c r="AN16" s="79"/>
      <c r="AO16" s="78"/>
      <c r="AP16" s="79"/>
      <c r="AQ16" s="78"/>
      <c r="AR16" s="79"/>
      <c r="AS16" s="78"/>
      <c r="AT16" s="79"/>
      <c r="AU16" s="78"/>
      <c r="AV16" s="79"/>
      <c r="AW16" s="78"/>
      <c r="AX16" s="79"/>
      <c r="AY16" s="78"/>
      <c r="AZ16" s="79"/>
      <c r="BA16" s="78"/>
      <c r="BB16" s="79"/>
      <c r="BC16" s="78"/>
      <c r="BD16" s="79"/>
      <c r="BE16" s="78"/>
      <c r="BF16" s="79"/>
      <c r="BG16" s="78"/>
      <c r="BH16" s="79"/>
      <c r="BI16" s="78"/>
      <c r="BJ16" s="79"/>
      <c r="BK16" s="78"/>
      <c r="BL16" s="79"/>
      <c r="BM16" s="78"/>
      <c r="BN16" s="80"/>
      <c r="BO16" s="81"/>
      <c r="BP16" s="79"/>
      <c r="BQ16" s="82"/>
    </row>
    <row r="17" spans="1:76" x14ac:dyDescent="0.35">
      <c r="A17" s="53" t="s">
        <v>45</v>
      </c>
      <c r="B17" s="54"/>
      <c r="C17" s="206" t="str">
        <f>IF('November 2026 Log'!BK17="","",'November 2026 Log'!BK17)</f>
        <v/>
      </c>
      <c r="D17" s="68"/>
      <c r="E17" s="69"/>
      <c r="F17" s="70"/>
      <c r="G17" s="69"/>
      <c r="H17" s="70"/>
      <c r="I17" s="69"/>
      <c r="J17" s="70"/>
      <c r="K17" s="69"/>
      <c r="L17" s="70"/>
      <c r="M17" s="69"/>
      <c r="N17" s="70"/>
      <c r="O17" s="69"/>
      <c r="P17" s="70"/>
      <c r="Q17" s="69"/>
      <c r="R17" s="70"/>
      <c r="S17" s="69"/>
      <c r="T17" s="70"/>
      <c r="U17" s="69"/>
      <c r="V17" s="70"/>
      <c r="W17" s="69"/>
      <c r="X17" s="70"/>
      <c r="Y17" s="69"/>
      <c r="Z17" s="70"/>
      <c r="AA17" s="69"/>
      <c r="AB17" s="70"/>
      <c r="AC17" s="69"/>
      <c r="AD17" s="70"/>
      <c r="AE17" s="69"/>
      <c r="AF17" s="70"/>
      <c r="AG17" s="69"/>
      <c r="AH17" s="70"/>
      <c r="AI17" s="69"/>
      <c r="AJ17" s="70"/>
      <c r="AK17" s="69"/>
      <c r="AL17" s="70"/>
      <c r="AM17" s="69"/>
      <c r="AN17" s="70"/>
      <c r="AO17" s="69"/>
      <c r="AP17" s="70"/>
      <c r="AQ17" s="69"/>
      <c r="AR17" s="70"/>
      <c r="AS17" s="69"/>
      <c r="AT17" s="70"/>
      <c r="AU17" s="69"/>
      <c r="AV17" s="70"/>
      <c r="AW17" s="69"/>
      <c r="AX17" s="70"/>
      <c r="AY17" s="69"/>
      <c r="AZ17" s="70"/>
      <c r="BA17" s="69"/>
      <c r="BB17" s="70"/>
      <c r="BC17" s="69"/>
      <c r="BD17" s="70"/>
      <c r="BE17" s="69"/>
      <c r="BF17" s="70"/>
      <c r="BG17" s="69"/>
      <c r="BH17" s="70"/>
      <c r="BI17" s="69"/>
      <c r="BJ17" s="70"/>
      <c r="BK17" s="69"/>
      <c r="BL17" s="70"/>
      <c r="BM17" s="69"/>
      <c r="BN17" s="71"/>
      <c r="BO17" s="182" t="str">
        <f t="shared" ref="BO17:BO59" si="2">IF(COUNT(E17,G17,I17,K17,M17,O17,Q17,S17,U17,W17,Y17,AA17,AC17,AE17,AG17,AI17,AK17,AM17,AO17,AQ17,AS17,AU17,AW17,AY17,BA17,BC17,BE17,BG17,BI17,BK17,BM17)=0,"",SUM(E17,G17,I17,K17,M17,O17,Q17,S17,U17,W17,Y17,AA17,AC17,AE17,AG17,AI17,AK17,AM17,AO17,AQ17,AS17,AU17,AW17,AY17,BA17,BC17,BE17,BG17,BI17,BK17,BM17))</f>
        <v/>
      </c>
      <c r="BP17" s="70"/>
      <c r="BQ17" s="208" t="str">
        <f>IF(BM17="","",BM17)</f>
        <v/>
      </c>
    </row>
    <row r="18" spans="1:76" x14ac:dyDescent="0.35">
      <c r="A18" s="53" t="s">
        <v>46</v>
      </c>
      <c r="B18" s="54"/>
      <c r="C18" s="67"/>
      <c r="D18" s="68"/>
      <c r="E18" s="69"/>
      <c r="F18" s="70"/>
      <c r="G18" s="69"/>
      <c r="H18" s="70"/>
      <c r="I18" s="69"/>
      <c r="J18" s="70"/>
      <c r="K18" s="69"/>
      <c r="L18" s="70"/>
      <c r="M18" s="69"/>
      <c r="N18" s="70"/>
      <c r="O18" s="69"/>
      <c r="P18" s="70"/>
      <c r="Q18" s="69"/>
      <c r="R18" s="70"/>
      <c r="S18" s="69"/>
      <c r="T18" s="70"/>
      <c r="U18" s="69"/>
      <c r="V18" s="70"/>
      <c r="W18" s="69"/>
      <c r="X18" s="70"/>
      <c r="Y18" s="69"/>
      <c r="Z18" s="70"/>
      <c r="AA18" s="69"/>
      <c r="AB18" s="70"/>
      <c r="AC18" s="69"/>
      <c r="AD18" s="70"/>
      <c r="AE18" s="69"/>
      <c r="AF18" s="70"/>
      <c r="AG18" s="69"/>
      <c r="AH18" s="70"/>
      <c r="AI18" s="69"/>
      <c r="AJ18" s="70"/>
      <c r="AK18" s="69"/>
      <c r="AL18" s="70"/>
      <c r="AM18" s="69"/>
      <c r="AN18" s="70"/>
      <c r="AO18" s="69"/>
      <c r="AP18" s="70"/>
      <c r="AQ18" s="69"/>
      <c r="AR18" s="70"/>
      <c r="AS18" s="69"/>
      <c r="AT18" s="70"/>
      <c r="AU18" s="69"/>
      <c r="AV18" s="70"/>
      <c r="AW18" s="69"/>
      <c r="AX18" s="70"/>
      <c r="AY18" s="69"/>
      <c r="AZ18" s="70"/>
      <c r="BA18" s="69"/>
      <c r="BB18" s="70"/>
      <c r="BC18" s="69"/>
      <c r="BD18" s="70"/>
      <c r="BE18" s="69"/>
      <c r="BF18" s="70"/>
      <c r="BG18" s="69"/>
      <c r="BH18" s="70"/>
      <c r="BI18" s="69"/>
      <c r="BJ18" s="70"/>
      <c r="BK18" s="69"/>
      <c r="BL18" s="70"/>
      <c r="BM18" s="69"/>
      <c r="BN18" s="71"/>
      <c r="BO18" s="182" t="str">
        <f t="shared" si="2"/>
        <v/>
      </c>
      <c r="BP18" s="70"/>
      <c r="BQ18" s="73"/>
    </row>
    <row r="19" spans="1:76" x14ac:dyDescent="0.35">
      <c r="A19" s="53" t="s">
        <v>69</v>
      </c>
      <c r="B19" s="54"/>
      <c r="C19" s="67"/>
      <c r="D19" s="68"/>
      <c r="E19" s="69"/>
      <c r="F19" s="70"/>
      <c r="G19" s="69"/>
      <c r="H19" s="70"/>
      <c r="I19" s="69"/>
      <c r="J19" s="70"/>
      <c r="K19" s="69"/>
      <c r="L19" s="70"/>
      <c r="M19" s="69"/>
      <c r="N19" s="70"/>
      <c r="O19" s="69"/>
      <c r="P19" s="70"/>
      <c r="Q19" s="69"/>
      <c r="R19" s="70"/>
      <c r="S19" s="69"/>
      <c r="T19" s="70"/>
      <c r="U19" s="69"/>
      <c r="V19" s="70"/>
      <c r="W19" s="69"/>
      <c r="X19" s="70"/>
      <c r="Y19" s="69"/>
      <c r="Z19" s="70"/>
      <c r="AA19" s="69"/>
      <c r="AB19" s="70"/>
      <c r="AC19" s="69"/>
      <c r="AD19" s="70"/>
      <c r="AE19" s="69"/>
      <c r="AF19" s="70"/>
      <c r="AG19" s="69"/>
      <c r="AH19" s="70"/>
      <c r="AI19" s="69"/>
      <c r="AJ19" s="70"/>
      <c r="AK19" s="69"/>
      <c r="AL19" s="70"/>
      <c r="AM19" s="69"/>
      <c r="AN19" s="70"/>
      <c r="AO19" s="69"/>
      <c r="AP19" s="70"/>
      <c r="AQ19" s="69"/>
      <c r="AR19" s="70"/>
      <c r="AS19" s="69"/>
      <c r="AT19" s="70"/>
      <c r="AU19" s="69"/>
      <c r="AV19" s="70"/>
      <c r="AW19" s="69"/>
      <c r="AX19" s="70"/>
      <c r="AY19" s="69"/>
      <c r="AZ19" s="70"/>
      <c r="BA19" s="69"/>
      <c r="BB19" s="70"/>
      <c r="BC19" s="69"/>
      <c r="BD19" s="70"/>
      <c r="BE19" s="69"/>
      <c r="BF19" s="70"/>
      <c r="BG19" s="69"/>
      <c r="BH19" s="70"/>
      <c r="BI19" s="69"/>
      <c r="BJ19" s="70"/>
      <c r="BK19" s="69"/>
      <c r="BL19" s="70"/>
      <c r="BM19" s="69"/>
      <c r="BN19" s="71"/>
      <c r="BO19" s="182" t="str">
        <f t="shared" si="2"/>
        <v/>
      </c>
      <c r="BP19" s="70"/>
      <c r="BQ19" s="73"/>
    </row>
    <row r="20" spans="1:76" x14ac:dyDescent="0.35">
      <c r="A20" s="83" t="s">
        <v>0</v>
      </c>
      <c r="B20" s="54"/>
      <c r="C20" s="84"/>
      <c r="D20" s="85"/>
      <c r="E20" s="86"/>
      <c r="F20" s="87"/>
      <c r="G20" s="86"/>
      <c r="H20" s="87"/>
      <c r="I20" s="86"/>
      <c r="J20" s="87"/>
      <c r="K20" s="86"/>
      <c r="L20" s="87"/>
      <c r="M20" s="86"/>
      <c r="N20" s="87"/>
      <c r="O20" s="86"/>
      <c r="P20" s="87"/>
      <c r="Q20" s="86"/>
      <c r="R20" s="87"/>
      <c r="S20" s="86"/>
      <c r="T20" s="87"/>
      <c r="U20" s="86"/>
      <c r="V20" s="87"/>
      <c r="W20" s="86"/>
      <c r="X20" s="87"/>
      <c r="Y20" s="86"/>
      <c r="Z20" s="87"/>
      <c r="AA20" s="86"/>
      <c r="AB20" s="87"/>
      <c r="AC20" s="86"/>
      <c r="AD20" s="87"/>
      <c r="AE20" s="86"/>
      <c r="AF20" s="87"/>
      <c r="AG20" s="86"/>
      <c r="AH20" s="87"/>
      <c r="AI20" s="86"/>
      <c r="AJ20" s="87"/>
      <c r="AK20" s="86"/>
      <c r="AL20" s="87"/>
      <c r="AM20" s="86"/>
      <c r="AN20" s="87"/>
      <c r="AO20" s="86"/>
      <c r="AP20" s="87"/>
      <c r="AQ20" s="86"/>
      <c r="AR20" s="87"/>
      <c r="AS20" s="86"/>
      <c r="AT20" s="87"/>
      <c r="AU20" s="86"/>
      <c r="AV20" s="87"/>
      <c r="AW20" s="86"/>
      <c r="AX20" s="87"/>
      <c r="AY20" s="86"/>
      <c r="AZ20" s="87"/>
      <c r="BA20" s="86"/>
      <c r="BB20" s="87"/>
      <c r="BC20" s="86"/>
      <c r="BD20" s="87"/>
      <c r="BE20" s="86"/>
      <c r="BF20" s="87"/>
      <c r="BG20" s="86"/>
      <c r="BH20" s="87"/>
      <c r="BI20" s="86"/>
      <c r="BJ20" s="87"/>
      <c r="BK20" s="86"/>
      <c r="BL20" s="87"/>
      <c r="BM20" s="86"/>
      <c r="BN20" s="50"/>
      <c r="BO20" s="170" t="str">
        <f t="shared" si="2"/>
        <v/>
      </c>
      <c r="BP20" s="87"/>
      <c r="BQ20" s="88"/>
    </row>
    <row r="21" spans="1:76" x14ac:dyDescent="0.35">
      <c r="A21" s="83" t="s">
        <v>1</v>
      </c>
      <c r="B21" s="54"/>
      <c r="C21" s="174" t="str">
        <f>IF('November 2026 Log'!BK21="","",'November 2026 Log'!BK21)</f>
        <v/>
      </c>
      <c r="D21" s="85"/>
      <c r="E21" s="86"/>
      <c r="F21" s="87"/>
      <c r="G21" s="86"/>
      <c r="H21" s="87"/>
      <c r="I21" s="86"/>
      <c r="J21" s="87"/>
      <c r="K21" s="86"/>
      <c r="L21" s="87"/>
      <c r="M21" s="86"/>
      <c r="N21" s="87"/>
      <c r="O21" s="86"/>
      <c r="P21" s="87"/>
      <c r="Q21" s="86"/>
      <c r="R21" s="87"/>
      <c r="S21" s="86"/>
      <c r="T21" s="87"/>
      <c r="U21" s="86"/>
      <c r="V21" s="87"/>
      <c r="W21" s="86"/>
      <c r="X21" s="87"/>
      <c r="Y21" s="86"/>
      <c r="Z21" s="87"/>
      <c r="AA21" s="86"/>
      <c r="AB21" s="87"/>
      <c r="AC21" s="86"/>
      <c r="AD21" s="87"/>
      <c r="AE21" s="86"/>
      <c r="AF21" s="87"/>
      <c r="AG21" s="86"/>
      <c r="AH21" s="87"/>
      <c r="AI21" s="86"/>
      <c r="AJ21" s="87"/>
      <c r="AK21" s="86"/>
      <c r="AL21" s="87"/>
      <c r="AM21" s="86"/>
      <c r="AN21" s="87"/>
      <c r="AO21" s="86"/>
      <c r="AP21" s="87"/>
      <c r="AQ21" s="86"/>
      <c r="AR21" s="87"/>
      <c r="AS21" s="86"/>
      <c r="AT21" s="87"/>
      <c r="AU21" s="86"/>
      <c r="AV21" s="87"/>
      <c r="AW21" s="86"/>
      <c r="AX21" s="87"/>
      <c r="AY21" s="86"/>
      <c r="AZ21" s="87"/>
      <c r="BA21" s="86"/>
      <c r="BB21" s="87"/>
      <c r="BC21" s="86"/>
      <c r="BD21" s="87"/>
      <c r="BE21" s="86"/>
      <c r="BF21" s="87"/>
      <c r="BG21" s="86"/>
      <c r="BH21" s="87"/>
      <c r="BI21" s="86"/>
      <c r="BJ21" s="87"/>
      <c r="BK21" s="86"/>
      <c r="BL21" s="87"/>
      <c r="BM21" s="86"/>
      <c r="BN21" s="50"/>
      <c r="BO21" s="170" t="str">
        <f t="shared" si="2"/>
        <v/>
      </c>
      <c r="BP21" s="87"/>
      <c r="BQ21" s="178" t="str">
        <f>IF(BM21="","",BM21)</f>
        <v/>
      </c>
    </row>
    <row r="22" spans="1:76" s="1" customFormat="1" ht="15" thickBot="1" x14ac:dyDescent="0.4">
      <c r="A22" s="89" t="s">
        <v>41</v>
      </c>
      <c r="B22" s="90"/>
      <c r="C22" s="175">
        <f>IF('November 2026 Log'!BK22="","",'November 2026 Log'!BK22)</f>
        <v>0</v>
      </c>
      <c r="D22" s="47"/>
      <c r="E22" s="177">
        <f t="shared" ref="E22" si="3">SUM(E20:E21)</f>
        <v>0</v>
      </c>
      <c r="F22" s="49"/>
      <c r="G22" s="177">
        <f t="shared" ref="G22" si="4">SUM(G20:G21)</f>
        <v>0</v>
      </c>
      <c r="H22" s="49"/>
      <c r="I22" s="177">
        <f t="shared" ref="I22" si="5">SUM(I20:I21)</f>
        <v>0</v>
      </c>
      <c r="J22" s="49"/>
      <c r="K22" s="177">
        <f t="shared" ref="K22" si="6">SUM(K20:K21)</f>
        <v>0</v>
      </c>
      <c r="L22" s="49"/>
      <c r="M22" s="177">
        <f t="shared" ref="M22" si="7">SUM(M20:M21)</f>
        <v>0</v>
      </c>
      <c r="N22" s="49"/>
      <c r="O22" s="177">
        <f t="shared" ref="O22" si="8">SUM(O20:O21)</f>
        <v>0</v>
      </c>
      <c r="P22" s="49"/>
      <c r="Q22" s="177">
        <f t="shared" ref="Q22" si="9">SUM(Q20:Q21)</f>
        <v>0</v>
      </c>
      <c r="R22" s="49"/>
      <c r="S22" s="177">
        <f t="shared" ref="S22" si="10">SUM(S20:S21)</f>
        <v>0</v>
      </c>
      <c r="T22" s="49"/>
      <c r="U22" s="177">
        <f t="shared" ref="U22" si="11">SUM(U20:U21)</f>
        <v>0</v>
      </c>
      <c r="V22" s="49"/>
      <c r="W22" s="177">
        <f t="shared" ref="W22" si="12">SUM(W20:W21)</f>
        <v>0</v>
      </c>
      <c r="X22" s="49"/>
      <c r="Y22" s="177">
        <f t="shared" ref="Y22" si="13">SUM(Y20:Y21)</f>
        <v>0</v>
      </c>
      <c r="Z22" s="49"/>
      <c r="AA22" s="177">
        <f t="shared" ref="AA22" si="14">SUM(AA20:AA21)</f>
        <v>0</v>
      </c>
      <c r="AB22" s="49"/>
      <c r="AC22" s="177">
        <f t="shared" ref="AC22" si="15">SUM(AC20:AC21)</f>
        <v>0</v>
      </c>
      <c r="AD22" s="49"/>
      <c r="AE22" s="177">
        <f t="shared" ref="AE22" si="16">SUM(AE20:AE21)</f>
        <v>0</v>
      </c>
      <c r="AF22" s="49"/>
      <c r="AG22" s="177">
        <f t="shared" ref="AG22" si="17">SUM(AG20:AG21)</f>
        <v>0</v>
      </c>
      <c r="AH22" s="49"/>
      <c r="AI22" s="177">
        <f t="shared" ref="AI22" si="18">SUM(AI20:AI21)</f>
        <v>0</v>
      </c>
      <c r="AJ22" s="49"/>
      <c r="AK22" s="177">
        <f t="shared" ref="AK22" si="19">SUM(AK20:AK21)</f>
        <v>0</v>
      </c>
      <c r="AL22" s="49"/>
      <c r="AM22" s="177">
        <f t="shared" ref="AM22" si="20">SUM(AM20:AM21)</f>
        <v>0</v>
      </c>
      <c r="AN22" s="49"/>
      <c r="AO22" s="177">
        <f t="shared" ref="AO22" si="21">SUM(AO20:AO21)</f>
        <v>0</v>
      </c>
      <c r="AP22" s="49"/>
      <c r="AQ22" s="177">
        <f t="shared" ref="AQ22" si="22">SUM(AQ20:AQ21)</f>
        <v>0</v>
      </c>
      <c r="AR22" s="49"/>
      <c r="AS22" s="177">
        <f t="shared" ref="AS22" si="23">SUM(AS20:AS21)</f>
        <v>0</v>
      </c>
      <c r="AT22" s="49"/>
      <c r="AU22" s="177">
        <f t="shared" ref="AU22" si="24">SUM(AU20:AU21)</f>
        <v>0</v>
      </c>
      <c r="AV22" s="49"/>
      <c r="AW22" s="177">
        <f t="shared" ref="AW22" si="25">SUM(AW20:AW21)</f>
        <v>0</v>
      </c>
      <c r="AX22" s="49"/>
      <c r="AY22" s="177">
        <f t="shared" ref="AY22" si="26">SUM(AY20:AY21)</f>
        <v>0</v>
      </c>
      <c r="AZ22" s="49"/>
      <c r="BA22" s="177">
        <f t="shared" ref="BA22" si="27">SUM(BA20:BA21)</f>
        <v>0</v>
      </c>
      <c r="BB22" s="49"/>
      <c r="BC22" s="177">
        <f t="shared" ref="BC22" si="28">SUM(BC20:BC21)</f>
        <v>0</v>
      </c>
      <c r="BD22" s="49"/>
      <c r="BE22" s="177">
        <f t="shared" ref="BE22" si="29">SUM(BE20:BE21)</f>
        <v>0</v>
      </c>
      <c r="BF22" s="49"/>
      <c r="BG22" s="177">
        <f t="shared" ref="BG22" si="30">SUM(BG20:BG21)</f>
        <v>0</v>
      </c>
      <c r="BH22" s="49"/>
      <c r="BI22" s="177">
        <f t="shared" ref="BI22" si="31">SUM(BI20:BI21)</f>
        <v>0</v>
      </c>
      <c r="BJ22" s="49"/>
      <c r="BK22" s="177">
        <f t="shared" ref="BK22" si="32">SUM(BK20:BK21)</f>
        <v>0</v>
      </c>
      <c r="BL22" s="49"/>
      <c r="BM22" s="177">
        <f t="shared" ref="BM22" si="33">SUM(BM20:BM21)</f>
        <v>0</v>
      </c>
      <c r="BN22" s="92"/>
      <c r="BO22" s="170">
        <f t="shared" si="2"/>
        <v>0</v>
      </c>
      <c r="BP22" s="49"/>
      <c r="BQ22" s="179">
        <f>IF(BM22="","",BM22)</f>
        <v>0</v>
      </c>
      <c r="BR22"/>
      <c r="BS22"/>
      <c r="BT22"/>
      <c r="BU22"/>
      <c r="BV22"/>
      <c r="BW22"/>
      <c r="BX22"/>
    </row>
    <row r="23" spans="1:76" ht="15" hidden="1" thickBot="1" x14ac:dyDescent="0.4">
      <c r="A23" s="83" t="s">
        <v>2</v>
      </c>
      <c r="B23" s="54"/>
      <c r="C23" s="84"/>
      <c r="D23" s="85"/>
      <c r="E23" s="86"/>
      <c r="F23" s="87"/>
      <c r="G23" s="86"/>
      <c r="H23" s="87"/>
      <c r="I23" s="86"/>
      <c r="J23" s="87"/>
      <c r="K23" s="86"/>
      <c r="L23" s="87"/>
      <c r="M23" s="86"/>
      <c r="N23" s="87"/>
      <c r="O23" s="86"/>
      <c r="P23" s="87"/>
      <c r="Q23" s="86"/>
      <c r="R23" s="87"/>
      <c r="S23" s="86"/>
      <c r="T23" s="87"/>
      <c r="U23" s="86"/>
      <c r="V23" s="87"/>
      <c r="W23" s="86"/>
      <c r="X23" s="87"/>
      <c r="Y23" s="86"/>
      <c r="Z23" s="87"/>
      <c r="AA23" s="86"/>
      <c r="AB23" s="87"/>
      <c r="AC23" s="86"/>
      <c r="AD23" s="87"/>
      <c r="AE23" s="86"/>
      <c r="AF23" s="87"/>
      <c r="AG23" s="86"/>
      <c r="AH23" s="87"/>
      <c r="AI23" s="86"/>
      <c r="AJ23" s="87"/>
      <c r="AK23" s="86"/>
      <c r="AL23" s="87"/>
      <c r="AM23" s="86"/>
      <c r="AN23" s="87"/>
      <c r="AO23" s="86"/>
      <c r="AP23" s="87"/>
      <c r="AQ23" s="86"/>
      <c r="AR23" s="87"/>
      <c r="AS23" s="86"/>
      <c r="AT23" s="87"/>
      <c r="AU23" s="86"/>
      <c r="AV23" s="87"/>
      <c r="AW23" s="86"/>
      <c r="AX23" s="87"/>
      <c r="AY23" s="86"/>
      <c r="AZ23" s="87"/>
      <c r="BA23" s="86"/>
      <c r="BB23" s="87"/>
      <c r="BC23" s="86"/>
      <c r="BD23" s="87"/>
      <c r="BE23" s="86"/>
      <c r="BF23" s="87"/>
      <c r="BG23" s="86"/>
      <c r="BH23" s="87"/>
      <c r="BI23" s="86"/>
      <c r="BJ23" s="87"/>
      <c r="BK23" s="86"/>
      <c r="BL23" s="87"/>
      <c r="BM23" s="86"/>
      <c r="BN23" s="50"/>
      <c r="BO23" s="170" t="str">
        <f t="shared" si="2"/>
        <v/>
      </c>
      <c r="BP23" s="87"/>
      <c r="BQ23" s="88"/>
    </row>
    <row r="24" spans="1:76" ht="15" hidden="1" thickBot="1" x14ac:dyDescent="0.4">
      <c r="A24" s="83" t="s">
        <v>3</v>
      </c>
      <c r="B24" s="54"/>
      <c r="C24" s="84"/>
      <c r="D24" s="85"/>
      <c r="E24" s="86"/>
      <c r="F24" s="87"/>
      <c r="G24" s="86"/>
      <c r="H24" s="87"/>
      <c r="I24" s="86"/>
      <c r="J24" s="87"/>
      <c r="K24" s="86"/>
      <c r="L24" s="87"/>
      <c r="M24" s="86"/>
      <c r="N24" s="87"/>
      <c r="O24" s="86"/>
      <c r="P24" s="87"/>
      <c r="Q24" s="86"/>
      <c r="R24" s="87"/>
      <c r="S24" s="86"/>
      <c r="T24" s="87"/>
      <c r="U24" s="86"/>
      <c r="V24" s="87"/>
      <c r="W24" s="86"/>
      <c r="X24" s="87"/>
      <c r="Y24" s="86"/>
      <c r="Z24" s="87"/>
      <c r="AA24" s="86"/>
      <c r="AB24" s="87"/>
      <c r="AC24" s="86"/>
      <c r="AD24" s="87"/>
      <c r="AE24" s="86"/>
      <c r="AF24" s="87"/>
      <c r="AG24" s="86"/>
      <c r="AH24" s="87"/>
      <c r="AI24" s="86"/>
      <c r="AJ24" s="87"/>
      <c r="AK24" s="86"/>
      <c r="AL24" s="87"/>
      <c r="AM24" s="86"/>
      <c r="AN24" s="87"/>
      <c r="AO24" s="86"/>
      <c r="AP24" s="87"/>
      <c r="AQ24" s="86"/>
      <c r="AR24" s="87"/>
      <c r="AS24" s="86"/>
      <c r="AT24" s="87"/>
      <c r="AU24" s="86"/>
      <c r="AV24" s="87"/>
      <c r="AW24" s="86"/>
      <c r="AX24" s="87"/>
      <c r="AY24" s="86"/>
      <c r="AZ24" s="87"/>
      <c r="BA24" s="86"/>
      <c r="BB24" s="87"/>
      <c r="BC24" s="86"/>
      <c r="BD24" s="87"/>
      <c r="BE24" s="86"/>
      <c r="BF24" s="87"/>
      <c r="BG24" s="86"/>
      <c r="BH24" s="87"/>
      <c r="BI24" s="86"/>
      <c r="BJ24" s="87"/>
      <c r="BK24" s="86"/>
      <c r="BL24" s="87"/>
      <c r="BM24" s="86"/>
      <c r="BN24" s="50"/>
      <c r="BO24" s="170" t="str">
        <f t="shared" si="2"/>
        <v/>
      </c>
      <c r="BP24" s="87"/>
      <c r="BQ24" s="88"/>
    </row>
    <row r="25" spans="1:76" s="7" customFormat="1" x14ac:dyDescent="0.35">
      <c r="A25" s="83" t="s">
        <v>37</v>
      </c>
      <c r="B25" s="54"/>
      <c r="C25" s="174" t="str">
        <f>IF('November 2026 Log'!BK25="","",'November 2026 Log'!BK25)</f>
        <v/>
      </c>
      <c r="D25" s="85"/>
      <c r="E25" s="86"/>
      <c r="F25" s="87"/>
      <c r="G25" s="86"/>
      <c r="H25" s="87"/>
      <c r="I25" s="86"/>
      <c r="J25" s="87"/>
      <c r="K25" s="86"/>
      <c r="L25" s="87"/>
      <c r="M25" s="86"/>
      <c r="N25" s="87"/>
      <c r="O25" s="86"/>
      <c r="P25" s="87"/>
      <c r="Q25" s="86"/>
      <c r="R25" s="87"/>
      <c r="S25" s="86"/>
      <c r="T25" s="87"/>
      <c r="U25" s="86"/>
      <c r="V25" s="87"/>
      <c r="W25" s="86"/>
      <c r="X25" s="87"/>
      <c r="Y25" s="86"/>
      <c r="Z25" s="87"/>
      <c r="AA25" s="86"/>
      <c r="AB25" s="87"/>
      <c r="AC25" s="86"/>
      <c r="AD25" s="87"/>
      <c r="AE25" s="86"/>
      <c r="AF25" s="87"/>
      <c r="AG25" s="86"/>
      <c r="AH25" s="87"/>
      <c r="AI25" s="86"/>
      <c r="AJ25" s="87"/>
      <c r="AK25" s="86"/>
      <c r="AL25" s="87"/>
      <c r="AM25" s="86"/>
      <c r="AN25" s="87"/>
      <c r="AO25" s="86"/>
      <c r="AP25" s="87"/>
      <c r="AQ25" s="86"/>
      <c r="AR25" s="87"/>
      <c r="AS25" s="86"/>
      <c r="AT25" s="87"/>
      <c r="AU25" s="86"/>
      <c r="AV25" s="87"/>
      <c r="AW25" s="86"/>
      <c r="AX25" s="87"/>
      <c r="AY25" s="86"/>
      <c r="AZ25" s="87"/>
      <c r="BA25" s="86"/>
      <c r="BB25" s="87"/>
      <c r="BC25" s="86"/>
      <c r="BD25" s="87"/>
      <c r="BE25" s="86"/>
      <c r="BF25" s="87"/>
      <c r="BG25" s="86"/>
      <c r="BH25" s="87"/>
      <c r="BI25" s="86"/>
      <c r="BJ25" s="87"/>
      <c r="BK25" s="86"/>
      <c r="BL25" s="87"/>
      <c r="BM25" s="86"/>
      <c r="BN25" s="50"/>
      <c r="BO25" s="170" t="str">
        <f t="shared" si="2"/>
        <v/>
      </c>
      <c r="BP25" s="87"/>
      <c r="BQ25" s="178" t="str">
        <f>IF(BM25="","",BM25)</f>
        <v/>
      </c>
      <c r="BR25"/>
      <c r="BS25"/>
      <c r="BT25"/>
      <c r="BU25"/>
      <c r="BV25"/>
      <c r="BW25"/>
      <c r="BX25"/>
    </row>
    <row r="26" spans="1:76" ht="15" thickBot="1" x14ac:dyDescent="0.4">
      <c r="A26" s="94" t="s">
        <v>4</v>
      </c>
      <c r="B26" s="95"/>
      <c r="C26" s="174" t="str">
        <f>IF('November 2026 Log'!BK26="","",'November 2026 Log'!BK26)</f>
        <v/>
      </c>
      <c r="D26" s="96"/>
      <c r="E26" s="86"/>
      <c r="F26" s="97"/>
      <c r="G26" s="86"/>
      <c r="H26" s="97"/>
      <c r="I26" s="86"/>
      <c r="J26" s="97"/>
      <c r="K26" s="86"/>
      <c r="L26" s="97"/>
      <c r="M26" s="86"/>
      <c r="N26" s="97"/>
      <c r="O26" s="86"/>
      <c r="P26" s="97"/>
      <c r="Q26" s="86"/>
      <c r="R26" s="97"/>
      <c r="S26" s="86"/>
      <c r="T26" s="97"/>
      <c r="U26" s="86"/>
      <c r="V26" s="97"/>
      <c r="W26" s="86"/>
      <c r="X26" s="97"/>
      <c r="Y26" s="86"/>
      <c r="Z26" s="97"/>
      <c r="AA26" s="86"/>
      <c r="AB26" s="97"/>
      <c r="AC26" s="86"/>
      <c r="AD26" s="97"/>
      <c r="AE26" s="86"/>
      <c r="AF26" s="97"/>
      <c r="AG26" s="86"/>
      <c r="AH26" s="97"/>
      <c r="AI26" s="86"/>
      <c r="AJ26" s="97"/>
      <c r="AK26" s="86"/>
      <c r="AL26" s="97"/>
      <c r="AM26" s="86"/>
      <c r="AN26" s="97"/>
      <c r="AO26" s="86"/>
      <c r="AP26" s="97"/>
      <c r="AQ26" s="86"/>
      <c r="AR26" s="97"/>
      <c r="AS26" s="86"/>
      <c r="AT26" s="97"/>
      <c r="AU26" s="86"/>
      <c r="AV26" s="97"/>
      <c r="AW26" s="86"/>
      <c r="AX26" s="97"/>
      <c r="AY26" s="86"/>
      <c r="AZ26" s="97"/>
      <c r="BA26" s="86"/>
      <c r="BB26" s="97"/>
      <c r="BC26" s="86"/>
      <c r="BD26" s="97"/>
      <c r="BE26" s="86"/>
      <c r="BF26" s="97"/>
      <c r="BG26" s="86"/>
      <c r="BH26" s="97"/>
      <c r="BI26" s="86"/>
      <c r="BJ26" s="97"/>
      <c r="BK26" s="86"/>
      <c r="BL26" s="97"/>
      <c r="BM26" s="86"/>
      <c r="BN26" s="50"/>
      <c r="BO26" s="170" t="str">
        <f t="shared" si="2"/>
        <v/>
      </c>
      <c r="BP26" s="97"/>
      <c r="BQ26" s="178" t="str">
        <f>IF(BM26="","",BM26)</f>
        <v/>
      </c>
    </row>
    <row r="27" spans="1:76" s="7" customFormat="1" x14ac:dyDescent="0.35">
      <c r="A27" s="53" t="s">
        <v>21</v>
      </c>
      <c r="B27" s="54"/>
      <c r="C27" s="174" t="str">
        <f>IF('November 2026 Log'!BK27="","",'November 2026 Log'!BK27)</f>
        <v/>
      </c>
      <c r="D27" s="85"/>
      <c r="E27" s="86"/>
      <c r="F27" s="87"/>
      <c r="G27" s="86"/>
      <c r="H27" s="87"/>
      <c r="I27" s="86"/>
      <c r="J27" s="87"/>
      <c r="K27" s="86"/>
      <c r="L27" s="87"/>
      <c r="M27" s="86"/>
      <c r="N27" s="87"/>
      <c r="O27" s="86"/>
      <c r="P27" s="87"/>
      <c r="Q27" s="86"/>
      <c r="R27" s="87"/>
      <c r="S27" s="86"/>
      <c r="T27" s="87"/>
      <c r="U27" s="86"/>
      <c r="V27" s="87"/>
      <c r="W27" s="86"/>
      <c r="X27" s="87"/>
      <c r="Y27" s="86"/>
      <c r="Z27" s="87"/>
      <c r="AA27" s="86"/>
      <c r="AB27" s="87"/>
      <c r="AC27" s="86"/>
      <c r="AD27" s="87"/>
      <c r="AE27" s="86"/>
      <c r="AF27" s="87"/>
      <c r="AG27" s="86"/>
      <c r="AH27" s="87"/>
      <c r="AI27" s="86"/>
      <c r="AJ27" s="87"/>
      <c r="AK27" s="86"/>
      <c r="AL27" s="87"/>
      <c r="AM27" s="86"/>
      <c r="AN27" s="87"/>
      <c r="AO27" s="86"/>
      <c r="AP27" s="87"/>
      <c r="AQ27" s="86"/>
      <c r="AR27" s="87"/>
      <c r="AS27" s="86"/>
      <c r="AT27" s="87"/>
      <c r="AU27" s="86"/>
      <c r="AV27" s="87"/>
      <c r="AW27" s="86"/>
      <c r="AX27" s="87"/>
      <c r="AY27" s="86"/>
      <c r="AZ27" s="87"/>
      <c r="BA27" s="86"/>
      <c r="BB27" s="87"/>
      <c r="BC27" s="86"/>
      <c r="BD27" s="87"/>
      <c r="BE27" s="86"/>
      <c r="BF27" s="87"/>
      <c r="BG27" s="86"/>
      <c r="BH27" s="87"/>
      <c r="BI27" s="86"/>
      <c r="BJ27" s="87"/>
      <c r="BK27" s="86"/>
      <c r="BL27" s="87"/>
      <c r="BM27" s="86"/>
      <c r="BN27" s="50"/>
      <c r="BO27" s="170" t="str">
        <f t="shared" si="2"/>
        <v/>
      </c>
      <c r="BP27" s="87"/>
      <c r="BQ27" s="178" t="str">
        <f>IF(BM27="","",BM27)</f>
        <v/>
      </c>
      <c r="BR27"/>
      <c r="BS27"/>
      <c r="BT27"/>
      <c r="BU27"/>
      <c r="BV27"/>
      <c r="BW27"/>
      <c r="BX27"/>
    </row>
    <row r="28" spans="1:76" x14ac:dyDescent="0.35">
      <c r="A28" s="53" t="s">
        <v>22</v>
      </c>
      <c r="B28" s="54"/>
      <c r="C28" s="174" t="str">
        <f>IF('November 2026 Log'!BK28="","",'November 2026 Log'!BK28)</f>
        <v/>
      </c>
      <c r="D28" s="85"/>
      <c r="E28" s="86"/>
      <c r="F28" s="87"/>
      <c r="G28" s="86"/>
      <c r="H28" s="87"/>
      <c r="I28" s="86"/>
      <c r="J28" s="87"/>
      <c r="K28" s="86"/>
      <c r="L28" s="87"/>
      <c r="M28" s="86"/>
      <c r="N28" s="87"/>
      <c r="O28" s="86"/>
      <c r="P28" s="87"/>
      <c r="Q28" s="86"/>
      <c r="R28" s="87"/>
      <c r="S28" s="86"/>
      <c r="T28" s="87"/>
      <c r="U28" s="86"/>
      <c r="V28" s="87"/>
      <c r="W28" s="86"/>
      <c r="X28" s="87"/>
      <c r="Y28" s="86"/>
      <c r="Z28" s="87"/>
      <c r="AA28" s="86"/>
      <c r="AB28" s="87"/>
      <c r="AC28" s="86"/>
      <c r="AD28" s="87"/>
      <c r="AE28" s="86"/>
      <c r="AF28" s="87"/>
      <c r="AG28" s="86"/>
      <c r="AH28" s="87"/>
      <c r="AI28" s="86"/>
      <c r="AJ28" s="87"/>
      <c r="AK28" s="86"/>
      <c r="AL28" s="87"/>
      <c r="AM28" s="86"/>
      <c r="AN28" s="87"/>
      <c r="AO28" s="86"/>
      <c r="AP28" s="87"/>
      <c r="AQ28" s="86"/>
      <c r="AR28" s="87"/>
      <c r="AS28" s="86"/>
      <c r="AT28" s="87"/>
      <c r="AU28" s="86"/>
      <c r="AV28" s="87"/>
      <c r="AW28" s="86"/>
      <c r="AX28" s="87"/>
      <c r="AY28" s="86"/>
      <c r="AZ28" s="87"/>
      <c r="BA28" s="86"/>
      <c r="BB28" s="87"/>
      <c r="BC28" s="86"/>
      <c r="BD28" s="87"/>
      <c r="BE28" s="86"/>
      <c r="BF28" s="87"/>
      <c r="BG28" s="86"/>
      <c r="BH28" s="87"/>
      <c r="BI28" s="86"/>
      <c r="BJ28" s="87"/>
      <c r="BK28" s="86"/>
      <c r="BL28" s="87"/>
      <c r="BM28" s="86"/>
      <c r="BN28" s="50"/>
      <c r="BO28" s="170" t="str">
        <f t="shared" si="2"/>
        <v/>
      </c>
      <c r="BP28" s="87"/>
      <c r="BQ28" s="178" t="str">
        <f>IF(BM28="","",BM28)</f>
        <v/>
      </c>
    </row>
    <row r="29" spans="1:76" s="4" customFormat="1" ht="15" thickBot="1" x14ac:dyDescent="0.4">
      <c r="A29" s="53" t="s">
        <v>23</v>
      </c>
      <c r="B29" s="54"/>
      <c r="C29" s="84"/>
      <c r="D29" s="85"/>
      <c r="E29" s="86"/>
      <c r="F29" s="87"/>
      <c r="G29" s="86"/>
      <c r="H29" s="87"/>
      <c r="I29" s="86"/>
      <c r="J29" s="87"/>
      <c r="K29" s="86"/>
      <c r="L29" s="87"/>
      <c r="M29" s="86"/>
      <c r="N29" s="87"/>
      <c r="O29" s="86"/>
      <c r="P29" s="87"/>
      <c r="Q29" s="86"/>
      <c r="R29" s="87"/>
      <c r="S29" s="86"/>
      <c r="T29" s="87"/>
      <c r="U29" s="86"/>
      <c r="V29" s="87"/>
      <c r="W29" s="86"/>
      <c r="X29" s="87"/>
      <c r="Y29" s="86"/>
      <c r="Z29" s="87"/>
      <c r="AA29" s="86"/>
      <c r="AB29" s="87"/>
      <c r="AC29" s="86"/>
      <c r="AD29" s="87"/>
      <c r="AE29" s="86"/>
      <c r="AF29" s="87"/>
      <c r="AG29" s="86"/>
      <c r="AH29" s="87"/>
      <c r="AI29" s="86"/>
      <c r="AJ29" s="87"/>
      <c r="AK29" s="86"/>
      <c r="AL29" s="87"/>
      <c r="AM29" s="86"/>
      <c r="AN29" s="87"/>
      <c r="AO29" s="86"/>
      <c r="AP29" s="87"/>
      <c r="AQ29" s="86"/>
      <c r="AR29" s="87"/>
      <c r="AS29" s="86"/>
      <c r="AT29" s="87"/>
      <c r="AU29" s="86"/>
      <c r="AV29" s="87"/>
      <c r="AW29" s="86"/>
      <c r="AX29" s="87"/>
      <c r="AY29" s="86"/>
      <c r="AZ29" s="87"/>
      <c r="BA29" s="86"/>
      <c r="BB29" s="87"/>
      <c r="BC29" s="86"/>
      <c r="BD29" s="87"/>
      <c r="BE29" s="86"/>
      <c r="BF29" s="87"/>
      <c r="BG29" s="86"/>
      <c r="BH29" s="87"/>
      <c r="BI29" s="86"/>
      <c r="BJ29" s="87"/>
      <c r="BK29" s="86"/>
      <c r="BL29" s="87"/>
      <c r="BM29" s="86"/>
      <c r="BN29" s="50"/>
      <c r="BO29" s="170" t="str">
        <f t="shared" si="2"/>
        <v/>
      </c>
      <c r="BP29" s="87"/>
      <c r="BQ29" s="88"/>
      <c r="BR29"/>
      <c r="BS29"/>
      <c r="BT29"/>
      <c r="BU29"/>
      <c r="BV29"/>
      <c r="BW29"/>
      <c r="BX29"/>
    </row>
    <row r="30" spans="1:76" s="5" customFormat="1" ht="15" thickBot="1" x14ac:dyDescent="0.4">
      <c r="A30" s="98"/>
      <c r="B30" s="90"/>
      <c r="C30" s="84"/>
      <c r="D30" s="47"/>
      <c r="E30" s="180" t="e">
        <f>E28-(C28-E25+E29)</f>
        <v>#VALUE!</v>
      </c>
      <c r="F30" s="49"/>
      <c r="G30" s="166">
        <f>G28-(E28-G25+G29)</f>
        <v>0</v>
      </c>
      <c r="H30" s="49"/>
      <c r="I30" s="166">
        <f>I28-(G28-I25+I29)</f>
        <v>0</v>
      </c>
      <c r="J30" s="49"/>
      <c r="K30" s="180">
        <f>K28-(I28-K25+K29)</f>
        <v>0</v>
      </c>
      <c r="L30" s="49"/>
      <c r="M30" s="166">
        <f>M28-(K28-M25+M29)</f>
        <v>0</v>
      </c>
      <c r="N30" s="49"/>
      <c r="O30" s="166">
        <f>O28-(M28-O25+O29)</f>
        <v>0</v>
      </c>
      <c r="P30" s="49"/>
      <c r="Q30" s="166">
        <f>Q28-(O28-Q25+Q29)</f>
        <v>0</v>
      </c>
      <c r="R30" s="49"/>
      <c r="S30" s="166">
        <f>S28-(Q28-S25+S29)</f>
        <v>0</v>
      </c>
      <c r="T30" s="49"/>
      <c r="U30" s="166">
        <f>U28-(S28-U25+U29)</f>
        <v>0</v>
      </c>
      <c r="V30" s="49"/>
      <c r="W30" s="166">
        <f>W28-(U28-W25+W29)</f>
        <v>0</v>
      </c>
      <c r="X30" s="49"/>
      <c r="Y30" s="166">
        <f>Y28-(W28-Y25+Y29)</f>
        <v>0</v>
      </c>
      <c r="Z30" s="49"/>
      <c r="AA30" s="166">
        <f>AA28-(Y28-AA25+AA29)</f>
        <v>0</v>
      </c>
      <c r="AB30" s="49"/>
      <c r="AC30" s="166">
        <f>AC28-(AA28-AC25+AC29)</f>
        <v>0</v>
      </c>
      <c r="AD30" s="49"/>
      <c r="AE30" s="166">
        <f>AE28-(AC28-AE25+AE29)</f>
        <v>0</v>
      </c>
      <c r="AF30" s="49"/>
      <c r="AG30" s="166">
        <f>AG28-(AE28-AG25+AG29)</f>
        <v>0</v>
      </c>
      <c r="AH30" s="49"/>
      <c r="AI30" s="166">
        <f>AI28-(AG28-AI25+AI29)</f>
        <v>0</v>
      </c>
      <c r="AJ30" s="49"/>
      <c r="AK30" s="166">
        <f>AK28-(AI28-AK25+AK29)</f>
        <v>0</v>
      </c>
      <c r="AL30" s="49"/>
      <c r="AM30" s="166">
        <f>AM28-(AK28-AM25+AM29)</f>
        <v>0</v>
      </c>
      <c r="AN30" s="49"/>
      <c r="AO30" s="166">
        <f>AO28-(AM28-AO25+AO29)</f>
        <v>0</v>
      </c>
      <c r="AP30" s="49"/>
      <c r="AQ30" s="166">
        <f>AQ28-(AO28-AQ25+AQ29)</f>
        <v>0</v>
      </c>
      <c r="AR30" s="49"/>
      <c r="AS30" s="166">
        <f>AS28-(AQ28-AS25+AS29)</f>
        <v>0</v>
      </c>
      <c r="AT30" s="49"/>
      <c r="AU30" s="166">
        <f>AU28-(AS28-AU25+AU29)</f>
        <v>0</v>
      </c>
      <c r="AV30" s="49"/>
      <c r="AW30" s="166">
        <f>AW28-(AU28-AW25+AW29)</f>
        <v>0</v>
      </c>
      <c r="AX30" s="49"/>
      <c r="AY30" s="166">
        <f>AY28-(AW28-AY25+AY29)</f>
        <v>0</v>
      </c>
      <c r="AZ30" s="49"/>
      <c r="BA30" s="166">
        <f>BA28-(AY28-BA25+BA29)</f>
        <v>0</v>
      </c>
      <c r="BB30" s="49"/>
      <c r="BC30" s="166">
        <f>BC28-(BA28-BC25+BC29)</f>
        <v>0</v>
      </c>
      <c r="BD30" s="49"/>
      <c r="BE30" s="166">
        <f>BE28-(BC28-BE25+BE29)</f>
        <v>0</v>
      </c>
      <c r="BF30" s="49"/>
      <c r="BG30" s="166">
        <f>BG28-(BE28-BG25+BG29)</f>
        <v>0</v>
      </c>
      <c r="BH30" s="49"/>
      <c r="BI30" s="166">
        <f>BI28-(BG28-BI25+BI29)</f>
        <v>0</v>
      </c>
      <c r="BJ30" s="49"/>
      <c r="BK30" s="166">
        <f>BK28-(BI28-BK25+BK29)</f>
        <v>0</v>
      </c>
      <c r="BL30" s="49"/>
      <c r="BM30" s="166">
        <f>BM28-(BK28-BM25+BM29)</f>
        <v>0</v>
      </c>
      <c r="BN30" s="50"/>
      <c r="BO30" s="170" t="e">
        <f t="shared" si="2"/>
        <v>#VALUE!</v>
      </c>
      <c r="BP30" s="49"/>
      <c r="BQ30" s="52"/>
      <c r="BR30"/>
      <c r="BS30"/>
      <c r="BT30"/>
      <c r="BU30"/>
      <c r="BV30"/>
      <c r="BW30"/>
      <c r="BX30"/>
    </row>
    <row r="31" spans="1:76" s="5" customFormat="1" ht="15" thickBot="1" x14ac:dyDescent="0.4">
      <c r="A31" s="98"/>
      <c r="B31" s="90"/>
      <c r="C31" s="84"/>
      <c r="D31" s="47"/>
      <c r="E31" s="166" t="str">
        <f>IF(E25=0,"",E30/E25*100)</f>
        <v/>
      </c>
      <c r="F31" s="49"/>
      <c r="G31" s="166" t="str">
        <f>IF(G25=0,"",G30/G25*100)</f>
        <v/>
      </c>
      <c r="H31" s="49"/>
      <c r="I31" s="166" t="str">
        <f>IF(I25=0,"",I30/I25*100)</f>
        <v/>
      </c>
      <c r="J31" s="49"/>
      <c r="K31" s="166" t="str">
        <f>IF(K25=0,"",K30/K25*100)</f>
        <v/>
      </c>
      <c r="L31" s="49"/>
      <c r="M31" s="166" t="str">
        <f>IF(M25=0,"",M30/M25*100)</f>
        <v/>
      </c>
      <c r="N31" s="49"/>
      <c r="O31" s="166" t="str">
        <f>IF(O25=0,"",O30/O25*100)</f>
        <v/>
      </c>
      <c r="P31" s="49"/>
      <c r="Q31" s="166" t="str">
        <f>IF(Q25=0,"",Q30/Q25*100)</f>
        <v/>
      </c>
      <c r="R31" s="49"/>
      <c r="S31" s="166" t="str">
        <f>IF(S25=0,"",S30/S25*100)</f>
        <v/>
      </c>
      <c r="T31" s="49"/>
      <c r="U31" s="166" t="str">
        <f>IF(U25=0,"",U30/U25*100)</f>
        <v/>
      </c>
      <c r="V31" s="49"/>
      <c r="W31" s="166" t="str">
        <f>IF(W25=0,"",W30/W25*100)</f>
        <v/>
      </c>
      <c r="X31" s="49"/>
      <c r="Y31" s="166" t="str">
        <f>IF(Y25=0,"",Y30/Y25*100)</f>
        <v/>
      </c>
      <c r="Z31" s="49"/>
      <c r="AA31" s="166" t="str">
        <f>IF(AA25=0,"",AA30/AA25*100)</f>
        <v/>
      </c>
      <c r="AB31" s="49"/>
      <c r="AC31" s="166" t="str">
        <f>IF(AC25=0,"",AC30/AC25*100)</f>
        <v/>
      </c>
      <c r="AD31" s="49"/>
      <c r="AE31" s="166" t="str">
        <f>IF(AE25=0,"",AE30/AE25*100)</f>
        <v/>
      </c>
      <c r="AF31" s="49"/>
      <c r="AG31" s="166" t="str">
        <f>IF(AG25=0,"",AG30/AG25*100)</f>
        <v/>
      </c>
      <c r="AH31" s="49"/>
      <c r="AI31" s="166" t="str">
        <f>IF(AI25=0,"",AI30/AI25*100)</f>
        <v/>
      </c>
      <c r="AJ31" s="49"/>
      <c r="AK31" s="166" t="str">
        <f>IF(AK25=0,"",AK30/AK25*100)</f>
        <v/>
      </c>
      <c r="AL31" s="49"/>
      <c r="AM31" s="166" t="str">
        <f>IF(AM25=0,"",AM30/AM25*100)</f>
        <v/>
      </c>
      <c r="AN31" s="49"/>
      <c r="AO31" s="166" t="str">
        <f>IF(AO25=0,"",AO30/AO25*100)</f>
        <v/>
      </c>
      <c r="AP31" s="49"/>
      <c r="AQ31" s="166" t="str">
        <f>IF(AQ25=0,"",AQ30/AQ25*100)</f>
        <v/>
      </c>
      <c r="AR31" s="49"/>
      <c r="AS31" s="166" t="str">
        <f>IF(AS25=0,"",AS30/AS25*100)</f>
        <v/>
      </c>
      <c r="AT31" s="49"/>
      <c r="AU31" s="166" t="str">
        <f>IF(AU25=0,"",AU30/AU25*100)</f>
        <v/>
      </c>
      <c r="AV31" s="49"/>
      <c r="AW31" s="166" t="str">
        <f>IF(AW25=0,"",AW30/AW25*100)</f>
        <v/>
      </c>
      <c r="AX31" s="49"/>
      <c r="AY31" s="166" t="str">
        <f>IF(AY25=0,"",AY30/AY25*100)</f>
        <v/>
      </c>
      <c r="AZ31" s="49"/>
      <c r="BA31" s="166" t="str">
        <f>IF(BA25=0,"",BA30/BA25*100)</f>
        <v/>
      </c>
      <c r="BB31" s="49"/>
      <c r="BC31" s="166" t="str">
        <f>IF(BC25=0,"",BC30/BC25*100)</f>
        <v/>
      </c>
      <c r="BD31" s="49"/>
      <c r="BE31" s="166" t="str">
        <f>IF(BE25=0,"",BE30/BE25*100)</f>
        <v/>
      </c>
      <c r="BF31" s="49"/>
      <c r="BG31" s="166" t="str">
        <f>IF(BG25=0,"",BG30/BG25*100)</f>
        <v/>
      </c>
      <c r="BH31" s="49"/>
      <c r="BI31" s="166" t="str">
        <f>IF(BI25=0,"",BI30/BI25*100)</f>
        <v/>
      </c>
      <c r="BJ31" s="49"/>
      <c r="BK31" s="166" t="str">
        <f>IF(BK25=0,"",BK30/BK25*100)</f>
        <v/>
      </c>
      <c r="BL31" s="49"/>
      <c r="BM31" s="166" t="str">
        <f>IF(BM25=0,"",BM30/BM25*100)</f>
        <v/>
      </c>
      <c r="BN31" s="50"/>
      <c r="BO31" s="170" t="str">
        <f t="shared" si="2"/>
        <v/>
      </c>
      <c r="BP31" s="49"/>
      <c r="BQ31" s="52"/>
      <c r="BR31"/>
      <c r="BS31"/>
      <c r="BT31"/>
      <c r="BU31"/>
      <c r="BV31"/>
      <c r="BW31"/>
      <c r="BX31"/>
    </row>
    <row r="32" spans="1:76" x14ac:dyDescent="0.35">
      <c r="A32" s="83" t="s">
        <v>5</v>
      </c>
      <c r="B32" s="54"/>
      <c r="C32" s="174" t="str">
        <f>IF('November 2026 Log'!BK32="","",'November 2026 Log'!BK32)</f>
        <v/>
      </c>
      <c r="D32" s="85"/>
      <c r="E32" s="86"/>
      <c r="F32" s="87"/>
      <c r="G32" s="86"/>
      <c r="H32" s="87"/>
      <c r="I32" s="86"/>
      <c r="J32" s="87"/>
      <c r="K32" s="86"/>
      <c r="L32" s="87"/>
      <c r="M32" s="86"/>
      <c r="N32" s="87"/>
      <c r="O32" s="86"/>
      <c r="P32" s="87"/>
      <c r="Q32" s="86"/>
      <c r="R32" s="87"/>
      <c r="S32" s="86"/>
      <c r="T32" s="87"/>
      <c r="U32" s="86"/>
      <c r="V32" s="87"/>
      <c r="W32" s="86"/>
      <c r="X32" s="87"/>
      <c r="Y32" s="86"/>
      <c r="Z32" s="87"/>
      <c r="AA32" s="86"/>
      <c r="AB32" s="87"/>
      <c r="AC32" s="86"/>
      <c r="AD32" s="87"/>
      <c r="AE32" s="86"/>
      <c r="AF32" s="87"/>
      <c r="AG32" s="86"/>
      <c r="AH32" s="87"/>
      <c r="AI32" s="86"/>
      <c r="AJ32" s="87"/>
      <c r="AK32" s="86"/>
      <c r="AL32" s="87"/>
      <c r="AM32" s="86"/>
      <c r="AN32" s="87"/>
      <c r="AO32" s="86"/>
      <c r="AP32" s="87"/>
      <c r="AQ32" s="86"/>
      <c r="AR32" s="87"/>
      <c r="AS32" s="86"/>
      <c r="AT32" s="87"/>
      <c r="AU32" s="86"/>
      <c r="AV32" s="87"/>
      <c r="AW32" s="86"/>
      <c r="AX32" s="87"/>
      <c r="AY32" s="86"/>
      <c r="AZ32" s="87"/>
      <c r="BA32" s="86"/>
      <c r="BB32" s="87"/>
      <c r="BC32" s="86"/>
      <c r="BD32" s="87"/>
      <c r="BE32" s="86"/>
      <c r="BF32" s="87"/>
      <c r="BG32" s="86"/>
      <c r="BH32" s="87"/>
      <c r="BI32" s="86"/>
      <c r="BJ32" s="87"/>
      <c r="BK32" s="86"/>
      <c r="BL32" s="87"/>
      <c r="BM32" s="86"/>
      <c r="BN32" s="50"/>
      <c r="BO32" s="170" t="str">
        <f t="shared" si="2"/>
        <v/>
      </c>
      <c r="BP32" s="87"/>
      <c r="BQ32" s="178" t="str">
        <f>IF(BM32="","",BM32)</f>
        <v/>
      </c>
    </row>
    <row r="33" spans="1:76" x14ac:dyDescent="0.35">
      <c r="A33" s="83" t="s">
        <v>6</v>
      </c>
      <c r="B33" s="54"/>
      <c r="C33" s="174" t="str">
        <f>IF('November 2026 Log'!BK33="","",'November 2026 Log'!BK33)</f>
        <v/>
      </c>
      <c r="D33" s="85"/>
      <c r="E33" s="86"/>
      <c r="F33" s="87"/>
      <c r="G33" s="86"/>
      <c r="H33" s="87"/>
      <c r="I33" s="86"/>
      <c r="J33" s="87"/>
      <c r="K33" s="86"/>
      <c r="L33" s="87"/>
      <c r="M33" s="86"/>
      <c r="N33" s="87"/>
      <c r="O33" s="86"/>
      <c r="P33" s="87"/>
      <c r="Q33" s="86"/>
      <c r="R33" s="87"/>
      <c r="S33" s="86"/>
      <c r="T33" s="87"/>
      <c r="U33" s="86"/>
      <c r="V33" s="87"/>
      <c r="W33" s="86"/>
      <c r="X33" s="87"/>
      <c r="Y33" s="86"/>
      <c r="Z33" s="87"/>
      <c r="AA33" s="86"/>
      <c r="AB33" s="87"/>
      <c r="AC33" s="86"/>
      <c r="AD33" s="87"/>
      <c r="AE33" s="86"/>
      <c r="AF33" s="87"/>
      <c r="AG33" s="86"/>
      <c r="AH33" s="87"/>
      <c r="AI33" s="86"/>
      <c r="AJ33" s="87"/>
      <c r="AK33" s="86"/>
      <c r="AL33" s="87"/>
      <c r="AM33" s="86"/>
      <c r="AN33" s="87"/>
      <c r="AO33" s="86"/>
      <c r="AP33" s="87"/>
      <c r="AQ33" s="86"/>
      <c r="AR33" s="87"/>
      <c r="AS33" s="86"/>
      <c r="AT33" s="87"/>
      <c r="AU33" s="86"/>
      <c r="AV33" s="87"/>
      <c r="AW33" s="86"/>
      <c r="AX33" s="87"/>
      <c r="AY33" s="86"/>
      <c r="AZ33" s="87"/>
      <c r="BA33" s="86"/>
      <c r="BB33" s="87"/>
      <c r="BC33" s="86"/>
      <c r="BD33" s="87"/>
      <c r="BE33" s="86"/>
      <c r="BF33" s="87"/>
      <c r="BG33" s="86"/>
      <c r="BH33" s="87"/>
      <c r="BI33" s="86"/>
      <c r="BJ33" s="87"/>
      <c r="BK33" s="86"/>
      <c r="BL33" s="87"/>
      <c r="BM33" s="86"/>
      <c r="BN33" s="50"/>
      <c r="BO33" s="170" t="str">
        <f t="shared" si="2"/>
        <v/>
      </c>
      <c r="BP33" s="87"/>
      <c r="BQ33" s="178" t="str">
        <f>IF(BM33="","",BM33)</f>
        <v/>
      </c>
    </row>
    <row r="34" spans="1:76" x14ac:dyDescent="0.35">
      <c r="A34" s="83" t="s">
        <v>7</v>
      </c>
      <c r="B34" s="54"/>
      <c r="C34" s="174" t="str">
        <f>IF('November 2026 Log'!BK34="","",'November 2026 Log'!BK34)</f>
        <v/>
      </c>
      <c r="D34" s="85"/>
      <c r="E34" s="86"/>
      <c r="F34" s="87"/>
      <c r="G34" s="86"/>
      <c r="H34" s="87"/>
      <c r="I34" s="86"/>
      <c r="J34" s="87"/>
      <c r="K34" s="86"/>
      <c r="L34" s="87"/>
      <c r="M34" s="86"/>
      <c r="N34" s="87"/>
      <c r="O34" s="86"/>
      <c r="P34" s="87"/>
      <c r="Q34" s="86"/>
      <c r="R34" s="87"/>
      <c r="S34" s="86"/>
      <c r="T34" s="87"/>
      <c r="U34" s="86"/>
      <c r="V34" s="87"/>
      <c r="W34" s="86"/>
      <c r="X34" s="87"/>
      <c r="Y34" s="86"/>
      <c r="Z34" s="87"/>
      <c r="AA34" s="86"/>
      <c r="AB34" s="87"/>
      <c r="AC34" s="86"/>
      <c r="AD34" s="87"/>
      <c r="AE34" s="86"/>
      <c r="AF34" s="87"/>
      <c r="AG34" s="86"/>
      <c r="AH34" s="87"/>
      <c r="AI34" s="86"/>
      <c r="AJ34" s="87"/>
      <c r="AK34" s="86"/>
      <c r="AL34" s="87"/>
      <c r="AM34" s="86"/>
      <c r="AN34" s="87"/>
      <c r="AO34" s="86"/>
      <c r="AP34" s="87"/>
      <c r="AQ34" s="86"/>
      <c r="AR34" s="87"/>
      <c r="AS34" s="86"/>
      <c r="AT34" s="99"/>
      <c r="AU34" s="86"/>
      <c r="AV34" s="87"/>
      <c r="AW34" s="86"/>
      <c r="AX34" s="87"/>
      <c r="AY34" s="86"/>
      <c r="AZ34" s="87"/>
      <c r="BA34" s="86"/>
      <c r="BB34" s="87"/>
      <c r="BC34" s="86"/>
      <c r="BD34" s="87"/>
      <c r="BE34" s="86"/>
      <c r="BF34" s="87"/>
      <c r="BG34" s="86"/>
      <c r="BH34" s="87"/>
      <c r="BI34" s="86"/>
      <c r="BJ34" s="87"/>
      <c r="BK34" s="86"/>
      <c r="BL34" s="87"/>
      <c r="BM34" s="86"/>
      <c r="BN34" s="50"/>
      <c r="BO34" s="170" t="str">
        <f t="shared" si="2"/>
        <v/>
      </c>
      <c r="BP34" s="87"/>
      <c r="BQ34" s="178" t="str">
        <f>IF(BM34="","",BM34)</f>
        <v/>
      </c>
    </row>
    <row r="35" spans="1:76" x14ac:dyDescent="0.35">
      <c r="A35" s="100"/>
      <c r="B35" s="75"/>
      <c r="C35" s="101"/>
      <c r="D35" s="102"/>
      <c r="E35" s="103"/>
      <c r="F35" s="104"/>
      <c r="G35" s="103"/>
      <c r="H35" s="104"/>
      <c r="I35" s="103"/>
      <c r="J35" s="104"/>
      <c r="K35" s="103"/>
      <c r="L35" s="104"/>
      <c r="M35" s="103"/>
      <c r="N35" s="104"/>
      <c r="O35" s="103"/>
      <c r="P35" s="104"/>
      <c r="Q35" s="103"/>
      <c r="R35" s="104"/>
      <c r="S35" s="103"/>
      <c r="T35" s="104"/>
      <c r="U35" s="103"/>
      <c r="V35" s="104"/>
      <c r="W35" s="103"/>
      <c r="X35" s="104"/>
      <c r="Y35" s="103"/>
      <c r="Z35" s="104"/>
      <c r="AA35" s="103"/>
      <c r="AB35" s="104"/>
      <c r="AC35" s="103"/>
      <c r="AD35" s="104"/>
      <c r="AE35" s="103"/>
      <c r="AF35" s="104"/>
      <c r="AG35" s="103"/>
      <c r="AH35" s="104"/>
      <c r="AI35" s="103"/>
      <c r="AJ35" s="104"/>
      <c r="AK35" s="103"/>
      <c r="AL35" s="104"/>
      <c r="AM35" s="103"/>
      <c r="AN35" s="104"/>
      <c r="AO35" s="103"/>
      <c r="AP35" s="104"/>
      <c r="AQ35" s="103"/>
      <c r="AR35" s="104"/>
      <c r="AS35" s="103"/>
      <c r="AT35" s="104"/>
      <c r="AU35" s="103"/>
      <c r="AV35" s="104"/>
      <c r="AW35" s="103"/>
      <c r="AX35" s="104"/>
      <c r="AY35" s="103"/>
      <c r="AZ35" s="104"/>
      <c r="BA35" s="103"/>
      <c r="BB35" s="104"/>
      <c r="BC35" s="103"/>
      <c r="BD35" s="104"/>
      <c r="BE35" s="103"/>
      <c r="BF35" s="104"/>
      <c r="BG35" s="103"/>
      <c r="BH35" s="104"/>
      <c r="BI35" s="103"/>
      <c r="BJ35" s="104"/>
      <c r="BK35" s="103"/>
      <c r="BL35" s="104"/>
      <c r="BM35" s="103"/>
      <c r="BN35" s="105"/>
      <c r="BO35" s="183" t="str">
        <f t="shared" si="2"/>
        <v/>
      </c>
      <c r="BP35" s="104"/>
      <c r="BQ35" s="107"/>
    </row>
    <row r="36" spans="1:76" x14ac:dyDescent="0.35">
      <c r="A36" s="83" t="s">
        <v>59</v>
      </c>
      <c r="B36" s="54" t="s">
        <v>58</v>
      </c>
      <c r="C36" s="174" t="str">
        <f>IF('November 2026 Log'!BK36="","",'November 2026 Log'!BK36)</f>
        <v/>
      </c>
      <c r="D36" s="85"/>
      <c r="E36" s="86"/>
      <c r="F36" s="87"/>
      <c r="G36" s="86"/>
      <c r="H36" s="87"/>
      <c r="I36" s="86"/>
      <c r="J36" s="87"/>
      <c r="K36" s="86"/>
      <c r="L36" s="87"/>
      <c r="M36" s="86"/>
      <c r="N36" s="87"/>
      <c r="O36" s="86"/>
      <c r="P36" s="87"/>
      <c r="Q36" s="86"/>
      <c r="R36" s="87"/>
      <c r="S36" s="86"/>
      <c r="T36" s="87"/>
      <c r="U36" s="86"/>
      <c r="V36" s="87"/>
      <c r="W36" s="86"/>
      <c r="X36" s="87"/>
      <c r="Y36" s="86"/>
      <c r="Z36" s="87"/>
      <c r="AA36" s="86"/>
      <c r="AB36" s="87"/>
      <c r="AC36" s="86"/>
      <c r="AD36" s="87"/>
      <c r="AE36" s="86"/>
      <c r="AF36" s="87"/>
      <c r="AG36" s="86"/>
      <c r="AH36" s="87"/>
      <c r="AI36" s="86"/>
      <c r="AJ36" s="87"/>
      <c r="AK36" s="86"/>
      <c r="AL36" s="87"/>
      <c r="AM36" s="86"/>
      <c r="AN36" s="87"/>
      <c r="AO36" s="86"/>
      <c r="AP36" s="87"/>
      <c r="AQ36" s="86"/>
      <c r="AR36" s="87"/>
      <c r="AS36" s="86"/>
      <c r="AT36" s="87"/>
      <c r="AU36" s="86"/>
      <c r="AV36" s="87"/>
      <c r="AW36" s="86"/>
      <c r="AX36" s="87"/>
      <c r="AY36" s="86"/>
      <c r="AZ36" s="87"/>
      <c r="BA36" s="86"/>
      <c r="BB36" s="87"/>
      <c r="BC36" s="86"/>
      <c r="BD36" s="87"/>
      <c r="BE36" s="86"/>
      <c r="BF36" s="87"/>
      <c r="BG36" s="86"/>
      <c r="BH36" s="87"/>
      <c r="BI36" s="86"/>
      <c r="BJ36" s="87"/>
      <c r="BK36" s="86"/>
      <c r="BL36" s="87"/>
      <c r="BM36" s="86"/>
      <c r="BN36" s="50"/>
      <c r="BO36" s="170" t="str">
        <f t="shared" si="2"/>
        <v/>
      </c>
      <c r="BP36" s="87"/>
      <c r="BQ36" s="178" t="str">
        <f>IF(BM36="","",BM36)</f>
        <v/>
      </c>
    </row>
    <row r="37" spans="1:76" x14ac:dyDescent="0.35">
      <c r="A37" s="83"/>
      <c r="B37" s="54"/>
      <c r="C37" s="84"/>
      <c r="D37" s="85"/>
      <c r="E37" s="86"/>
      <c r="F37" s="87"/>
      <c r="G37" s="86"/>
      <c r="H37" s="87"/>
      <c r="I37" s="86"/>
      <c r="J37" s="87"/>
      <c r="K37" s="86"/>
      <c r="L37" s="87"/>
      <c r="M37" s="86"/>
      <c r="N37" s="87"/>
      <c r="O37" s="86"/>
      <c r="P37" s="87"/>
      <c r="Q37" s="86"/>
      <c r="R37" s="87"/>
      <c r="S37" s="86"/>
      <c r="T37" s="87"/>
      <c r="U37" s="86"/>
      <c r="V37" s="87"/>
      <c r="W37" s="86"/>
      <c r="X37" s="87"/>
      <c r="Y37" s="86"/>
      <c r="Z37" s="87"/>
      <c r="AA37" s="86"/>
      <c r="AB37" s="87"/>
      <c r="AC37" s="86"/>
      <c r="AD37" s="87"/>
      <c r="AE37" s="86"/>
      <c r="AF37" s="87"/>
      <c r="AG37" s="86"/>
      <c r="AH37" s="87"/>
      <c r="AI37" s="86"/>
      <c r="AJ37" s="87"/>
      <c r="AK37" s="86"/>
      <c r="AL37" s="87"/>
      <c r="AM37" s="86"/>
      <c r="AN37" s="87"/>
      <c r="AO37" s="86"/>
      <c r="AP37" s="87"/>
      <c r="AQ37" s="86"/>
      <c r="AR37" s="87"/>
      <c r="AS37" s="86"/>
      <c r="AT37" s="87"/>
      <c r="AU37" s="86"/>
      <c r="AV37" s="87"/>
      <c r="AW37" s="86"/>
      <c r="AX37" s="87"/>
      <c r="AY37" s="86"/>
      <c r="AZ37" s="87"/>
      <c r="BA37" s="86"/>
      <c r="BB37" s="87"/>
      <c r="BC37" s="86"/>
      <c r="BD37" s="87"/>
      <c r="BE37" s="86"/>
      <c r="BF37" s="87"/>
      <c r="BG37" s="86"/>
      <c r="BH37" s="87"/>
      <c r="BI37" s="86"/>
      <c r="BJ37" s="87"/>
      <c r="BK37" s="86"/>
      <c r="BL37" s="87"/>
      <c r="BM37" s="86"/>
      <c r="BN37" s="50"/>
      <c r="BO37" s="170" t="str">
        <f t="shared" si="2"/>
        <v/>
      </c>
      <c r="BP37" s="87"/>
      <c r="BQ37" s="88"/>
    </row>
    <row r="38" spans="1:76" x14ac:dyDescent="0.35">
      <c r="A38" s="83" t="s">
        <v>62</v>
      </c>
      <c r="B38" s="54" t="s">
        <v>63</v>
      </c>
      <c r="C38" s="174" t="str">
        <f>IF('November 2026 Log'!BK38="","",'November 2026 Log'!BK38)</f>
        <v/>
      </c>
      <c r="D38" s="85"/>
      <c r="E38" s="86"/>
      <c r="F38" s="87"/>
      <c r="G38" s="86"/>
      <c r="H38" s="87"/>
      <c r="I38" s="86"/>
      <c r="J38" s="87"/>
      <c r="K38" s="86"/>
      <c r="L38" s="87"/>
      <c r="M38" s="86"/>
      <c r="N38" s="87"/>
      <c r="O38" s="86"/>
      <c r="P38" s="87"/>
      <c r="Q38" s="86"/>
      <c r="R38" s="87"/>
      <c r="S38" s="86"/>
      <c r="T38" s="87"/>
      <c r="U38" s="86"/>
      <c r="V38" s="87"/>
      <c r="W38" s="86"/>
      <c r="X38" s="87"/>
      <c r="Y38" s="86"/>
      <c r="Z38" s="87"/>
      <c r="AA38" s="86"/>
      <c r="AB38" s="87"/>
      <c r="AC38" s="86"/>
      <c r="AD38" s="87"/>
      <c r="AE38" s="86"/>
      <c r="AF38" s="87"/>
      <c r="AG38" s="86"/>
      <c r="AH38" s="87"/>
      <c r="AI38" s="86"/>
      <c r="AJ38" s="87"/>
      <c r="AK38" s="86"/>
      <c r="AL38" s="87"/>
      <c r="AM38" s="86"/>
      <c r="AN38" s="87"/>
      <c r="AO38" s="86"/>
      <c r="AP38" s="87"/>
      <c r="AQ38" s="86"/>
      <c r="AR38" s="87"/>
      <c r="AS38" s="86"/>
      <c r="AT38" s="87"/>
      <c r="AU38" s="86"/>
      <c r="AV38" s="87"/>
      <c r="AW38" s="86"/>
      <c r="AX38" s="87"/>
      <c r="AY38" s="86"/>
      <c r="AZ38" s="87"/>
      <c r="BA38" s="86"/>
      <c r="BB38" s="87"/>
      <c r="BC38" s="86"/>
      <c r="BD38" s="87"/>
      <c r="BE38" s="86"/>
      <c r="BF38" s="87"/>
      <c r="BG38" s="86"/>
      <c r="BH38" s="87"/>
      <c r="BI38" s="86"/>
      <c r="BJ38" s="87"/>
      <c r="BK38" s="86"/>
      <c r="BL38" s="87"/>
      <c r="BM38" s="86"/>
      <c r="BN38" s="50"/>
      <c r="BO38" s="170" t="str">
        <f t="shared" si="2"/>
        <v/>
      </c>
      <c r="BP38" s="87"/>
      <c r="BQ38" s="178" t="str">
        <f>IF(BM38="","",BM38)</f>
        <v/>
      </c>
    </row>
    <row r="39" spans="1:76" x14ac:dyDescent="0.35">
      <c r="A39" s="83" t="s">
        <v>64</v>
      </c>
      <c r="B39" s="54" t="s">
        <v>63</v>
      </c>
      <c r="C39" s="174" t="str">
        <f>IF('November 2026 Log'!BK39="","",'November 2026 Log'!BK39)</f>
        <v/>
      </c>
      <c r="D39" s="85"/>
      <c r="E39" s="86"/>
      <c r="F39" s="87"/>
      <c r="G39" s="86"/>
      <c r="H39" s="87"/>
      <c r="I39" s="86"/>
      <c r="J39" s="87"/>
      <c r="K39" s="86"/>
      <c r="L39" s="87"/>
      <c r="M39" s="86"/>
      <c r="N39" s="87"/>
      <c r="O39" s="86"/>
      <c r="P39" s="87"/>
      <c r="Q39" s="86"/>
      <c r="R39" s="87"/>
      <c r="S39" s="86"/>
      <c r="T39" s="87"/>
      <c r="U39" s="86"/>
      <c r="V39" s="87"/>
      <c r="W39" s="86"/>
      <c r="X39" s="87"/>
      <c r="Y39" s="86"/>
      <c r="Z39" s="87"/>
      <c r="AA39" s="86"/>
      <c r="AB39" s="87"/>
      <c r="AC39" s="86"/>
      <c r="AD39" s="87"/>
      <c r="AE39" s="86"/>
      <c r="AF39" s="87"/>
      <c r="AG39" s="86"/>
      <c r="AH39" s="87"/>
      <c r="AI39" s="86"/>
      <c r="AJ39" s="87"/>
      <c r="AK39" s="86"/>
      <c r="AL39" s="87"/>
      <c r="AM39" s="86"/>
      <c r="AN39" s="87"/>
      <c r="AO39" s="86"/>
      <c r="AP39" s="87"/>
      <c r="AQ39" s="86"/>
      <c r="AR39" s="87"/>
      <c r="AS39" s="86"/>
      <c r="AT39" s="87"/>
      <c r="AU39" s="86"/>
      <c r="AV39" s="87"/>
      <c r="AW39" s="86"/>
      <c r="AX39" s="87"/>
      <c r="AY39" s="86"/>
      <c r="AZ39" s="87"/>
      <c r="BA39" s="86"/>
      <c r="BB39" s="87"/>
      <c r="BC39" s="86"/>
      <c r="BD39" s="87"/>
      <c r="BE39" s="86"/>
      <c r="BF39" s="87"/>
      <c r="BG39" s="86"/>
      <c r="BH39" s="87"/>
      <c r="BI39" s="86"/>
      <c r="BJ39" s="87"/>
      <c r="BK39" s="86"/>
      <c r="BL39" s="87"/>
      <c r="BM39" s="86"/>
      <c r="BN39" s="50"/>
      <c r="BO39" s="170" t="str">
        <f t="shared" si="2"/>
        <v/>
      </c>
      <c r="BP39" s="87"/>
      <c r="BQ39" s="178" t="str">
        <f>IF(BM39="","",BM39)</f>
        <v/>
      </c>
    </row>
    <row r="40" spans="1:76" x14ac:dyDescent="0.35">
      <c r="A40" s="83" t="s">
        <v>44</v>
      </c>
      <c r="B40" s="54"/>
      <c r="C40" s="84"/>
      <c r="D40" s="85"/>
      <c r="E40" s="86"/>
      <c r="F40" s="87"/>
      <c r="G40" s="86"/>
      <c r="H40" s="87"/>
      <c r="I40" s="86"/>
      <c r="J40" s="87"/>
      <c r="K40" s="86"/>
      <c r="L40" s="87"/>
      <c r="M40" s="86"/>
      <c r="N40" s="87"/>
      <c r="O40" s="86"/>
      <c r="P40" s="87"/>
      <c r="Q40" s="86"/>
      <c r="R40" s="87"/>
      <c r="S40" s="86"/>
      <c r="T40" s="87"/>
      <c r="U40" s="86"/>
      <c r="V40" s="87"/>
      <c r="W40" s="86"/>
      <c r="X40" s="87"/>
      <c r="Y40" s="86"/>
      <c r="Z40" s="87"/>
      <c r="AA40" s="86"/>
      <c r="AB40" s="87"/>
      <c r="AC40" s="86"/>
      <c r="AD40" s="87"/>
      <c r="AE40" s="86"/>
      <c r="AF40" s="87"/>
      <c r="AG40" s="86"/>
      <c r="AH40" s="87"/>
      <c r="AI40" s="86"/>
      <c r="AJ40" s="87"/>
      <c r="AK40" s="86"/>
      <c r="AL40" s="87"/>
      <c r="AM40" s="86"/>
      <c r="AN40" s="87"/>
      <c r="AO40" s="86"/>
      <c r="AP40" s="87"/>
      <c r="AQ40" s="86"/>
      <c r="AR40" s="87"/>
      <c r="AS40" s="86"/>
      <c r="AT40" s="87"/>
      <c r="AU40" s="86"/>
      <c r="AV40" s="87"/>
      <c r="AW40" s="86"/>
      <c r="AX40" s="87"/>
      <c r="AY40" s="86"/>
      <c r="AZ40" s="87"/>
      <c r="BA40" s="86"/>
      <c r="BB40" s="87"/>
      <c r="BC40" s="86"/>
      <c r="BD40" s="87"/>
      <c r="BE40" s="86"/>
      <c r="BF40" s="87"/>
      <c r="BG40" s="86"/>
      <c r="BH40" s="87"/>
      <c r="BI40" s="86"/>
      <c r="BJ40" s="87"/>
      <c r="BK40" s="86"/>
      <c r="BL40" s="87"/>
      <c r="BM40" s="86"/>
      <c r="BN40" s="50"/>
      <c r="BO40" s="170" t="str">
        <f t="shared" si="2"/>
        <v/>
      </c>
      <c r="BP40" s="87"/>
      <c r="BQ40" s="88"/>
    </row>
    <row r="41" spans="1:76" x14ac:dyDescent="0.35">
      <c r="A41" s="83" t="s">
        <v>54</v>
      </c>
      <c r="B41" s="54"/>
      <c r="C41" s="84"/>
      <c r="D41" s="85"/>
      <c r="E41" s="86"/>
      <c r="F41" s="87"/>
      <c r="G41" s="86"/>
      <c r="H41" s="87"/>
      <c r="I41" s="86"/>
      <c r="J41" s="87"/>
      <c r="K41" s="86"/>
      <c r="L41" s="87"/>
      <c r="M41" s="86"/>
      <c r="N41" s="87"/>
      <c r="O41" s="86"/>
      <c r="P41" s="87"/>
      <c r="Q41" s="86"/>
      <c r="R41" s="87"/>
      <c r="S41" s="86"/>
      <c r="T41" s="87"/>
      <c r="U41" s="86"/>
      <c r="V41" s="87"/>
      <c r="W41" s="86"/>
      <c r="X41" s="87"/>
      <c r="Y41" s="86"/>
      <c r="Z41" s="87"/>
      <c r="AA41" s="86"/>
      <c r="AB41" s="87"/>
      <c r="AC41" s="86"/>
      <c r="AD41" s="87"/>
      <c r="AE41" s="86"/>
      <c r="AF41" s="87"/>
      <c r="AG41" s="86"/>
      <c r="AH41" s="87"/>
      <c r="AI41" s="86"/>
      <c r="AJ41" s="87"/>
      <c r="AK41" s="86"/>
      <c r="AL41" s="87"/>
      <c r="AM41" s="86"/>
      <c r="AN41" s="87"/>
      <c r="AO41" s="86"/>
      <c r="AP41" s="87"/>
      <c r="AQ41" s="86"/>
      <c r="AR41" s="87"/>
      <c r="AS41" s="86"/>
      <c r="AT41" s="87"/>
      <c r="AU41" s="86"/>
      <c r="AV41" s="87"/>
      <c r="AW41" s="86"/>
      <c r="AX41" s="87"/>
      <c r="AY41" s="86"/>
      <c r="AZ41" s="87"/>
      <c r="BA41" s="86"/>
      <c r="BB41" s="87"/>
      <c r="BC41" s="86"/>
      <c r="BD41" s="87"/>
      <c r="BE41" s="86"/>
      <c r="BF41" s="87"/>
      <c r="BG41" s="86"/>
      <c r="BH41" s="87"/>
      <c r="BI41" s="86"/>
      <c r="BJ41" s="87"/>
      <c r="BK41" s="86"/>
      <c r="BL41" s="87"/>
      <c r="BM41" s="86"/>
      <c r="BN41" s="50"/>
      <c r="BO41" s="170" t="str">
        <f t="shared" si="2"/>
        <v/>
      </c>
      <c r="BP41" s="87"/>
      <c r="BQ41" s="88"/>
    </row>
    <row r="42" spans="1:76" s="1" customFormat="1" x14ac:dyDescent="0.35">
      <c r="A42" s="89" t="s">
        <v>35</v>
      </c>
      <c r="B42" s="90"/>
      <c r="C42" s="174">
        <f>IF('November 2026 Log'!BK42="","",'November 2026 Log'!BK42)</f>
        <v>0</v>
      </c>
      <c r="D42" s="47"/>
      <c r="E42" s="166">
        <f>SUM(E36:E41)</f>
        <v>0</v>
      </c>
      <c r="F42" s="49"/>
      <c r="G42" s="166">
        <f>SUM(G36:G41)</f>
        <v>0</v>
      </c>
      <c r="H42" s="49"/>
      <c r="I42" s="166">
        <f>SUM(I36:I41)</f>
        <v>0</v>
      </c>
      <c r="J42" s="49"/>
      <c r="K42" s="166">
        <f>SUM(K36:K41)</f>
        <v>0</v>
      </c>
      <c r="L42" s="49"/>
      <c r="M42" s="166">
        <f>SUM(M36:M41)</f>
        <v>0</v>
      </c>
      <c r="N42" s="49"/>
      <c r="O42" s="166">
        <f>SUM(O36:O41)</f>
        <v>0</v>
      </c>
      <c r="P42" s="49"/>
      <c r="Q42" s="166">
        <f>SUM(Q36:Q41)</f>
        <v>0</v>
      </c>
      <c r="R42" s="49"/>
      <c r="S42" s="166">
        <f>SUM(S36:S41)</f>
        <v>0</v>
      </c>
      <c r="T42" s="49"/>
      <c r="U42" s="166">
        <f>SUM(U36:U41)</f>
        <v>0</v>
      </c>
      <c r="V42" s="49"/>
      <c r="W42" s="166">
        <f>SUM(W36:W41)</f>
        <v>0</v>
      </c>
      <c r="X42" s="49"/>
      <c r="Y42" s="166">
        <f>SUM(Y36:Y41)</f>
        <v>0</v>
      </c>
      <c r="Z42" s="49"/>
      <c r="AA42" s="166">
        <f>SUM(AA36:AA41)</f>
        <v>0</v>
      </c>
      <c r="AB42" s="49"/>
      <c r="AC42" s="166">
        <f>SUM(AC36:AC41)</f>
        <v>0</v>
      </c>
      <c r="AD42" s="49"/>
      <c r="AE42" s="166">
        <f>SUM(AE36:AE41)</f>
        <v>0</v>
      </c>
      <c r="AF42" s="49"/>
      <c r="AG42" s="166">
        <f>SUM(AG36:AG41)</f>
        <v>0</v>
      </c>
      <c r="AH42" s="49"/>
      <c r="AI42" s="166">
        <f>SUM(AI36:AI41)</f>
        <v>0</v>
      </c>
      <c r="AJ42" s="49"/>
      <c r="AK42" s="166">
        <f>SUM(AK36:AK41)</f>
        <v>0</v>
      </c>
      <c r="AL42" s="49"/>
      <c r="AM42" s="166">
        <f>SUM(AM36:AM41)</f>
        <v>0</v>
      </c>
      <c r="AN42" s="49"/>
      <c r="AO42" s="166">
        <f>SUM(AO36:AO41)</f>
        <v>0</v>
      </c>
      <c r="AP42" s="49"/>
      <c r="AQ42" s="166">
        <f>SUM(AQ36:AQ41)</f>
        <v>0</v>
      </c>
      <c r="AR42" s="49"/>
      <c r="AS42" s="166">
        <f>SUM(AS36:AS41)</f>
        <v>0</v>
      </c>
      <c r="AT42" s="49"/>
      <c r="AU42" s="166">
        <f>SUM(AU36:AU41)</f>
        <v>0</v>
      </c>
      <c r="AV42" s="49"/>
      <c r="AW42" s="166">
        <f>SUM(AW36:AW41)</f>
        <v>0</v>
      </c>
      <c r="AX42" s="49"/>
      <c r="AY42" s="166">
        <f>SUM(AY36:AY41)</f>
        <v>0</v>
      </c>
      <c r="AZ42" s="49"/>
      <c r="BA42" s="166">
        <f>SUM(BA36:BA41)</f>
        <v>0</v>
      </c>
      <c r="BB42" s="49"/>
      <c r="BC42" s="166">
        <f>SUM(BC36:BC41)</f>
        <v>0</v>
      </c>
      <c r="BD42" s="49"/>
      <c r="BE42" s="166">
        <f>SUM(BE36:BE41)</f>
        <v>0</v>
      </c>
      <c r="BF42" s="49"/>
      <c r="BG42" s="166">
        <f>SUM(BG36:BG41)</f>
        <v>0</v>
      </c>
      <c r="BH42" s="49"/>
      <c r="BI42" s="166">
        <f>SUM(BI36:BI41)</f>
        <v>0</v>
      </c>
      <c r="BJ42" s="49"/>
      <c r="BK42" s="166">
        <f>SUM(BK36:BK41)</f>
        <v>0</v>
      </c>
      <c r="BL42" s="49"/>
      <c r="BM42" s="166">
        <f>SUM(BM36:BM41)</f>
        <v>0</v>
      </c>
      <c r="BN42" s="50"/>
      <c r="BO42" s="170">
        <f t="shared" si="2"/>
        <v>0</v>
      </c>
      <c r="BP42" s="49"/>
      <c r="BQ42" s="172">
        <f>IF(BM42="","",BM42)</f>
        <v>0</v>
      </c>
      <c r="BR42"/>
      <c r="BS42"/>
      <c r="BT42"/>
      <c r="BU42"/>
      <c r="BV42"/>
      <c r="BW42"/>
      <c r="BX42"/>
    </row>
    <row r="43" spans="1:76" x14ac:dyDescent="0.35">
      <c r="A43" s="83" t="s">
        <v>61</v>
      </c>
      <c r="B43" s="54" t="s">
        <v>60</v>
      </c>
      <c r="C43" s="174" t="str">
        <f>IF('November 2026 Log'!BK43="","",'November 2026 Log'!BK43)</f>
        <v/>
      </c>
      <c r="D43" s="85"/>
      <c r="E43" s="86"/>
      <c r="F43" s="87"/>
      <c r="G43" s="86"/>
      <c r="H43" s="87"/>
      <c r="I43" s="86"/>
      <c r="J43" s="87"/>
      <c r="K43" s="86"/>
      <c r="L43" s="87"/>
      <c r="M43" s="86"/>
      <c r="N43" s="87"/>
      <c r="O43" s="86"/>
      <c r="P43" s="87"/>
      <c r="Q43" s="86"/>
      <c r="R43" s="87"/>
      <c r="S43" s="86"/>
      <c r="T43" s="87"/>
      <c r="U43" s="86"/>
      <c r="V43" s="87"/>
      <c r="W43" s="86"/>
      <c r="X43" s="87"/>
      <c r="Y43" s="86"/>
      <c r="Z43" s="87"/>
      <c r="AA43" s="86"/>
      <c r="AB43" s="87"/>
      <c r="AC43" s="86"/>
      <c r="AD43" s="87"/>
      <c r="AE43" s="86"/>
      <c r="AF43" s="87"/>
      <c r="AG43" s="86"/>
      <c r="AH43" s="87"/>
      <c r="AI43" s="86"/>
      <c r="AJ43" s="87"/>
      <c r="AK43" s="86"/>
      <c r="AL43" s="87"/>
      <c r="AM43" s="86"/>
      <c r="AN43" s="87"/>
      <c r="AO43" s="86"/>
      <c r="AP43" s="87"/>
      <c r="AQ43" s="86"/>
      <c r="AR43" s="87"/>
      <c r="AS43" s="86"/>
      <c r="AT43" s="87"/>
      <c r="AU43" s="86"/>
      <c r="AV43" s="87"/>
      <c r="AW43" s="86"/>
      <c r="AX43" s="87"/>
      <c r="AY43" s="86"/>
      <c r="AZ43" s="87"/>
      <c r="BA43" s="86"/>
      <c r="BB43" s="87"/>
      <c r="BC43" s="86"/>
      <c r="BD43" s="87"/>
      <c r="BE43" s="86"/>
      <c r="BF43" s="87"/>
      <c r="BG43" s="86"/>
      <c r="BH43" s="87"/>
      <c r="BI43" s="86"/>
      <c r="BJ43" s="87"/>
      <c r="BK43" s="86"/>
      <c r="BL43" s="87"/>
      <c r="BM43" s="86"/>
      <c r="BN43" s="50"/>
      <c r="BO43" s="170" t="str">
        <f t="shared" si="2"/>
        <v/>
      </c>
      <c r="BP43" s="87"/>
      <c r="BQ43" s="178" t="str">
        <f>IF(BM43="","",BM43)</f>
        <v/>
      </c>
    </row>
    <row r="44" spans="1:76" hidden="1" x14ac:dyDescent="0.35">
      <c r="A44" s="83" t="s">
        <v>8</v>
      </c>
      <c r="B44" s="54"/>
      <c r="C44" s="84"/>
      <c r="D44" s="85"/>
      <c r="E44" s="86"/>
      <c r="F44" s="87"/>
      <c r="G44" s="86"/>
      <c r="H44" s="87"/>
      <c r="I44" s="86"/>
      <c r="J44" s="87"/>
      <c r="K44" s="86"/>
      <c r="L44" s="87"/>
      <c r="M44" s="86"/>
      <c r="N44" s="87"/>
      <c r="O44" s="86"/>
      <c r="P44" s="87"/>
      <c r="Q44" s="86"/>
      <c r="R44" s="87"/>
      <c r="S44" s="86"/>
      <c r="T44" s="87"/>
      <c r="U44" s="86"/>
      <c r="V44" s="87"/>
      <c r="W44" s="86"/>
      <c r="X44" s="87"/>
      <c r="Y44" s="86"/>
      <c r="Z44" s="87"/>
      <c r="AA44" s="86"/>
      <c r="AB44" s="87"/>
      <c r="AC44" s="86"/>
      <c r="AD44" s="87"/>
      <c r="AE44" s="86"/>
      <c r="AF44" s="87"/>
      <c r="AG44" s="86"/>
      <c r="AH44" s="87"/>
      <c r="AI44" s="86"/>
      <c r="AJ44" s="87"/>
      <c r="AK44" s="86"/>
      <c r="AL44" s="87"/>
      <c r="AM44" s="86"/>
      <c r="AN44" s="87"/>
      <c r="AO44" s="86"/>
      <c r="AP44" s="87"/>
      <c r="AQ44" s="86"/>
      <c r="AR44" s="87"/>
      <c r="AS44" s="86"/>
      <c r="AT44" s="87"/>
      <c r="AU44" s="86"/>
      <c r="AV44" s="87"/>
      <c r="AW44" s="86"/>
      <c r="AX44" s="87"/>
      <c r="AY44" s="86"/>
      <c r="AZ44" s="87"/>
      <c r="BA44" s="86"/>
      <c r="BB44" s="87"/>
      <c r="BC44" s="86"/>
      <c r="BD44" s="87"/>
      <c r="BE44" s="86"/>
      <c r="BF44" s="87"/>
      <c r="BG44" s="86"/>
      <c r="BH44" s="87"/>
      <c r="BI44" s="86"/>
      <c r="BJ44" s="87"/>
      <c r="BK44" s="86"/>
      <c r="BL44" s="87"/>
      <c r="BM44" s="86"/>
      <c r="BN44" s="50"/>
      <c r="BO44" s="170" t="str">
        <f t="shared" si="2"/>
        <v/>
      </c>
      <c r="BP44" s="87"/>
      <c r="BQ44" s="88"/>
    </row>
    <row r="45" spans="1:76" hidden="1" x14ac:dyDescent="0.35">
      <c r="A45" s="83" t="s">
        <v>9</v>
      </c>
      <c r="B45" s="54"/>
      <c r="C45" s="84"/>
      <c r="D45" s="85"/>
      <c r="E45" s="86"/>
      <c r="F45" s="87"/>
      <c r="G45" s="86"/>
      <c r="H45" s="87"/>
      <c r="I45" s="86"/>
      <c r="J45" s="87"/>
      <c r="K45" s="86"/>
      <c r="L45" s="87"/>
      <c r="M45" s="86"/>
      <c r="N45" s="87"/>
      <c r="O45" s="86"/>
      <c r="P45" s="87"/>
      <c r="Q45" s="86"/>
      <c r="R45" s="87"/>
      <c r="S45" s="86"/>
      <c r="T45" s="87"/>
      <c r="U45" s="86"/>
      <c r="V45" s="87"/>
      <c r="W45" s="86"/>
      <c r="X45" s="87"/>
      <c r="Y45" s="86"/>
      <c r="Z45" s="87"/>
      <c r="AA45" s="86"/>
      <c r="AB45" s="87"/>
      <c r="AC45" s="86"/>
      <c r="AD45" s="87"/>
      <c r="AE45" s="86"/>
      <c r="AF45" s="87"/>
      <c r="AG45" s="86"/>
      <c r="AH45" s="87"/>
      <c r="AI45" s="86"/>
      <c r="AJ45" s="87"/>
      <c r="AK45" s="86"/>
      <c r="AL45" s="87"/>
      <c r="AM45" s="86"/>
      <c r="AN45" s="87"/>
      <c r="AO45" s="86"/>
      <c r="AP45" s="87"/>
      <c r="AQ45" s="86"/>
      <c r="AR45" s="87"/>
      <c r="AS45" s="86"/>
      <c r="AT45" s="87"/>
      <c r="AU45" s="86"/>
      <c r="AV45" s="87"/>
      <c r="AW45" s="86"/>
      <c r="AX45" s="87"/>
      <c r="AY45" s="86"/>
      <c r="AZ45" s="87"/>
      <c r="BA45" s="86"/>
      <c r="BB45" s="87"/>
      <c r="BC45" s="86"/>
      <c r="BD45" s="87"/>
      <c r="BE45" s="86"/>
      <c r="BF45" s="87"/>
      <c r="BG45" s="86"/>
      <c r="BH45" s="87"/>
      <c r="BI45" s="86"/>
      <c r="BJ45" s="87"/>
      <c r="BK45" s="86"/>
      <c r="BL45" s="87"/>
      <c r="BM45" s="86"/>
      <c r="BN45" s="50"/>
      <c r="BO45" s="170" t="str">
        <f t="shared" si="2"/>
        <v/>
      </c>
      <c r="BP45" s="87"/>
      <c r="BQ45" s="88"/>
    </row>
    <row r="46" spans="1:76" hidden="1" x14ac:dyDescent="0.35">
      <c r="A46" s="83" t="s">
        <v>43</v>
      </c>
      <c r="B46" s="54"/>
      <c r="C46" s="84"/>
      <c r="D46" s="85"/>
      <c r="E46" s="86"/>
      <c r="F46" s="87"/>
      <c r="G46" s="86"/>
      <c r="H46" s="87"/>
      <c r="I46" s="86"/>
      <c r="J46" s="87"/>
      <c r="K46" s="86"/>
      <c r="L46" s="87"/>
      <c r="M46" s="86"/>
      <c r="N46" s="87"/>
      <c r="O46" s="86"/>
      <c r="P46" s="87"/>
      <c r="Q46" s="86"/>
      <c r="R46" s="87"/>
      <c r="S46" s="86"/>
      <c r="T46" s="87"/>
      <c r="U46" s="86"/>
      <c r="V46" s="87"/>
      <c r="W46" s="86"/>
      <c r="X46" s="87"/>
      <c r="Y46" s="86"/>
      <c r="Z46" s="87"/>
      <c r="AA46" s="86"/>
      <c r="AB46" s="87"/>
      <c r="AC46" s="86"/>
      <c r="AD46" s="87"/>
      <c r="AE46" s="86"/>
      <c r="AF46" s="87"/>
      <c r="AG46" s="86"/>
      <c r="AH46" s="87"/>
      <c r="AI46" s="86"/>
      <c r="AJ46" s="87"/>
      <c r="AK46" s="86"/>
      <c r="AL46" s="87"/>
      <c r="AM46" s="86"/>
      <c r="AN46" s="87"/>
      <c r="AO46" s="86"/>
      <c r="AP46" s="87"/>
      <c r="AQ46" s="86"/>
      <c r="AR46" s="87"/>
      <c r="AS46" s="86"/>
      <c r="AT46" s="87"/>
      <c r="AU46" s="86"/>
      <c r="AV46" s="87"/>
      <c r="AW46" s="86"/>
      <c r="AX46" s="87"/>
      <c r="AY46" s="86"/>
      <c r="AZ46" s="87"/>
      <c r="BA46" s="86"/>
      <c r="BB46" s="87"/>
      <c r="BC46" s="86"/>
      <c r="BD46" s="87"/>
      <c r="BE46" s="86"/>
      <c r="BF46" s="87"/>
      <c r="BG46" s="86"/>
      <c r="BH46" s="87"/>
      <c r="BI46" s="86"/>
      <c r="BJ46" s="87"/>
      <c r="BK46" s="86"/>
      <c r="BL46" s="87"/>
      <c r="BM46" s="86"/>
      <c r="BN46" s="50"/>
      <c r="BO46" s="170" t="str">
        <f t="shared" si="2"/>
        <v/>
      </c>
      <c r="BP46" s="87"/>
      <c r="BQ46" s="88"/>
    </row>
    <row r="47" spans="1:76" hidden="1" x14ac:dyDescent="0.35">
      <c r="A47" s="83" t="s">
        <v>10</v>
      </c>
      <c r="B47" s="54"/>
      <c r="C47" s="84"/>
      <c r="D47" s="85"/>
      <c r="E47" s="86"/>
      <c r="F47" s="87"/>
      <c r="G47" s="86"/>
      <c r="H47" s="87"/>
      <c r="I47" s="86"/>
      <c r="J47" s="87"/>
      <c r="K47" s="86"/>
      <c r="L47" s="87"/>
      <c r="M47" s="86"/>
      <c r="N47" s="87"/>
      <c r="O47" s="86"/>
      <c r="P47" s="87"/>
      <c r="Q47" s="86"/>
      <c r="R47" s="87"/>
      <c r="S47" s="86"/>
      <c r="T47" s="87"/>
      <c r="U47" s="86"/>
      <c r="V47" s="87"/>
      <c r="W47" s="86"/>
      <c r="X47" s="87"/>
      <c r="Y47" s="86"/>
      <c r="Z47" s="87"/>
      <c r="AA47" s="86"/>
      <c r="AB47" s="87"/>
      <c r="AC47" s="86"/>
      <c r="AD47" s="87"/>
      <c r="AE47" s="86"/>
      <c r="AF47" s="87"/>
      <c r="AG47" s="86"/>
      <c r="AH47" s="87"/>
      <c r="AI47" s="86"/>
      <c r="AJ47" s="87"/>
      <c r="AK47" s="86"/>
      <c r="AL47" s="87"/>
      <c r="AM47" s="86"/>
      <c r="AN47" s="87"/>
      <c r="AO47" s="86"/>
      <c r="AP47" s="87"/>
      <c r="AQ47" s="86"/>
      <c r="AR47" s="87"/>
      <c r="AS47" s="86"/>
      <c r="AT47" s="87"/>
      <c r="AU47" s="86"/>
      <c r="AV47" s="87"/>
      <c r="AW47" s="86"/>
      <c r="AX47" s="87"/>
      <c r="AY47" s="86"/>
      <c r="AZ47" s="87"/>
      <c r="BA47" s="86"/>
      <c r="BB47" s="87"/>
      <c r="BC47" s="86"/>
      <c r="BD47" s="87"/>
      <c r="BE47" s="86"/>
      <c r="BF47" s="87"/>
      <c r="BG47" s="86"/>
      <c r="BH47" s="87"/>
      <c r="BI47" s="86"/>
      <c r="BJ47" s="87"/>
      <c r="BK47" s="86"/>
      <c r="BL47" s="87"/>
      <c r="BM47" s="86"/>
      <c r="BN47" s="50"/>
      <c r="BO47" s="170" t="str">
        <f t="shared" si="2"/>
        <v/>
      </c>
      <c r="BP47" s="87"/>
      <c r="BQ47" s="88"/>
    </row>
    <row r="48" spans="1:76" hidden="1" x14ac:dyDescent="0.35">
      <c r="A48" s="83" t="s">
        <v>11</v>
      </c>
      <c r="B48" s="54"/>
      <c r="C48" s="84"/>
      <c r="D48" s="85"/>
      <c r="E48" s="86"/>
      <c r="F48" s="87"/>
      <c r="G48" s="86"/>
      <c r="H48" s="87"/>
      <c r="I48" s="86"/>
      <c r="J48" s="87"/>
      <c r="K48" s="86"/>
      <c r="L48" s="87"/>
      <c r="M48" s="86"/>
      <c r="N48" s="87"/>
      <c r="O48" s="86"/>
      <c r="P48" s="87"/>
      <c r="Q48" s="86"/>
      <c r="R48" s="87"/>
      <c r="S48" s="86"/>
      <c r="T48" s="87"/>
      <c r="U48" s="86"/>
      <c r="V48" s="87"/>
      <c r="W48" s="86"/>
      <c r="X48" s="87"/>
      <c r="Y48" s="86"/>
      <c r="Z48" s="87"/>
      <c r="AA48" s="86"/>
      <c r="AB48" s="87"/>
      <c r="AC48" s="86"/>
      <c r="AD48" s="87"/>
      <c r="AE48" s="86"/>
      <c r="AF48" s="87"/>
      <c r="AG48" s="86"/>
      <c r="AH48" s="87"/>
      <c r="AI48" s="86"/>
      <c r="AJ48" s="87"/>
      <c r="AK48" s="86"/>
      <c r="AL48" s="87"/>
      <c r="AM48" s="86"/>
      <c r="AN48" s="87"/>
      <c r="AO48" s="86"/>
      <c r="AP48" s="87"/>
      <c r="AQ48" s="86"/>
      <c r="AR48" s="87"/>
      <c r="AS48" s="86"/>
      <c r="AT48" s="87"/>
      <c r="AU48" s="86"/>
      <c r="AV48" s="87"/>
      <c r="AW48" s="86"/>
      <c r="AX48" s="87"/>
      <c r="AY48" s="86"/>
      <c r="AZ48" s="87"/>
      <c r="BA48" s="86"/>
      <c r="BB48" s="87"/>
      <c r="BC48" s="86"/>
      <c r="BD48" s="87"/>
      <c r="BE48" s="86"/>
      <c r="BF48" s="87"/>
      <c r="BG48" s="86"/>
      <c r="BH48" s="87"/>
      <c r="BI48" s="86"/>
      <c r="BJ48" s="87"/>
      <c r="BK48" s="86"/>
      <c r="BL48" s="87"/>
      <c r="BM48" s="86"/>
      <c r="BN48" s="50"/>
      <c r="BO48" s="170" t="str">
        <f t="shared" si="2"/>
        <v/>
      </c>
      <c r="BP48" s="87"/>
      <c r="BQ48" s="88"/>
    </row>
    <row r="49" spans="1:76" s="1" customFormat="1" x14ac:dyDescent="0.35">
      <c r="A49" s="89" t="s">
        <v>36</v>
      </c>
      <c r="B49" s="90"/>
      <c r="C49" s="174">
        <f>IF('November 2026 Log'!BK49="","",'November 2026 Log'!BK49)</f>
        <v>0</v>
      </c>
      <c r="D49" s="47"/>
      <c r="E49" s="166">
        <f>SUM(E43:E48)</f>
        <v>0</v>
      </c>
      <c r="F49" s="49"/>
      <c r="G49" s="166">
        <f>SUM(G43:G48)</f>
        <v>0</v>
      </c>
      <c r="H49" s="49"/>
      <c r="I49" s="166">
        <f>SUM(I43:I48)</f>
        <v>0</v>
      </c>
      <c r="J49" s="49"/>
      <c r="K49" s="166">
        <f>SUM(K43:K48)</f>
        <v>0</v>
      </c>
      <c r="L49" s="49"/>
      <c r="M49" s="166">
        <f>SUM(M43:M48)</f>
        <v>0</v>
      </c>
      <c r="N49" s="49"/>
      <c r="O49" s="166">
        <f>SUM(O43:O48)</f>
        <v>0</v>
      </c>
      <c r="P49" s="49"/>
      <c r="Q49" s="166">
        <f>SUM(Q43:Q48)</f>
        <v>0</v>
      </c>
      <c r="R49" s="49"/>
      <c r="S49" s="166">
        <f>SUM(S43:S48)</f>
        <v>0</v>
      </c>
      <c r="T49" s="49"/>
      <c r="U49" s="166">
        <f>SUM(U43:U48)</f>
        <v>0</v>
      </c>
      <c r="V49" s="49"/>
      <c r="W49" s="166">
        <f>SUM(W43:W48)</f>
        <v>0</v>
      </c>
      <c r="X49" s="49"/>
      <c r="Y49" s="166">
        <f>SUM(Y43:Y48)</f>
        <v>0</v>
      </c>
      <c r="Z49" s="49"/>
      <c r="AA49" s="166">
        <f>SUM(AA43:AA48)</f>
        <v>0</v>
      </c>
      <c r="AB49" s="49"/>
      <c r="AC49" s="166">
        <f>SUM(AC43:AC48)</f>
        <v>0</v>
      </c>
      <c r="AD49" s="49"/>
      <c r="AE49" s="166">
        <f>SUM(AE43:AE48)</f>
        <v>0</v>
      </c>
      <c r="AF49" s="49"/>
      <c r="AG49" s="166">
        <f>SUM(AG43:AG48)</f>
        <v>0</v>
      </c>
      <c r="AH49" s="49"/>
      <c r="AI49" s="166">
        <f>SUM(AI43:AI48)</f>
        <v>0</v>
      </c>
      <c r="AJ49" s="49"/>
      <c r="AK49" s="166">
        <f>SUM(AK43:AK48)</f>
        <v>0</v>
      </c>
      <c r="AL49" s="49"/>
      <c r="AM49" s="166">
        <f>SUM(AM43:AM48)</f>
        <v>0</v>
      </c>
      <c r="AN49" s="49"/>
      <c r="AO49" s="166">
        <f>SUM(AO43:AO48)</f>
        <v>0</v>
      </c>
      <c r="AP49" s="49"/>
      <c r="AQ49" s="166">
        <f>SUM(AQ43:AQ48)</f>
        <v>0</v>
      </c>
      <c r="AR49" s="49"/>
      <c r="AS49" s="166">
        <f>SUM(AS43:AS48)</f>
        <v>0</v>
      </c>
      <c r="AT49" s="49"/>
      <c r="AU49" s="166">
        <f>SUM(AU43:AU48)</f>
        <v>0</v>
      </c>
      <c r="AV49" s="49"/>
      <c r="AW49" s="166">
        <f>SUM(AW43:AW48)</f>
        <v>0</v>
      </c>
      <c r="AX49" s="49"/>
      <c r="AY49" s="166">
        <f>SUM(AY43:AY48)</f>
        <v>0</v>
      </c>
      <c r="AZ49" s="49"/>
      <c r="BA49" s="166">
        <f>SUM(BA43:BA48)</f>
        <v>0</v>
      </c>
      <c r="BB49" s="49"/>
      <c r="BC49" s="166">
        <f>SUM(BC43:BC48)</f>
        <v>0</v>
      </c>
      <c r="BD49" s="49"/>
      <c r="BE49" s="166">
        <f>SUM(BE43:BE48)</f>
        <v>0</v>
      </c>
      <c r="BF49" s="49"/>
      <c r="BG49" s="166">
        <f>SUM(BG43:BG48)</f>
        <v>0</v>
      </c>
      <c r="BH49" s="49"/>
      <c r="BI49" s="166">
        <f>SUM(BI43:BI48)</f>
        <v>0</v>
      </c>
      <c r="BJ49" s="49"/>
      <c r="BK49" s="166">
        <f>SUM(BK43:BK48)</f>
        <v>0</v>
      </c>
      <c r="BL49" s="49"/>
      <c r="BM49" s="166">
        <f>SUM(BM43:BM48)</f>
        <v>0</v>
      </c>
      <c r="BN49" s="50"/>
      <c r="BO49" s="170">
        <f t="shared" si="2"/>
        <v>0</v>
      </c>
      <c r="BP49" s="49"/>
      <c r="BQ49" s="172">
        <f>IF(BM49="","",BM49)</f>
        <v>0</v>
      </c>
      <c r="BR49"/>
      <c r="BS49"/>
      <c r="BT49"/>
      <c r="BU49"/>
      <c r="BV49"/>
      <c r="BW49"/>
      <c r="BX49"/>
    </row>
    <row r="50" spans="1:76" s="1" customFormat="1" x14ac:dyDescent="0.35">
      <c r="A50" s="89" t="s">
        <v>12</v>
      </c>
      <c r="B50" s="90"/>
      <c r="C50" s="174">
        <f>IF('November 2026 Log'!BK50="","",'November 2026 Log'!BK50)</f>
        <v>0</v>
      </c>
      <c r="D50" s="47"/>
      <c r="E50" s="166">
        <f t="shared" ref="E50" si="34">+E42+E49</f>
        <v>0</v>
      </c>
      <c r="F50" s="49"/>
      <c r="G50" s="166">
        <f t="shared" ref="G50" si="35">+G42+G49</f>
        <v>0</v>
      </c>
      <c r="H50" s="49"/>
      <c r="I50" s="166">
        <f t="shared" ref="I50" si="36">+I42+I49</f>
        <v>0</v>
      </c>
      <c r="J50" s="49"/>
      <c r="K50" s="166">
        <f t="shared" ref="K50" si="37">+K42+K49</f>
        <v>0</v>
      </c>
      <c r="L50" s="49"/>
      <c r="M50" s="166">
        <f t="shared" ref="M50" si="38">+M42+M49</f>
        <v>0</v>
      </c>
      <c r="N50" s="49"/>
      <c r="O50" s="166">
        <f t="shared" ref="O50" si="39">+O42+O49</f>
        <v>0</v>
      </c>
      <c r="P50" s="49"/>
      <c r="Q50" s="166">
        <f t="shared" ref="Q50" si="40">+Q42+Q49</f>
        <v>0</v>
      </c>
      <c r="R50" s="49"/>
      <c r="S50" s="166">
        <f t="shared" ref="S50" si="41">+S42+S49</f>
        <v>0</v>
      </c>
      <c r="T50" s="49"/>
      <c r="U50" s="166">
        <f t="shared" ref="U50" si="42">+U42+U49</f>
        <v>0</v>
      </c>
      <c r="V50" s="49"/>
      <c r="W50" s="166">
        <f t="shared" ref="W50" si="43">+W42+W49</f>
        <v>0</v>
      </c>
      <c r="X50" s="49"/>
      <c r="Y50" s="166">
        <f t="shared" ref="Y50" si="44">+Y42+Y49</f>
        <v>0</v>
      </c>
      <c r="Z50" s="49"/>
      <c r="AA50" s="166">
        <f t="shared" ref="AA50" si="45">+AA42+AA49</f>
        <v>0</v>
      </c>
      <c r="AB50" s="49"/>
      <c r="AC50" s="166">
        <f t="shared" ref="AC50" si="46">+AC42+AC49</f>
        <v>0</v>
      </c>
      <c r="AD50" s="49"/>
      <c r="AE50" s="166">
        <f t="shared" ref="AE50" si="47">+AE42+AE49</f>
        <v>0</v>
      </c>
      <c r="AF50" s="49"/>
      <c r="AG50" s="166">
        <f t="shared" ref="AG50" si="48">+AG42+AG49</f>
        <v>0</v>
      </c>
      <c r="AH50" s="49"/>
      <c r="AI50" s="166">
        <f t="shared" ref="AI50" si="49">+AI42+AI49</f>
        <v>0</v>
      </c>
      <c r="AJ50" s="49"/>
      <c r="AK50" s="166">
        <f t="shared" ref="AK50" si="50">+AK42+AK49</f>
        <v>0</v>
      </c>
      <c r="AL50" s="49"/>
      <c r="AM50" s="166">
        <f t="shared" ref="AM50" si="51">+AM42+AM49</f>
        <v>0</v>
      </c>
      <c r="AN50" s="49"/>
      <c r="AO50" s="166">
        <f t="shared" ref="AO50" si="52">+AO42+AO49</f>
        <v>0</v>
      </c>
      <c r="AP50" s="49"/>
      <c r="AQ50" s="166">
        <f t="shared" ref="AQ50" si="53">+AQ42+AQ49</f>
        <v>0</v>
      </c>
      <c r="AR50" s="49"/>
      <c r="AS50" s="166">
        <f t="shared" ref="AS50" si="54">+AS42+AS49</f>
        <v>0</v>
      </c>
      <c r="AT50" s="49"/>
      <c r="AU50" s="166">
        <f t="shared" ref="AU50" si="55">+AU42+AU49</f>
        <v>0</v>
      </c>
      <c r="AV50" s="49"/>
      <c r="AW50" s="166">
        <f t="shared" ref="AW50" si="56">+AW42+AW49</f>
        <v>0</v>
      </c>
      <c r="AX50" s="49"/>
      <c r="AY50" s="166">
        <f t="shared" ref="AY50" si="57">+AY42+AY49</f>
        <v>0</v>
      </c>
      <c r="AZ50" s="49"/>
      <c r="BA50" s="166">
        <f t="shared" ref="BA50" si="58">+BA42+BA49</f>
        <v>0</v>
      </c>
      <c r="BB50" s="49"/>
      <c r="BC50" s="166">
        <f t="shared" ref="BC50" si="59">+BC42+BC49</f>
        <v>0</v>
      </c>
      <c r="BD50" s="49"/>
      <c r="BE50" s="166">
        <f t="shared" ref="BE50" si="60">+BE42+BE49</f>
        <v>0</v>
      </c>
      <c r="BF50" s="49"/>
      <c r="BG50" s="166">
        <f t="shared" ref="BG50" si="61">+BG42+BG49</f>
        <v>0</v>
      </c>
      <c r="BH50" s="49"/>
      <c r="BI50" s="166">
        <f t="shared" ref="BI50" si="62">+BI42+BI49</f>
        <v>0</v>
      </c>
      <c r="BJ50" s="49"/>
      <c r="BK50" s="166">
        <f t="shared" ref="BK50" si="63">+BK42+BK49</f>
        <v>0</v>
      </c>
      <c r="BL50" s="49"/>
      <c r="BM50" s="166">
        <f t="shared" ref="BM50" si="64">+BM42+BM49</f>
        <v>0</v>
      </c>
      <c r="BN50" s="50"/>
      <c r="BO50" s="170">
        <f t="shared" si="2"/>
        <v>0</v>
      </c>
      <c r="BP50" s="49"/>
      <c r="BQ50" s="172">
        <f>IF(BM50="","",BM50)</f>
        <v>0</v>
      </c>
      <c r="BR50"/>
      <c r="BS50"/>
      <c r="BT50"/>
      <c r="BU50"/>
      <c r="BV50"/>
      <c r="BW50"/>
      <c r="BX50"/>
    </row>
    <row r="51" spans="1:76" x14ac:dyDescent="0.35">
      <c r="A51" s="83" t="s">
        <v>13</v>
      </c>
      <c r="B51" s="54"/>
      <c r="C51" s="84"/>
      <c r="D51" s="85"/>
      <c r="E51" s="86"/>
      <c r="F51" s="87"/>
      <c r="G51" s="86"/>
      <c r="H51" s="87"/>
      <c r="I51" s="86"/>
      <c r="J51" s="87"/>
      <c r="K51" s="86"/>
      <c r="L51" s="87"/>
      <c r="M51" s="86"/>
      <c r="N51" s="87"/>
      <c r="O51" s="86"/>
      <c r="P51" s="87"/>
      <c r="Q51" s="86"/>
      <c r="R51" s="87"/>
      <c r="S51" s="86"/>
      <c r="T51" s="87"/>
      <c r="U51" s="86"/>
      <c r="V51" s="87"/>
      <c r="W51" s="86"/>
      <c r="X51" s="87"/>
      <c r="Y51" s="86"/>
      <c r="Z51" s="87"/>
      <c r="AA51" s="86"/>
      <c r="AB51" s="87"/>
      <c r="AC51" s="86"/>
      <c r="AD51" s="87"/>
      <c r="AE51" s="86"/>
      <c r="AF51" s="87"/>
      <c r="AG51" s="86"/>
      <c r="AH51" s="87"/>
      <c r="AI51" s="86"/>
      <c r="AJ51" s="87"/>
      <c r="AK51" s="86"/>
      <c r="AL51" s="87"/>
      <c r="AM51" s="86"/>
      <c r="AN51" s="87"/>
      <c r="AO51" s="86"/>
      <c r="AP51" s="87"/>
      <c r="AQ51" s="86"/>
      <c r="AR51" s="87"/>
      <c r="AS51" s="86"/>
      <c r="AT51" s="87"/>
      <c r="AU51" s="86"/>
      <c r="AV51" s="87"/>
      <c r="AW51" s="86"/>
      <c r="AX51" s="87"/>
      <c r="AY51" s="86"/>
      <c r="AZ51" s="87"/>
      <c r="BA51" s="86"/>
      <c r="BB51" s="87"/>
      <c r="BC51" s="86"/>
      <c r="BD51" s="87"/>
      <c r="BE51" s="86"/>
      <c r="BF51" s="87"/>
      <c r="BG51" s="86"/>
      <c r="BH51" s="87"/>
      <c r="BI51" s="86"/>
      <c r="BJ51" s="87"/>
      <c r="BK51" s="86"/>
      <c r="BL51" s="87"/>
      <c r="BM51" s="86"/>
      <c r="BN51" s="50"/>
      <c r="BO51" s="170" t="str">
        <f t="shared" si="2"/>
        <v/>
      </c>
      <c r="BP51" s="87"/>
      <c r="BQ51" s="88"/>
    </row>
    <row r="52" spans="1:76" x14ac:dyDescent="0.35">
      <c r="A52" s="83" t="s">
        <v>14</v>
      </c>
      <c r="B52" s="54"/>
      <c r="C52" s="84"/>
      <c r="D52" s="85"/>
      <c r="E52" s="86"/>
      <c r="F52" s="87"/>
      <c r="G52" s="86"/>
      <c r="H52" s="87"/>
      <c r="I52" s="86"/>
      <c r="J52" s="87"/>
      <c r="K52" s="86"/>
      <c r="L52" s="87"/>
      <c r="M52" s="86"/>
      <c r="N52" s="87"/>
      <c r="O52" s="86"/>
      <c r="P52" s="87"/>
      <c r="Q52" s="86"/>
      <c r="R52" s="87"/>
      <c r="S52" s="86"/>
      <c r="T52" s="87"/>
      <c r="U52" s="86"/>
      <c r="V52" s="87"/>
      <c r="W52" s="86"/>
      <c r="X52" s="87"/>
      <c r="Y52" s="86"/>
      <c r="Z52" s="87"/>
      <c r="AA52" s="86"/>
      <c r="AB52" s="87"/>
      <c r="AC52" s="86"/>
      <c r="AD52" s="87"/>
      <c r="AE52" s="86"/>
      <c r="AF52" s="87"/>
      <c r="AG52" s="86"/>
      <c r="AH52" s="87"/>
      <c r="AI52" s="86"/>
      <c r="AJ52" s="87"/>
      <c r="AK52" s="86"/>
      <c r="AL52" s="87"/>
      <c r="AM52" s="86"/>
      <c r="AN52" s="87"/>
      <c r="AO52" s="86"/>
      <c r="AP52" s="87"/>
      <c r="AQ52" s="86"/>
      <c r="AR52" s="87"/>
      <c r="AS52" s="86"/>
      <c r="AT52" s="87"/>
      <c r="AU52" s="86"/>
      <c r="AV52" s="87"/>
      <c r="AW52" s="86"/>
      <c r="AX52" s="87"/>
      <c r="AY52" s="86"/>
      <c r="AZ52" s="87"/>
      <c r="BA52" s="86"/>
      <c r="BB52" s="87"/>
      <c r="BC52" s="86"/>
      <c r="BD52" s="87"/>
      <c r="BE52" s="86"/>
      <c r="BF52" s="87"/>
      <c r="BG52" s="86"/>
      <c r="BH52" s="87"/>
      <c r="BI52" s="86"/>
      <c r="BJ52" s="87"/>
      <c r="BK52" s="86"/>
      <c r="BL52" s="87"/>
      <c r="BM52" s="86"/>
      <c r="BN52" s="50"/>
      <c r="BO52" s="170" t="str">
        <f t="shared" si="2"/>
        <v/>
      </c>
      <c r="BP52" s="87"/>
      <c r="BQ52" s="88"/>
    </row>
    <row r="53" spans="1:76" x14ac:dyDescent="0.35">
      <c r="A53" s="83" t="s">
        <v>42</v>
      </c>
      <c r="B53" s="54"/>
      <c r="C53" s="84"/>
      <c r="D53" s="85"/>
      <c r="E53" s="86"/>
      <c r="F53" s="87"/>
      <c r="G53" s="86"/>
      <c r="H53" s="87"/>
      <c r="I53" s="86"/>
      <c r="J53" s="87"/>
      <c r="K53" s="86"/>
      <c r="L53" s="87"/>
      <c r="M53" s="86"/>
      <c r="N53" s="87"/>
      <c r="O53" s="86"/>
      <c r="P53" s="87"/>
      <c r="Q53" s="86"/>
      <c r="R53" s="87"/>
      <c r="S53" s="86"/>
      <c r="T53" s="87"/>
      <c r="U53" s="86"/>
      <c r="V53" s="87"/>
      <c r="W53" s="86"/>
      <c r="X53" s="87"/>
      <c r="Y53" s="86"/>
      <c r="Z53" s="87"/>
      <c r="AA53" s="86"/>
      <c r="AB53" s="87"/>
      <c r="AC53" s="86"/>
      <c r="AD53" s="87"/>
      <c r="AE53" s="86"/>
      <c r="AF53" s="87"/>
      <c r="AG53" s="86"/>
      <c r="AH53" s="87"/>
      <c r="AI53" s="86"/>
      <c r="AJ53" s="87"/>
      <c r="AK53" s="86"/>
      <c r="AL53" s="87"/>
      <c r="AM53" s="86"/>
      <c r="AN53" s="87"/>
      <c r="AO53" s="86"/>
      <c r="AP53" s="87"/>
      <c r="AQ53" s="86"/>
      <c r="AR53" s="87"/>
      <c r="AS53" s="86"/>
      <c r="AT53" s="87"/>
      <c r="AU53" s="86"/>
      <c r="AV53" s="87"/>
      <c r="AW53" s="86"/>
      <c r="AX53" s="87"/>
      <c r="AY53" s="86"/>
      <c r="AZ53" s="87"/>
      <c r="BA53" s="86"/>
      <c r="BB53" s="87"/>
      <c r="BC53" s="86"/>
      <c r="BD53" s="87"/>
      <c r="BE53" s="86"/>
      <c r="BF53" s="87"/>
      <c r="BG53" s="86"/>
      <c r="BH53" s="87"/>
      <c r="BI53" s="86"/>
      <c r="BJ53" s="87"/>
      <c r="BK53" s="86"/>
      <c r="BL53" s="87"/>
      <c r="BM53" s="86"/>
      <c r="BN53" s="50"/>
      <c r="BO53" s="170" t="str">
        <f t="shared" si="2"/>
        <v/>
      </c>
      <c r="BP53" s="87"/>
      <c r="BQ53" s="88"/>
    </row>
    <row r="54" spans="1:76" x14ac:dyDescent="0.35">
      <c r="A54" s="89" t="s">
        <v>15</v>
      </c>
      <c r="B54" s="90"/>
      <c r="C54" s="174">
        <f>IF('November 2026 Log'!BK54="","",'November 2026 Log'!BK54)</f>
        <v>0</v>
      </c>
      <c r="D54" s="47"/>
      <c r="E54" s="166">
        <f>E22+E23+E32+E34+E50+E51+E52-E33+E24+E53+E112</f>
        <v>0</v>
      </c>
      <c r="F54" s="49"/>
      <c r="G54" s="166">
        <f>G22+G23+G32+G34+G50+G51+G52-G33+G24+G53+G112</f>
        <v>0</v>
      </c>
      <c r="H54" s="49"/>
      <c r="I54" s="166">
        <f>I22+I23+I32+I34+I50+I51+I52-I33+I24+I53+I112</f>
        <v>0</v>
      </c>
      <c r="J54" s="49"/>
      <c r="K54" s="166">
        <f>K22+K23+K32+K34+K50+K51+K52-K33+K24+K53+K112</f>
        <v>0</v>
      </c>
      <c r="L54" s="49"/>
      <c r="M54" s="166">
        <f>M22+M23+M32+M34+M50+M51+M52-M33+M24+M53+M112</f>
        <v>0</v>
      </c>
      <c r="N54" s="49"/>
      <c r="O54" s="166">
        <f>O22+O23+O32+O34+O50+O51+O52-O33+O24+O53+O112</f>
        <v>0</v>
      </c>
      <c r="P54" s="49"/>
      <c r="Q54" s="166">
        <f>Q22+Q23+Q32+Q34+Q50+Q51+Q52-Q33+Q24+Q53+Q112</f>
        <v>0</v>
      </c>
      <c r="R54" s="49"/>
      <c r="S54" s="166">
        <f>S22+S23+S32+S34+S50+S51+S52-S33+S24+S53+S112</f>
        <v>0</v>
      </c>
      <c r="T54" s="49"/>
      <c r="U54" s="166">
        <f>U22+U23+U32+U34+U50+U51+U52-U33+U24+U53+U112</f>
        <v>0</v>
      </c>
      <c r="V54" s="49"/>
      <c r="W54" s="166">
        <f>W22+W23+W32+W34+W50+W51+W52-W33+W24+W53+W112</f>
        <v>0</v>
      </c>
      <c r="X54" s="49"/>
      <c r="Y54" s="166">
        <f>Y22+Y23+Y32+Y34+Y50+Y51+Y52-Y33+Y24+Y53+Y112</f>
        <v>0</v>
      </c>
      <c r="Z54" s="49"/>
      <c r="AA54" s="166">
        <f>AA22+AA23+AA32+AA34+AA50+AA51+AA52-AA33+AA24+AA53+AA112</f>
        <v>0</v>
      </c>
      <c r="AB54" s="49"/>
      <c r="AC54" s="166">
        <f>AC22+AC23+AC32+AC34+AC50+AC51+AC52-AC33+AC24+AC53+AC112</f>
        <v>0</v>
      </c>
      <c r="AD54" s="49"/>
      <c r="AE54" s="166">
        <f>AE22+AE23+AE32+AE34+AE50+AE51+AE52-AE33+AE24+AE53+AE112</f>
        <v>0</v>
      </c>
      <c r="AF54" s="49"/>
      <c r="AG54" s="166">
        <f>AG22+AG23+AG32+AG34+AG50+AG51+AG52-AG33+AG24+AG53+AG112</f>
        <v>0</v>
      </c>
      <c r="AH54" s="49"/>
      <c r="AI54" s="166">
        <f>AI22+AI23+AI32+AI34+AI50+AI51+AI52-AI33+AI24+AI53+AI112</f>
        <v>0</v>
      </c>
      <c r="AJ54" s="49"/>
      <c r="AK54" s="166">
        <f>AK22+AK23+AK32+AK34+AK50+AK51+AK52-AK33+AK24+AK53+AK112</f>
        <v>0</v>
      </c>
      <c r="AL54" s="49"/>
      <c r="AM54" s="166">
        <f>AM22+AM23+AM32+AM34+AM50+AM51+AM52-AM33+AM24+AM53+AM112</f>
        <v>0</v>
      </c>
      <c r="AN54" s="49"/>
      <c r="AO54" s="166">
        <f>AO22+AO23+AO32+AO34+AO50+AO51+AO52-AO33+AO24+AO53+AO112</f>
        <v>0</v>
      </c>
      <c r="AP54" s="49"/>
      <c r="AQ54" s="166">
        <f>AQ22+AQ23+AQ32+AQ34+AQ50+AQ51+AQ52-AQ33+AQ24+AQ53+AQ112</f>
        <v>0</v>
      </c>
      <c r="AR54" s="49"/>
      <c r="AS54" s="166">
        <f>AS22+AS23+AS32+AS34+AS50+AS51+AS52-AS33+AS24+AS53+AS112</f>
        <v>0</v>
      </c>
      <c r="AT54" s="49"/>
      <c r="AU54" s="166">
        <f>AU22+AU23+AU32+AU34+AU50+AU51+AU52-AU33+AU24+AU53+AU112</f>
        <v>0</v>
      </c>
      <c r="AV54" s="49"/>
      <c r="AW54" s="166">
        <f>AW22+AW23+AW32+AW34+AW50+AW51+AW52-AW33+AW24+AW53+AW112</f>
        <v>0</v>
      </c>
      <c r="AX54" s="49"/>
      <c r="AY54" s="166">
        <f>AY22+AY23+AY32+AY34+AY50+AY51+AY52-AY33+AY24+AY53+AY112</f>
        <v>0</v>
      </c>
      <c r="AZ54" s="49"/>
      <c r="BA54" s="166">
        <f>BA22+BA23+BA32+BA34+BA50+BA51+BA52-BA33+BA24+BA53+BA112</f>
        <v>0</v>
      </c>
      <c r="BB54" s="49"/>
      <c r="BC54" s="166">
        <f>BC22+BC23+BC32+BC34+BC50+BC51+BC52-BC33+BC24+BC53+BC112</f>
        <v>0</v>
      </c>
      <c r="BD54" s="49"/>
      <c r="BE54" s="166">
        <f>BE22+BE23+BE32+BE34+BE50+BE51+BE52-BE33+BE24+BE53+BE112</f>
        <v>0</v>
      </c>
      <c r="BF54" s="49"/>
      <c r="BG54" s="166">
        <f>BG22+BG23+BG32+BG34+BG50+BG51+BG52-BG33+BG24+BG53+BG112</f>
        <v>0</v>
      </c>
      <c r="BH54" s="49"/>
      <c r="BI54" s="166">
        <f>BI22+BI23+BI32+BI34+BI50+BI51+BI52-BI33+BI24+BI53+BI112</f>
        <v>0</v>
      </c>
      <c r="BJ54" s="49"/>
      <c r="BK54" s="166">
        <f>BK22+BK23+BK32+BK34+BK50+BK51+BK52-BK33+BK24+BK53+BK112</f>
        <v>0</v>
      </c>
      <c r="BL54" s="49"/>
      <c r="BM54" s="166">
        <f>BM22+BM23+BM32+BM34+BM50+BM51+BM52-BM33+BM24+BM53+BM112</f>
        <v>0</v>
      </c>
      <c r="BN54" s="50"/>
      <c r="BO54" s="170">
        <f t="shared" si="2"/>
        <v>0</v>
      </c>
      <c r="BP54" s="49"/>
      <c r="BQ54" s="172">
        <f t="shared" ref="BQ54:BQ59" si="65">IF(BM54="","",BM54)</f>
        <v>0</v>
      </c>
    </row>
    <row r="55" spans="1:76" x14ac:dyDescent="0.35">
      <c r="A55" s="83" t="s">
        <v>16</v>
      </c>
      <c r="B55" s="54"/>
      <c r="C55" s="174" t="str">
        <f>IF('November 2026 Log'!BK55="","",'November 2026 Log'!BK55)</f>
        <v/>
      </c>
      <c r="D55" s="85"/>
      <c r="E55" s="86"/>
      <c r="F55" s="87"/>
      <c r="G55" s="86"/>
      <c r="H55" s="87"/>
      <c r="I55" s="86"/>
      <c r="J55" s="87"/>
      <c r="K55" s="86"/>
      <c r="L55" s="87"/>
      <c r="M55" s="86"/>
      <c r="N55" s="87"/>
      <c r="O55" s="86"/>
      <c r="P55" s="87"/>
      <c r="Q55" s="86"/>
      <c r="R55" s="87"/>
      <c r="S55" s="86"/>
      <c r="T55" s="87"/>
      <c r="U55" s="86"/>
      <c r="V55" s="87"/>
      <c r="W55" s="86"/>
      <c r="X55" s="87"/>
      <c r="Y55" s="86"/>
      <c r="Z55" s="87"/>
      <c r="AA55" s="86"/>
      <c r="AB55" s="87"/>
      <c r="AC55" s="86"/>
      <c r="AD55" s="87"/>
      <c r="AE55" s="86"/>
      <c r="AF55" s="87"/>
      <c r="AG55" s="86"/>
      <c r="AH55" s="87"/>
      <c r="AI55" s="86"/>
      <c r="AJ55" s="87"/>
      <c r="AK55" s="86"/>
      <c r="AL55" s="87"/>
      <c r="AM55" s="86"/>
      <c r="AN55" s="87"/>
      <c r="AO55" s="86"/>
      <c r="AP55" s="87"/>
      <c r="AQ55" s="86"/>
      <c r="AR55" s="87"/>
      <c r="AS55" s="86"/>
      <c r="AT55" s="87"/>
      <c r="AU55" s="86"/>
      <c r="AV55" s="87"/>
      <c r="AW55" s="86"/>
      <c r="AX55" s="87"/>
      <c r="AY55" s="86"/>
      <c r="AZ55" s="87"/>
      <c r="BA55" s="86"/>
      <c r="BB55" s="87"/>
      <c r="BC55" s="86"/>
      <c r="BD55" s="87"/>
      <c r="BE55" s="86"/>
      <c r="BF55" s="87"/>
      <c r="BG55" s="86"/>
      <c r="BH55" s="87"/>
      <c r="BI55" s="86"/>
      <c r="BJ55" s="87"/>
      <c r="BK55" s="86"/>
      <c r="BL55" s="87"/>
      <c r="BM55" s="86"/>
      <c r="BN55" s="50"/>
      <c r="BO55" s="170" t="str">
        <f t="shared" si="2"/>
        <v/>
      </c>
      <c r="BP55" s="87"/>
      <c r="BQ55" s="178" t="str">
        <f t="shared" si="65"/>
        <v/>
      </c>
    </row>
    <row r="56" spans="1:76" x14ac:dyDescent="0.35">
      <c r="A56" s="83" t="s">
        <v>17</v>
      </c>
      <c r="B56" s="54"/>
      <c r="C56" s="174" t="str">
        <f>IF('November 2026 Log'!BK56="","",'November 2026 Log'!BK56)</f>
        <v/>
      </c>
      <c r="D56" s="85"/>
      <c r="E56" s="86"/>
      <c r="F56" s="87"/>
      <c r="G56" s="86"/>
      <c r="H56" s="87"/>
      <c r="I56" s="86"/>
      <c r="J56" s="87"/>
      <c r="K56" s="86"/>
      <c r="L56" s="87"/>
      <c r="M56" s="86"/>
      <c r="N56" s="87"/>
      <c r="O56" s="86"/>
      <c r="P56" s="87"/>
      <c r="Q56" s="86"/>
      <c r="R56" s="87"/>
      <c r="S56" s="86"/>
      <c r="T56" s="87"/>
      <c r="U56" s="86"/>
      <c r="V56" s="87"/>
      <c r="W56" s="86"/>
      <c r="X56" s="87"/>
      <c r="Y56" s="86"/>
      <c r="Z56" s="87"/>
      <c r="AA56" s="86"/>
      <c r="AB56" s="87"/>
      <c r="AC56" s="86"/>
      <c r="AD56" s="87"/>
      <c r="AE56" s="86"/>
      <c r="AF56" s="87"/>
      <c r="AG56" s="86"/>
      <c r="AH56" s="87"/>
      <c r="AI56" s="86"/>
      <c r="AJ56" s="87"/>
      <c r="AK56" s="86"/>
      <c r="AL56" s="87"/>
      <c r="AM56" s="86"/>
      <c r="AN56" s="87"/>
      <c r="AO56" s="86"/>
      <c r="AP56" s="87"/>
      <c r="AQ56" s="86"/>
      <c r="AR56" s="87"/>
      <c r="AS56" s="86"/>
      <c r="AT56" s="87"/>
      <c r="AU56" s="86"/>
      <c r="AV56" s="87"/>
      <c r="AW56" s="86"/>
      <c r="AX56" s="87"/>
      <c r="AY56" s="86"/>
      <c r="AZ56" s="87"/>
      <c r="BA56" s="86"/>
      <c r="BB56" s="87"/>
      <c r="BC56" s="86"/>
      <c r="BD56" s="87"/>
      <c r="BE56" s="86"/>
      <c r="BF56" s="87"/>
      <c r="BG56" s="86"/>
      <c r="BH56" s="87"/>
      <c r="BI56" s="86"/>
      <c r="BJ56" s="87"/>
      <c r="BK56" s="86"/>
      <c r="BL56" s="87"/>
      <c r="BM56" s="86"/>
      <c r="BN56" s="50"/>
      <c r="BO56" s="170" t="str">
        <f t="shared" si="2"/>
        <v/>
      </c>
      <c r="BP56" s="87"/>
      <c r="BQ56" s="178" t="str">
        <f t="shared" si="65"/>
        <v/>
      </c>
    </row>
    <row r="57" spans="1:76" x14ac:dyDescent="0.35">
      <c r="A57" s="89" t="s">
        <v>18</v>
      </c>
      <c r="B57" s="90"/>
      <c r="C57" s="174">
        <f>IF('November 2026 Log'!BK57="","",'November 2026 Log'!BK57)</f>
        <v>0</v>
      </c>
      <c r="D57" s="47"/>
      <c r="E57" s="166">
        <f>SUM(E55:E56)</f>
        <v>0</v>
      </c>
      <c r="F57" s="49"/>
      <c r="G57" s="166">
        <f>SUM(G55:G56)</f>
        <v>0</v>
      </c>
      <c r="H57" s="49"/>
      <c r="I57" s="166">
        <f>SUM(I55:I56)</f>
        <v>0</v>
      </c>
      <c r="J57" s="49"/>
      <c r="K57" s="166">
        <f>SUM(K55:K56)</f>
        <v>0</v>
      </c>
      <c r="L57" s="49"/>
      <c r="M57" s="166">
        <f>SUM(M55:M56)</f>
        <v>0</v>
      </c>
      <c r="N57" s="49"/>
      <c r="O57" s="166">
        <f>SUM(O55:O56)</f>
        <v>0</v>
      </c>
      <c r="P57" s="49"/>
      <c r="Q57" s="166">
        <f>SUM(Q55:Q56)</f>
        <v>0</v>
      </c>
      <c r="R57" s="49"/>
      <c r="S57" s="166">
        <f>SUM(S55:S56)</f>
        <v>0</v>
      </c>
      <c r="T57" s="49"/>
      <c r="U57" s="166">
        <f>SUM(U55:U56)</f>
        <v>0</v>
      </c>
      <c r="V57" s="49"/>
      <c r="W57" s="166">
        <f>SUM(W55:W56)</f>
        <v>0</v>
      </c>
      <c r="X57" s="49"/>
      <c r="Y57" s="166">
        <f>SUM(Y55:Y56)</f>
        <v>0</v>
      </c>
      <c r="Z57" s="49"/>
      <c r="AA57" s="166">
        <f>SUM(AA55:AA56)</f>
        <v>0</v>
      </c>
      <c r="AB57" s="49"/>
      <c r="AC57" s="166">
        <f>SUM(AC55:AC56)</f>
        <v>0</v>
      </c>
      <c r="AD57" s="49"/>
      <c r="AE57" s="166">
        <f>SUM(AE55:AE56)</f>
        <v>0</v>
      </c>
      <c r="AF57" s="49"/>
      <c r="AG57" s="166">
        <f>SUM(AG55:AG56)</f>
        <v>0</v>
      </c>
      <c r="AH57" s="49"/>
      <c r="AI57" s="166">
        <f>SUM(AI55:AI56)</f>
        <v>0</v>
      </c>
      <c r="AJ57" s="49"/>
      <c r="AK57" s="166">
        <f>SUM(AK55:AK56)</f>
        <v>0</v>
      </c>
      <c r="AL57" s="49"/>
      <c r="AM57" s="166">
        <f>SUM(AM55:AM56)</f>
        <v>0</v>
      </c>
      <c r="AN57" s="49"/>
      <c r="AO57" s="166">
        <f>SUM(AO55:AO56)</f>
        <v>0</v>
      </c>
      <c r="AP57" s="49"/>
      <c r="AQ57" s="166">
        <f>SUM(AQ55:AQ56)</f>
        <v>0</v>
      </c>
      <c r="AR57" s="49"/>
      <c r="AS57" s="166">
        <f>SUM(AS55:AS56)</f>
        <v>0</v>
      </c>
      <c r="AT57" s="49"/>
      <c r="AU57" s="166">
        <f>SUM(AU55:AU56)</f>
        <v>0</v>
      </c>
      <c r="AV57" s="49"/>
      <c r="AW57" s="166">
        <f>SUM(AW55:AW56)</f>
        <v>0</v>
      </c>
      <c r="AX57" s="49"/>
      <c r="AY57" s="166">
        <f>SUM(AY55:AY56)</f>
        <v>0</v>
      </c>
      <c r="AZ57" s="49"/>
      <c r="BA57" s="166">
        <f>SUM(BA55:BA56)</f>
        <v>0</v>
      </c>
      <c r="BB57" s="49"/>
      <c r="BC57" s="166">
        <f>SUM(BC55:BC56)</f>
        <v>0</v>
      </c>
      <c r="BD57" s="49"/>
      <c r="BE57" s="166">
        <f>SUM(BE55:BE56)</f>
        <v>0</v>
      </c>
      <c r="BF57" s="49"/>
      <c r="BG57" s="166">
        <f>SUM(BG55:BG56)</f>
        <v>0</v>
      </c>
      <c r="BH57" s="49"/>
      <c r="BI57" s="166">
        <f>SUM(BI55:BI56)</f>
        <v>0</v>
      </c>
      <c r="BJ57" s="49"/>
      <c r="BK57" s="166">
        <f>SUM(BK55:BK56)</f>
        <v>0</v>
      </c>
      <c r="BL57" s="49"/>
      <c r="BM57" s="166">
        <f>SUM(BM55:BM56)</f>
        <v>0</v>
      </c>
      <c r="BN57" s="50"/>
      <c r="BO57" s="170">
        <f t="shared" si="2"/>
        <v>0</v>
      </c>
      <c r="BP57" s="49"/>
      <c r="BQ57" s="172">
        <f t="shared" si="65"/>
        <v>0</v>
      </c>
    </row>
    <row r="58" spans="1:76" x14ac:dyDescent="0.35">
      <c r="A58" s="108" t="s">
        <v>19</v>
      </c>
      <c r="B58" s="109"/>
      <c r="C58" s="174">
        <f>IF('November 2026 Log'!BK58="","",'November 2026 Log'!BK58)</f>
        <v>0</v>
      </c>
      <c r="D58" s="47"/>
      <c r="E58" s="166">
        <f>+E54-E57</f>
        <v>0</v>
      </c>
      <c r="F58" s="49"/>
      <c r="G58" s="166">
        <f>+G54-G57</f>
        <v>0</v>
      </c>
      <c r="H58" s="49"/>
      <c r="I58" s="166">
        <f>+I54-I57</f>
        <v>0</v>
      </c>
      <c r="J58" s="49"/>
      <c r="K58" s="166">
        <f>+K54-K57</f>
        <v>0</v>
      </c>
      <c r="L58" s="49"/>
      <c r="M58" s="166">
        <f>+M54-M57</f>
        <v>0</v>
      </c>
      <c r="N58" s="49"/>
      <c r="O58" s="166">
        <f>+O54-O57</f>
        <v>0</v>
      </c>
      <c r="P58" s="49"/>
      <c r="Q58" s="166">
        <f>+Q54-Q57</f>
        <v>0</v>
      </c>
      <c r="R58" s="49"/>
      <c r="S58" s="166">
        <f>+S54-S57</f>
        <v>0</v>
      </c>
      <c r="T58" s="49"/>
      <c r="U58" s="166">
        <f>+U54-U57</f>
        <v>0</v>
      </c>
      <c r="V58" s="49"/>
      <c r="W58" s="166">
        <f>+W54-W57</f>
        <v>0</v>
      </c>
      <c r="X58" s="49"/>
      <c r="Y58" s="166">
        <f>+Y54-Y57</f>
        <v>0</v>
      </c>
      <c r="Z58" s="49"/>
      <c r="AA58" s="166">
        <f>+AA54-AA57</f>
        <v>0</v>
      </c>
      <c r="AB58" s="49"/>
      <c r="AC58" s="166">
        <f>+AC54-AC57</f>
        <v>0</v>
      </c>
      <c r="AD58" s="49"/>
      <c r="AE58" s="166">
        <f>+AE54-AE57</f>
        <v>0</v>
      </c>
      <c r="AF58" s="49"/>
      <c r="AG58" s="166">
        <f>+AG54-AG57</f>
        <v>0</v>
      </c>
      <c r="AH58" s="49"/>
      <c r="AI58" s="166">
        <f>+AI54-AI57</f>
        <v>0</v>
      </c>
      <c r="AJ58" s="49"/>
      <c r="AK58" s="166">
        <f>+AK54-AK57</f>
        <v>0</v>
      </c>
      <c r="AL58" s="49"/>
      <c r="AM58" s="166">
        <f>+AM54-AM57</f>
        <v>0</v>
      </c>
      <c r="AN58" s="49"/>
      <c r="AO58" s="166">
        <f>+AO54-AO57</f>
        <v>0</v>
      </c>
      <c r="AP58" s="49"/>
      <c r="AQ58" s="166">
        <f>+AQ54-AQ57</f>
        <v>0</v>
      </c>
      <c r="AR58" s="49"/>
      <c r="AS58" s="166">
        <f>+AS54-AS57</f>
        <v>0</v>
      </c>
      <c r="AT58" s="49"/>
      <c r="AU58" s="166">
        <f>+AU54-AU57</f>
        <v>0</v>
      </c>
      <c r="AV58" s="49"/>
      <c r="AW58" s="166">
        <f>+AW54-AW57</f>
        <v>0</v>
      </c>
      <c r="AX58" s="49"/>
      <c r="AY58" s="166">
        <f>+AY54-AY57</f>
        <v>0</v>
      </c>
      <c r="AZ58" s="49"/>
      <c r="BA58" s="166">
        <f>+BA54-BA57</f>
        <v>0</v>
      </c>
      <c r="BB58" s="49"/>
      <c r="BC58" s="166">
        <f>+BC54-BC57</f>
        <v>0</v>
      </c>
      <c r="BD58" s="49"/>
      <c r="BE58" s="166">
        <f>+BE54-BE57</f>
        <v>0</v>
      </c>
      <c r="BF58" s="49"/>
      <c r="BG58" s="166">
        <f>+BG54-BG57</f>
        <v>0</v>
      </c>
      <c r="BH58" s="49"/>
      <c r="BI58" s="166">
        <f>+BI54-BI57</f>
        <v>0</v>
      </c>
      <c r="BJ58" s="49"/>
      <c r="BK58" s="166">
        <f>+BK54-BK57</f>
        <v>0</v>
      </c>
      <c r="BL58" s="49"/>
      <c r="BM58" s="166">
        <f>+BM54-BM57</f>
        <v>0</v>
      </c>
      <c r="BN58" s="50"/>
      <c r="BO58" s="170">
        <f t="shared" si="2"/>
        <v>0</v>
      </c>
      <c r="BP58" s="49"/>
      <c r="BQ58" s="172">
        <f t="shared" si="65"/>
        <v>0</v>
      </c>
    </row>
    <row r="59" spans="1:76" x14ac:dyDescent="0.35">
      <c r="A59" s="108" t="s">
        <v>20</v>
      </c>
      <c r="B59" s="109"/>
      <c r="C59" s="174">
        <f>IF('November 2026 Log'!BK59="","",'November 2026 Log'!BK59)</f>
        <v>0</v>
      </c>
      <c r="D59" s="47"/>
      <c r="E59" s="166">
        <f>-E25+E26</f>
        <v>0</v>
      </c>
      <c r="F59" s="49"/>
      <c r="G59" s="166">
        <f>-G25+G26</f>
        <v>0</v>
      </c>
      <c r="H59" s="49"/>
      <c r="I59" s="166">
        <f>-I25+I26</f>
        <v>0</v>
      </c>
      <c r="J59" s="49"/>
      <c r="K59" s="166">
        <f>-K25+K26</f>
        <v>0</v>
      </c>
      <c r="L59" s="49"/>
      <c r="M59" s="166">
        <f>-M25+M26</f>
        <v>0</v>
      </c>
      <c r="N59" s="49"/>
      <c r="O59" s="166">
        <f>-O25+O26</f>
        <v>0</v>
      </c>
      <c r="P59" s="49"/>
      <c r="Q59" s="166">
        <f>-Q25+Q26</f>
        <v>0</v>
      </c>
      <c r="R59" s="49"/>
      <c r="S59" s="166">
        <f>-S25+S26</f>
        <v>0</v>
      </c>
      <c r="T59" s="49"/>
      <c r="U59" s="166">
        <f>-U25+U26</f>
        <v>0</v>
      </c>
      <c r="V59" s="49"/>
      <c r="W59" s="166">
        <f>-W25+W26</f>
        <v>0</v>
      </c>
      <c r="X59" s="49"/>
      <c r="Y59" s="166">
        <f>-Y25+Y26</f>
        <v>0</v>
      </c>
      <c r="Z59" s="49"/>
      <c r="AA59" s="166">
        <f>-AA25+AA26</f>
        <v>0</v>
      </c>
      <c r="AB59" s="49"/>
      <c r="AC59" s="166">
        <f>-AC25+AC26</f>
        <v>0</v>
      </c>
      <c r="AD59" s="49"/>
      <c r="AE59" s="166">
        <f>-AE25+AE26</f>
        <v>0</v>
      </c>
      <c r="AF59" s="49"/>
      <c r="AG59" s="166">
        <f>-AG25+AG26</f>
        <v>0</v>
      </c>
      <c r="AH59" s="49"/>
      <c r="AI59" s="166">
        <f>-AI25+AI26</f>
        <v>0</v>
      </c>
      <c r="AJ59" s="49"/>
      <c r="AK59" s="166">
        <f>-AK25+AK26</f>
        <v>0</v>
      </c>
      <c r="AL59" s="49"/>
      <c r="AM59" s="166">
        <f>-AM25+AM26</f>
        <v>0</v>
      </c>
      <c r="AN59" s="49"/>
      <c r="AO59" s="166">
        <f>-AO25+AO26</f>
        <v>0</v>
      </c>
      <c r="AP59" s="49"/>
      <c r="AQ59" s="166">
        <f>-AQ25+AQ26</f>
        <v>0</v>
      </c>
      <c r="AR59" s="49"/>
      <c r="AS59" s="166">
        <f>-AS25+AS26</f>
        <v>0</v>
      </c>
      <c r="AT59" s="49"/>
      <c r="AU59" s="166">
        <f>-AU25+AU26</f>
        <v>0</v>
      </c>
      <c r="AV59" s="49"/>
      <c r="AW59" s="166">
        <f>-AW25+AW26</f>
        <v>0</v>
      </c>
      <c r="AX59" s="49"/>
      <c r="AY59" s="166">
        <f>-AY25+AY26</f>
        <v>0</v>
      </c>
      <c r="AZ59" s="49"/>
      <c r="BA59" s="166">
        <f>-BA25+BA26</f>
        <v>0</v>
      </c>
      <c r="BB59" s="49"/>
      <c r="BC59" s="166">
        <f>-BC25+BC26</f>
        <v>0</v>
      </c>
      <c r="BD59" s="49"/>
      <c r="BE59" s="166">
        <f>-BE25+BE26</f>
        <v>0</v>
      </c>
      <c r="BF59" s="49"/>
      <c r="BG59" s="166">
        <f>-BG25+BG26</f>
        <v>0</v>
      </c>
      <c r="BH59" s="49"/>
      <c r="BI59" s="166">
        <f>-BI25+BI26</f>
        <v>0</v>
      </c>
      <c r="BJ59" s="49"/>
      <c r="BK59" s="166">
        <f>-BK25+BK26</f>
        <v>0</v>
      </c>
      <c r="BL59" s="49"/>
      <c r="BM59" s="166">
        <f>-BM25+BM26</f>
        <v>0</v>
      </c>
      <c r="BN59" s="50"/>
      <c r="BO59" s="170">
        <f t="shared" si="2"/>
        <v>0</v>
      </c>
      <c r="BP59" s="49"/>
      <c r="BQ59" s="172">
        <f t="shared" si="65"/>
        <v>0</v>
      </c>
    </row>
    <row r="60" spans="1:76" x14ac:dyDescent="0.35">
      <c r="A60" s="74"/>
      <c r="B60" s="75"/>
      <c r="C60" s="141"/>
      <c r="D60" s="102"/>
      <c r="E60" s="142"/>
      <c r="F60" s="104"/>
      <c r="G60" s="142"/>
      <c r="H60" s="104"/>
      <c r="I60" s="142"/>
      <c r="J60" s="104"/>
      <c r="K60" s="142"/>
      <c r="L60" s="104"/>
      <c r="M60" s="142"/>
      <c r="N60" s="104"/>
      <c r="O60" s="142"/>
      <c r="P60" s="104"/>
      <c r="Q60" s="142"/>
      <c r="R60" s="104"/>
      <c r="S60" s="142"/>
      <c r="T60" s="104"/>
      <c r="U60" s="142"/>
      <c r="V60" s="104"/>
      <c r="W60" s="142"/>
      <c r="X60" s="104"/>
      <c r="Y60" s="142"/>
      <c r="Z60" s="104"/>
      <c r="AA60" s="142"/>
      <c r="AB60" s="104"/>
      <c r="AC60" s="142"/>
      <c r="AD60" s="104"/>
      <c r="AE60" s="142"/>
      <c r="AF60" s="104"/>
      <c r="AG60" s="142"/>
      <c r="AH60" s="104"/>
      <c r="AI60" s="142"/>
      <c r="AJ60" s="104"/>
      <c r="AK60" s="142"/>
      <c r="AL60" s="104"/>
      <c r="AM60" s="142"/>
      <c r="AN60" s="104"/>
      <c r="AO60" s="142"/>
      <c r="AP60" s="104"/>
      <c r="AQ60" s="142"/>
      <c r="AR60" s="104"/>
      <c r="AS60" s="142"/>
      <c r="AT60" s="104"/>
      <c r="AU60" s="142"/>
      <c r="AV60" s="104"/>
      <c r="AW60" s="142"/>
      <c r="AX60" s="104"/>
      <c r="AY60" s="142"/>
      <c r="AZ60" s="104"/>
      <c r="BA60" s="142"/>
      <c r="BB60" s="104"/>
      <c r="BC60" s="142"/>
      <c r="BD60" s="104"/>
      <c r="BE60" s="142"/>
      <c r="BF60" s="104"/>
      <c r="BG60" s="142"/>
      <c r="BH60" s="104"/>
      <c r="BI60" s="142"/>
      <c r="BJ60" s="104"/>
      <c r="BK60" s="142"/>
      <c r="BL60" s="104"/>
      <c r="BM60" s="142"/>
      <c r="BN60" s="105"/>
      <c r="BO60" s="106"/>
      <c r="BP60" s="104"/>
      <c r="BQ60" s="107"/>
    </row>
    <row r="61" spans="1:76" s="8" customFormat="1" x14ac:dyDescent="0.35">
      <c r="A61" s="213" t="s">
        <v>68</v>
      </c>
      <c r="B61" s="214"/>
      <c r="C61" s="215"/>
      <c r="D61" s="47"/>
      <c r="E61" s="166" t="e">
        <f t="shared" ref="E61" si="66">+E73-D67</f>
        <v>#VALUE!</v>
      </c>
      <c r="F61" s="49"/>
      <c r="G61" s="166">
        <f t="shared" ref="G61" si="67">+G73-F67</f>
        <v>0</v>
      </c>
      <c r="H61" s="49"/>
      <c r="I61" s="166">
        <f t="shared" ref="I61" si="68">+I73-H67</f>
        <v>0</v>
      </c>
      <c r="J61" s="49"/>
      <c r="K61" s="166">
        <f t="shared" ref="K61" si="69">+K73-J67</f>
        <v>0</v>
      </c>
      <c r="L61" s="49"/>
      <c r="M61" s="166">
        <f t="shared" ref="M61" si="70">+M73-L67</f>
        <v>0</v>
      </c>
      <c r="N61" s="49"/>
      <c r="O61" s="166">
        <f t="shared" ref="O61" si="71">+O73-N67</f>
        <v>0</v>
      </c>
      <c r="P61" s="49"/>
      <c r="Q61" s="166">
        <f t="shared" ref="Q61" si="72">+Q73-P67</f>
        <v>0</v>
      </c>
      <c r="R61" s="49"/>
      <c r="S61" s="166">
        <f t="shared" ref="S61" si="73">+S73-R67</f>
        <v>0</v>
      </c>
      <c r="T61" s="49"/>
      <c r="U61" s="166">
        <f t="shared" ref="U61" si="74">+U73-T67</f>
        <v>0</v>
      </c>
      <c r="V61" s="49"/>
      <c r="W61" s="166">
        <f t="shared" ref="W61" si="75">+W73-V67</f>
        <v>0</v>
      </c>
      <c r="X61" s="49"/>
      <c r="Y61" s="166">
        <f t="shared" ref="Y61" si="76">+Y73-X67</f>
        <v>0</v>
      </c>
      <c r="Z61" s="49"/>
      <c r="AA61" s="166">
        <f t="shared" ref="AA61" si="77">+AA73-Z67</f>
        <v>0</v>
      </c>
      <c r="AB61" s="49"/>
      <c r="AC61" s="166">
        <f t="shared" ref="AC61" si="78">+AC73-AB67</f>
        <v>0</v>
      </c>
      <c r="AD61" s="49"/>
      <c r="AE61" s="166">
        <f t="shared" ref="AE61" si="79">+AE73-AD67</f>
        <v>0</v>
      </c>
      <c r="AF61" s="49"/>
      <c r="AG61" s="166">
        <f t="shared" ref="AG61" si="80">+AG73-AF67</f>
        <v>0</v>
      </c>
      <c r="AH61" s="49"/>
      <c r="AI61" s="166">
        <f t="shared" ref="AI61" si="81">+AI73-AH67</f>
        <v>0</v>
      </c>
      <c r="AJ61" s="49"/>
      <c r="AK61" s="166">
        <f t="shared" ref="AK61" si="82">+AK73-AJ67</f>
        <v>0</v>
      </c>
      <c r="AL61" s="49"/>
      <c r="AM61" s="166">
        <f t="shared" ref="AM61" si="83">+AM73-AL67</f>
        <v>0</v>
      </c>
      <c r="AN61" s="49"/>
      <c r="AO61" s="166">
        <f t="shared" ref="AO61" si="84">+AO73-AN67</f>
        <v>0</v>
      </c>
      <c r="AP61" s="49"/>
      <c r="AQ61" s="166">
        <f t="shared" ref="AQ61" si="85">+AQ73-AP67</f>
        <v>0</v>
      </c>
      <c r="AR61" s="49"/>
      <c r="AS61" s="166">
        <f t="shared" ref="AS61" si="86">+AS73-AR67</f>
        <v>0</v>
      </c>
      <c r="AT61" s="49"/>
      <c r="AU61" s="166">
        <f t="shared" ref="AU61" si="87">+AU73-AT67</f>
        <v>0</v>
      </c>
      <c r="AV61" s="49"/>
      <c r="AW61" s="166">
        <f t="shared" ref="AW61" si="88">+AW73-AV67</f>
        <v>0</v>
      </c>
      <c r="AX61" s="49"/>
      <c r="AY61" s="166">
        <f t="shared" ref="AY61" si="89">+AY73-AX67</f>
        <v>0</v>
      </c>
      <c r="AZ61" s="49"/>
      <c r="BA61" s="166">
        <f t="shared" ref="BA61" si="90">+BA73-AZ67</f>
        <v>0</v>
      </c>
      <c r="BB61" s="49"/>
      <c r="BC61" s="166">
        <f t="shared" ref="BC61" si="91">+BC73-BB67</f>
        <v>0</v>
      </c>
      <c r="BD61" s="49"/>
      <c r="BE61" s="166">
        <f t="shared" ref="BE61" si="92">+BE73-BD67</f>
        <v>0</v>
      </c>
      <c r="BF61" s="49"/>
      <c r="BG61" s="166">
        <f>+BG73-BF67</f>
        <v>0</v>
      </c>
      <c r="BH61" s="49"/>
      <c r="BI61" s="166">
        <f>+BI73-BH67</f>
        <v>0</v>
      </c>
      <c r="BJ61" s="49"/>
      <c r="BK61" s="166">
        <f t="shared" ref="BK61" si="93">+BK73-BJ67</f>
        <v>0</v>
      </c>
      <c r="BL61" s="49"/>
      <c r="BM61" s="166">
        <f t="shared" ref="BM61" si="94">+BM73-BL67</f>
        <v>0</v>
      </c>
      <c r="BN61" s="50"/>
      <c r="BO61" s="170" t="e">
        <f>IF(COUNT(E61,G61,I61,K61,M61,O61,Q61,S61,U61,W61,Y61,AA61,AC61,AE61,AG61,AI61,AK61,AM61,AO61,AQ61,AS61,AU61,AW61,AY61,BA61,BC61,BE61,BG61,BI61,BK61,BM61)=0,"",SUM(E61,G61,I61,K61,M61,O61,Q61,S61,U61,W61,Y61,AA61,AC61,AE61,AG61,AI61,AK61,AM61,AO61,AQ61,AS61,AU61,AW61,AY61,BA61,BC61,BE61,BG61,BI61,BK61,BM61))</f>
        <v>#VALUE!</v>
      </c>
      <c r="BP61" s="49"/>
      <c r="BQ61" s="52"/>
      <c r="BR61"/>
      <c r="BS61"/>
      <c r="BT61"/>
      <c r="BU61"/>
      <c r="BV61"/>
      <c r="BW61"/>
      <c r="BX61"/>
    </row>
    <row r="62" spans="1:76" x14ac:dyDescent="0.35">
      <c r="A62" s="53" t="s">
        <v>24</v>
      </c>
      <c r="B62" s="187" t="e">
        <f>C62-C106</f>
        <v>#VALUE!</v>
      </c>
      <c r="C62" s="174" t="str">
        <f>IF('November 2026 Log'!BK62="","",'November 2026 Log'!BK62)</f>
        <v/>
      </c>
      <c r="D62" s="189" t="e">
        <f>+C62-E62+E106</f>
        <v>#VALUE!</v>
      </c>
      <c r="E62" s="48"/>
      <c r="F62" s="167">
        <f>+E62-G62+G106</f>
        <v>0</v>
      </c>
      <c r="G62" s="48"/>
      <c r="H62" s="167">
        <f>+G62-I62+I106</f>
        <v>0</v>
      </c>
      <c r="I62" s="48"/>
      <c r="J62" s="167">
        <f>+I62-K62+K106</f>
        <v>0</v>
      </c>
      <c r="K62" s="48"/>
      <c r="L62" s="167">
        <f>+K62-M62+M106</f>
        <v>0</v>
      </c>
      <c r="M62" s="48"/>
      <c r="N62" s="167">
        <f>+M62-O62+O106</f>
        <v>0</v>
      </c>
      <c r="O62" s="48"/>
      <c r="P62" s="167">
        <f>+O62-Q62+Q106</f>
        <v>0</v>
      </c>
      <c r="Q62" s="48"/>
      <c r="R62" s="167">
        <f>+Q62-S62+S106</f>
        <v>0</v>
      </c>
      <c r="S62" s="48"/>
      <c r="T62" s="167">
        <f>+S62-U62+U106</f>
        <v>0</v>
      </c>
      <c r="U62" s="48"/>
      <c r="V62" s="167">
        <f>+U62-W62+W106</f>
        <v>0</v>
      </c>
      <c r="W62" s="48"/>
      <c r="X62" s="167">
        <f>+W62-Y62+Y106</f>
        <v>0</v>
      </c>
      <c r="Y62" s="48"/>
      <c r="Z62" s="167">
        <f>+Y62-AA62+AA106</f>
        <v>0</v>
      </c>
      <c r="AA62" s="48"/>
      <c r="AB62" s="167">
        <f>+AA62-AC62+AC106</f>
        <v>0</v>
      </c>
      <c r="AC62" s="48"/>
      <c r="AD62" s="167">
        <f>+AC62-AE62+AE106</f>
        <v>0</v>
      </c>
      <c r="AE62" s="48"/>
      <c r="AF62" s="167">
        <f>+AE62-AG62+AG106</f>
        <v>0</v>
      </c>
      <c r="AG62" s="48"/>
      <c r="AH62" s="167">
        <f>+AG62-AI62+AI106</f>
        <v>0</v>
      </c>
      <c r="AI62" s="48"/>
      <c r="AJ62" s="167">
        <f>+AI62-AK62+AK106</f>
        <v>0</v>
      </c>
      <c r="AK62" s="48"/>
      <c r="AL62" s="167">
        <f>+AK62-AM62+AM106</f>
        <v>0</v>
      </c>
      <c r="AM62" s="48"/>
      <c r="AN62" s="167">
        <f>+AM62-AO62+AO106</f>
        <v>0</v>
      </c>
      <c r="AO62" s="48"/>
      <c r="AP62" s="167">
        <f>+AO62-AQ62+AQ106</f>
        <v>0</v>
      </c>
      <c r="AQ62" s="48"/>
      <c r="AR62" s="167">
        <f>+AQ62-AS62+AS106</f>
        <v>0</v>
      </c>
      <c r="AS62" s="48"/>
      <c r="AT62" s="167">
        <f>+AS62-AU62+AU106</f>
        <v>0</v>
      </c>
      <c r="AU62" s="48"/>
      <c r="AV62" s="167">
        <f>+AU62-AW62+AW106</f>
        <v>0</v>
      </c>
      <c r="AW62" s="48"/>
      <c r="AX62" s="167">
        <f>+AW62-AY62+AY106</f>
        <v>0</v>
      </c>
      <c r="AY62" s="48"/>
      <c r="AZ62" s="167">
        <f>+AY62-BA62+BA106</f>
        <v>0</v>
      </c>
      <c r="BA62" s="48"/>
      <c r="BB62" s="167">
        <f>+BA62-BC62+BC106</f>
        <v>0</v>
      </c>
      <c r="BC62" s="48"/>
      <c r="BD62" s="167">
        <f>+BC62-BE62+BE106</f>
        <v>0</v>
      </c>
      <c r="BE62" s="48"/>
      <c r="BF62" s="167">
        <f>+BE62-BG62+BG106</f>
        <v>0</v>
      </c>
      <c r="BG62" s="48"/>
      <c r="BH62" s="167">
        <f>+BG62-BI62+BI106</f>
        <v>0</v>
      </c>
      <c r="BI62" s="48"/>
      <c r="BJ62" s="167">
        <f>+BI62-BK62+BK106</f>
        <v>0</v>
      </c>
      <c r="BK62" s="48"/>
      <c r="BL62" s="167">
        <f>+BK62-BM62+BM106</f>
        <v>0</v>
      </c>
      <c r="BM62" s="48"/>
      <c r="BN62" s="50"/>
      <c r="BO62" s="170" t="e">
        <f>IF(COUNT(D62,F62,H62,J62,L62,N62,P62,R62,T62,V62,X62,Z62,AB62,AD62,AF62,AH62,AJ62,AL62,AN62,AP62,AR62,AT62,AV62,AX62,AZ62,BB62,BD62,BF62,BH62,BJ62,BL62)=0,"",SUM(D62,F62,H62,J62,L62,N62,P62,R62,T62,V62,X62,Z62,AB62,AD62,AF62,AH62,AJ62,AL62,AN62,AP62,AR62,AT62,AV62,AX62,AZ62,BB62,BD62,BF62,BH62,BJ62,BL62))</f>
        <v>#VALUE!</v>
      </c>
      <c r="BP62" s="167" t="e">
        <f>+BM62-BQ62+BQ106</f>
        <v>#VALUE!</v>
      </c>
      <c r="BQ62" s="178" t="str">
        <f>IF(BM62="","",BM62)</f>
        <v/>
      </c>
    </row>
    <row r="63" spans="1:76" x14ac:dyDescent="0.35">
      <c r="A63" s="53" t="s">
        <v>25</v>
      </c>
      <c r="B63" s="187" t="e">
        <f>C63-C107</f>
        <v>#VALUE!</v>
      </c>
      <c r="C63" s="174" t="str">
        <f>IF('November 2026 Log'!BK63="","",'November 2026 Log'!BK63)</f>
        <v/>
      </c>
      <c r="D63" s="189" t="e">
        <f>+C63-E63+E107</f>
        <v>#VALUE!</v>
      </c>
      <c r="E63" s="48"/>
      <c r="F63" s="167">
        <f>+E63-G63+G107</f>
        <v>0</v>
      </c>
      <c r="G63" s="48"/>
      <c r="H63" s="167">
        <f>+G63-I63+I107</f>
        <v>0</v>
      </c>
      <c r="I63" s="48"/>
      <c r="J63" s="167">
        <f>+I63-K63+K107</f>
        <v>0</v>
      </c>
      <c r="K63" s="48"/>
      <c r="L63" s="167">
        <f>+K63-M63+M107</f>
        <v>0</v>
      </c>
      <c r="M63" s="48"/>
      <c r="N63" s="167">
        <f>+M63-O63+O107</f>
        <v>0</v>
      </c>
      <c r="O63" s="48"/>
      <c r="P63" s="167">
        <f>+O63-Q63+Q107</f>
        <v>0</v>
      </c>
      <c r="Q63" s="48"/>
      <c r="R63" s="167">
        <f>+Q63-S63+S107</f>
        <v>0</v>
      </c>
      <c r="S63" s="48"/>
      <c r="T63" s="167">
        <f>+S63-U63+U107</f>
        <v>0</v>
      </c>
      <c r="U63" s="48"/>
      <c r="V63" s="167">
        <f>+U63-W63+W107</f>
        <v>0</v>
      </c>
      <c r="W63" s="48"/>
      <c r="X63" s="167">
        <f>+W63-Y63+Y107</f>
        <v>0</v>
      </c>
      <c r="Y63" s="48"/>
      <c r="Z63" s="167">
        <f>+Y63-AA63+AA107</f>
        <v>0</v>
      </c>
      <c r="AA63" s="48"/>
      <c r="AB63" s="167">
        <f>+AA63-AC63+AC107</f>
        <v>0</v>
      </c>
      <c r="AC63" s="48"/>
      <c r="AD63" s="167">
        <f>+AC63-AE63+AE107</f>
        <v>0</v>
      </c>
      <c r="AE63" s="48"/>
      <c r="AF63" s="167">
        <f>+AE63-AG63+AG107</f>
        <v>0</v>
      </c>
      <c r="AG63" s="48"/>
      <c r="AH63" s="167">
        <f>+AG63-AI63+AI107</f>
        <v>0</v>
      </c>
      <c r="AI63" s="48"/>
      <c r="AJ63" s="167">
        <f>+AI63-AK63+AK107</f>
        <v>0</v>
      </c>
      <c r="AK63" s="48"/>
      <c r="AL63" s="167">
        <f>+AK63-AM63+AM107</f>
        <v>0</v>
      </c>
      <c r="AM63" s="48"/>
      <c r="AN63" s="167">
        <f>+AM63-AO63+AO107</f>
        <v>0</v>
      </c>
      <c r="AO63" s="48"/>
      <c r="AP63" s="167">
        <f>+AO63-AQ63+AQ107</f>
        <v>0</v>
      </c>
      <c r="AQ63" s="48"/>
      <c r="AR63" s="167">
        <f>+AQ63-AS63+AS107</f>
        <v>0</v>
      </c>
      <c r="AS63" s="48"/>
      <c r="AT63" s="167">
        <f>+AS63-AU63+AU107</f>
        <v>0</v>
      </c>
      <c r="AU63" s="48"/>
      <c r="AV63" s="167">
        <f>+AU63-AW63+AW107</f>
        <v>0</v>
      </c>
      <c r="AW63" s="48"/>
      <c r="AX63" s="167">
        <f>+AW63-AY63+AY107</f>
        <v>0</v>
      </c>
      <c r="AY63" s="48"/>
      <c r="AZ63" s="167">
        <f>+AY63-BA63+BA107</f>
        <v>0</v>
      </c>
      <c r="BA63" s="48"/>
      <c r="BB63" s="167">
        <f>+BA63-BC63+BC107</f>
        <v>0</v>
      </c>
      <c r="BC63" s="48"/>
      <c r="BD63" s="167">
        <f>+BC63-BE63+BE107</f>
        <v>0</v>
      </c>
      <c r="BE63" s="48"/>
      <c r="BF63" s="167">
        <f>+BE63-BG63+BG107</f>
        <v>0</v>
      </c>
      <c r="BG63" s="48"/>
      <c r="BH63" s="167">
        <f>+BG63-BI63+BI107</f>
        <v>0</v>
      </c>
      <c r="BI63" s="48"/>
      <c r="BJ63" s="167">
        <f>+BI63-BK63+BK107</f>
        <v>0</v>
      </c>
      <c r="BK63" s="48"/>
      <c r="BL63" s="167">
        <f>+BK63-BM63+BM107</f>
        <v>0</v>
      </c>
      <c r="BM63" s="48"/>
      <c r="BN63" s="50"/>
      <c r="BO63" s="170" t="e">
        <f>IF(COUNT(D63,F63,H63,J63,L63,N63,P63,R63,T63,V63,X63,Z63,AB63,AD63,AF63,AH63,AJ63,AL63,AN63,AP63,AR63,AT63,AV63,AX63,AZ63,BB63,BD63,BF63,BH63,BJ63,BL63)=0,"",SUM(D63,F63,H63,J63,L63,N63,P63,R63,T63,V63,X63,Z63,AB63,AD63,AF63,AH63,AJ63,AL63,AN63,AP63,AR63,AT63,AV63,AX63,AZ63,BB63,BD63,BF63,BH63,BJ63,BL63))</f>
        <v>#VALUE!</v>
      </c>
      <c r="BP63" s="167" t="e">
        <f>+BM63-BQ63+BQ107</f>
        <v>#VALUE!</v>
      </c>
      <c r="BQ63" s="178" t="str">
        <f>IF(BM63="","",BM63)</f>
        <v/>
      </c>
    </row>
    <row r="64" spans="1:76" x14ac:dyDescent="0.35">
      <c r="A64" s="53" t="s">
        <v>25</v>
      </c>
      <c r="B64" s="187" t="e">
        <f>C64-C108</f>
        <v>#VALUE!</v>
      </c>
      <c r="C64" s="174" t="str">
        <f>IF('November 2026 Log'!BK64="","",'November 2026 Log'!BK64)</f>
        <v/>
      </c>
      <c r="D64" s="189" t="e">
        <f>+C64-E64+E108</f>
        <v>#VALUE!</v>
      </c>
      <c r="E64" s="48"/>
      <c r="F64" s="167">
        <f>+E64-G64+G108</f>
        <v>0</v>
      </c>
      <c r="G64" s="48"/>
      <c r="H64" s="167">
        <f>+G64-I64+I108</f>
        <v>0</v>
      </c>
      <c r="I64" s="48"/>
      <c r="J64" s="167">
        <f>+I64-K64+K108</f>
        <v>0</v>
      </c>
      <c r="K64" s="48"/>
      <c r="L64" s="167">
        <f>+K64-M64+M108</f>
        <v>0</v>
      </c>
      <c r="M64" s="48"/>
      <c r="N64" s="167">
        <f>+M64-O64+O108</f>
        <v>0</v>
      </c>
      <c r="O64" s="48"/>
      <c r="P64" s="167">
        <f>+O64-Q64+Q108</f>
        <v>0</v>
      </c>
      <c r="Q64" s="48"/>
      <c r="R64" s="167">
        <f>+Q64-S64+S108</f>
        <v>0</v>
      </c>
      <c r="S64" s="48"/>
      <c r="T64" s="167">
        <f>+S64-U64+U108</f>
        <v>0</v>
      </c>
      <c r="U64" s="48"/>
      <c r="V64" s="167">
        <f>+U64-W64+W108</f>
        <v>0</v>
      </c>
      <c r="W64" s="48"/>
      <c r="X64" s="167">
        <f>+W64-Y64+Y108</f>
        <v>0</v>
      </c>
      <c r="Y64" s="48"/>
      <c r="Z64" s="167">
        <f>+Y64-AA64+AA108</f>
        <v>0</v>
      </c>
      <c r="AA64" s="48"/>
      <c r="AB64" s="167">
        <f>+AA64-AC64+AC108</f>
        <v>0</v>
      </c>
      <c r="AC64" s="48"/>
      <c r="AD64" s="167">
        <f>+AC64-AE64+AE108</f>
        <v>0</v>
      </c>
      <c r="AE64" s="48"/>
      <c r="AF64" s="167">
        <f>+AE64-AG64+AG108</f>
        <v>0</v>
      </c>
      <c r="AG64" s="48"/>
      <c r="AH64" s="167">
        <f>+AG64-AI64+AI108</f>
        <v>0</v>
      </c>
      <c r="AI64" s="48"/>
      <c r="AJ64" s="167">
        <f>+AI64-AK64+AK108</f>
        <v>0</v>
      </c>
      <c r="AK64" s="48"/>
      <c r="AL64" s="167">
        <f>+AK64-AM64+AM108</f>
        <v>0</v>
      </c>
      <c r="AM64" s="48"/>
      <c r="AN64" s="167">
        <f>+AM64-AO64+AO108</f>
        <v>0</v>
      </c>
      <c r="AO64" s="48"/>
      <c r="AP64" s="167">
        <f>+AO64-AQ64+AQ108</f>
        <v>0</v>
      </c>
      <c r="AQ64" s="48"/>
      <c r="AR64" s="167">
        <f>+AQ64-AS64+AS108</f>
        <v>0</v>
      </c>
      <c r="AS64" s="48"/>
      <c r="AT64" s="167">
        <f>+AS64-AU64+AU108</f>
        <v>0</v>
      </c>
      <c r="AU64" s="48"/>
      <c r="AV64" s="167">
        <f>+AU64-AW64+AW108</f>
        <v>0</v>
      </c>
      <c r="AW64" s="48"/>
      <c r="AX64" s="167">
        <f>+AW64-AY64+AY108</f>
        <v>0</v>
      </c>
      <c r="AY64" s="48"/>
      <c r="AZ64" s="167">
        <f>+AY64-BA64+BA108</f>
        <v>0</v>
      </c>
      <c r="BA64" s="48"/>
      <c r="BB64" s="167">
        <f>+BA64-BC64+BC108</f>
        <v>0</v>
      </c>
      <c r="BC64" s="48"/>
      <c r="BD64" s="167">
        <f>+BC64-BE64+BE108</f>
        <v>0</v>
      </c>
      <c r="BE64" s="48"/>
      <c r="BF64" s="167">
        <f>+BE64-BG64+BG108</f>
        <v>0</v>
      </c>
      <c r="BG64" s="48"/>
      <c r="BH64" s="167">
        <f>+BG64-BI64+BI108</f>
        <v>0</v>
      </c>
      <c r="BI64" s="48"/>
      <c r="BJ64" s="167">
        <f>+BI64-BK64+BK108</f>
        <v>0</v>
      </c>
      <c r="BK64" s="48"/>
      <c r="BL64" s="167">
        <f>+BK64-BM64+BM108</f>
        <v>0</v>
      </c>
      <c r="BM64" s="48"/>
      <c r="BN64" s="50"/>
      <c r="BO64" s="170" t="e">
        <f>IF(COUNT(D64,F64,H64,J64,L64,N64,P64,R64,T64,V64,X64,Z64,AB64,AD64,AF64,AH64,AJ64,AL64,AN64,AP64,AR64,AT64,AV64,AX64,AZ64,BB64,BD64,BF64,BH64,BJ64,BL64)=0,"",SUM(D64,F64,H64,J64,L64,N64,P64,R64,T64,V64,X64,Z64,AB64,AD64,AF64,AH64,AJ64,AL64,AN64,AP64,AR64,AT64,AV64,AX64,AZ64,BB64,BD64,BF64,BH64,BJ64,BL64))</f>
        <v>#VALUE!</v>
      </c>
      <c r="BP64" s="167" t="e">
        <f>+BM64-BQ64+BQ108</f>
        <v>#VALUE!</v>
      </c>
      <c r="BQ64" s="178" t="str">
        <f>IF(BM64="","",BM64)</f>
        <v/>
      </c>
    </row>
    <row r="65" spans="1:69" x14ac:dyDescent="0.35">
      <c r="A65" s="53" t="s">
        <v>26</v>
      </c>
      <c r="B65" s="187" t="e">
        <f>C65-C109</f>
        <v>#VALUE!</v>
      </c>
      <c r="C65" s="174" t="str">
        <f>IF('November 2026 Log'!BK65="","",'November 2026 Log'!BK65)</f>
        <v/>
      </c>
      <c r="D65" s="189" t="e">
        <f>+C65-E65+E109</f>
        <v>#VALUE!</v>
      </c>
      <c r="E65" s="48"/>
      <c r="F65" s="167">
        <f>+E65-G65+G109</f>
        <v>0</v>
      </c>
      <c r="G65" s="48"/>
      <c r="H65" s="167">
        <f>+G65-I65+I109</f>
        <v>0</v>
      </c>
      <c r="I65" s="48"/>
      <c r="J65" s="167">
        <f>+I65-K65+K109</f>
        <v>0</v>
      </c>
      <c r="K65" s="48"/>
      <c r="L65" s="167">
        <f>+K65-M65+M109</f>
        <v>0</v>
      </c>
      <c r="M65" s="48"/>
      <c r="N65" s="167">
        <f>+M65-O65+O109</f>
        <v>0</v>
      </c>
      <c r="O65" s="48"/>
      <c r="P65" s="167">
        <f>+O65-Q65+Q109</f>
        <v>0</v>
      </c>
      <c r="Q65" s="48"/>
      <c r="R65" s="167">
        <f>+Q65-S65+S109</f>
        <v>0</v>
      </c>
      <c r="S65" s="48"/>
      <c r="T65" s="167">
        <f>+S65-U65+U109</f>
        <v>0</v>
      </c>
      <c r="U65" s="48"/>
      <c r="V65" s="167">
        <f>+U65-W65+W109</f>
        <v>0</v>
      </c>
      <c r="W65" s="48"/>
      <c r="X65" s="167">
        <f>+W65-Y65+Y109</f>
        <v>0</v>
      </c>
      <c r="Y65" s="48"/>
      <c r="Z65" s="167">
        <f>+Y65-AA65+AA109</f>
        <v>0</v>
      </c>
      <c r="AA65" s="48"/>
      <c r="AB65" s="167">
        <f>+AA65-AC65+AC109</f>
        <v>0</v>
      </c>
      <c r="AC65" s="48"/>
      <c r="AD65" s="167">
        <f>+AC65-AE65+AE109</f>
        <v>0</v>
      </c>
      <c r="AE65" s="48"/>
      <c r="AF65" s="167">
        <f>+AE65-AG65+AG109</f>
        <v>0</v>
      </c>
      <c r="AG65" s="48"/>
      <c r="AH65" s="167">
        <f>+AG65-AI65+AI109</f>
        <v>0</v>
      </c>
      <c r="AI65" s="48"/>
      <c r="AJ65" s="167">
        <f>+AI65-AK65+AK109</f>
        <v>0</v>
      </c>
      <c r="AK65" s="48"/>
      <c r="AL65" s="167">
        <f>+AK65-AM65+AM109</f>
        <v>0</v>
      </c>
      <c r="AM65" s="48"/>
      <c r="AN65" s="167">
        <f>+AM65-AO65+AO109</f>
        <v>0</v>
      </c>
      <c r="AO65" s="48"/>
      <c r="AP65" s="167">
        <f>+AO65-AQ65+AQ109</f>
        <v>0</v>
      </c>
      <c r="AQ65" s="48"/>
      <c r="AR65" s="167">
        <f>+AQ65-AS65+AS109</f>
        <v>0</v>
      </c>
      <c r="AS65" s="48"/>
      <c r="AT65" s="167">
        <f>+AS65-AU65+AU109</f>
        <v>0</v>
      </c>
      <c r="AU65" s="48"/>
      <c r="AV65" s="167">
        <f>+AU65-AW65+AW109</f>
        <v>0</v>
      </c>
      <c r="AW65" s="48"/>
      <c r="AX65" s="167">
        <f>+AW65-AY65+AY109</f>
        <v>0</v>
      </c>
      <c r="AY65" s="48"/>
      <c r="AZ65" s="167">
        <f>+AY65-BA65+BA109</f>
        <v>0</v>
      </c>
      <c r="BA65" s="48"/>
      <c r="BB65" s="167">
        <f>+BA65-BC65+BC109</f>
        <v>0</v>
      </c>
      <c r="BC65" s="48"/>
      <c r="BD65" s="167">
        <f>+BC65-BE65+BE109</f>
        <v>0</v>
      </c>
      <c r="BE65" s="48"/>
      <c r="BF65" s="167">
        <f>+BE65-BG65+BG109</f>
        <v>0</v>
      </c>
      <c r="BG65" s="48"/>
      <c r="BH65" s="167">
        <f>+BG65-BI65+BI109</f>
        <v>0</v>
      </c>
      <c r="BI65" s="48"/>
      <c r="BJ65" s="167">
        <f>+BI65-BK65+BK109</f>
        <v>0</v>
      </c>
      <c r="BK65" s="48"/>
      <c r="BL65" s="167">
        <f>+BK65-BM65+BM109</f>
        <v>0</v>
      </c>
      <c r="BM65" s="48"/>
      <c r="BN65" s="50"/>
      <c r="BO65" s="170" t="e">
        <f>IF(COUNT(D65,F65,H65,J65,L65,N65,P65,R65,T65,V65,X65,Z65,AB65,AD65,AF65,AH65,AJ65,AL65,AN65,AP65,AR65,AT65,AV65,AX65,AZ65,BB65,BD65,BF65,BH65,BJ65,BL65)=0,"",SUM(D65,F65,H65,J65,L65,N65,P65,R65,T65,V65,X65,Z65,AB65,AD65,AF65,AH65,AJ65,AL65,AN65,AP65,AR65,AT65,AV65,AX65,AZ65,BB65,BD65,BF65,BH65,BJ65,BL65))</f>
        <v>#VALUE!</v>
      </c>
      <c r="BP65" s="167" t="e">
        <f>+BM65-BQ65+BQ109</f>
        <v>#VALUE!</v>
      </c>
      <c r="BQ65" s="178" t="str">
        <f>IF(BM65="","",BM65)</f>
        <v/>
      </c>
    </row>
    <row r="66" spans="1:69" x14ac:dyDescent="0.35">
      <c r="A66" s="53" t="s">
        <v>26</v>
      </c>
      <c r="B66" s="187" t="e">
        <f>C66-C110</f>
        <v>#VALUE!</v>
      </c>
      <c r="C66" s="174" t="str">
        <f>IF('November 2026 Log'!BK66="","",'November 2026 Log'!BK66)</f>
        <v/>
      </c>
      <c r="D66" s="189" t="e">
        <f>+C66-E66+E110</f>
        <v>#VALUE!</v>
      </c>
      <c r="E66" s="48"/>
      <c r="F66" s="167">
        <f>+E66-G66+G110</f>
        <v>0</v>
      </c>
      <c r="G66" s="48"/>
      <c r="H66" s="167">
        <f>+G66-I66+I110</f>
        <v>0</v>
      </c>
      <c r="I66" s="48"/>
      <c r="J66" s="167">
        <f>+I66-K66+K110</f>
        <v>0</v>
      </c>
      <c r="K66" s="48"/>
      <c r="L66" s="167">
        <f>+K66-M66+M110</f>
        <v>0</v>
      </c>
      <c r="M66" s="48"/>
      <c r="N66" s="167">
        <f>+M66-O66+O110</f>
        <v>0</v>
      </c>
      <c r="O66" s="48"/>
      <c r="P66" s="167">
        <f>+O66-Q66+Q110</f>
        <v>0</v>
      </c>
      <c r="Q66" s="48"/>
      <c r="R66" s="167">
        <f>+Q66-S66+S110</f>
        <v>0</v>
      </c>
      <c r="S66" s="48"/>
      <c r="T66" s="167">
        <f>+S66-U66+U110</f>
        <v>0</v>
      </c>
      <c r="U66" s="48"/>
      <c r="V66" s="167">
        <f>+U66-W66+W110</f>
        <v>0</v>
      </c>
      <c r="W66" s="48"/>
      <c r="X66" s="167">
        <f>+W66-Y66+Y110</f>
        <v>0</v>
      </c>
      <c r="Y66" s="48"/>
      <c r="Z66" s="167">
        <f>+Y66-AA66+AA110</f>
        <v>0</v>
      </c>
      <c r="AA66" s="48"/>
      <c r="AB66" s="167">
        <f>+AA66-AC66+AC110</f>
        <v>0</v>
      </c>
      <c r="AC66" s="48"/>
      <c r="AD66" s="167">
        <f>+AC66-AE66+AE110</f>
        <v>0</v>
      </c>
      <c r="AE66" s="48"/>
      <c r="AF66" s="167">
        <f>+AE66-AG66+AG110</f>
        <v>0</v>
      </c>
      <c r="AG66" s="48"/>
      <c r="AH66" s="167">
        <f>+AG66-AI66+AI110</f>
        <v>0</v>
      </c>
      <c r="AI66" s="48"/>
      <c r="AJ66" s="167">
        <f>+AI66-AK66+AK110</f>
        <v>0</v>
      </c>
      <c r="AK66" s="48"/>
      <c r="AL66" s="167">
        <f>+AK66-AM66+AM110</f>
        <v>0</v>
      </c>
      <c r="AM66" s="48"/>
      <c r="AN66" s="167">
        <f>+AM66-AO66+AO110</f>
        <v>0</v>
      </c>
      <c r="AO66" s="48"/>
      <c r="AP66" s="167">
        <f>+AO66-AQ66+AQ110</f>
        <v>0</v>
      </c>
      <c r="AQ66" s="48"/>
      <c r="AR66" s="167">
        <f>+AQ66-AS66+AS110</f>
        <v>0</v>
      </c>
      <c r="AS66" s="48"/>
      <c r="AT66" s="167">
        <f>+AS66-AU66+AU110</f>
        <v>0</v>
      </c>
      <c r="AU66" s="48"/>
      <c r="AV66" s="167">
        <f>+AU66-AW66+AW110</f>
        <v>0</v>
      </c>
      <c r="AW66" s="48"/>
      <c r="AX66" s="167">
        <f>+AW66-AY66+AY110</f>
        <v>0</v>
      </c>
      <c r="AY66" s="48"/>
      <c r="AZ66" s="167">
        <f>+AY66-BA66+BA110</f>
        <v>0</v>
      </c>
      <c r="BA66" s="48"/>
      <c r="BB66" s="167">
        <f>+BA66-BC66+BC110</f>
        <v>0</v>
      </c>
      <c r="BC66" s="48"/>
      <c r="BD66" s="167">
        <f>+BC66-BE66+BE110</f>
        <v>0</v>
      </c>
      <c r="BE66" s="48"/>
      <c r="BF66" s="167">
        <f>+BE66-BG66+BG110</f>
        <v>0</v>
      </c>
      <c r="BG66" s="48"/>
      <c r="BH66" s="167">
        <f>+BG66-BI66+BI110</f>
        <v>0</v>
      </c>
      <c r="BI66" s="48"/>
      <c r="BJ66" s="167">
        <f>+BI66-BK66+BK110</f>
        <v>0</v>
      </c>
      <c r="BK66" s="48"/>
      <c r="BL66" s="167">
        <f>+BK66-BM66+BM110</f>
        <v>0</v>
      </c>
      <c r="BM66" s="48"/>
      <c r="BN66" s="50"/>
      <c r="BO66" s="170" t="e">
        <f>IF(COUNT(D66,F66,H66,J66,L66,N66,P66,R66,T66,V66,X66,Z66,AB66,AD66,AF66,AH66,AJ66,AL66,AN66,AP66,AR66,AT66,AV66,AX66,AZ66,BB66,BD66,BF66,BH66,BJ66,BL66)=0,"",SUM(D66,F66,H66,J66,L66,N66,P66,R66,T66,V66,X66,Z66,AB66,AD66,AF66,AH66,AJ66,AL66,AN66,AP66,AR66,AT66,AV66,AX66,AZ66,BB66,BD66,BF66,BH66,BJ66,BL66))</f>
        <v>#VALUE!</v>
      </c>
      <c r="BP66" s="167" t="e">
        <f>+BM66-BQ66+BQ110</f>
        <v>#VALUE!</v>
      </c>
      <c r="BQ66" s="178" t="str">
        <f>IF(BM66="","",BM66)</f>
        <v/>
      </c>
    </row>
    <row r="67" spans="1:69" x14ac:dyDescent="0.35">
      <c r="A67" s="98"/>
      <c r="B67" s="90"/>
      <c r="C67" s="131"/>
      <c r="D67" s="189" t="e">
        <f>SUM(D62:D66)</f>
        <v>#VALUE!</v>
      </c>
      <c r="E67" s="166" t="e">
        <f>+E73-D73</f>
        <v>#VALUE!</v>
      </c>
      <c r="F67" s="167">
        <f>SUM(F62:F66)</f>
        <v>0</v>
      </c>
      <c r="G67" s="166">
        <f>+G73-F73</f>
        <v>0</v>
      </c>
      <c r="H67" s="167">
        <f>SUM(H62:H66)</f>
        <v>0</v>
      </c>
      <c r="I67" s="166">
        <f>+I73-H73</f>
        <v>0</v>
      </c>
      <c r="J67" s="167">
        <f>SUM(J62:J66)</f>
        <v>0</v>
      </c>
      <c r="K67" s="166">
        <f>+K73-J73</f>
        <v>0</v>
      </c>
      <c r="L67" s="167">
        <f>SUM(L62:L66)</f>
        <v>0</v>
      </c>
      <c r="M67" s="166">
        <f>+M73-L73</f>
        <v>0</v>
      </c>
      <c r="N67" s="167">
        <f>SUM(N62:N66)</f>
        <v>0</v>
      </c>
      <c r="O67" s="166">
        <f>+O73-N73</f>
        <v>0</v>
      </c>
      <c r="P67" s="167">
        <f>SUM(P62:P66)</f>
        <v>0</v>
      </c>
      <c r="Q67" s="166">
        <f>+Q73-P73</f>
        <v>0</v>
      </c>
      <c r="R67" s="167">
        <f>SUM(R62:R66)</f>
        <v>0</v>
      </c>
      <c r="S67" s="166">
        <f>+S73-R73</f>
        <v>0</v>
      </c>
      <c r="T67" s="167">
        <f>SUM(T62:T66)</f>
        <v>0</v>
      </c>
      <c r="U67" s="166">
        <f>+U73-T73</f>
        <v>0</v>
      </c>
      <c r="V67" s="167">
        <f>SUM(V62:V66)</f>
        <v>0</v>
      </c>
      <c r="W67" s="166">
        <f>+W73-V73</f>
        <v>0</v>
      </c>
      <c r="X67" s="167">
        <f>SUM(X62:X66)</f>
        <v>0</v>
      </c>
      <c r="Y67" s="166">
        <f>+Y73-X73</f>
        <v>0</v>
      </c>
      <c r="Z67" s="167">
        <f>SUM(Z62:Z66)</f>
        <v>0</v>
      </c>
      <c r="AA67" s="166">
        <f>+AA73-Z73</f>
        <v>0</v>
      </c>
      <c r="AB67" s="167">
        <f>SUM(AB62:AB66)</f>
        <v>0</v>
      </c>
      <c r="AC67" s="166">
        <f>+AC73-AB73</f>
        <v>0</v>
      </c>
      <c r="AD67" s="167">
        <f>SUM(AD62:AD66)</f>
        <v>0</v>
      </c>
      <c r="AE67" s="166">
        <f>+AE73-AD73</f>
        <v>0</v>
      </c>
      <c r="AF67" s="167">
        <f>SUM(AF62:AF66)</f>
        <v>0</v>
      </c>
      <c r="AG67" s="166">
        <f>+AG73-AF73</f>
        <v>0</v>
      </c>
      <c r="AH67" s="167">
        <f>SUM(AH62:AH66)</f>
        <v>0</v>
      </c>
      <c r="AI67" s="166">
        <f>+AI73-AH73</f>
        <v>0</v>
      </c>
      <c r="AJ67" s="167">
        <f>SUM(AJ62:AJ66)</f>
        <v>0</v>
      </c>
      <c r="AK67" s="166">
        <f>+AK73-AJ73</f>
        <v>0</v>
      </c>
      <c r="AL67" s="167">
        <f>SUM(AL62:AL66)</f>
        <v>0</v>
      </c>
      <c r="AM67" s="166">
        <f>+AM73-AL73</f>
        <v>0</v>
      </c>
      <c r="AN67" s="167">
        <f>SUM(AN62:AN66)</f>
        <v>0</v>
      </c>
      <c r="AO67" s="166">
        <f>+AO73-AN73</f>
        <v>0</v>
      </c>
      <c r="AP67" s="167">
        <f>SUM(AP62:AP66)</f>
        <v>0</v>
      </c>
      <c r="AQ67" s="166">
        <f>+AQ73-AP73</f>
        <v>0</v>
      </c>
      <c r="AR67" s="167">
        <f>SUM(AR62:AR66)</f>
        <v>0</v>
      </c>
      <c r="AS67" s="166">
        <f>+AS73-AR73</f>
        <v>0</v>
      </c>
      <c r="AT67" s="167">
        <f>SUM(AT62:AT66)</f>
        <v>0</v>
      </c>
      <c r="AU67" s="166">
        <f>+AU73-AT73</f>
        <v>0</v>
      </c>
      <c r="AV67" s="167">
        <f>SUM(AV62:AV66)</f>
        <v>0</v>
      </c>
      <c r="AW67" s="166">
        <f>+AW73-AV73</f>
        <v>0</v>
      </c>
      <c r="AX67" s="167">
        <f>SUM(AX62:AX66)</f>
        <v>0</v>
      </c>
      <c r="AY67" s="166">
        <f>+AY73-AX73</f>
        <v>0</v>
      </c>
      <c r="AZ67" s="167">
        <f>SUM(AZ62:AZ66)</f>
        <v>0</v>
      </c>
      <c r="BA67" s="166">
        <f>+BA73-AZ73</f>
        <v>0</v>
      </c>
      <c r="BB67" s="167">
        <f>SUM(BB62:BB66)</f>
        <v>0</v>
      </c>
      <c r="BC67" s="166">
        <f>+BC73-BB73</f>
        <v>0</v>
      </c>
      <c r="BD67" s="167">
        <f>SUM(BD62:BD66)</f>
        <v>0</v>
      </c>
      <c r="BE67" s="166">
        <f>+BE73-BD73</f>
        <v>0</v>
      </c>
      <c r="BF67" s="167">
        <f>SUM(BF62:BF66)</f>
        <v>0</v>
      </c>
      <c r="BG67" s="166">
        <f>+BG73-BF73</f>
        <v>0</v>
      </c>
      <c r="BH67" s="167">
        <f>SUM(BH62:BH66)</f>
        <v>0</v>
      </c>
      <c r="BI67" s="166">
        <f>+BI73-BH73</f>
        <v>0</v>
      </c>
      <c r="BJ67" s="167">
        <f>SUM(BJ62:BJ66)</f>
        <v>0</v>
      </c>
      <c r="BK67" s="166">
        <f>+BK73-BJ73</f>
        <v>0</v>
      </c>
      <c r="BL67" s="167">
        <f>SUM(BL62:BL66)</f>
        <v>0</v>
      </c>
      <c r="BM67" s="166">
        <f>+BM73-BL73</f>
        <v>0</v>
      </c>
      <c r="BN67" s="50"/>
      <c r="BO67" s="170" t="e">
        <f t="shared" ref="BO67:BO75" si="95">IF(COUNT(E67,G67,I67,K67,M67,O67,Q67,S67,U67,W67,Y67,AA67,AC67,AE67,AG67,AI67,AK67,AM67,AO67,AQ67,AS67,AU67,AW67,AY67,BA67,BC67,BE67,BG67,BI67,BK67,BM67)=0,"",SUM(E67,G67,I67,K67,M67,O67,Q67,S67,U67,W67,Y67,AA67,AC67,AE67,AG67,AI67,AK67,AM67,AO67,AQ67,AS67,AU67,AW67,AY67,BA67,BC67,BE67,BG67,BI67,BK67,BM67))</f>
        <v>#VALUE!</v>
      </c>
      <c r="BP67" s="167" t="e">
        <f>SUM(BP62:BP66)</f>
        <v>#VALUE!</v>
      </c>
      <c r="BQ67" s="52"/>
    </row>
    <row r="68" spans="1:69" x14ac:dyDescent="0.35">
      <c r="A68" s="132" t="s">
        <v>87</v>
      </c>
      <c r="B68" s="133"/>
      <c r="C68" s="131"/>
      <c r="D68" s="189">
        <f>D91+D94</f>
        <v>0</v>
      </c>
      <c r="E68" s="166" t="e">
        <f>+E77-C77+E80-C80</f>
        <v>#VALUE!</v>
      </c>
      <c r="F68" s="167">
        <f>F91+F94</f>
        <v>0</v>
      </c>
      <c r="G68" s="166">
        <f>+G77-E77+G80-E80</f>
        <v>0</v>
      </c>
      <c r="H68" s="167">
        <f>H91+H94</f>
        <v>0</v>
      </c>
      <c r="I68" s="166">
        <f>+I77-G77+I80-G80</f>
        <v>0</v>
      </c>
      <c r="J68" s="167">
        <f>J91+J94</f>
        <v>0</v>
      </c>
      <c r="K68" s="166">
        <f>+K77-I77+K80-I80</f>
        <v>0</v>
      </c>
      <c r="L68" s="167">
        <f>L91+L94</f>
        <v>0</v>
      </c>
      <c r="M68" s="166">
        <f>+M77-K77+M80-K80</f>
        <v>0</v>
      </c>
      <c r="N68" s="167">
        <f>N91+N94</f>
        <v>0</v>
      </c>
      <c r="O68" s="166">
        <f>+O77-M77+O80-M80</f>
        <v>0</v>
      </c>
      <c r="P68" s="167">
        <f>P91+P94</f>
        <v>0</v>
      </c>
      <c r="Q68" s="166">
        <f>+Q77-O77+Q80-O80</f>
        <v>0</v>
      </c>
      <c r="R68" s="167">
        <f>R91+R94</f>
        <v>0</v>
      </c>
      <c r="S68" s="166">
        <f>+S77-Q77+S80-Q80</f>
        <v>0</v>
      </c>
      <c r="T68" s="167">
        <f>T91+T94</f>
        <v>0</v>
      </c>
      <c r="U68" s="166">
        <f>+U77-S77+U80-S80</f>
        <v>0</v>
      </c>
      <c r="V68" s="167">
        <f>V91+V94</f>
        <v>0</v>
      </c>
      <c r="W68" s="166">
        <f>+W77-U77+W80-U80</f>
        <v>0</v>
      </c>
      <c r="X68" s="167">
        <f>X91+X94</f>
        <v>0</v>
      </c>
      <c r="Y68" s="166">
        <f>+Y77-W77+Y80-W80</f>
        <v>0</v>
      </c>
      <c r="Z68" s="167">
        <f>Z91+Z94</f>
        <v>0</v>
      </c>
      <c r="AA68" s="166">
        <f>+AA77-Y77+AA80-Y80</f>
        <v>0</v>
      </c>
      <c r="AB68" s="167">
        <f>AB91+AB94</f>
        <v>0</v>
      </c>
      <c r="AC68" s="166">
        <f>+AC77-AA77+AC80-AA80</f>
        <v>0</v>
      </c>
      <c r="AD68" s="167">
        <f>AD91+AD94</f>
        <v>0</v>
      </c>
      <c r="AE68" s="166">
        <f>+AE77-AC77+AE80-AC80</f>
        <v>0</v>
      </c>
      <c r="AF68" s="167">
        <f>AF91+AF94</f>
        <v>0</v>
      </c>
      <c r="AG68" s="166">
        <f>+AG77-AE77+AG80-AE80</f>
        <v>0</v>
      </c>
      <c r="AH68" s="167">
        <f>AH91+AH94</f>
        <v>0</v>
      </c>
      <c r="AI68" s="166">
        <f>+AI77-AG77+AI80-AG80</f>
        <v>0</v>
      </c>
      <c r="AJ68" s="167">
        <f>AJ91+AJ94</f>
        <v>0</v>
      </c>
      <c r="AK68" s="166">
        <f>+AK77-AI77+AK80-AI80</f>
        <v>0</v>
      </c>
      <c r="AL68" s="167">
        <f>AL91+AL94</f>
        <v>0</v>
      </c>
      <c r="AM68" s="166">
        <f>+AM77-AK77+AM80-AK80</f>
        <v>0</v>
      </c>
      <c r="AN68" s="167">
        <f>AN91+AN94</f>
        <v>0</v>
      </c>
      <c r="AO68" s="166">
        <f>+AO77-AM77+AO80-AM80</f>
        <v>0</v>
      </c>
      <c r="AP68" s="167">
        <f>AP91+AP94</f>
        <v>0</v>
      </c>
      <c r="AQ68" s="166">
        <f>+AQ77-AO77+AQ80-AO80</f>
        <v>0</v>
      </c>
      <c r="AR68" s="167">
        <f>AR91+AR94</f>
        <v>0</v>
      </c>
      <c r="AS68" s="166">
        <f>+AS77-AQ77+AS80-AQ80</f>
        <v>0</v>
      </c>
      <c r="AT68" s="167">
        <f>AT91+AT94</f>
        <v>0</v>
      </c>
      <c r="AU68" s="166">
        <f>+AU77-AS77+AU80-AS80</f>
        <v>0</v>
      </c>
      <c r="AV68" s="167">
        <f>AV91+AV94</f>
        <v>0</v>
      </c>
      <c r="AW68" s="166">
        <f>+AW77-AU77+AW80-AU80</f>
        <v>0</v>
      </c>
      <c r="AX68" s="167">
        <f>AX91+AX94</f>
        <v>0</v>
      </c>
      <c r="AY68" s="166">
        <f>+AY77-AW77+AY80-AW80</f>
        <v>0</v>
      </c>
      <c r="AZ68" s="167">
        <f>AZ91+AZ94</f>
        <v>0</v>
      </c>
      <c r="BA68" s="166">
        <f>+BA77-AY77+BA80-AY80</f>
        <v>0</v>
      </c>
      <c r="BB68" s="167">
        <f>BB91+BB94</f>
        <v>0</v>
      </c>
      <c r="BC68" s="166">
        <f>+BC77-BA77+BC80-BA80</f>
        <v>0</v>
      </c>
      <c r="BD68" s="167">
        <f>BD91+BD94</f>
        <v>0</v>
      </c>
      <c r="BE68" s="166">
        <f>+BE77-BC77+BE80-BC80</f>
        <v>0</v>
      </c>
      <c r="BF68" s="167">
        <f>BF91+BF94</f>
        <v>0</v>
      </c>
      <c r="BG68" s="166">
        <f>+BG77-BE77+BG80-BE80</f>
        <v>0</v>
      </c>
      <c r="BH68" s="167">
        <f>BH91+BH94</f>
        <v>0</v>
      </c>
      <c r="BI68" s="166">
        <f>+BI77-BG77+BI80-BG80</f>
        <v>0</v>
      </c>
      <c r="BJ68" s="167">
        <f>BJ91+BJ94</f>
        <v>0</v>
      </c>
      <c r="BK68" s="166">
        <f>+BK77-BI77+BK80-BI80</f>
        <v>0</v>
      </c>
      <c r="BL68" s="167">
        <f>BL91+BL94</f>
        <v>0</v>
      </c>
      <c r="BM68" s="166">
        <f>+BM77-BK77+BM80-BK80</f>
        <v>0</v>
      </c>
      <c r="BN68" s="50"/>
      <c r="BO68" s="170" t="e">
        <f t="shared" si="95"/>
        <v>#VALUE!</v>
      </c>
      <c r="BP68" s="167">
        <f>BP91+BP94</f>
        <v>0</v>
      </c>
      <c r="BQ68" s="52"/>
    </row>
    <row r="69" spans="1:69" x14ac:dyDescent="0.35">
      <c r="A69" s="44" t="s">
        <v>88</v>
      </c>
      <c r="B69" s="133"/>
      <c r="C69" s="131"/>
      <c r="D69" s="189">
        <f>D99+D102</f>
        <v>0</v>
      </c>
      <c r="E69" s="166" t="e">
        <f>+E85-C85+E88-C88</f>
        <v>#VALUE!</v>
      </c>
      <c r="F69" s="167">
        <f>F99+F102</f>
        <v>0</v>
      </c>
      <c r="G69" s="166">
        <f>+G85-E85+G88-E88</f>
        <v>0</v>
      </c>
      <c r="H69" s="167">
        <f>H99+H102</f>
        <v>0</v>
      </c>
      <c r="I69" s="166">
        <f>+I85-G85+I88-G88</f>
        <v>0</v>
      </c>
      <c r="J69" s="167">
        <f>J99+J102</f>
        <v>0</v>
      </c>
      <c r="K69" s="166">
        <f>+K85-I85+K88-I88</f>
        <v>0</v>
      </c>
      <c r="L69" s="167">
        <f>L99+L102</f>
        <v>0</v>
      </c>
      <c r="M69" s="166">
        <f>+M85-K85+M88-K88</f>
        <v>0</v>
      </c>
      <c r="N69" s="167">
        <f>N99+N102</f>
        <v>0</v>
      </c>
      <c r="O69" s="166">
        <f>+O85-M85+O88-M88</f>
        <v>0</v>
      </c>
      <c r="P69" s="167">
        <f>P99+P102</f>
        <v>0</v>
      </c>
      <c r="Q69" s="166">
        <f>+Q85-O85+Q88-O88</f>
        <v>0</v>
      </c>
      <c r="R69" s="167">
        <f>R99+R102</f>
        <v>0</v>
      </c>
      <c r="S69" s="166">
        <f>+S85-Q85+S88-Q88</f>
        <v>0</v>
      </c>
      <c r="T69" s="167">
        <f>T99+T102</f>
        <v>0</v>
      </c>
      <c r="U69" s="166">
        <f>+U85-S85+U88-S88</f>
        <v>0</v>
      </c>
      <c r="V69" s="167">
        <f>V99+V102</f>
        <v>0</v>
      </c>
      <c r="W69" s="166">
        <f>+W85-U85+W88-U88</f>
        <v>0</v>
      </c>
      <c r="X69" s="167">
        <f>X99+X102</f>
        <v>0</v>
      </c>
      <c r="Y69" s="166">
        <f>+Y85-W85+Y88-W88</f>
        <v>0</v>
      </c>
      <c r="Z69" s="167">
        <f>Z99+Z102</f>
        <v>0</v>
      </c>
      <c r="AA69" s="166">
        <f>+AA85-Y85+AA88-Y88</f>
        <v>0</v>
      </c>
      <c r="AB69" s="167">
        <f>AB99+AB102</f>
        <v>0</v>
      </c>
      <c r="AC69" s="166">
        <f>+AC85-AA85+AC88-AA88</f>
        <v>0</v>
      </c>
      <c r="AD69" s="167">
        <f>AD99+AD102</f>
        <v>0</v>
      </c>
      <c r="AE69" s="166">
        <f>+AE85-AC85+AE88-AC88</f>
        <v>0</v>
      </c>
      <c r="AF69" s="167">
        <f>AF99+AF102</f>
        <v>0</v>
      </c>
      <c r="AG69" s="166">
        <f>+AG85-AE85+AG88-AE88</f>
        <v>0</v>
      </c>
      <c r="AH69" s="167">
        <f>AH99+AH102</f>
        <v>0</v>
      </c>
      <c r="AI69" s="166">
        <f>+AI85-AG85+AI88-AG88</f>
        <v>0</v>
      </c>
      <c r="AJ69" s="167">
        <f>AJ99+AJ102</f>
        <v>0</v>
      </c>
      <c r="AK69" s="166">
        <f>+AK85-AI85+AK88-AI88</f>
        <v>0</v>
      </c>
      <c r="AL69" s="167">
        <f>AL99+AL102</f>
        <v>0</v>
      </c>
      <c r="AM69" s="166">
        <f>+AM85-AK85+AM88-AK88</f>
        <v>0</v>
      </c>
      <c r="AN69" s="167">
        <f>AN99+AN102</f>
        <v>0</v>
      </c>
      <c r="AO69" s="166">
        <f>+AO85-AM85+AO88-AM88</f>
        <v>0</v>
      </c>
      <c r="AP69" s="167">
        <f>AP99+AP102</f>
        <v>0</v>
      </c>
      <c r="AQ69" s="166">
        <f>+AQ85-AO85+AQ88-AO88</f>
        <v>0</v>
      </c>
      <c r="AR69" s="167">
        <f>AR99+AR102</f>
        <v>0</v>
      </c>
      <c r="AS69" s="166">
        <f>+AS85-AQ85+AS88-AQ88</f>
        <v>0</v>
      </c>
      <c r="AT69" s="167">
        <f>AT99+AT102</f>
        <v>0</v>
      </c>
      <c r="AU69" s="166">
        <f>+AU85-AS85+AU88-AS88</f>
        <v>0</v>
      </c>
      <c r="AV69" s="167">
        <f>AV99+AV102</f>
        <v>0</v>
      </c>
      <c r="AW69" s="166">
        <f>+AW85-AU85+AW88-AU88</f>
        <v>0</v>
      </c>
      <c r="AX69" s="167">
        <f>AX99+AX102</f>
        <v>0</v>
      </c>
      <c r="AY69" s="166">
        <f>+AY85-AW85+AY88-AW88</f>
        <v>0</v>
      </c>
      <c r="AZ69" s="167">
        <f>AZ99+AZ102</f>
        <v>0</v>
      </c>
      <c r="BA69" s="166">
        <f>+BA85-AY85+BA88-AY88</f>
        <v>0</v>
      </c>
      <c r="BB69" s="167">
        <f>BB99+BB102</f>
        <v>0</v>
      </c>
      <c r="BC69" s="166">
        <f>+BC85-BA85+BC88-BA88</f>
        <v>0</v>
      </c>
      <c r="BD69" s="167">
        <f>BD99+BD102</f>
        <v>0</v>
      </c>
      <c r="BE69" s="166">
        <f>+BE85-BC85+BE88-BC88</f>
        <v>0</v>
      </c>
      <c r="BF69" s="167">
        <f>BF99+BF102</f>
        <v>0</v>
      </c>
      <c r="BG69" s="166">
        <f>+BG85-BE85+BG88-BE88</f>
        <v>0</v>
      </c>
      <c r="BH69" s="167">
        <f>BH99+BH102</f>
        <v>0</v>
      </c>
      <c r="BI69" s="166">
        <f>+BI85-BG85+BI88-BG88</f>
        <v>0</v>
      </c>
      <c r="BJ69" s="167">
        <f>BJ99+BJ102</f>
        <v>0</v>
      </c>
      <c r="BK69" s="166">
        <f>+BK85-BI85+BK88-BI88</f>
        <v>0</v>
      </c>
      <c r="BL69" s="167">
        <f>BL99+BL102</f>
        <v>0</v>
      </c>
      <c r="BM69" s="166">
        <f>+BM85-BK85+BM88-BK88</f>
        <v>0</v>
      </c>
      <c r="BN69" s="50"/>
      <c r="BO69" s="170" t="e">
        <f t="shared" si="95"/>
        <v>#VALUE!</v>
      </c>
      <c r="BP69" s="167">
        <f>BP99+BP102</f>
        <v>0</v>
      </c>
      <c r="BQ69" s="52"/>
    </row>
    <row r="70" spans="1:69" x14ac:dyDescent="0.35">
      <c r="A70" s="134" t="s">
        <v>89</v>
      </c>
      <c r="B70" s="133"/>
      <c r="C70" s="131"/>
      <c r="D70" s="189">
        <f>D93+D96</f>
        <v>0</v>
      </c>
      <c r="E70" s="166" t="e">
        <f>+E79-C79+E82-C82</f>
        <v>#VALUE!</v>
      </c>
      <c r="F70" s="167">
        <f>F93+F96</f>
        <v>0</v>
      </c>
      <c r="G70" s="166">
        <f>+G79-E79+G82-E82</f>
        <v>0</v>
      </c>
      <c r="H70" s="167">
        <f>H93+H96</f>
        <v>0</v>
      </c>
      <c r="I70" s="166">
        <f>+I79-G79+I82-G82</f>
        <v>0</v>
      </c>
      <c r="J70" s="167">
        <f>J93+J96</f>
        <v>0</v>
      </c>
      <c r="K70" s="166">
        <f>+K79-I79+K82-I82</f>
        <v>0</v>
      </c>
      <c r="L70" s="167">
        <f>L93+L96</f>
        <v>0</v>
      </c>
      <c r="M70" s="166">
        <f>+M79-K79+M82-K82</f>
        <v>0</v>
      </c>
      <c r="N70" s="167">
        <f>N93+N96</f>
        <v>0</v>
      </c>
      <c r="O70" s="166">
        <f>+O79-M79+O82-M82</f>
        <v>0</v>
      </c>
      <c r="P70" s="167">
        <f>P93+P96</f>
        <v>0</v>
      </c>
      <c r="Q70" s="166">
        <f>+Q79-O79+Q82-O82</f>
        <v>0</v>
      </c>
      <c r="R70" s="167">
        <f>R93+R96</f>
        <v>0</v>
      </c>
      <c r="S70" s="166">
        <f>+S79-Q79+S82-Q82</f>
        <v>0</v>
      </c>
      <c r="T70" s="167">
        <f>T93+T96</f>
        <v>0</v>
      </c>
      <c r="U70" s="166">
        <f>+U79-S79+U82-S82</f>
        <v>0</v>
      </c>
      <c r="V70" s="167">
        <f>V93+V96</f>
        <v>0</v>
      </c>
      <c r="W70" s="166">
        <f>+W79-U79+W82-U82</f>
        <v>0</v>
      </c>
      <c r="X70" s="167">
        <f>X93+X96</f>
        <v>0</v>
      </c>
      <c r="Y70" s="166">
        <f>+Y79-W79+Y82-W82</f>
        <v>0</v>
      </c>
      <c r="Z70" s="167">
        <f>Z93+Z96</f>
        <v>0</v>
      </c>
      <c r="AA70" s="166">
        <f>+AA79-Y79+AA82-Y82</f>
        <v>0</v>
      </c>
      <c r="AB70" s="167">
        <f>AB93+AB96</f>
        <v>0</v>
      </c>
      <c r="AC70" s="166">
        <f>+AC79-AA79+AC82-AA82</f>
        <v>0</v>
      </c>
      <c r="AD70" s="167">
        <f>AD93+AD96</f>
        <v>0</v>
      </c>
      <c r="AE70" s="166">
        <f>+AE79-AC79+AE82-AC82</f>
        <v>0</v>
      </c>
      <c r="AF70" s="167">
        <f>AF93+AF96</f>
        <v>0</v>
      </c>
      <c r="AG70" s="166">
        <f>+AG79-AE79+AG82-AE82</f>
        <v>0</v>
      </c>
      <c r="AH70" s="167">
        <f>AH93+AH96</f>
        <v>0</v>
      </c>
      <c r="AI70" s="166">
        <f>+AI79-AG79+AI82-AG82</f>
        <v>0</v>
      </c>
      <c r="AJ70" s="167">
        <f>AJ93+AJ96</f>
        <v>0</v>
      </c>
      <c r="AK70" s="166">
        <f>+AK79-AI79+AK82-AI82</f>
        <v>0</v>
      </c>
      <c r="AL70" s="167">
        <f>AL93+AL96</f>
        <v>0</v>
      </c>
      <c r="AM70" s="166">
        <f>+AM79-AK79+AM82-AK82</f>
        <v>0</v>
      </c>
      <c r="AN70" s="167">
        <f>AN93+AN96</f>
        <v>0</v>
      </c>
      <c r="AO70" s="166">
        <f>+AO79-AM79+AO82-AM82</f>
        <v>0</v>
      </c>
      <c r="AP70" s="167">
        <f>AP93+AP96</f>
        <v>0</v>
      </c>
      <c r="AQ70" s="166">
        <f>+AQ79-AO79+AQ82-AO82</f>
        <v>0</v>
      </c>
      <c r="AR70" s="167">
        <f>AR93+AR96</f>
        <v>0</v>
      </c>
      <c r="AS70" s="166">
        <f>+AS79-AQ79+AS82-AQ82</f>
        <v>0</v>
      </c>
      <c r="AT70" s="167">
        <f>AT93+AT96</f>
        <v>0</v>
      </c>
      <c r="AU70" s="166">
        <f>+AU79-AS79+AU82-AS82</f>
        <v>0</v>
      </c>
      <c r="AV70" s="167">
        <f>AV93+AV96</f>
        <v>0</v>
      </c>
      <c r="AW70" s="166">
        <f>+AW79-AU79+AW82-AU82</f>
        <v>0</v>
      </c>
      <c r="AX70" s="167">
        <f>AX93+AX96</f>
        <v>0</v>
      </c>
      <c r="AY70" s="166">
        <f>+AY79-AW79+AY82-AW82</f>
        <v>0</v>
      </c>
      <c r="AZ70" s="167">
        <f>AZ93+AZ96</f>
        <v>0</v>
      </c>
      <c r="BA70" s="166">
        <f>+BA79-AY79+BA82-AY82</f>
        <v>0</v>
      </c>
      <c r="BB70" s="167">
        <f>BB93+BB96</f>
        <v>0</v>
      </c>
      <c r="BC70" s="166">
        <f>+BC79-BA79+BC82-BA82</f>
        <v>0</v>
      </c>
      <c r="BD70" s="167">
        <f>BD93+BD96</f>
        <v>0</v>
      </c>
      <c r="BE70" s="166">
        <f>+BE79-BC79+BE82-BC82</f>
        <v>0</v>
      </c>
      <c r="BF70" s="167">
        <f>BF93+BF96</f>
        <v>0</v>
      </c>
      <c r="BG70" s="166">
        <f>+BG79-BE79+BG82-BE82</f>
        <v>0</v>
      </c>
      <c r="BH70" s="167">
        <f>BH93+BH96</f>
        <v>0</v>
      </c>
      <c r="BI70" s="166">
        <f>+BI79-BG79+BI82-BG82</f>
        <v>0</v>
      </c>
      <c r="BJ70" s="167">
        <f>BJ93+BJ96</f>
        <v>0</v>
      </c>
      <c r="BK70" s="166">
        <f>+BK79-BI79+BK82-BI82</f>
        <v>0</v>
      </c>
      <c r="BL70" s="167">
        <f>BL93+BL96</f>
        <v>0</v>
      </c>
      <c r="BM70" s="166">
        <f>+BM79-BK79+BM82-BK82</f>
        <v>0</v>
      </c>
      <c r="BN70" s="50"/>
      <c r="BO70" s="170" t="e">
        <f t="shared" si="95"/>
        <v>#VALUE!</v>
      </c>
      <c r="BP70" s="167">
        <f>BP93+BP96</f>
        <v>0</v>
      </c>
      <c r="BQ70" s="52"/>
    </row>
    <row r="71" spans="1:69" x14ac:dyDescent="0.35">
      <c r="A71" s="135" t="s">
        <v>90</v>
      </c>
      <c r="B71" s="133"/>
      <c r="C71" s="131"/>
      <c r="D71" s="189">
        <f>+D97+D100</f>
        <v>0</v>
      </c>
      <c r="E71" s="166" t="e">
        <f>+E83-C83+E86-C86</f>
        <v>#VALUE!</v>
      </c>
      <c r="F71" s="167">
        <f>+F97+F100</f>
        <v>0</v>
      </c>
      <c r="G71" s="166">
        <f>+G83-E83+G86-E86</f>
        <v>0</v>
      </c>
      <c r="H71" s="167">
        <f>+H97+H100</f>
        <v>0</v>
      </c>
      <c r="I71" s="166">
        <f>+I83-G83+I86-G86</f>
        <v>0</v>
      </c>
      <c r="J71" s="167">
        <f>+J97+J100</f>
        <v>0</v>
      </c>
      <c r="K71" s="166">
        <f>+K83-I83+K86-I86</f>
        <v>0</v>
      </c>
      <c r="L71" s="167">
        <f>+L97+L100</f>
        <v>0</v>
      </c>
      <c r="M71" s="166">
        <f>+M83-K83+M86-K86</f>
        <v>0</v>
      </c>
      <c r="N71" s="167">
        <f>+N97+N100</f>
        <v>0</v>
      </c>
      <c r="O71" s="166">
        <f>+O83-M83+O86-M86</f>
        <v>0</v>
      </c>
      <c r="P71" s="167">
        <f>+P97+P100</f>
        <v>0</v>
      </c>
      <c r="Q71" s="166">
        <f>+Q83-O83+Q86-O86</f>
        <v>0</v>
      </c>
      <c r="R71" s="167">
        <f>+R97+R100</f>
        <v>0</v>
      </c>
      <c r="S71" s="166">
        <f>+S83-Q83+S86-Q86</f>
        <v>0</v>
      </c>
      <c r="T71" s="167">
        <f>+T97+T100</f>
        <v>0</v>
      </c>
      <c r="U71" s="166">
        <f>+U83-S83+U86-S86</f>
        <v>0</v>
      </c>
      <c r="V71" s="167">
        <f>+V97+V100</f>
        <v>0</v>
      </c>
      <c r="W71" s="166">
        <f>+W83-U83+W86-U86</f>
        <v>0</v>
      </c>
      <c r="X71" s="167">
        <f>+X97+X100</f>
        <v>0</v>
      </c>
      <c r="Y71" s="166">
        <f>+Y83-W83+Y86-W86</f>
        <v>0</v>
      </c>
      <c r="Z71" s="167">
        <f>+Z97+Z100</f>
        <v>0</v>
      </c>
      <c r="AA71" s="166">
        <f>+AA83-Y83+AA86-Y86</f>
        <v>0</v>
      </c>
      <c r="AB71" s="167">
        <f>+AB97+AB100</f>
        <v>0</v>
      </c>
      <c r="AC71" s="166">
        <f>+AC83-AA83+AC86-AA86</f>
        <v>0</v>
      </c>
      <c r="AD71" s="167">
        <f>+AD97+AD100</f>
        <v>0</v>
      </c>
      <c r="AE71" s="166">
        <f>+AE83-AC83+AE86-AC86</f>
        <v>0</v>
      </c>
      <c r="AF71" s="167">
        <f>+AF97+AF100</f>
        <v>0</v>
      </c>
      <c r="AG71" s="166">
        <f>+AG83-AE83+AG86-AE86</f>
        <v>0</v>
      </c>
      <c r="AH71" s="167">
        <f>+AH97+AH100</f>
        <v>0</v>
      </c>
      <c r="AI71" s="166">
        <f>+AI83-AG83+AI86-AG86</f>
        <v>0</v>
      </c>
      <c r="AJ71" s="167">
        <f>+AJ97+AJ100</f>
        <v>0</v>
      </c>
      <c r="AK71" s="166">
        <f>+AK83-AI83+AK86-AI86</f>
        <v>0</v>
      </c>
      <c r="AL71" s="167">
        <f>+AL97+AL100</f>
        <v>0</v>
      </c>
      <c r="AM71" s="166">
        <f>+AM83-AK83+AM86-AK86</f>
        <v>0</v>
      </c>
      <c r="AN71" s="167">
        <f>+AN97+AN100</f>
        <v>0</v>
      </c>
      <c r="AO71" s="166">
        <f>+AO83-AM83+AO86-AM86</f>
        <v>0</v>
      </c>
      <c r="AP71" s="167">
        <f>+AP97+AP100</f>
        <v>0</v>
      </c>
      <c r="AQ71" s="166">
        <f>+AQ83-AO83+AQ86-AO86</f>
        <v>0</v>
      </c>
      <c r="AR71" s="167">
        <f>+AR97+AR100</f>
        <v>0</v>
      </c>
      <c r="AS71" s="166">
        <f>+AS83-AQ83+AS86-AQ86</f>
        <v>0</v>
      </c>
      <c r="AT71" s="167">
        <f>+AT97+AT100</f>
        <v>0</v>
      </c>
      <c r="AU71" s="166">
        <f>+AU83-AS83+AU86-AS86</f>
        <v>0</v>
      </c>
      <c r="AV71" s="167">
        <f>+AV97+AV100</f>
        <v>0</v>
      </c>
      <c r="AW71" s="166">
        <f>+AW83-AU83+AW86-AU86</f>
        <v>0</v>
      </c>
      <c r="AX71" s="167">
        <f>+AX97+AX100</f>
        <v>0</v>
      </c>
      <c r="AY71" s="166">
        <f>+AY83-AW83+AY86-AW86</f>
        <v>0</v>
      </c>
      <c r="AZ71" s="167">
        <f>+AZ97+AZ100</f>
        <v>0</v>
      </c>
      <c r="BA71" s="166">
        <f>+BA83-AY83+BA86-AY86</f>
        <v>0</v>
      </c>
      <c r="BB71" s="167">
        <f>+BB97+BB100</f>
        <v>0</v>
      </c>
      <c r="BC71" s="166">
        <f>+BC83-BA83+BC86-BA86</f>
        <v>0</v>
      </c>
      <c r="BD71" s="167">
        <f>+BD97+BD100</f>
        <v>0</v>
      </c>
      <c r="BE71" s="166">
        <f>+BE83-BC83+BE86-BC86</f>
        <v>0</v>
      </c>
      <c r="BF71" s="167">
        <f>+BF97+BF100</f>
        <v>0</v>
      </c>
      <c r="BG71" s="166">
        <f>+BG83-BE83+BG86-BE86</f>
        <v>0</v>
      </c>
      <c r="BH71" s="167">
        <f>+BH97+BH100</f>
        <v>0</v>
      </c>
      <c r="BI71" s="166">
        <f>+BI83-BG83+BI86-BG86</f>
        <v>0</v>
      </c>
      <c r="BJ71" s="167">
        <f>+BJ97+BJ100</f>
        <v>0</v>
      </c>
      <c r="BK71" s="166">
        <f>+BK83-BI83+BK86-BI86</f>
        <v>0</v>
      </c>
      <c r="BL71" s="167">
        <f>+BL97+BL100</f>
        <v>0</v>
      </c>
      <c r="BM71" s="166">
        <f>+BM83-BK83+BM86-BK86</f>
        <v>0</v>
      </c>
      <c r="BN71" s="50"/>
      <c r="BO71" s="170" t="e">
        <f t="shared" si="95"/>
        <v>#VALUE!</v>
      </c>
      <c r="BP71" s="167">
        <f>+BP97+BP100</f>
        <v>0</v>
      </c>
      <c r="BQ71" s="52"/>
    </row>
    <row r="72" spans="1:69" x14ac:dyDescent="0.35">
      <c r="A72" s="136" t="s">
        <v>91</v>
      </c>
      <c r="B72" s="133"/>
      <c r="C72" s="131"/>
      <c r="D72" s="189">
        <f>+D92+D95+D98+D101</f>
        <v>0</v>
      </c>
      <c r="E72" s="166" t="e">
        <f>+E78-C78+E81-C81+E84-C84+E87-C87</f>
        <v>#VALUE!</v>
      </c>
      <c r="F72" s="167">
        <f>+F92+F95+F98+F101</f>
        <v>0</v>
      </c>
      <c r="G72" s="166">
        <f>+G78-E78+G81-E81+G84-E84+G87-E87</f>
        <v>0</v>
      </c>
      <c r="H72" s="167">
        <f>+H92+H95+H98+H101</f>
        <v>0</v>
      </c>
      <c r="I72" s="166">
        <f>+I78-G78+I81-G81+I84-G84+I87-G87</f>
        <v>0</v>
      </c>
      <c r="J72" s="167">
        <f>+J92+J95+J98+J101</f>
        <v>0</v>
      </c>
      <c r="K72" s="166">
        <f>+K78-I78+K81-I81+K84-I84+K87-I87</f>
        <v>0</v>
      </c>
      <c r="L72" s="167">
        <f>+L92+L95+L98+L101</f>
        <v>0</v>
      </c>
      <c r="M72" s="166">
        <f>+M78-K78+M81-K81+M84-K84+M87-K87</f>
        <v>0</v>
      </c>
      <c r="N72" s="167">
        <f>+N92+N95+N98+N101</f>
        <v>0</v>
      </c>
      <c r="O72" s="166">
        <f>+O78-M78+O81-M81+O84-M84+O87-M87</f>
        <v>0</v>
      </c>
      <c r="P72" s="167">
        <f>+P92+P95+P98+P101</f>
        <v>0</v>
      </c>
      <c r="Q72" s="166">
        <f>+Q78-O78+Q81-O81+Q84-O84+Q87-O87</f>
        <v>0</v>
      </c>
      <c r="R72" s="167">
        <f>+R92+R95+R98+R101</f>
        <v>0</v>
      </c>
      <c r="S72" s="166">
        <f>+S78-Q78+S81-Q81+S84-Q84+S87-Q87</f>
        <v>0</v>
      </c>
      <c r="T72" s="167">
        <f>+T92+T95+T98+T101</f>
        <v>0</v>
      </c>
      <c r="U72" s="166">
        <f>+U78-S78+U81-S81+U84-S84+U87-S87</f>
        <v>0</v>
      </c>
      <c r="V72" s="167">
        <f>+V92+V95+V98+V101</f>
        <v>0</v>
      </c>
      <c r="W72" s="166">
        <f>+W78-U78+W81-U81+W84-U84+W87-U87</f>
        <v>0</v>
      </c>
      <c r="X72" s="167">
        <f>+X92+X95+X98+X101</f>
        <v>0</v>
      </c>
      <c r="Y72" s="166">
        <f>+Y78-W78+Y81-W81+Y84-W84+Y87-W87</f>
        <v>0</v>
      </c>
      <c r="Z72" s="167">
        <f>+Z92+Z95+Z98+Z101</f>
        <v>0</v>
      </c>
      <c r="AA72" s="166">
        <f>+AA78-Y78+AA81-Y81+AA84-Y84+AA87-Y87</f>
        <v>0</v>
      </c>
      <c r="AB72" s="167">
        <f>+AB92+AB95+AB98+AB101</f>
        <v>0</v>
      </c>
      <c r="AC72" s="166">
        <f>+AC78-AA78+AC81-AA81+AC84-AA84+AC87-AA87</f>
        <v>0</v>
      </c>
      <c r="AD72" s="167">
        <f>+AD92+AD95+AD98+AD101</f>
        <v>0</v>
      </c>
      <c r="AE72" s="166">
        <f>+AE78-AC78+AE81-AC81+AE84-AC84+AE87-AC87</f>
        <v>0</v>
      </c>
      <c r="AF72" s="167">
        <f>+AF92+AF95+AF98+AF101</f>
        <v>0</v>
      </c>
      <c r="AG72" s="166">
        <f>+AG78-AE78+AG81-AE81+AG84-AE84+AG87-AE87</f>
        <v>0</v>
      </c>
      <c r="AH72" s="167">
        <f>+AH92+AH95+AH98+AH101</f>
        <v>0</v>
      </c>
      <c r="AI72" s="166">
        <f>+AI78-AG78+AI81-AG81+AI84-AG84+AI87-AG87</f>
        <v>0</v>
      </c>
      <c r="AJ72" s="167">
        <f>+AJ92+AJ95+AJ98+AJ101</f>
        <v>0</v>
      </c>
      <c r="AK72" s="166">
        <f>+AK78-AI78+AK81-AI81+AK84-AI84+AK87-AI87</f>
        <v>0</v>
      </c>
      <c r="AL72" s="167">
        <f>+AL92+AL95+AL98+AL101</f>
        <v>0</v>
      </c>
      <c r="AM72" s="166">
        <f>+AM78-AK78+AM81-AK81+AM84-AK84+AM87-AK87</f>
        <v>0</v>
      </c>
      <c r="AN72" s="167">
        <f>+AN92+AN95+AN98+AN101</f>
        <v>0</v>
      </c>
      <c r="AO72" s="166">
        <f>+AO78-AM78+AO81-AM81+AO84-AM84+AO87-AM87</f>
        <v>0</v>
      </c>
      <c r="AP72" s="167">
        <f>+AP92+AP95+AP98+AP101</f>
        <v>0</v>
      </c>
      <c r="AQ72" s="166">
        <f>+AQ78-AO78+AQ81-AO81+AQ84-AO84+AQ87-AO87</f>
        <v>0</v>
      </c>
      <c r="AR72" s="167">
        <f>+AR92+AR95+AR98+AR101</f>
        <v>0</v>
      </c>
      <c r="AS72" s="166">
        <f>+AS78-AQ78+AS81-AQ81+AS84-AQ84+AS87-AQ87</f>
        <v>0</v>
      </c>
      <c r="AT72" s="167">
        <f>+AT92+AT95+AT98+AT101</f>
        <v>0</v>
      </c>
      <c r="AU72" s="166">
        <f>+AU78-AS78+AU81-AS81+AU84-AS84+AU87-AS87</f>
        <v>0</v>
      </c>
      <c r="AV72" s="167">
        <f>+AV92+AV95+AV98+AV101</f>
        <v>0</v>
      </c>
      <c r="AW72" s="166">
        <f>+AW78-AU78+AW81-AU81+AW84-AU84+AW87-AU87</f>
        <v>0</v>
      </c>
      <c r="AX72" s="167">
        <f>+AX92+AX95+AX98+AX101</f>
        <v>0</v>
      </c>
      <c r="AY72" s="166">
        <f>+AY78-AW78+AY81-AW81+AY84-AW84+AY87-AW87</f>
        <v>0</v>
      </c>
      <c r="AZ72" s="167">
        <f>+AZ92+AZ95+AZ98+AZ101</f>
        <v>0</v>
      </c>
      <c r="BA72" s="166">
        <f>+BA78-AY78+BA81-AY81+BA84-AY84+BA87-AY87</f>
        <v>0</v>
      </c>
      <c r="BB72" s="167">
        <f>+BB92+BB95+BB98+BB101</f>
        <v>0</v>
      </c>
      <c r="BC72" s="166">
        <f>+BC78-BA78+BC81-BA81+BC84-BA84+BC87-BA87</f>
        <v>0</v>
      </c>
      <c r="BD72" s="167">
        <f>+BD92+BD95+BD98+BD101</f>
        <v>0</v>
      </c>
      <c r="BE72" s="166">
        <f>+BE78-BC78+BE81-BC81+BE84-BC84+BE87-BC87</f>
        <v>0</v>
      </c>
      <c r="BF72" s="167">
        <f>+BF92+BF95+BF98+BF101</f>
        <v>0</v>
      </c>
      <c r="BG72" s="166">
        <f>+BG78-BE78+BG81-BE81+BG84-BE84+BG87-BE87</f>
        <v>0</v>
      </c>
      <c r="BH72" s="167">
        <f>+BH92+BH95+BH98+BH101</f>
        <v>0</v>
      </c>
      <c r="BI72" s="166">
        <f>+BI78-BG78+BI81-BG81+BI84-BG84+BI87-BG87</f>
        <v>0</v>
      </c>
      <c r="BJ72" s="167">
        <f>+BJ92+BJ95+BJ98+BJ101</f>
        <v>0</v>
      </c>
      <c r="BK72" s="166">
        <f>+BK78-BI78+BK81-BI81+BK84-BI84+BK87-BI87</f>
        <v>0</v>
      </c>
      <c r="BL72" s="167">
        <f>+BL92+BL95+BL98+BL101</f>
        <v>0</v>
      </c>
      <c r="BM72" s="166">
        <f>+BM78-BK78+BM81-BK81+BM84-BK84+BM87-BK87</f>
        <v>0</v>
      </c>
      <c r="BN72" s="50"/>
      <c r="BO72" s="170" t="e">
        <f t="shared" si="95"/>
        <v>#VALUE!</v>
      </c>
      <c r="BP72" s="167">
        <f>+BP92+BP95+BP98+BP101</f>
        <v>0</v>
      </c>
      <c r="BQ72" s="52"/>
    </row>
    <row r="73" spans="1:69" x14ac:dyDescent="0.35">
      <c r="A73" s="137"/>
      <c r="B73" s="138"/>
      <c r="C73" s="139"/>
      <c r="D73" s="189">
        <f t="shared" ref="D73:BM73" si="96">SUM(D68:D72)</f>
        <v>0</v>
      </c>
      <c r="E73" s="177" t="e">
        <f t="shared" si="96"/>
        <v>#VALUE!</v>
      </c>
      <c r="F73" s="167">
        <f t="shared" si="96"/>
        <v>0</v>
      </c>
      <c r="G73" s="177">
        <f t="shared" si="96"/>
        <v>0</v>
      </c>
      <c r="H73" s="167">
        <f t="shared" si="96"/>
        <v>0</v>
      </c>
      <c r="I73" s="177">
        <f t="shared" si="96"/>
        <v>0</v>
      </c>
      <c r="J73" s="167">
        <f t="shared" si="96"/>
        <v>0</v>
      </c>
      <c r="K73" s="177">
        <f t="shared" si="96"/>
        <v>0</v>
      </c>
      <c r="L73" s="167">
        <f t="shared" si="96"/>
        <v>0</v>
      </c>
      <c r="M73" s="177">
        <f t="shared" si="96"/>
        <v>0</v>
      </c>
      <c r="N73" s="167">
        <f t="shared" si="96"/>
        <v>0</v>
      </c>
      <c r="O73" s="177">
        <f t="shared" si="96"/>
        <v>0</v>
      </c>
      <c r="P73" s="167">
        <f t="shared" si="96"/>
        <v>0</v>
      </c>
      <c r="Q73" s="177">
        <f t="shared" si="96"/>
        <v>0</v>
      </c>
      <c r="R73" s="167">
        <f t="shared" si="96"/>
        <v>0</v>
      </c>
      <c r="S73" s="177">
        <f t="shared" si="96"/>
        <v>0</v>
      </c>
      <c r="T73" s="167">
        <f t="shared" si="96"/>
        <v>0</v>
      </c>
      <c r="U73" s="177">
        <f t="shared" si="96"/>
        <v>0</v>
      </c>
      <c r="V73" s="167">
        <f t="shared" si="96"/>
        <v>0</v>
      </c>
      <c r="W73" s="177">
        <f t="shared" si="96"/>
        <v>0</v>
      </c>
      <c r="X73" s="167">
        <f t="shared" si="96"/>
        <v>0</v>
      </c>
      <c r="Y73" s="177">
        <f t="shared" si="96"/>
        <v>0</v>
      </c>
      <c r="Z73" s="167">
        <f t="shared" si="96"/>
        <v>0</v>
      </c>
      <c r="AA73" s="177">
        <f t="shared" si="96"/>
        <v>0</v>
      </c>
      <c r="AB73" s="167">
        <f t="shared" si="96"/>
        <v>0</v>
      </c>
      <c r="AC73" s="177">
        <f t="shared" si="96"/>
        <v>0</v>
      </c>
      <c r="AD73" s="167">
        <f t="shared" si="96"/>
        <v>0</v>
      </c>
      <c r="AE73" s="177">
        <f t="shared" si="96"/>
        <v>0</v>
      </c>
      <c r="AF73" s="167">
        <f t="shared" si="96"/>
        <v>0</v>
      </c>
      <c r="AG73" s="177">
        <f t="shared" si="96"/>
        <v>0</v>
      </c>
      <c r="AH73" s="167">
        <f t="shared" si="96"/>
        <v>0</v>
      </c>
      <c r="AI73" s="177">
        <f t="shared" si="96"/>
        <v>0</v>
      </c>
      <c r="AJ73" s="167">
        <f t="shared" si="96"/>
        <v>0</v>
      </c>
      <c r="AK73" s="177">
        <f t="shared" si="96"/>
        <v>0</v>
      </c>
      <c r="AL73" s="167">
        <f t="shared" si="96"/>
        <v>0</v>
      </c>
      <c r="AM73" s="177">
        <f t="shared" si="96"/>
        <v>0</v>
      </c>
      <c r="AN73" s="167">
        <f t="shared" si="96"/>
        <v>0</v>
      </c>
      <c r="AO73" s="177">
        <f t="shared" si="96"/>
        <v>0</v>
      </c>
      <c r="AP73" s="167">
        <f t="shared" si="96"/>
        <v>0</v>
      </c>
      <c r="AQ73" s="177">
        <f t="shared" si="96"/>
        <v>0</v>
      </c>
      <c r="AR73" s="167">
        <f t="shared" si="96"/>
        <v>0</v>
      </c>
      <c r="AS73" s="177">
        <f t="shared" si="96"/>
        <v>0</v>
      </c>
      <c r="AT73" s="167">
        <f t="shared" si="96"/>
        <v>0</v>
      </c>
      <c r="AU73" s="177">
        <f t="shared" si="96"/>
        <v>0</v>
      </c>
      <c r="AV73" s="167">
        <f t="shared" si="96"/>
        <v>0</v>
      </c>
      <c r="AW73" s="177">
        <f t="shared" si="96"/>
        <v>0</v>
      </c>
      <c r="AX73" s="167">
        <f t="shared" si="96"/>
        <v>0</v>
      </c>
      <c r="AY73" s="177">
        <f t="shared" si="96"/>
        <v>0</v>
      </c>
      <c r="AZ73" s="167">
        <f t="shared" si="96"/>
        <v>0</v>
      </c>
      <c r="BA73" s="177">
        <f t="shared" si="96"/>
        <v>0</v>
      </c>
      <c r="BB73" s="167">
        <f t="shared" si="96"/>
        <v>0</v>
      </c>
      <c r="BC73" s="177">
        <f t="shared" si="96"/>
        <v>0</v>
      </c>
      <c r="BD73" s="167">
        <f t="shared" si="96"/>
        <v>0</v>
      </c>
      <c r="BE73" s="177">
        <f t="shared" si="96"/>
        <v>0</v>
      </c>
      <c r="BF73" s="167">
        <f t="shared" si="96"/>
        <v>0</v>
      </c>
      <c r="BG73" s="177">
        <f t="shared" si="96"/>
        <v>0</v>
      </c>
      <c r="BH73" s="167">
        <f t="shared" si="96"/>
        <v>0</v>
      </c>
      <c r="BI73" s="177">
        <f>SUM(BI68:BI72)</f>
        <v>0</v>
      </c>
      <c r="BJ73" s="167">
        <f t="shared" si="96"/>
        <v>0</v>
      </c>
      <c r="BK73" s="177">
        <f t="shared" si="96"/>
        <v>0</v>
      </c>
      <c r="BL73" s="167">
        <f t="shared" si="96"/>
        <v>0</v>
      </c>
      <c r="BM73" s="177">
        <f t="shared" si="96"/>
        <v>0</v>
      </c>
      <c r="BN73" s="92"/>
      <c r="BO73" s="170" t="e">
        <f t="shared" si="95"/>
        <v>#VALUE!</v>
      </c>
      <c r="BP73" s="167">
        <f t="shared" ref="BP73" si="97">SUM(BP68:BP72)</f>
        <v>0</v>
      </c>
      <c r="BQ73" s="93"/>
    </row>
    <row r="74" spans="1:69" x14ac:dyDescent="0.35">
      <c r="A74" s="53" t="s">
        <v>30</v>
      </c>
      <c r="B74" s="138"/>
      <c r="C74" s="210" t="str">
        <f>IF('November 2026 Log'!BK74="","",'November 2026 Log'!BK74)</f>
        <v/>
      </c>
      <c r="D74" s="47"/>
      <c r="E74" s="48"/>
      <c r="F74" s="49"/>
      <c r="G74" s="48"/>
      <c r="H74" s="49"/>
      <c r="I74" s="48"/>
      <c r="J74" s="49"/>
      <c r="K74" s="48"/>
      <c r="L74" s="49"/>
      <c r="M74" s="48"/>
      <c r="N74" s="49"/>
      <c r="O74" s="48"/>
      <c r="P74" s="49"/>
      <c r="Q74" s="48"/>
      <c r="R74" s="49"/>
      <c r="S74" s="48"/>
      <c r="T74" s="49"/>
      <c r="U74" s="48"/>
      <c r="V74" s="49"/>
      <c r="W74" s="48"/>
      <c r="X74" s="49"/>
      <c r="Y74" s="48"/>
      <c r="Z74" s="49"/>
      <c r="AA74" s="48"/>
      <c r="AB74" s="49"/>
      <c r="AC74" s="48"/>
      <c r="AD74" s="49"/>
      <c r="AE74" s="48"/>
      <c r="AF74" s="49"/>
      <c r="AG74" s="48"/>
      <c r="AH74" s="49"/>
      <c r="AI74" s="48"/>
      <c r="AJ74" s="49"/>
      <c r="AK74" s="48"/>
      <c r="AL74" s="49"/>
      <c r="AM74" s="48"/>
      <c r="AN74" s="49"/>
      <c r="AO74" s="48"/>
      <c r="AP74" s="49"/>
      <c r="AQ74" s="48"/>
      <c r="AR74" s="49"/>
      <c r="AS74" s="48"/>
      <c r="AT74" s="49"/>
      <c r="AU74" s="48"/>
      <c r="AV74" s="49"/>
      <c r="AW74" s="48"/>
      <c r="AX74" s="49"/>
      <c r="AY74" s="48"/>
      <c r="AZ74" s="49"/>
      <c r="BA74" s="48"/>
      <c r="BB74" s="49"/>
      <c r="BC74" s="48"/>
      <c r="BD74" s="49"/>
      <c r="BE74" s="48"/>
      <c r="BF74" s="49"/>
      <c r="BG74" s="48"/>
      <c r="BH74" s="49"/>
      <c r="BI74" s="48"/>
      <c r="BJ74" s="49"/>
      <c r="BK74" s="48"/>
      <c r="BL74" s="49"/>
      <c r="BM74" s="48"/>
      <c r="BN74" s="50"/>
      <c r="BO74" s="170" t="str">
        <f t="shared" si="95"/>
        <v/>
      </c>
      <c r="BP74" s="49"/>
      <c r="BQ74" s="178" t="str">
        <f>IF(BM74="","",BM74)</f>
        <v/>
      </c>
    </row>
    <row r="75" spans="1:69" x14ac:dyDescent="0.35">
      <c r="A75" s="98" t="s">
        <v>31</v>
      </c>
      <c r="B75" s="138"/>
      <c r="C75" s="211">
        <f>IF('November 2026 Log'!BK75="","",'November 2026 Log'!BK75)</f>
        <v>0</v>
      </c>
      <c r="D75" s="47"/>
      <c r="E75" s="177">
        <f>+E57-E74</f>
        <v>0</v>
      </c>
      <c r="F75" s="49"/>
      <c r="G75" s="177">
        <f>+G57-G74</f>
        <v>0</v>
      </c>
      <c r="H75" s="49"/>
      <c r="I75" s="177">
        <f>+I57-I74</f>
        <v>0</v>
      </c>
      <c r="J75" s="49"/>
      <c r="K75" s="177">
        <f>+K57-K74</f>
        <v>0</v>
      </c>
      <c r="L75" s="49"/>
      <c r="M75" s="177">
        <f>+M57-M74</f>
        <v>0</v>
      </c>
      <c r="N75" s="49"/>
      <c r="O75" s="177">
        <f>+O57-O74</f>
        <v>0</v>
      </c>
      <c r="P75" s="49"/>
      <c r="Q75" s="177">
        <f>+Q57-Q74</f>
        <v>0</v>
      </c>
      <c r="R75" s="49"/>
      <c r="S75" s="177">
        <f>+S57-S74</f>
        <v>0</v>
      </c>
      <c r="T75" s="49"/>
      <c r="U75" s="177">
        <f>+U57-U74</f>
        <v>0</v>
      </c>
      <c r="V75" s="49"/>
      <c r="W75" s="177">
        <f>+W57-W74</f>
        <v>0</v>
      </c>
      <c r="X75" s="49"/>
      <c r="Y75" s="177">
        <f>+Y57-Y74</f>
        <v>0</v>
      </c>
      <c r="Z75" s="49"/>
      <c r="AA75" s="177">
        <f>+AA57-AA74</f>
        <v>0</v>
      </c>
      <c r="AB75" s="49"/>
      <c r="AC75" s="177">
        <f>+AC57-AC74</f>
        <v>0</v>
      </c>
      <c r="AD75" s="49"/>
      <c r="AE75" s="177">
        <f>+AE57-AE74</f>
        <v>0</v>
      </c>
      <c r="AF75" s="49"/>
      <c r="AG75" s="177">
        <f>+AG57-AG74</f>
        <v>0</v>
      </c>
      <c r="AH75" s="49"/>
      <c r="AI75" s="177">
        <f>+AI57-AI74</f>
        <v>0</v>
      </c>
      <c r="AJ75" s="49"/>
      <c r="AK75" s="177">
        <f>+AK57-AK74</f>
        <v>0</v>
      </c>
      <c r="AL75" s="49"/>
      <c r="AM75" s="177">
        <f>+AM57-AM74</f>
        <v>0</v>
      </c>
      <c r="AN75" s="49"/>
      <c r="AO75" s="177">
        <f>+AO57-AO74</f>
        <v>0</v>
      </c>
      <c r="AP75" s="49"/>
      <c r="AQ75" s="177">
        <f>+AQ57-AQ74</f>
        <v>0</v>
      </c>
      <c r="AR75" s="49"/>
      <c r="AS75" s="177">
        <f>+AS57-AS74</f>
        <v>0</v>
      </c>
      <c r="AT75" s="49"/>
      <c r="AU75" s="177">
        <f>+AU57-AU74</f>
        <v>0</v>
      </c>
      <c r="AV75" s="49"/>
      <c r="AW75" s="177">
        <f>+AW57-AW74</f>
        <v>0</v>
      </c>
      <c r="AX75" s="49"/>
      <c r="AY75" s="177">
        <f>+AY57-AY74</f>
        <v>0</v>
      </c>
      <c r="AZ75" s="49"/>
      <c r="BA75" s="177">
        <f>+BA57-BA74</f>
        <v>0</v>
      </c>
      <c r="BB75" s="49"/>
      <c r="BC75" s="177">
        <f>+BC57-BC74</f>
        <v>0</v>
      </c>
      <c r="BD75" s="49"/>
      <c r="BE75" s="177">
        <f>+BE57-BE74</f>
        <v>0</v>
      </c>
      <c r="BF75" s="49"/>
      <c r="BG75" s="177">
        <f>+BG57-BG74</f>
        <v>0</v>
      </c>
      <c r="BH75" s="49"/>
      <c r="BI75" s="177">
        <f>+BI57-BI74</f>
        <v>0</v>
      </c>
      <c r="BJ75" s="49"/>
      <c r="BK75" s="177">
        <f>+BK57-BK74</f>
        <v>0</v>
      </c>
      <c r="BL75" s="49"/>
      <c r="BM75" s="177">
        <f>+BM57-BM74</f>
        <v>0</v>
      </c>
      <c r="BN75" s="92"/>
      <c r="BO75" s="170">
        <f t="shared" si="95"/>
        <v>0</v>
      </c>
      <c r="BP75" s="49"/>
      <c r="BQ75" s="179">
        <f>IF(BM75="","",BM75)</f>
        <v>0</v>
      </c>
    </row>
    <row r="76" spans="1:69" ht="28.9" customHeight="1" x14ac:dyDescent="0.35">
      <c r="A76" s="74" t="s">
        <v>92</v>
      </c>
      <c r="B76" s="75"/>
      <c r="C76" s="141"/>
      <c r="D76" s="102"/>
      <c r="E76" s="142"/>
      <c r="F76" s="104"/>
      <c r="G76" s="142"/>
      <c r="H76" s="104"/>
      <c r="I76" s="142"/>
      <c r="J76" s="104"/>
      <c r="K76" s="142"/>
      <c r="L76" s="104"/>
      <c r="M76" s="142"/>
      <c r="N76" s="104"/>
      <c r="O76" s="142"/>
      <c r="P76" s="104"/>
      <c r="Q76" s="142"/>
      <c r="R76" s="104"/>
      <c r="S76" s="142"/>
      <c r="T76" s="104"/>
      <c r="U76" s="142"/>
      <c r="V76" s="104"/>
      <c r="W76" s="142"/>
      <c r="X76" s="104"/>
      <c r="Y76" s="142"/>
      <c r="Z76" s="104"/>
      <c r="AA76" s="142"/>
      <c r="AB76" s="104"/>
      <c r="AC76" s="142"/>
      <c r="AD76" s="104"/>
      <c r="AE76" s="142"/>
      <c r="AF76" s="104"/>
      <c r="AG76" s="142"/>
      <c r="AH76" s="104"/>
      <c r="AI76" s="142"/>
      <c r="AJ76" s="104"/>
      <c r="AK76" s="142"/>
      <c r="AL76" s="104"/>
      <c r="AM76" s="142"/>
      <c r="AN76" s="104"/>
      <c r="AO76" s="142"/>
      <c r="AP76" s="104"/>
      <c r="AQ76" s="142"/>
      <c r="AR76" s="104"/>
      <c r="AS76" s="142"/>
      <c r="AT76" s="104"/>
      <c r="AU76" s="142"/>
      <c r="AV76" s="104"/>
      <c r="AW76" s="142"/>
      <c r="AX76" s="104"/>
      <c r="AY76" s="142"/>
      <c r="AZ76" s="104"/>
      <c r="BA76" s="142"/>
      <c r="BB76" s="104"/>
      <c r="BC76" s="142"/>
      <c r="BD76" s="104"/>
      <c r="BE76" s="142"/>
      <c r="BF76" s="104"/>
      <c r="BG76" s="142"/>
      <c r="BH76" s="104"/>
      <c r="BI76" s="142"/>
      <c r="BJ76" s="104"/>
      <c r="BK76" s="142"/>
      <c r="BL76" s="104"/>
      <c r="BM76" s="142"/>
      <c r="BN76" s="105"/>
      <c r="BO76" s="106"/>
      <c r="BP76" s="104"/>
      <c r="BQ76" s="107"/>
    </row>
    <row r="77" spans="1:69" x14ac:dyDescent="0.35">
      <c r="A77" s="132" t="s">
        <v>75</v>
      </c>
      <c r="B77" s="54" t="s">
        <v>65</v>
      </c>
      <c r="C77" s="174" t="str">
        <f>IF('November 2026 Log'!BK77="","",'November 2026 Log'!BK77)</f>
        <v/>
      </c>
      <c r="D77" s="189" t="e">
        <f t="shared" ref="D77:D104" si="98">+E77-C77</f>
        <v>#VALUE!</v>
      </c>
      <c r="E77" s="86"/>
      <c r="F77" s="167">
        <f t="shared" ref="F77:F104" si="99">+G77-E77</f>
        <v>0</v>
      </c>
      <c r="G77" s="86"/>
      <c r="H77" s="167">
        <f t="shared" ref="H77:H104" si="100">+I77-G77</f>
        <v>0</v>
      </c>
      <c r="I77" s="86"/>
      <c r="J77" s="167">
        <f t="shared" ref="J77:J104" si="101">+K77-I77</f>
        <v>0</v>
      </c>
      <c r="K77" s="86"/>
      <c r="L77" s="167">
        <f t="shared" ref="L77:L89" si="102">+M77-K77</f>
        <v>0</v>
      </c>
      <c r="M77" s="86"/>
      <c r="N77" s="167">
        <f t="shared" ref="N77:N89" si="103">+O77-M77</f>
        <v>0</v>
      </c>
      <c r="O77" s="86"/>
      <c r="P77" s="167">
        <f t="shared" ref="P77:P89" si="104">+Q77-O77</f>
        <v>0</v>
      </c>
      <c r="Q77" s="86"/>
      <c r="R77" s="167">
        <f t="shared" ref="R77:R89" si="105">+S77-Q77</f>
        <v>0</v>
      </c>
      <c r="S77" s="86"/>
      <c r="T77" s="167">
        <f t="shared" ref="T77:T89" si="106">+U77-S77</f>
        <v>0</v>
      </c>
      <c r="U77" s="86"/>
      <c r="V77" s="167">
        <f t="shared" ref="V77:V89" si="107">+W77-U77</f>
        <v>0</v>
      </c>
      <c r="W77" s="86"/>
      <c r="X77" s="167">
        <f t="shared" ref="X77:X89" si="108">+Y77-W77</f>
        <v>0</v>
      </c>
      <c r="Y77" s="86"/>
      <c r="Z77" s="167">
        <f t="shared" ref="Z77:Z89" si="109">+AA77-Y77</f>
        <v>0</v>
      </c>
      <c r="AA77" s="86"/>
      <c r="AB77" s="167">
        <f t="shared" ref="AB77:AB89" si="110">+AC77-AA77</f>
        <v>0</v>
      </c>
      <c r="AC77" s="86"/>
      <c r="AD77" s="167">
        <f t="shared" ref="AD77:AD89" si="111">+AE77-AC77</f>
        <v>0</v>
      </c>
      <c r="AE77" s="86"/>
      <c r="AF77" s="167">
        <f t="shared" ref="AF77:AF89" si="112">+AG77-AE77</f>
        <v>0</v>
      </c>
      <c r="AG77" s="86"/>
      <c r="AH77" s="167">
        <f t="shared" ref="AH77:AH89" si="113">+AI77-AG77</f>
        <v>0</v>
      </c>
      <c r="AI77" s="86"/>
      <c r="AJ77" s="167">
        <f t="shared" ref="AJ77:AJ89" si="114">+AK77-AI77</f>
        <v>0</v>
      </c>
      <c r="AK77" s="86"/>
      <c r="AL77" s="167">
        <f t="shared" ref="AL77:AL89" si="115">+AM77-AK77</f>
        <v>0</v>
      </c>
      <c r="AM77" s="86"/>
      <c r="AN77" s="167">
        <f t="shared" ref="AN77:AN89" si="116">+AO77-AM77</f>
        <v>0</v>
      </c>
      <c r="AO77" s="86"/>
      <c r="AP77" s="167">
        <f t="shared" ref="AP77:AP89" si="117">+AQ77-AO77</f>
        <v>0</v>
      </c>
      <c r="AQ77" s="86"/>
      <c r="AR77" s="167">
        <f t="shared" ref="AR77:AR89" si="118">+AS77-AQ77</f>
        <v>0</v>
      </c>
      <c r="AS77" s="86"/>
      <c r="AT77" s="167">
        <f t="shared" ref="AT77:AT89" si="119">+AU77-AS77</f>
        <v>0</v>
      </c>
      <c r="AU77" s="86"/>
      <c r="AV77" s="167">
        <f t="shared" ref="AV77:AV89" si="120">+AW77-AU77</f>
        <v>0</v>
      </c>
      <c r="AW77" s="86"/>
      <c r="AX77" s="167">
        <f t="shared" ref="AX77:AX89" si="121">+AY77-AW77</f>
        <v>0</v>
      </c>
      <c r="AY77" s="86"/>
      <c r="AZ77" s="167">
        <f t="shared" ref="AZ77:AZ89" si="122">+BA77-AY77</f>
        <v>0</v>
      </c>
      <c r="BA77" s="86"/>
      <c r="BB77" s="167">
        <f t="shared" ref="BB77:BB89" si="123">+BC77-BA77</f>
        <v>0</v>
      </c>
      <c r="BC77" s="86"/>
      <c r="BD77" s="167">
        <f t="shared" ref="BD77:BD89" si="124">+BE77-BC77</f>
        <v>0</v>
      </c>
      <c r="BE77" s="86"/>
      <c r="BF77" s="167">
        <f t="shared" ref="BF77:BF89" si="125">+BG77-BE77</f>
        <v>0</v>
      </c>
      <c r="BG77" s="86"/>
      <c r="BH77" s="167">
        <f t="shared" ref="BH77:BH89" si="126">+BI77-BG77</f>
        <v>0</v>
      </c>
      <c r="BI77" s="86"/>
      <c r="BJ77" s="167">
        <f t="shared" ref="BJ77:BJ89" si="127">+BK77-BI77</f>
        <v>0</v>
      </c>
      <c r="BK77" s="86"/>
      <c r="BL77" s="167">
        <f t="shared" ref="BL77:BL89" si="128">+BM77-BK77</f>
        <v>0</v>
      </c>
      <c r="BM77" s="86"/>
      <c r="BN77" s="50"/>
      <c r="BO77" s="170" t="e">
        <f t="shared" ref="BO77:BO88" si="129">IF(COUNT(D77,F77,H77,J77,L77,N77,P77,R77,T77,V77,X77,Z77,AB77,AD77,AF77,AH77,AJ77,AL77,AN77,AP77,AR77,AT77,AV77,AX77,AZ77,BB77,BD77,BF77,BH77,BJ77,BL77)=0,"",SUM(D77,F77,H77,J77,L77,N77,P77,R77,T77,V77,X77,Z77,AB77,AD77,AF77,AH77,AJ77,AL77,AN77,AP77,AR77,AT77,AV77,AX77,AZ77,BB77,BD77,BF77,BH77,BJ77,BL77))</f>
        <v>#VALUE!</v>
      </c>
      <c r="BP77" s="193" t="e">
        <f>+BQ77-BM77</f>
        <v>#VALUE!</v>
      </c>
      <c r="BQ77" s="212" t="str">
        <f t="shared" ref="BQ77:BQ88" si="130">IF(BM77="","",BM77)</f>
        <v/>
      </c>
    </row>
    <row r="78" spans="1:69" x14ac:dyDescent="0.35">
      <c r="A78" s="136" t="s">
        <v>76</v>
      </c>
      <c r="B78" s="54" t="s">
        <v>66</v>
      </c>
      <c r="C78" s="174" t="str">
        <f>IF('November 2026 Log'!BK78="","",'November 2026 Log'!BK78)</f>
        <v/>
      </c>
      <c r="D78" s="189" t="e">
        <f t="shared" si="98"/>
        <v>#VALUE!</v>
      </c>
      <c r="E78" s="86"/>
      <c r="F78" s="167">
        <f t="shared" si="99"/>
        <v>0</v>
      </c>
      <c r="G78" s="86"/>
      <c r="H78" s="167">
        <f t="shared" si="100"/>
        <v>0</v>
      </c>
      <c r="I78" s="86"/>
      <c r="J78" s="167">
        <f t="shared" si="101"/>
        <v>0</v>
      </c>
      <c r="K78" s="86"/>
      <c r="L78" s="167">
        <f t="shared" si="102"/>
        <v>0</v>
      </c>
      <c r="M78" s="86"/>
      <c r="N78" s="167">
        <f t="shared" si="103"/>
        <v>0</v>
      </c>
      <c r="O78" s="86"/>
      <c r="P78" s="167">
        <f t="shared" si="104"/>
        <v>0</v>
      </c>
      <c r="Q78" s="86"/>
      <c r="R78" s="167">
        <f t="shared" si="105"/>
        <v>0</v>
      </c>
      <c r="S78" s="86"/>
      <c r="T78" s="167">
        <f t="shared" si="106"/>
        <v>0</v>
      </c>
      <c r="U78" s="86"/>
      <c r="V78" s="167">
        <f t="shared" si="107"/>
        <v>0</v>
      </c>
      <c r="W78" s="86"/>
      <c r="X78" s="167">
        <f t="shared" si="108"/>
        <v>0</v>
      </c>
      <c r="Y78" s="86"/>
      <c r="Z78" s="167">
        <f t="shared" si="109"/>
        <v>0</v>
      </c>
      <c r="AA78" s="86"/>
      <c r="AB78" s="167">
        <f t="shared" si="110"/>
        <v>0</v>
      </c>
      <c r="AC78" s="86"/>
      <c r="AD78" s="167">
        <f t="shared" si="111"/>
        <v>0</v>
      </c>
      <c r="AE78" s="86"/>
      <c r="AF78" s="167">
        <f t="shared" si="112"/>
        <v>0</v>
      </c>
      <c r="AG78" s="86"/>
      <c r="AH78" s="167">
        <f t="shared" si="113"/>
        <v>0</v>
      </c>
      <c r="AI78" s="86"/>
      <c r="AJ78" s="167">
        <f t="shared" si="114"/>
        <v>0</v>
      </c>
      <c r="AK78" s="86"/>
      <c r="AL78" s="167">
        <f t="shared" si="115"/>
        <v>0</v>
      </c>
      <c r="AM78" s="86"/>
      <c r="AN78" s="167">
        <f t="shared" si="116"/>
        <v>0</v>
      </c>
      <c r="AO78" s="86"/>
      <c r="AP78" s="167">
        <f t="shared" si="117"/>
        <v>0</v>
      </c>
      <c r="AQ78" s="86"/>
      <c r="AR78" s="167">
        <f t="shared" si="118"/>
        <v>0</v>
      </c>
      <c r="AS78" s="86"/>
      <c r="AT78" s="167">
        <f t="shared" si="119"/>
        <v>0</v>
      </c>
      <c r="AU78" s="86"/>
      <c r="AV78" s="167">
        <f t="shared" si="120"/>
        <v>0</v>
      </c>
      <c r="AW78" s="86"/>
      <c r="AX78" s="167">
        <f t="shared" si="121"/>
        <v>0</v>
      </c>
      <c r="AY78" s="86"/>
      <c r="AZ78" s="167">
        <f t="shared" si="122"/>
        <v>0</v>
      </c>
      <c r="BA78" s="86"/>
      <c r="BB78" s="167">
        <f t="shared" si="123"/>
        <v>0</v>
      </c>
      <c r="BC78" s="86"/>
      <c r="BD78" s="167">
        <f t="shared" si="124"/>
        <v>0</v>
      </c>
      <c r="BE78" s="86"/>
      <c r="BF78" s="167">
        <f t="shared" si="125"/>
        <v>0</v>
      </c>
      <c r="BG78" s="86"/>
      <c r="BH78" s="167">
        <f t="shared" si="126"/>
        <v>0</v>
      </c>
      <c r="BI78" s="86"/>
      <c r="BJ78" s="167">
        <f t="shared" si="127"/>
        <v>0</v>
      </c>
      <c r="BK78" s="86"/>
      <c r="BL78" s="167">
        <f t="shared" si="128"/>
        <v>0</v>
      </c>
      <c r="BM78" s="86"/>
      <c r="BN78" s="50"/>
      <c r="BO78" s="170" t="e">
        <f t="shared" si="129"/>
        <v>#VALUE!</v>
      </c>
      <c r="BP78" s="167" t="e">
        <f t="shared" ref="BP78:BP89" si="131">+BQ78-BM78</f>
        <v>#VALUE!</v>
      </c>
      <c r="BQ78" s="178" t="str">
        <f t="shared" si="130"/>
        <v/>
      </c>
    </row>
    <row r="79" spans="1:69" x14ac:dyDescent="0.35">
      <c r="A79" s="134" t="s">
        <v>77</v>
      </c>
      <c r="B79" s="54" t="s">
        <v>67</v>
      </c>
      <c r="C79" s="174" t="str">
        <f>IF('November 2026 Log'!BK79="","",'November 2026 Log'!BK79)</f>
        <v/>
      </c>
      <c r="D79" s="189" t="e">
        <f t="shared" si="98"/>
        <v>#VALUE!</v>
      </c>
      <c r="E79" s="86"/>
      <c r="F79" s="167">
        <f t="shared" si="99"/>
        <v>0</v>
      </c>
      <c r="G79" s="86"/>
      <c r="H79" s="167">
        <f t="shared" si="100"/>
        <v>0</v>
      </c>
      <c r="I79" s="86"/>
      <c r="J79" s="167">
        <f t="shared" si="101"/>
        <v>0</v>
      </c>
      <c r="K79" s="86"/>
      <c r="L79" s="167">
        <f t="shared" si="102"/>
        <v>0</v>
      </c>
      <c r="M79" s="86"/>
      <c r="N79" s="167">
        <f t="shared" si="103"/>
        <v>0</v>
      </c>
      <c r="O79" s="86"/>
      <c r="P79" s="167">
        <f t="shared" si="104"/>
        <v>0</v>
      </c>
      <c r="Q79" s="86"/>
      <c r="R79" s="167">
        <f t="shared" si="105"/>
        <v>0</v>
      </c>
      <c r="S79" s="86"/>
      <c r="T79" s="167">
        <f t="shared" si="106"/>
        <v>0</v>
      </c>
      <c r="U79" s="86"/>
      <c r="V79" s="167">
        <f t="shared" si="107"/>
        <v>0</v>
      </c>
      <c r="W79" s="86"/>
      <c r="X79" s="167">
        <f t="shared" si="108"/>
        <v>0</v>
      </c>
      <c r="Y79" s="86"/>
      <c r="Z79" s="167">
        <f t="shared" si="109"/>
        <v>0</v>
      </c>
      <c r="AA79" s="86"/>
      <c r="AB79" s="167">
        <f t="shared" si="110"/>
        <v>0</v>
      </c>
      <c r="AC79" s="86"/>
      <c r="AD79" s="167">
        <f t="shared" si="111"/>
        <v>0</v>
      </c>
      <c r="AE79" s="86"/>
      <c r="AF79" s="167">
        <f t="shared" si="112"/>
        <v>0</v>
      </c>
      <c r="AG79" s="86"/>
      <c r="AH79" s="167">
        <f t="shared" si="113"/>
        <v>0</v>
      </c>
      <c r="AI79" s="86"/>
      <c r="AJ79" s="167">
        <f t="shared" si="114"/>
        <v>0</v>
      </c>
      <c r="AK79" s="86"/>
      <c r="AL79" s="167">
        <f t="shared" si="115"/>
        <v>0</v>
      </c>
      <c r="AM79" s="86"/>
      <c r="AN79" s="167">
        <f t="shared" si="116"/>
        <v>0</v>
      </c>
      <c r="AO79" s="86"/>
      <c r="AP79" s="167">
        <f t="shared" si="117"/>
        <v>0</v>
      </c>
      <c r="AQ79" s="86"/>
      <c r="AR79" s="167">
        <f t="shared" si="118"/>
        <v>0</v>
      </c>
      <c r="AS79" s="86"/>
      <c r="AT79" s="167">
        <f t="shared" si="119"/>
        <v>0</v>
      </c>
      <c r="AU79" s="86"/>
      <c r="AV79" s="167">
        <f t="shared" si="120"/>
        <v>0</v>
      </c>
      <c r="AW79" s="86"/>
      <c r="AX79" s="167">
        <f t="shared" si="121"/>
        <v>0</v>
      </c>
      <c r="AY79" s="86"/>
      <c r="AZ79" s="167">
        <f t="shared" si="122"/>
        <v>0</v>
      </c>
      <c r="BA79" s="86"/>
      <c r="BB79" s="167">
        <f t="shared" si="123"/>
        <v>0</v>
      </c>
      <c r="BC79" s="86"/>
      <c r="BD79" s="167">
        <f t="shared" si="124"/>
        <v>0</v>
      </c>
      <c r="BE79" s="86"/>
      <c r="BF79" s="167">
        <f t="shared" si="125"/>
        <v>0</v>
      </c>
      <c r="BG79" s="86"/>
      <c r="BH79" s="167">
        <f t="shared" si="126"/>
        <v>0</v>
      </c>
      <c r="BI79" s="86"/>
      <c r="BJ79" s="167">
        <f t="shared" si="127"/>
        <v>0</v>
      </c>
      <c r="BK79" s="86"/>
      <c r="BL79" s="167">
        <f t="shared" si="128"/>
        <v>0</v>
      </c>
      <c r="BM79" s="86"/>
      <c r="BN79" s="50"/>
      <c r="BO79" s="170" t="e">
        <f t="shared" si="129"/>
        <v>#VALUE!</v>
      </c>
      <c r="BP79" s="167" t="e">
        <f t="shared" si="131"/>
        <v>#VALUE!</v>
      </c>
      <c r="BQ79" s="178" t="str">
        <f t="shared" si="130"/>
        <v/>
      </c>
    </row>
    <row r="80" spans="1:69" x14ac:dyDescent="0.35">
      <c r="A80" s="132" t="s">
        <v>78</v>
      </c>
      <c r="B80" s="54" t="s">
        <v>65</v>
      </c>
      <c r="C80" s="174" t="str">
        <f>IF('November 2026 Log'!BK80="","",'November 2026 Log'!BK80)</f>
        <v/>
      </c>
      <c r="D80" s="189" t="e">
        <f t="shared" si="98"/>
        <v>#VALUE!</v>
      </c>
      <c r="E80" s="86"/>
      <c r="F80" s="167">
        <f t="shared" si="99"/>
        <v>0</v>
      </c>
      <c r="G80" s="86"/>
      <c r="H80" s="167">
        <f t="shared" si="100"/>
        <v>0</v>
      </c>
      <c r="I80" s="86"/>
      <c r="J80" s="167">
        <f t="shared" si="101"/>
        <v>0</v>
      </c>
      <c r="K80" s="86"/>
      <c r="L80" s="167">
        <f t="shared" si="102"/>
        <v>0</v>
      </c>
      <c r="M80" s="86"/>
      <c r="N80" s="167">
        <f t="shared" si="103"/>
        <v>0</v>
      </c>
      <c r="O80" s="86"/>
      <c r="P80" s="167">
        <f t="shared" si="104"/>
        <v>0</v>
      </c>
      <c r="Q80" s="86"/>
      <c r="R80" s="167">
        <f t="shared" si="105"/>
        <v>0</v>
      </c>
      <c r="S80" s="86"/>
      <c r="T80" s="167">
        <f t="shared" si="106"/>
        <v>0</v>
      </c>
      <c r="U80" s="86"/>
      <c r="V80" s="167">
        <f t="shared" si="107"/>
        <v>0</v>
      </c>
      <c r="W80" s="86"/>
      <c r="X80" s="167">
        <f t="shared" si="108"/>
        <v>0</v>
      </c>
      <c r="Y80" s="86"/>
      <c r="Z80" s="167">
        <f t="shared" si="109"/>
        <v>0</v>
      </c>
      <c r="AA80" s="86"/>
      <c r="AB80" s="167">
        <f t="shared" si="110"/>
        <v>0</v>
      </c>
      <c r="AC80" s="86"/>
      <c r="AD80" s="167">
        <f t="shared" si="111"/>
        <v>0</v>
      </c>
      <c r="AE80" s="86"/>
      <c r="AF80" s="167">
        <f t="shared" si="112"/>
        <v>0</v>
      </c>
      <c r="AG80" s="86"/>
      <c r="AH80" s="167">
        <f t="shared" si="113"/>
        <v>0</v>
      </c>
      <c r="AI80" s="86"/>
      <c r="AJ80" s="167">
        <f t="shared" si="114"/>
        <v>0</v>
      </c>
      <c r="AK80" s="86"/>
      <c r="AL80" s="167">
        <f t="shared" si="115"/>
        <v>0</v>
      </c>
      <c r="AM80" s="86"/>
      <c r="AN80" s="167">
        <f t="shared" si="116"/>
        <v>0</v>
      </c>
      <c r="AO80" s="86"/>
      <c r="AP80" s="167">
        <f t="shared" si="117"/>
        <v>0</v>
      </c>
      <c r="AQ80" s="86"/>
      <c r="AR80" s="167">
        <f t="shared" si="118"/>
        <v>0</v>
      </c>
      <c r="AS80" s="86"/>
      <c r="AT80" s="167">
        <f t="shared" si="119"/>
        <v>0</v>
      </c>
      <c r="AU80" s="86"/>
      <c r="AV80" s="167">
        <f t="shared" si="120"/>
        <v>0</v>
      </c>
      <c r="AW80" s="86"/>
      <c r="AX80" s="167">
        <f t="shared" si="121"/>
        <v>0</v>
      </c>
      <c r="AY80" s="86"/>
      <c r="AZ80" s="167">
        <f t="shared" si="122"/>
        <v>0</v>
      </c>
      <c r="BA80" s="86"/>
      <c r="BB80" s="167">
        <f t="shared" si="123"/>
        <v>0</v>
      </c>
      <c r="BC80" s="86"/>
      <c r="BD80" s="167">
        <f t="shared" si="124"/>
        <v>0</v>
      </c>
      <c r="BE80" s="86"/>
      <c r="BF80" s="167">
        <f t="shared" si="125"/>
        <v>0</v>
      </c>
      <c r="BG80" s="86"/>
      <c r="BH80" s="167">
        <f t="shared" si="126"/>
        <v>0</v>
      </c>
      <c r="BI80" s="86"/>
      <c r="BJ80" s="167">
        <f t="shared" si="127"/>
        <v>0</v>
      </c>
      <c r="BK80" s="86"/>
      <c r="BL80" s="167">
        <f t="shared" si="128"/>
        <v>0</v>
      </c>
      <c r="BM80" s="86"/>
      <c r="BN80" s="50"/>
      <c r="BO80" s="170" t="e">
        <f t="shared" si="129"/>
        <v>#VALUE!</v>
      </c>
      <c r="BP80" s="167" t="e">
        <f t="shared" si="131"/>
        <v>#VALUE!</v>
      </c>
      <c r="BQ80" s="178" t="str">
        <f t="shared" si="130"/>
        <v/>
      </c>
    </row>
    <row r="81" spans="1:69" x14ac:dyDescent="0.35">
      <c r="A81" s="136" t="s">
        <v>79</v>
      </c>
      <c r="B81" s="54" t="s">
        <v>66</v>
      </c>
      <c r="C81" s="174" t="str">
        <f>IF('November 2026 Log'!BK81="","",'November 2026 Log'!BK81)</f>
        <v/>
      </c>
      <c r="D81" s="189" t="e">
        <f t="shared" si="98"/>
        <v>#VALUE!</v>
      </c>
      <c r="E81" s="86"/>
      <c r="F81" s="167">
        <f t="shared" si="99"/>
        <v>0</v>
      </c>
      <c r="G81" s="86"/>
      <c r="H81" s="167">
        <f t="shared" si="100"/>
        <v>0</v>
      </c>
      <c r="I81" s="86"/>
      <c r="J81" s="167">
        <f t="shared" si="101"/>
        <v>0</v>
      </c>
      <c r="K81" s="86"/>
      <c r="L81" s="167">
        <f t="shared" si="102"/>
        <v>0</v>
      </c>
      <c r="M81" s="86"/>
      <c r="N81" s="167">
        <f t="shared" si="103"/>
        <v>0</v>
      </c>
      <c r="O81" s="86"/>
      <c r="P81" s="167">
        <f t="shared" si="104"/>
        <v>0</v>
      </c>
      <c r="Q81" s="86"/>
      <c r="R81" s="167">
        <f t="shared" si="105"/>
        <v>0</v>
      </c>
      <c r="S81" s="86"/>
      <c r="T81" s="167">
        <f t="shared" si="106"/>
        <v>0</v>
      </c>
      <c r="U81" s="86"/>
      <c r="V81" s="167">
        <f t="shared" si="107"/>
        <v>0</v>
      </c>
      <c r="W81" s="86"/>
      <c r="X81" s="167">
        <f t="shared" si="108"/>
        <v>0</v>
      </c>
      <c r="Y81" s="86"/>
      <c r="Z81" s="167">
        <f t="shared" si="109"/>
        <v>0</v>
      </c>
      <c r="AA81" s="86"/>
      <c r="AB81" s="167">
        <f t="shared" si="110"/>
        <v>0</v>
      </c>
      <c r="AC81" s="86"/>
      <c r="AD81" s="167">
        <f t="shared" si="111"/>
        <v>0</v>
      </c>
      <c r="AE81" s="86"/>
      <c r="AF81" s="167">
        <f t="shared" si="112"/>
        <v>0</v>
      </c>
      <c r="AG81" s="86"/>
      <c r="AH81" s="167">
        <f t="shared" si="113"/>
        <v>0</v>
      </c>
      <c r="AI81" s="86"/>
      <c r="AJ81" s="167">
        <f t="shared" si="114"/>
        <v>0</v>
      </c>
      <c r="AK81" s="86"/>
      <c r="AL81" s="167">
        <f t="shared" si="115"/>
        <v>0</v>
      </c>
      <c r="AM81" s="86"/>
      <c r="AN81" s="167">
        <f t="shared" si="116"/>
        <v>0</v>
      </c>
      <c r="AO81" s="86"/>
      <c r="AP81" s="167">
        <f t="shared" si="117"/>
        <v>0</v>
      </c>
      <c r="AQ81" s="86"/>
      <c r="AR81" s="167">
        <f t="shared" si="118"/>
        <v>0</v>
      </c>
      <c r="AS81" s="86"/>
      <c r="AT81" s="167">
        <f t="shared" si="119"/>
        <v>0</v>
      </c>
      <c r="AU81" s="86"/>
      <c r="AV81" s="167">
        <f t="shared" si="120"/>
        <v>0</v>
      </c>
      <c r="AW81" s="86"/>
      <c r="AX81" s="167">
        <f t="shared" si="121"/>
        <v>0</v>
      </c>
      <c r="AY81" s="86"/>
      <c r="AZ81" s="167">
        <f t="shared" si="122"/>
        <v>0</v>
      </c>
      <c r="BA81" s="86"/>
      <c r="BB81" s="167">
        <f t="shared" si="123"/>
        <v>0</v>
      </c>
      <c r="BC81" s="86"/>
      <c r="BD81" s="167">
        <f t="shared" si="124"/>
        <v>0</v>
      </c>
      <c r="BE81" s="86"/>
      <c r="BF81" s="167">
        <f t="shared" si="125"/>
        <v>0</v>
      </c>
      <c r="BG81" s="86"/>
      <c r="BH81" s="167">
        <f t="shared" si="126"/>
        <v>0</v>
      </c>
      <c r="BI81" s="86"/>
      <c r="BJ81" s="167">
        <f t="shared" si="127"/>
        <v>0</v>
      </c>
      <c r="BK81" s="86"/>
      <c r="BL81" s="167">
        <f t="shared" si="128"/>
        <v>0</v>
      </c>
      <c r="BM81" s="86"/>
      <c r="BN81" s="50"/>
      <c r="BO81" s="170" t="e">
        <f t="shared" si="129"/>
        <v>#VALUE!</v>
      </c>
      <c r="BP81" s="167" t="e">
        <f t="shared" si="131"/>
        <v>#VALUE!</v>
      </c>
      <c r="BQ81" s="178" t="str">
        <f t="shared" si="130"/>
        <v/>
      </c>
    </row>
    <row r="82" spans="1:69" x14ac:dyDescent="0.35">
      <c r="A82" s="134" t="s">
        <v>80</v>
      </c>
      <c r="B82" s="54" t="s">
        <v>67</v>
      </c>
      <c r="C82" s="174" t="str">
        <f>IF('November 2026 Log'!BK82="","",'November 2026 Log'!BK82)</f>
        <v/>
      </c>
      <c r="D82" s="189" t="e">
        <f t="shared" si="98"/>
        <v>#VALUE!</v>
      </c>
      <c r="E82" s="86"/>
      <c r="F82" s="167">
        <f t="shared" si="99"/>
        <v>0</v>
      </c>
      <c r="G82" s="86"/>
      <c r="H82" s="167">
        <f t="shared" si="100"/>
        <v>0</v>
      </c>
      <c r="I82" s="86"/>
      <c r="J82" s="167">
        <f t="shared" si="101"/>
        <v>0</v>
      </c>
      <c r="K82" s="86"/>
      <c r="L82" s="167">
        <f t="shared" si="102"/>
        <v>0</v>
      </c>
      <c r="M82" s="86"/>
      <c r="N82" s="167">
        <f t="shared" si="103"/>
        <v>0</v>
      </c>
      <c r="O82" s="86"/>
      <c r="P82" s="167">
        <f t="shared" si="104"/>
        <v>0</v>
      </c>
      <c r="Q82" s="86"/>
      <c r="R82" s="167">
        <f t="shared" si="105"/>
        <v>0</v>
      </c>
      <c r="S82" s="86"/>
      <c r="T82" s="167">
        <f t="shared" si="106"/>
        <v>0</v>
      </c>
      <c r="U82" s="86"/>
      <c r="V82" s="167">
        <f t="shared" si="107"/>
        <v>0</v>
      </c>
      <c r="W82" s="86"/>
      <c r="X82" s="167">
        <f t="shared" si="108"/>
        <v>0</v>
      </c>
      <c r="Y82" s="86"/>
      <c r="Z82" s="167">
        <f t="shared" si="109"/>
        <v>0</v>
      </c>
      <c r="AA82" s="86"/>
      <c r="AB82" s="167">
        <f t="shared" si="110"/>
        <v>0</v>
      </c>
      <c r="AC82" s="86"/>
      <c r="AD82" s="167">
        <f t="shared" si="111"/>
        <v>0</v>
      </c>
      <c r="AE82" s="86"/>
      <c r="AF82" s="167">
        <f t="shared" si="112"/>
        <v>0</v>
      </c>
      <c r="AG82" s="86"/>
      <c r="AH82" s="167">
        <f t="shared" si="113"/>
        <v>0</v>
      </c>
      <c r="AI82" s="86"/>
      <c r="AJ82" s="167">
        <f t="shared" si="114"/>
        <v>0</v>
      </c>
      <c r="AK82" s="86"/>
      <c r="AL82" s="167">
        <f t="shared" si="115"/>
        <v>0</v>
      </c>
      <c r="AM82" s="86"/>
      <c r="AN82" s="167">
        <f t="shared" si="116"/>
        <v>0</v>
      </c>
      <c r="AO82" s="86"/>
      <c r="AP82" s="167">
        <f t="shared" si="117"/>
        <v>0</v>
      </c>
      <c r="AQ82" s="86"/>
      <c r="AR82" s="167">
        <f t="shared" si="118"/>
        <v>0</v>
      </c>
      <c r="AS82" s="86"/>
      <c r="AT82" s="167">
        <f t="shared" si="119"/>
        <v>0</v>
      </c>
      <c r="AU82" s="86"/>
      <c r="AV82" s="167">
        <f t="shared" si="120"/>
        <v>0</v>
      </c>
      <c r="AW82" s="86"/>
      <c r="AX82" s="167">
        <f t="shared" si="121"/>
        <v>0</v>
      </c>
      <c r="AY82" s="86"/>
      <c r="AZ82" s="167">
        <f t="shared" si="122"/>
        <v>0</v>
      </c>
      <c r="BA82" s="86"/>
      <c r="BB82" s="167">
        <f t="shared" si="123"/>
        <v>0</v>
      </c>
      <c r="BC82" s="86"/>
      <c r="BD82" s="167">
        <f t="shared" si="124"/>
        <v>0</v>
      </c>
      <c r="BE82" s="86"/>
      <c r="BF82" s="167">
        <f t="shared" si="125"/>
        <v>0</v>
      </c>
      <c r="BG82" s="86"/>
      <c r="BH82" s="167">
        <f t="shared" si="126"/>
        <v>0</v>
      </c>
      <c r="BI82" s="86"/>
      <c r="BJ82" s="167">
        <f t="shared" si="127"/>
        <v>0</v>
      </c>
      <c r="BK82" s="86"/>
      <c r="BL82" s="167">
        <f t="shared" si="128"/>
        <v>0</v>
      </c>
      <c r="BM82" s="86"/>
      <c r="BN82" s="50"/>
      <c r="BO82" s="170" t="e">
        <f t="shared" si="129"/>
        <v>#VALUE!</v>
      </c>
      <c r="BP82" s="167" t="e">
        <f t="shared" si="131"/>
        <v>#VALUE!</v>
      </c>
      <c r="BQ82" s="178" t="str">
        <f t="shared" si="130"/>
        <v/>
      </c>
    </row>
    <row r="83" spans="1:69" x14ac:dyDescent="0.35">
      <c r="A83" s="135" t="s">
        <v>81</v>
      </c>
      <c r="B83" s="54" t="s">
        <v>67</v>
      </c>
      <c r="C83" s="174" t="str">
        <f>IF('November 2026 Log'!BK83="","",'November 2026 Log'!BK83)</f>
        <v/>
      </c>
      <c r="D83" s="189" t="e">
        <f t="shared" si="98"/>
        <v>#VALUE!</v>
      </c>
      <c r="E83" s="86"/>
      <c r="F83" s="167">
        <f t="shared" si="99"/>
        <v>0</v>
      </c>
      <c r="G83" s="86"/>
      <c r="H83" s="167">
        <f t="shared" si="100"/>
        <v>0</v>
      </c>
      <c r="I83" s="86"/>
      <c r="J83" s="167">
        <f t="shared" si="101"/>
        <v>0</v>
      </c>
      <c r="K83" s="86"/>
      <c r="L83" s="167">
        <f t="shared" si="102"/>
        <v>0</v>
      </c>
      <c r="M83" s="86"/>
      <c r="N83" s="167">
        <f t="shared" si="103"/>
        <v>0</v>
      </c>
      <c r="O83" s="86"/>
      <c r="P83" s="167">
        <f t="shared" si="104"/>
        <v>0</v>
      </c>
      <c r="Q83" s="86"/>
      <c r="R83" s="167">
        <f t="shared" si="105"/>
        <v>0</v>
      </c>
      <c r="S83" s="86"/>
      <c r="T83" s="167">
        <f t="shared" si="106"/>
        <v>0</v>
      </c>
      <c r="U83" s="86"/>
      <c r="V83" s="167">
        <f t="shared" si="107"/>
        <v>0</v>
      </c>
      <c r="W83" s="86"/>
      <c r="X83" s="167">
        <f t="shared" si="108"/>
        <v>0</v>
      </c>
      <c r="Y83" s="86"/>
      <c r="Z83" s="167">
        <f t="shared" si="109"/>
        <v>0</v>
      </c>
      <c r="AA83" s="86"/>
      <c r="AB83" s="167">
        <f t="shared" si="110"/>
        <v>0</v>
      </c>
      <c r="AC83" s="86"/>
      <c r="AD83" s="167">
        <f t="shared" si="111"/>
        <v>0</v>
      </c>
      <c r="AE83" s="86"/>
      <c r="AF83" s="167">
        <f t="shared" si="112"/>
        <v>0</v>
      </c>
      <c r="AG83" s="86"/>
      <c r="AH83" s="167">
        <f t="shared" si="113"/>
        <v>0</v>
      </c>
      <c r="AI83" s="86"/>
      <c r="AJ83" s="167">
        <f t="shared" si="114"/>
        <v>0</v>
      </c>
      <c r="AK83" s="86"/>
      <c r="AL83" s="167">
        <f t="shared" si="115"/>
        <v>0</v>
      </c>
      <c r="AM83" s="86"/>
      <c r="AN83" s="167">
        <f t="shared" si="116"/>
        <v>0</v>
      </c>
      <c r="AO83" s="86"/>
      <c r="AP83" s="167">
        <f t="shared" si="117"/>
        <v>0</v>
      </c>
      <c r="AQ83" s="86"/>
      <c r="AR83" s="167">
        <f t="shared" si="118"/>
        <v>0</v>
      </c>
      <c r="AS83" s="86"/>
      <c r="AT83" s="167">
        <f t="shared" si="119"/>
        <v>0</v>
      </c>
      <c r="AU83" s="86"/>
      <c r="AV83" s="167">
        <f t="shared" si="120"/>
        <v>0</v>
      </c>
      <c r="AW83" s="86"/>
      <c r="AX83" s="167">
        <f t="shared" si="121"/>
        <v>0</v>
      </c>
      <c r="AY83" s="86"/>
      <c r="AZ83" s="167">
        <f t="shared" si="122"/>
        <v>0</v>
      </c>
      <c r="BA83" s="86"/>
      <c r="BB83" s="167">
        <f t="shared" si="123"/>
        <v>0</v>
      </c>
      <c r="BC83" s="86"/>
      <c r="BD83" s="167">
        <f t="shared" si="124"/>
        <v>0</v>
      </c>
      <c r="BE83" s="86"/>
      <c r="BF83" s="167">
        <f t="shared" si="125"/>
        <v>0</v>
      </c>
      <c r="BG83" s="86"/>
      <c r="BH83" s="167">
        <f t="shared" si="126"/>
        <v>0</v>
      </c>
      <c r="BI83" s="86"/>
      <c r="BJ83" s="167">
        <f t="shared" si="127"/>
        <v>0</v>
      </c>
      <c r="BK83" s="86"/>
      <c r="BL83" s="167">
        <f t="shared" si="128"/>
        <v>0</v>
      </c>
      <c r="BM83" s="86"/>
      <c r="BN83" s="50"/>
      <c r="BO83" s="170" t="e">
        <f t="shared" si="129"/>
        <v>#VALUE!</v>
      </c>
      <c r="BP83" s="167" t="e">
        <f t="shared" si="131"/>
        <v>#VALUE!</v>
      </c>
      <c r="BQ83" s="178" t="str">
        <f t="shared" si="130"/>
        <v/>
      </c>
    </row>
    <row r="84" spans="1:69" x14ac:dyDescent="0.35">
      <c r="A84" s="136" t="s">
        <v>82</v>
      </c>
      <c r="B84" s="54" t="s">
        <v>66</v>
      </c>
      <c r="C84" s="174" t="str">
        <f>IF('November 2026 Log'!BK84="","",'November 2026 Log'!BK84)</f>
        <v/>
      </c>
      <c r="D84" s="189" t="e">
        <f t="shared" si="98"/>
        <v>#VALUE!</v>
      </c>
      <c r="E84" s="86"/>
      <c r="F84" s="167">
        <f t="shared" si="99"/>
        <v>0</v>
      </c>
      <c r="G84" s="86"/>
      <c r="H84" s="167">
        <f t="shared" si="100"/>
        <v>0</v>
      </c>
      <c r="I84" s="86"/>
      <c r="J84" s="167">
        <f t="shared" si="101"/>
        <v>0</v>
      </c>
      <c r="K84" s="86"/>
      <c r="L84" s="167">
        <f t="shared" si="102"/>
        <v>0</v>
      </c>
      <c r="M84" s="86"/>
      <c r="N84" s="167">
        <f t="shared" si="103"/>
        <v>0</v>
      </c>
      <c r="O84" s="86"/>
      <c r="P84" s="167">
        <f t="shared" si="104"/>
        <v>0</v>
      </c>
      <c r="Q84" s="86"/>
      <c r="R84" s="167">
        <f t="shared" si="105"/>
        <v>0</v>
      </c>
      <c r="S84" s="86"/>
      <c r="T84" s="167">
        <f t="shared" si="106"/>
        <v>0</v>
      </c>
      <c r="U84" s="86"/>
      <c r="V84" s="167">
        <f t="shared" si="107"/>
        <v>0</v>
      </c>
      <c r="W84" s="86"/>
      <c r="X84" s="167">
        <f t="shared" si="108"/>
        <v>0</v>
      </c>
      <c r="Y84" s="86"/>
      <c r="Z84" s="167">
        <f t="shared" si="109"/>
        <v>0</v>
      </c>
      <c r="AA84" s="86"/>
      <c r="AB84" s="167">
        <f t="shared" si="110"/>
        <v>0</v>
      </c>
      <c r="AC84" s="86"/>
      <c r="AD84" s="167">
        <f t="shared" si="111"/>
        <v>0</v>
      </c>
      <c r="AE84" s="86"/>
      <c r="AF84" s="167">
        <f t="shared" si="112"/>
        <v>0</v>
      </c>
      <c r="AG84" s="86"/>
      <c r="AH84" s="167">
        <f t="shared" si="113"/>
        <v>0</v>
      </c>
      <c r="AI84" s="86"/>
      <c r="AJ84" s="167">
        <f t="shared" si="114"/>
        <v>0</v>
      </c>
      <c r="AK84" s="86"/>
      <c r="AL84" s="167">
        <f t="shared" si="115"/>
        <v>0</v>
      </c>
      <c r="AM84" s="86"/>
      <c r="AN84" s="167">
        <f t="shared" si="116"/>
        <v>0</v>
      </c>
      <c r="AO84" s="86"/>
      <c r="AP84" s="167">
        <f t="shared" si="117"/>
        <v>0</v>
      </c>
      <c r="AQ84" s="86"/>
      <c r="AR84" s="167">
        <f t="shared" si="118"/>
        <v>0</v>
      </c>
      <c r="AS84" s="86"/>
      <c r="AT84" s="167">
        <f t="shared" si="119"/>
        <v>0</v>
      </c>
      <c r="AU84" s="86"/>
      <c r="AV84" s="167">
        <f t="shared" si="120"/>
        <v>0</v>
      </c>
      <c r="AW84" s="86"/>
      <c r="AX84" s="167">
        <f t="shared" si="121"/>
        <v>0</v>
      </c>
      <c r="AY84" s="86"/>
      <c r="AZ84" s="167">
        <f t="shared" si="122"/>
        <v>0</v>
      </c>
      <c r="BA84" s="86"/>
      <c r="BB84" s="167">
        <f t="shared" si="123"/>
        <v>0</v>
      </c>
      <c r="BC84" s="86"/>
      <c r="BD84" s="167">
        <f t="shared" si="124"/>
        <v>0</v>
      </c>
      <c r="BE84" s="86"/>
      <c r="BF84" s="167">
        <f t="shared" si="125"/>
        <v>0</v>
      </c>
      <c r="BG84" s="86"/>
      <c r="BH84" s="167">
        <f t="shared" si="126"/>
        <v>0</v>
      </c>
      <c r="BI84" s="86"/>
      <c r="BJ84" s="167">
        <f t="shared" si="127"/>
        <v>0</v>
      </c>
      <c r="BK84" s="86"/>
      <c r="BL84" s="167">
        <f t="shared" si="128"/>
        <v>0</v>
      </c>
      <c r="BM84" s="86"/>
      <c r="BN84" s="50"/>
      <c r="BO84" s="170" t="e">
        <f t="shared" si="129"/>
        <v>#VALUE!</v>
      </c>
      <c r="BP84" s="167" t="e">
        <f t="shared" si="131"/>
        <v>#VALUE!</v>
      </c>
      <c r="BQ84" s="178" t="str">
        <f t="shared" si="130"/>
        <v/>
      </c>
    </row>
    <row r="85" spans="1:69" x14ac:dyDescent="0.35">
      <c r="A85" s="44" t="s">
        <v>83</v>
      </c>
      <c r="B85" s="54" t="s">
        <v>65</v>
      </c>
      <c r="C85" s="174" t="str">
        <f>IF('November 2026 Log'!BK85="","",'November 2026 Log'!BK85)</f>
        <v/>
      </c>
      <c r="D85" s="189" t="e">
        <f t="shared" si="98"/>
        <v>#VALUE!</v>
      </c>
      <c r="E85" s="86"/>
      <c r="F85" s="167">
        <f t="shared" si="99"/>
        <v>0</v>
      </c>
      <c r="G85" s="86"/>
      <c r="H85" s="167">
        <f t="shared" si="100"/>
        <v>0</v>
      </c>
      <c r="I85" s="86"/>
      <c r="J85" s="167">
        <f t="shared" si="101"/>
        <v>0</v>
      </c>
      <c r="K85" s="86"/>
      <c r="L85" s="167">
        <f t="shared" si="102"/>
        <v>0</v>
      </c>
      <c r="M85" s="86"/>
      <c r="N85" s="167">
        <f t="shared" si="103"/>
        <v>0</v>
      </c>
      <c r="O85" s="86"/>
      <c r="P85" s="167">
        <f t="shared" si="104"/>
        <v>0</v>
      </c>
      <c r="Q85" s="86"/>
      <c r="R85" s="167">
        <f t="shared" si="105"/>
        <v>0</v>
      </c>
      <c r="S85" s="86"/>
      <c r="T85" s="167">
        <f t="shared" si="106"/>
        <v>0</v>
      </c>
      <c r="U85" s="86"/>
      <c r="V85" s="167">
        <f t="shared" si="107"/>
        <v>0</v>
      </c>
      <c r="W85" s="86"/>
      <c r="X85" s="167">
        <f t="shared" si="108"/>
        <v>0</v>
      </c>
      <c r="Y85" s="86"/>
      <c r="Z85" s="167">
        <f t="shared" si="109"/>
        <v>0</v>
      </c>
      <c r="AA85" s="86"/>
      <c r="AB85" s="167">
        <f t="shared" si="110"/>
        <v>0</v>
      </c>
      <c r="AC85" s="86"/>
      <c r="AD85" s="167">
        <f t="shared" si="111"/>
        <v>0</v>
      </c>
      <c r="AE85" s="86"/>
      <c r="AF85" s="167">
        <f t="shared" si="112"/>
        <v>0</v>
      </c>
      <c r="AG85" s="86"/>
      <c r="AH85" s="167">
        <f t="shared" si="113"/>
        <v>0</v>
      </c>
      <c r="AI85" s="86"/>
      <c r="AJ85" s="167">
        <f t="shared" si="114"/>
        <v>0</v>
      </c>
      <c r="AK85" s="86"/>
      <c r="AL85" s="167">
        <f t="shared" si="115"/>
        <v>0</v>
      </c>
      <c r="AM85" s="86"/>
      <c r="AN85" s="167">
        <f t="shared" si="116"/>
        <v>0</v>
      </c>
      <c r="AO85" s="86"/>
      <c r="AP85" s="167">
        <f t="shared" si="117"/>
        <v>0</v>
      </c>
      <c r="AQ85" s="86"/>
      <c r="AR85" s="167">
        <f t="shared" si="118"/>
        <v>0</v>
      </c>
      <c r="AS85" s="86"/>
      <c r="AT85" s="167">
        <f t="shared" si="119"/>
        <v>0</v>
      </c>
      <c r="AU85" s="86"/>
      <c r="AV85" s="167">
        <f t="shared" si="120"/>
        <v>0</v>
      </c>
      <c r="AW85" s="86"/>
      <c r="AX85" s="167">
        <f t="shared" si="121"/>
        <v>0</v>
      </c>
      <c r="AY85" s="86"/>
      <c r="AZ85" s="167">
        <f t="shared" si="122"/>
        <v>0</v>
      </c>
      <c r="BA85" s="86"/>
      <c r="BB85" s="167">
        <f t="shared" si="123"/>
        <v>0</v>
      </c>
      <c r="BC85" s="86"/>
      <c r="BD85" s="167">
        <f t="shared" si="124"/>
        <v>0</v>
      </c>
      <c r="BE85" s="86"/>
      <c r="BF85" s="167">
        <f t="shared" si="125"/>
        <v>0</v>
      </c>
      <c r="BG85" s="86"/>
      <c r="BH85" s="167">
        <f t="shared" si="126"/>
        <v>0</v>
      </c>
      <c r="BI85" s="86"/>
      <c r="BJ85" s="167">
        <f t="shared" si="127"/>
        <v>0</v>
      </c>
      <c r="BK85" s="86"/>
      <c r="BL85" s="167">
        <f t="shared" si="128"/>
        <v>0</v>
      </c>
      <c r="BM85" s="86"/>
      <c r="BN85" s="50"/>
      <c r="BO85" s="170" t="e">
        <f t="shared" si="129"/>
        <v>#VALUE!</v>
      </c>
      <c r="BP85" s="167" t="e">
        <f t="shared" si="131"/>
        <v>#VALUE!</v>
      </c>
      <c r="BQ85" s="178" t="str">
        <f t="shared" si="130"/>
        <v/>
      </c>
    </row>
    <row r="86" spans="1:69" x14ac:dyDescent="0.35">
      <c r="A86" s="135" t="s">
        <v>84</v>
      </c>
      <c r="B86" s="54" t="s">
        <v>67</v>
      </c>
      <c r="C86" s="174" t="str">
        <f>IF('November 2026 Log'!BK86="","",'November 2026 Log'!BK86)</f>
        <v/>
      </c>
      <c r="D86" s="189" t="e">
        <f t="shared" si="98"/>
        <v>#VALUE!</v>
      </c>
      <c r="E86" s="86"/>
      <c r="F86" s="167">
        <f t="shared" si="99"/>
        <v>0</v>
      </c>
      <c r="G86" s="86"/>
      <c r="H86" s="167">
        <f t="shared" si="100"/>
        <v>0</v>
      </c>
      <c r="I86" s="86"/>
      <c r="J86" s="167">
        <f t="shared" si="101"/>
        <v>0</v>
      </c>
      <c r="K86" s="86"/>
      <c r="L86" s="167">
        <f t="shared" si="102"/>
        <v>0</v>
      </c>
      <c r="M86" s="86"/>
      <c r="N86" s="167">
        <f t="shared" si="103"/>
        <v>0</v>
      </c>
      <c r="O86" s="86"/>
      <c r="P86" s="167">
        <f t="shared" si="104"/>
        <v>0</v>
      </c>
      <c r="Q86" s="86"/>
      <c r="R86" s="167">
        <f t="shared" si="105"/>
        <v>0</v>
      </c>
      <c r="S86" s="86"/>
      <c r="T86" s="167">
        <f t="shared" si="106"/>
        <v>0</v>
      </c>
      <c r="U86" s="86"/>
      <c r="V86" s="167">
        <f t="shared" si="107"/>
        <v>0</v>
      </c>
      <c r="W86" s="86"/>
      <c r="X86" s="167">
        <f t="shared" si="108"/>
        <v>0</v>
      </c>
      <c r="Y86" s="86"/>
      <c r="Z86" s="167">
        <f t="shared" si="109"/>
        <v>0</v>
      </c>
      <c r="AA86" s="86"/>
      <c r="AB86" s="167">
        <f t="shared" si="110"/>
        <v>0</v>
      </c>
      <c r="AC86" s="86"/>
      <c r="AD86" s="167">
        <f t="shared" si="111"/>
        <v>0</v>
      </c>
      <c r="AE86" s="86"/>
      <c r="AF86" s="167">
        <f t="shared" si="112"/>
        <v>0</v>
      </c>
      <c r="AG86" s="86"/>
      <c r="AH86" s="167">
        <f t="shared" si="113"/>
        <v>0</v>
      </c>
      <c r="AI86" s="86"/>
      <c r="AJ86" s="167">
        <f t="shared" si="114"/>
        <v>0</v>
      </c>
      <c r="AK86" s="86"/>
      <c r="AL86" s="167">
        <f t="shared" si="115"/>
        <v>0</v>
      </c>
      <c r="AM86" s="86"/>
      <c r="AN86" s="167">
        <f t="shared" si="116"/>
        <v>0</v>
      </c>
      <c r="AO86" s="86"/>
      <c r="AP86" s="167">
        <f t="shared" si="117"/>
        <v>0</v>
      </c>
      <c r="AQ86" s="86"/>
      <c r="AR86" s="167">
        <f t="shared" si="118"/>
        <v>0</v>
      </c>
      <c r="AS86" s="86"/>
      <c r="AT86" s="167">
        <f t="shared" si="119"/>
        <v>0</v>
      </c>
      <c r="AU86" s="86"/>
      <c r="AV86" s="167">
        <f t="shared" si="120"/>
        <v>0</v>
      </c>
      <c r="AW86" s="86"/>
      <c r="AX86" s="167">
        <f t="shared" si="121"/>
        <v>0</v>
      </c>
      <c r="AY86" s="86"/>
      <c r="AZ86" s="167">
        <f t="shared" si="122"/>
        <v>0</v>
      </c>
      <c r="BA86" s="86"/>
      <c r="BB86" s="167">
        <f t="shared" si="123"/>
        <v>0</v>
      </c>
      <c r="BC86" s="86"/>
      <c r="BD86" s="167">
        <f t="shared" si="124"/>
        <v>0</v>
      </c>
      <c r="BE86" s="86"/>
      <c r="BF86" s="167">
        <f t="shared" si="125"/>
        <v>0</v>
      </c>
      <c r="BG86" s="86"/>
      <c r="BH86" s="167">
        <f t="shared" si="126"/>
        <v>0</v>
      </c>
      <c r="BI86" s="86"/>
      <c r="BJ86" s="167">
        <f t="shared" si="127"/>
        <v>0</v>
      </c>
      <c r="BK86" s="86"/>
      <c r="BL86" s="167">
        <f t="shared" si="128"/>
        <v>0</v>
      </c>
      <c r="BM86" s="86"/>
      <c r="BN86" s="50"/>
      <c r="BO86" s="170" t="e">
        <f t="shared" si="129"/>
        <v>#VALUE!</v>
      </c>
      <c r="BP86" s="167" t="e">
        <f t="shared" si="131"/>
        <v>#VALUE!</v>
      </c>
      <c r="BQ86" s="178" t="str">
        <f t="shared" si="130"/>
        <v/>
      </c>
    </row>
    <row r="87" spans="1:69" x14ac:dyDescent="0.35">
      <c r="A87" s="136" t="s">
        <v>85</v>
      </c>
      <c r="B87" s="54" t="s">
        <v>66</v>
      </c>
      <c r="C87" s="174" t="str">
        <f>IF('November 2026 Log'!BK87="","",'November 2026 Log'!BK87)</f>
        <v/>
      </c>
      <c r="D87" s="189" t="e">
        <f t="shared" si="98"/>
        <v>#VALUE!</v>
      </c>
      <c r="E87" s="86"/>
      <c r="F87" s="167">
        <f t="shared" si="99"/>
        <v>0</v>
      </c>
      <c r="G87" s="86"/>
      <c r="H87" s="167">
        <f t="shared" si="100"/>
        <v>0</v>
      </c>
      <c r="I87" s="86"/>
      <c r="J87" s="167">
        <f t="shared" si="101"/>
        <v>0</v>
      </c>
      <c r="K87" s="86"/>
      <c r="L87" s="167">
        <f t="shared" si="102"/>
        <v>0</v>
      </c>
      <c r="M87" s="86"/>
      <c r="N87" s="167">
        <f t="shared" si="103"/>
        <v>0</v>
      </c>
      <c r="O87" s="86"/>
      <c r="P87" s="167">
        <f t="shared" si="104"/>
        <v>0</v>
      </c>
      <c r="Q87" s="86"/>
      <c r="R87" s="167">
        <f t="shared" si="105"/>
        <v>0</v>
      </c>
      <c r="S87" s="86"/>
      <c r="T87" s="167">
        <f t="shared" si="106"/>
        <v>0</v>
      </c>
      <c r="U87" s="86"/>
      <c r="V87" s="167">
        <f t="shared" si="107"/>
        <v>0</v>
      </c>
      <c r="W87" s="86"/>
      <c r="X87" s="167">
        <f t="shared" si="108"/>
        <v>0</v>
      </c>
      <c r="Y87" s="86"/>
      <c r="Z87" s="167">
        <f t="shared" si="109"/>
        <v>0</v>
      </c>
      <c r="AA87" s="86"/>
      <c r="AB87" s="167">
        <f t="shared" si="110"/>
        <v>0</v>
      </c>
      <c r="AC87" s="86"/>
      <c r="AD87" s="167">
        <f t="shared" si="111"/>
        <v>0</v>
      </c>
      <c r="AE87" s="86"/>
      <c r="AF87" s="167">
        <f t="shared" si="112"/>
        <v>0</v>
      </c>
      <c r="AG87" s="86"/>
      <c r="AH87" s="167">
        <f t="shared" si="113"/>
        <v>0</v>
      </c>
      <c r="AI87" s="86"/>
      <c r="AJ87" s="167">
        <f t="shared" si="114"/>
        <v>0</v>
      </c>
      <c r="AK87" s="86"/>
      <c r="AL87" s="167">
        <f t="shared" si="115"/>
        <v>0</v>
      </c>
      <c r="AM87" s="86"/>
      <c r="AN87" s="167">
        <f t="shared" si="116"/>
        <v>0</v>
      </c>
      <c r="AO87" s="86"/>
      <c r="AP87" s="167">
        <f t="shared" si="117"/>
        <v>0</v>
      </c>
      <c r="AQ87" s="86"/>
      <c r="AR87" s="167">
        <f t="shared" si="118"/>
        <v>0</v>
      </c>
      <c r="AS87" s="86"/>
      <c r="AT87" s="167">
        <f t="shared" si="119"/>
        <v>0</v>
      </c>
      <c r="AU87" s="86"/>
      <c r="AV87" s="167">
        <f t="shared" si="120"/>
        <v>0</v>
      </c>
      <c r="AW87" s="86"/>
      <c r="AX87" s="167">
        <f t="shared" si="121"/>
        <v>0</v>
      </c>
      <c r="AY87" s="86"/>
      <c r="AZ87" s="167">
        <f t="shared" si="122"/>
        <v>0</v>
      </c>
      <c r="BA87" s="86"/>
      <c r="BB87" s="167">
        <f t="shared" si="123"/>
        <v>0</v>
      </c>
      <c r="BC87" s="86"/>
      <c r="BD87" s="167">
        <f t="shared" si="124"/>
        <v>0</v>
      </c>
      <c r="BE87" s="86"/>
      <c r="BF87" s="167">
        <f t="shared" si="125"/>
        <v>0</v>
      </c>
      <c r="BG87" s="86"/>
      <c r="BH87" s="167">
        <f t="shared" si="126"/>
        <v>0</v>
      </c>
      <c r="BI87" s="86"/>
      <c r="BJ87" s="167">
        <f t="shared" si="127"/>
        <v>0</v>
      </c>
      <c r="BK87" s="86"/>
      <c r="BL87" s="167">
        <f t="shared" si="128"/>
        <v>0</v>
      </c>
      <c r="BM87" s="86"/>
      <c r="BN87" s="50"/>
      <c r="BO87" s="170" t="e">
        <f t="shared" si="129"/>
        <v>#VALUE!</v>
      </c>
      <c r="BP87" s="167" t="e">
        <f t="shared" si="131"/>
        <v>#VALUE!</v>
      </c>
      <c r="BQ87" s="178" t="str">
        <f t="shared" si="130"/>
        <v/>
      </c>
    </row>
    <row r="88" spans="1:69" x14ac:dyDescent="0.35">
      <c r="A88" s="44" t="s">
        <v>86</v>
      </c>
      <c r="B88" s="54" t="s">
        <v>65</v>
      </c>
      <c r="C88" s="174" t="str">
        <f>IF('November 2026 Log'!BK88="","",'November 2026 Log'!BK88)</f>
        <v/>
      </c>
      <c r="D88" s="189" t="e">
        <f t="shared" si="98"/>
        <v>#VALUE!</v>
      </c>
      <c r="E88" s="86"/>
      <c r="F88" s="167">
        <f t="shared" si="99"/>
        <v>0</v>
      </c>
      <c r="G88" s="86"/>
      <c r="H88" s="167">
        <f t="shared" si="100"/>
        <v>0</v>
      </c>
      <c r="I88" s="86"/>
      <c r="J88" s="167">
        <f t="shared" si="101"/>
        <v>0</v>
      </c>
      <c r="K88" s="86"/>
      <c r="L88" s="167">
        <f t="shared" si="102"/>
        <v>0</v>
      </c>
      <c r="M88" s="86"/>
      <c r="N88" s="167">
        <f t="shared" si="103"/>
        <v>0</v>
      </c>
      <c r="O88" s="86"/>
      <c r="P88" s="167">
        <f t="shared" si="104"/>
        <v>0</v>
      </c>
      <c r="Q88" s="86"/>
      <c r="R88" s="167">
        <f t="shared" si="105"/>
        <v>0</v>
      </c>
      <c r="S88" s="86"/>
      <c r="T88" s="167">
        <f t="shared" si="106"/>
        <v>0</v>
      </c>
      <c r="U88" s="86"/>
      <c r="V88" s="167">
        <f t="shared" si="107"/>
        <v>0</v>
      </c>
      <c r="W88" s="86"/>
      <c r="X88" s="167">
        <f t="shared" si="108"/>
        <v>0</v>
      </c>
      <c r="Y88" s="86"/>
      <c r="Z88" s="167">
        <f t="shared" si="109"/>
        <v>0</v>
      </c>
      <c r="AA88" s="86"/>
      <c r="AB88" s="167">
        <f t="shared" si="110"/>
        <v>0</v>
      </c>
      <c r="AC88" s="86"/>
      <c r="AD88" s="167">
        <f t="shared" si="111"/>
        <v>0</v>
      </c>
      <c r="AE88" s="86"/>
      <c r="AF88" s="167">
        <f t="shared" si="112"/>
        <v>0</v>
      </c>
      <c r="AG88" s="86"/>
      <c r="AH88" s="167">
        <f t="shared" si="113"/>
        <v>0</v>
      </c>
      <c r="AI88" s="86"/>
      <c r="AJ88" s="167">
        <f t="shared" si="114"/>
        <v>0</v>
      </c>
      <c r="AK88" s="86"/>
      <c r="AL88" s="167">
        <f t="shared" si="115"/>
        <v>0</v>
      </c>
      <c r="AM88" s="86"/>
      <c r="AN88" s="167">
        <f t="shared" si="116"/>
        <v>0</v>
      </c>
      <c r="AO88" s="86"/>
      <c r="AP88" s="167">
        <f t="shared" si="117"/>
        <v>0</v>
      </c>
      <c r="AQ88" s="86"/>
      <c r="AR88" s="167">
        <f t="shared" si="118"/>
        <v>0</v>
      </c>
      <c r="AS88" s="86"/>
      <c r="AT88" s="167">
        <f t="shared" si="119"/>
        <v>0</v>
      </c>
      <c r="AU88" s="86"/>
      <c r="AV88" s="167">
        <f t="shared" si="120"/>
        <v>0</v>
      </c>
      <c r="AW88" s="86"/>
      <c r="AX88" s="167">
        <f t="shared" si="121"/>
        <v>0</v>
      </c>
      <c r="AY88" s="86"/>
      <c r="AZ88" s="167">
        <f t="shared" si="122"/>
        <v>0</v>
      </c>
      <c r="BA88" s="86"/>
      <c r="BB88" s="167">
        <f t="shared" si="123"/>
        <v>0</v>
      </c>
      <c r="BC88" s="86"/>
      <c r="BD88" s="167">
        <f t="shared" si="124"/>
        <v>0</v>
      </c>
      <c r="BE88" s="86"/>
      <c r="BF88" s="167">
        <f t="shared" si="125"/>
        <v>0</v>
      </c>
      <c r="BG88" s="86"/>
      <c r="BH88" s="167">
        <f t="shared" si="126"/>
        <v>0</v>
      </c>
      <c r="BI88" s="86"/>
      <c r="BJ88" s="167">
        <f t="shared" si="127"/>
        <v>0</v>
      </c>
      <c r="BK88" s="86"/>
      <c r="BL88" s="167">
        <f t="shared" si="128"/>
        <v>0</v>
      </c>
      <c r="BM88" s="86"/>
      <c r="BN88" s="50"/>
      <c r="BO88" s="170" t="e">
        <f t="shared" si="129"/>
        <v>#VALUE!</v>
      </c>
      <c r="BP88" s="167" t="e">
        <f t="shared" si="131"/>
        <v>#VALUE!</v>
      </c>
      <c r="BQ88" s="178" t="str">
        <f t="shared" si="130"/>
        <v/>
      </c>
    </row>
    <row r="89" spans="1:69" x14ac:dyDescent="0.35">
      <c r="A89" s="53"/>
      <c r="B89" s="54"/>
      <c r="C89" s="144"/>
      <c r="D89" s="192">
        <f t="shared" si="98"/>
        <v>0</v>
      </c>
      <c r="E89" s="145"/>
      <c r="F89" s="173">
        <f t="shared" si="99"/>
        <v>0</v>
      </c>
      <c r="G89" s="145"/>
      <c r="H89" s="173">
        <f t="shared" si="100"/>
        <v>0</v>
      </c>
      <c r="I89" s="145"/>
      <c r="J89" s="173">
        <f t="shared" si="101"/>
        <v>0</v>
      </c>
      <c r="K89" s="145"/>
      <c r="L89" s="173">
        <f t="shared" si="102"/>
        <v>0</v>
      </c>
      <c r="M89" s="145"/>
      <c r="N89" s="173">
        <f t="shared" si="103"/>
        <v>0</v>
      </c>
      <c r="O89" s="145"/>
      <c r="P89" s="173">
        <f t="shared" si="104"/>
        <v>0</v>
      </c>
      <c r="Q89" s="145"/>
      <c r="R89" s="173">
        <f t="shared" si="105"/>
        <v>0</v>
      </c>
      <c r="S89" s="145"/>
      <c r="T89" s="173">
        <f t="shared" si="106"/>
        <v>0</v>
      </c>
      <c r="U89" s="145"/>
      <c r="V89" s="173">
        <f t="shared" si="107"/>
        <v>0</v>
      </c>
      <c r="W89" s="145"/>
      <c r="X89" s="173">
        <f t="shared" si="108"/>
        <v>0</v>
      </c>
      <c r="Y89" s="145"/>
      <c r="Z89" s="173">
        <f t="shared" si="109"/>
        <v>0</v>
      </c>
      <c r="AA89" s="145"/>
      <c r="AB89" s="173">
        <f t="shared" si="110"/>
        <v>0</v>
      </c>
      <c r="AC89" s="145"/>
      <c r="AD89" s="173">
        <f t="shared" si="111"/>
        <v>0</v>
      </c>
      <c r="AE89" s="145"/>
      <c r="AF89" s="173">
        <f t="shared" si="112"/>
        <v>0</v>
      </c>
      <c r="AG89" s="145"/>
      <c r="AH89" s="173">
        <f t="shared" si="113"/>
        <v>0</v>
      </c>
      <c r="AI89" s="145"/>
      <c r="AJ89" s="173">
        <f t="shared" si="114"/>
        <v>0</v>
      </c>
      <c r="AK89" s="145"/>
      <c r="AL89" s="173">
        <f t="shared" si="115"/>
        <v>0</v>
      </c>
      <c r="AM89" s="145"/>
      <c r="AN89" s="173">
        <f t="shared" si="116"/>
        <v>0</v>
      </c>
      <c r="AO89" s="145"/>
      <c r="AP89" s="173">
        <f t="shared" si="117"/>
        <v>0</v>
      </c>
      <c r="AQ89" s="145"/>
      <c r="AR89" s="173">
        <f t="shared" si="118"/>
        <v>0</v>
      </c>
      <c r="AS89" s="145"/>
      <c r="AT89" s="173">
        <f t="shared" si="119"/>
        <v>0</v>
      </c>
      <c r="AU89" s="145"/>
      <c r="AV89" s="173">
        <f t="shared" si="120"/>
        <v>0</v>
      </c>
      <c r="AW89" s="145"/>
      <c r="AX89" s="173">
        <f t="shared" si="121"/>
        <v>0</v>
      </c>
      <c r="AY89" s="145"/>
      <c r="AZ89" s="173">
        <f t="shared" si="122"/>
        <v>0</v>
      </c>
      <c r="BA89" s="145"/>
      <c r="BB89" s="173">
        <f t="shared" si="123"/>
        <v>0</v>
      </c>
      <c r="BC89" s="145"/>
      <c r="BD89" s="173">
        <f t="shared" si="124"/>
        <v>0</v>
      </c>
      <c r="BE89" s="145"/>
      <c r="BF89" s="173">
        <f t="shared" si="125"/>
        <v>0</v>
      </c>
      <c r="BG89" s="145"/>
      <c r="BH89" s="173">
        <f t="shared" si="126"/>
        <v>0</v>
      </c>
      <c r="BI89" s="145"/>
      <c r="BJ89" s="173">
        <f t="shared" si="127"/>
        <v>0</v>
      </c>
      <c r="BK89" s="145"/>
      <c r="BL89" s="173">
        <f t="shared" si="128"/>
        <v>0</v>
      </c>
      <c r="BM89" s="145"/>
      <c r="BN89" s="50"/>
      <c r="BO89" s="51"/>
      <c r="BP89" s="173">
        <f t="shared" si="131"/>
        <v>0</v>
      </c>
      <c r="BQ89" s="88"/>
    </row>
    <row r="90" spans="1:69" x14ac:dyDescent="0.35">
      <c r="A90" s="74" t="s">
        <v>93</v>
      </c>
      <c r="B90" s="75"/>
      <c r="C90" s="141"/>
      <c r="D90" s="102"/>
      <c r="E90" s="142"/>
      <c r="F90" s="104"/>
      <c r="G90" s="142"/>
      <c r="H90" s="104"/>
      <c r="I90" s="142"/>
      <c r="J90" s="104"/>
      <c r="K90" s="142"/>
      <c r="L90" s="104"/>
      <c r="M90" s="142"/>
      <c r="N90" s="104"/>
      <c r="O90" s="142"/>
      <c r="P90" s="104"/>
      <c r="Q90" s="142"/>
      <c r="R90" s="104"/>
      <c r="S90" s="142"/>
      <c r="T90" s="104"/>
      <c r="U90" s="142"/>
      <c r="V90" s="104"/>
      <c r="W90" s="142"/>
      <c r="X90" s="104"/>
      <c r="Y90" s="142"/>
      <c r="Z90" s="104"/>
      <c r="AA90" s="142"/>
      <c r="AB90" s="104"/>
      <c r="AC90" s="142"/>
      <c r="AD90" s="104"/>
      <c r="AE90" s="142"/>
      <c r="AF90" s="104"/>
      <c r="AG90" s="142"/>
      <c r="AH90" s="104"/>
      <c r="AI90" s="142"/>
      <c r="AJ90" s="104"/>
      <c r="AK90" s="142"/>
      <c r="AL90" s="104"/>
      <c r="AM90" s="142"/>
      <c r="AN90" s="104"/>
      <c r="AO90" s="142"/>
      <c r="AP90" s="104"/>
      <c r="AQ90" s="142"/>
      <c r="AR90" s="104"/>
      <c r="AS90" s="142"/>
      <c r="AT90" s="104"/>
      <c r="AU90" s="142"/>
      <c r="AV90" s="104"/>
      <c r="AW90" s="142"/>
      <c r="AX90" s="104"/>
      <c r="AY90" s="142"/>
      <c r="AZ90" s="104"/>
      <c r="BA90" s="142"/>
      <c r="BB90" s="104"/>
      <c r="BC90" s="142"/>
      <c r="BD90" s="104"/>
      <c r="BE90" s="142"/>
      <c r="BF90" s="104"/>
      <c r="BG90" s="142"/>
      <c r="BH90" s="104"/>
      <c r="BI90" s="142"/>
      <c r="BJ90" s="104"/>
      <c r="BK90" s="142"/>
      <c r="BL90" s="104"/>
      <c r="BM90" s="142"/>
      <c r="BN90" s="105"/>
      <c r="BO90" s="106"/>
      <c r="BP90" s="104"/>
      <c r="BQ90" s="107"/>
    </row>
    <row r="91" spans="1:69" x14ac:dyDescent="0.35">
      <c r="A91" s="132" t="s">
        <v>75</v>
      </c>
      <c r="B91" s="54" t="s">
        <v>65</v>
      </c>
      <c r="C91" s="144"/>
      <c r="D91" s="146"/>
      <c r="E91" s="166" t="e">
        <f>+D91-D77</f>
        <v>#VALUE!</v>
      </c>
      <c r="F91" s="147"/>
      <c r="G91" s="166">
        <f>+F91-F77</f>
        <v>0</v>
      </c>
      <c r="H91" s="147"/>
      <c r="I91" s="166">
        <f>+H91-H77</f>
        <v>0</v>
      </c>
      <c r="J91" s="147"/>
      <c r="K91" s="166">
        <f>+J91-J77</f>
        <v>0</v>
      </c>
      <c r="L91" s="147"/>
      <c r="M91" s="166">
        <f>+L91-L77</f>
        <v>0</v>
      </c>
      <c r="N91" s="147"/>
      <c r="O91" s="166">
        <f>+N91-N77</f>
        <v>0</v>
      </c>
      <c r="P91" s="147"/>
      <c r="Q91" s="166">
        <f>+P91-P77</f>
        <v>0</v>
      </c>
      <c r="R91" s="147"/>
      <c r="S91" s="166">
        <f>+R91-R77</f>
        <v>0</v>
      </c>
      <c r="T91" s="147"/>
      <c r="U91" s="166">
        <f>+T91-T77</f>
        <v>0</v>
      </c>
      <c r="V91" s="147"/>
      <c r="W91" s="166">
        <f>+V91-V77</f>
        <v>0</v>
      </c>
      <c r="X91" s="147"/>
      <c r="Y91" s="166">
        <f>+X91-X77</f>
        <v>0</v>
      </c>
      <c r="Z91" s="147"/>
      <c r="AA91" s="166">
        <f>+Z91-Z77</f>
        <v>0</v>
      </c>
      <c r="AB91" s="147"/>
      <c r="AC91" s="166">
        <f>+AB91-AB77</f>
        <v>0</v>
      </c>
      <c r="AD91" s="147"/>
      <c r="AE91" s="166">
        <f>+AD91-AD77</f>
        <v>0</v>
      </c>
      <c r="AF91" s="147"/>
      <c r="AG91" s="166">
        <f>+AF91-AF77</f>
        <v>0</v>
      </c>
      <c r="AH91" s="147"/>
      <c r="AI91" s="166">
        <f>+AH91-AH77</f>
        <v>0</v>
      </c>
      <c r="AJ91" s="147"/>
      <c r="AK91" s="166">
        <f>+AJ91-AJ77</f>
        <v>0</v>
      </c>
      <c r="AL91" s="147"/>
      <c r="AM91" s="166">
        <f>+AL91-AL77</f>
        <v>0</v>
      </c>
      <c r="AN91" s="147"/>
      <c r="AO91" s="166">
        <f>+AN91-AN77</f>
        <v>0</v>
      </c>
      <c r="AP91" s="147"/>
      <c r="AQ91" s="166">
        <f>+AP91-AP77</f>
        <v>0</v>
      </c>
      <c r="AR91" s="147"/>
      <c r="AS91" s="166">
        <f>+AR91-AR77</f>
        <v>0</v>
      </c>
      <c r="AT91" s="147"/>
      <c r="AU91" s="166">
        <f>+AT91-AT77</f>
        <v>0</v>
      </c>
      <c r="AV91" s="147"/>
      <c r="AW91" s="166">
        <f>+AV91-AV77</f>
        <v>0</v>
      </c>
      <c r="AX91" s="147"/>
      <c r="AY91" s="166">
        <f>+AX91-AX77</f>
        <v>0</v>
      </c>
      <c r="AZ91" s="147"/>
      <c r="BA91" s="166">
        <f>+AZ91-AZ77</f>
        <v>0</v>
      </c>
      <c r="BB91" s="147"/>
      <c r="BC91" s="166">
        <f>+BB91-BB77</f>
        <v>0</v>
      </c>
      <c r="BD91" s="147"/>
      <c r="BE91" s="166">
        <f>+BD91-BD77</f>
        <v>0</v>
      </c>
      <c r="BF91" s="147"/>
      <c r="BG91" s="166">
        <f>+BF91-BF77</f>
        <v>0</v>
      </c>
      <c r="BH91" s="147"/>
      <c r="BI91" s="166">
        <f>+BH91-BH77</f>
        <v>0</v>
      </c>
      <c r="BJ91" s="147"/>
      <c r="BK91" s="166">
        <f>+BJ91-BJ77</f>
        <v>0</v>
      </c>
      <c r="BL91" s="147"/>
      <c r="BM91" s="166">
        <f>+BL91-BL77</f>
        <v>0</v>
      </c>
      <c r="BN91" s="50"/>
      <c r="BO91" s="170" t="e">
        <f t="shared" ref="BO91:BO103" si="132">IF(COUNT(E91,G91,I91,K91,M91,O91,Q91,S91,U91,W91,Y91,AA91,AC91,AE91,AG91,AI91,AK91,AM91,AO91,AQ91,AS91,AU91,AW91,AY91,BA91,BC91,BE91,BG91,BI91,BK91,BM91)=0,"",SUM(E91,G91,I91,K91,M91,O91,Q91,S91,U91,W91,Y91,AA91,AC91,AE91,AG91,AI91,AK91,AM91,AO91,AQ91,AS91,AU91,AW91,AY91,BA91,BC91,BE91,BG91,BI91,BK91,BM91))</f>
        <v>#VALUE!</v>
      </c>
      <c r="BP91" s="87"/>
      <c r="BQ91" s="52"/>
    </row>
    <row r="92" spans="1:69" x14ac:dyDescent="0.35">
      <c r="A92" s="136"/>
      <c r="B92" s="54" t="s">
        <v>66</v>
      </c>
      <c r="C92" s="144"/>
      <c r="D92" s="146"/>
      <c r="E92" s="166" t="e">
        <f t="shared" ref="E92:K102" si="133">+D92-D78</f>
        <v>#VALUE!</v>
      </c>
      <c r="F92" s="147"/>
      <c r="G92" s="166">
        <f t="shared" si="133"/>
        <v>0</v>
      </c>
      <c r="H92" s="147"/>
      <c r="I92" s="166">
        <f t="shared" si="133"/>
        <v>0</v>
      </c>
      <c r="J92" s="147"/>
      <c r="K92" s="166">
        <f t="shared" si="133"/>
        <v>0</v>
      </c>
      <c r="L92" s="147"/>
      <c r="M92" s="166">
        <f t="shared" ref="M92:M102" si="134">+L92-L78</f>
        <v>0</v>
      </c>
      <c r="N92" s="147"/>
      <c r="O92" s="166">
        <f t="shared" ref="O92:O102" si="135">+N92-N78</f>
        <v>0</v>
      </c>
      <c r="P92" s="147"/>
      <c r="Q92" s="166">
        <f t="shared" ref="Q92:Q102" si="136">+P92-P78</f>
        <v>0</v>
      </c>
      <c r="R92" s="147"/>
      <c r="S92" s="166">
        <f t="shared" ref="S92:S102" si="137">+R92-R78</f>
        <v>0</v>
      </c>
      <c r="T92" s="147"/>
      <c r="U92" s="166">
        <f t="shared" ref="U92:U102" si="138">+T92-T78</f>
        <v>0</v>
      </c>
      <c r="V92" s="147"/>
      <c r="W92" s="166">
        <f t="shared" ref="W92:W102" si="139">+V92-V78</f>
        <v>0</v>
      </c>
      <c r="X92" s="147"/>
      <c r="Y92" s="166">
        <f t="shared" ref="Y92:Y102" si="140">+X92-X78</f>
        <v>0</v>
      </c>
      <c r="Z92" s="147"/>
      <c r="AA92" s="166">
        <f t="shared" ref="AA92:AA102" si="141">+Z92-Z78</f>
        <v>0</v>
      </c>
      <c r="AB92" s="147"/>
      <c r="AC92" s="166">
        <f t="shared" ref="AC92:AC102" si="142">+AB92-AB78</f>
        <v>0</v>
      </c>
      <c r="AD92" s="147"/>
      <c r="AE92" s="166">
        <f t="shared" ref="AE92:AE102" si="143">+AD92-AD78</f>
        <v>0</v>
      </c>
      <c r="AF92" s="147"/>
      <c r="AG92" s="166">
        <f t="shared" ref="AG92:AG102" si="144">+AF92-AF78</f>
        <v>0</v>
      </c>
      <c r="AH92" s="147"/>
      <c r="AI92" s="166">
        <f t="shared" ref="AI92:AI102" si="145">+AH92-AH78</f>
        <v>0</v>
      </c>
      <c r="AJ92" s="147"/>
      <c r="AK92" s="166">
        <f t="shared" ref="AK92:AK102" si="146">+AJ92-AJ78</f>
        <v>0</v>
      </c>
      <c r="AL92" s="147"/>
      <c r="AM92" s="166">
        <f t="shared" ref="AM92:AM102" si="147">+AL92-AL78</f>
        <v>0</v>
      </c>
      <c r="AN92" s="147"/>
      <c r="AO92" s="166">
        <f t="shared" ref="AO92:AO102" si="148">+AN92-AN78</f>
        <v>0</v>
      </c>
      <c r="AP92" s="147"/>
      <c r="AQ92" s="166">
        <f t="shared" ref="AQ92:AQ102" si="149">+AP92-AP78</f>
        <v>0</v>
      </c>
      <c r="AR92" s="147"/>
      <c r="AS92" s="166">
        <f t="shared" ref="AS92:AS102" si="150">+AR92-AR78</f>
        <v>0</v>
      </c>
      <c r="AT92" s="147"/>
      <c r="AU92" s="166">
        <f t="shared" ref="AU92:AU102" si="151">+AT92-AT78</f>
        <v>0</v>
      </c>
      <c r="AV92" s="147"/>
      <c r="AW92" s="166">
        <f t="shared" ref="AW92:AW102" si="152">+AV92-AV78</f>
        <v>0</v>
      </c>
      <c r="AX92" s="147"/>
      <c r="AY92" s="166">
        <f t="shared" ref="AY92:AY102" si="153">+AX92-AX78</f>
        <v>0</v>
      </c>
      <c r="AZ92" s="147"/>
      <c r="BA92" s="166">
        <f t="shared" ref="BA92:BA102" si="154">+AZ92-AZ78</f>
        <v>0</v>
      </c>
      <c r="BB92" s="147"/>
      <c r="BC92" s="166">
        <f t="shared" ref="BC92:BC102" si="155">+BB92-BB78</f>
        <v>0</v>
      </c>
      <c r="BD92" s="147"/>
      <c r="BE92" s="166">
        <f t="shared" ref="BE92:BE102" si="156">+BD92-BD78</f>
        <v>0</v>
      </c>
      <c r="BF92" s="147"/>
      <c r="BG92" s="166">
        <f t="shared" ref="BG92:BG102" si="157">+BF92-BF78</f>
        <v>0</v>
      </c>
      <c r="BH92" s="147"/>
      <c r="BI92" s="166">
        <f t="shared" ref="BI92:BI102" si="158">+BH92-BH78</f>
        <v>0</v>
      </c>
      <c r="BJ92" s="147"/>
      <c r="BK92" s="166">
        <f t="shared" ref="BK92:BK102" si="159">+BJ92-BJ78</f>
        <v>0</v>
      </c>
      <c r="BL92" s="147"/>
      <c r="BM92" s="166">
        <f t="shared" ref="BM92:BM102" si="160">+BL92-BL78</f>
        <v>0</v>
      </c>
      <c r="BN92" s="50"/>
      <c r="BO92" s="170" t="e">
        <f t="shared" si="132"/>
        <v>#VALUE!</v>
      </c>
      <c r="BP92" s="87"/>
      <c r="BQ92" s="52"/>
    </row>
    <row r="93" spans="1:69" x14ac:dyDescent="0.35">
      <c r="A93" s="134" t="s">
        <v>77</v>
      </c>
      <c r="B93" s="54" t="s">
        <v>67</v>
      </c>
      <c r="C93" s="144"/>
      <c r="D93" s="146"/>
      <c r="E93" s="166" t="e">
        <f t="shared" si="133"/>
        <v>#VALUE!</v>
      </c>
      <c r="F93" s="147"/>
      <c r="G93" s="166">
        <f t="shared" si="133"/>
        <v>0</v>
      </c>
      <c r="H93" s="147"/>
      <c r="I93" s="166">
        <f t="shared" si="133"/>
        <v>0</v>
      </c>
      <c r="J93" s="147"/>
      <c r="K93" s="166">
        <f t="shared" si="133"/>
        <v>0</v>
      </c>
      <c r="L93" s="147"/>
      <c r="M93" s="166">
        <f t="shared" si="134"/>
        <v>0</v>
      </c>
      <c r="N93" s="147"/>
      <c r="O93" s="166">
        <f t="shared" si="135"/>
        <v>0</v>
      </c>
      <c r="P93" s="147"/>
      <c r="Q93" s="166">
        <f t="shared" si="136"/>
        <v>0</v>
      </c>
      <c r="R93" s="147"/>
      <c r="S93" s="166">
        <f t="shared" si="137"/>
        <v>0</v>
      </c>
      <c r="T93" s="147"/>
      <c r="U93" s="166">
        <f t="shared" si="138"/>
        <v>0</v>
      </c>
      <c r="V93" s="147"/>
      <c r="W93" s="166">
        <f t="shared" si="139"/>
        <v>0</v>
      </c>
      <c r="X93" s="147"/>
      <c r="Y93" s="166">
        <f t="shared" si="140"/>
        <v>0</v>
      </c>
      <c r="Z93" s="147"/>
      <c r="AA93" s="166">
        <f t="shared" si="141"/>
        <v>0</v>
      </c>
      <c r="AB93" s="147"/>
      <c r="AC93" s="166">
        <f t="shared" si="142"/>
        <v>0</v>
      </c>
      <c r="AD93" s="147"/>
      <c r="AE93" s="166">
        <f t="shared" si="143"/>
        <v>0</v>
      </c>
      <c r="AF93" s="147"/>
      <c r="AG93" s="166">
        <f t="shared" si="144"/>
        <v>0</v>
      </c>
      <c r="AH93" s="147"/>
      <c r="AI93" s="166">
        <f t="shared" si="145"/>
        <v>0</v>
      </c>
      <c r="AJ93" s="147"/>
      <c r="AK93" s="166">
        <f t="shared" si="146"/>
        <v>0</v>
      </c>
      <c r="AL93" s="147"/>
      <c r="AM93" s="166">
        <f t="shared" si="147"/>
        <v>0</v>
      </c>
      <c r="AN93" s="147"/>
      <c r="AO93" s="48"/>
      <c r="AP93" s="147"/>
      <c r="AQ93" s="166">
        <f t="shared" si="149"/>
        <v>0</v>
      </c>
      <c r="AR93" s="147"/>
      <c r="AS93" s="166">
        <f t="shared" si="150"/>
        <v>0</v>
      </c>
      <c r="AT93" s="147"/>
      <c r="AU93" s="166">
        <f t="shared" si="151"/>
        <v>0</v>
      </c>
      <c r="AV93" s="147"/>
      <c r="AW93" s="166">
        <f t="shared" si="152"/>
        <v>0</v>
      </c>
      <c r="AX93" s="147"/>
      <c r="AY93" s="166">
        <f t="shared" si="153"/>
        <v>0</v>
      </c>
      <c r="AZ93" s="147"/>
      <c r="BA93" s="166">
        <f t="shared" si="154"/>
        <v>0</v>
      </c>
      <c r="BB93" s="147"/>
      <c r="BC93" s="166">
        <f t="shared" si="155"/>
        <v>0</v>
      </c>
      <c r="BD93" s="147"/>
      <c r="BE93" s="166">
        <f t="shared" si="156"/>
        <v>0</v>
      </c>
      <c r="BF93" s="147"/>
      <c r="BG93" s="166">
        <f t="shared" si="157"/>
        <v>0</v>
      </c>
      <c r="BH93" s="147"/>
      <c r="BI93" s="166">
        <f t="shared" si="158"/>
        <v>0</v>
      </c>
      <c r="BJ93" s="147"/>
      <c r="BK93" s="166">
        <f t="shared" si="159"/>
        <v>0</v>
      </c>
      <c r="BL93" s="147"/>
      <c r="BM93" s="166">
        <f t="shared" si="160"/>
        <v>0</v>
      </c>
      <c r="BN93" s="50"/>
      <c r="BO93" s="170" t="e">
        <f t="shared" si="132"/>
        <v>#VALUE!</v>
      </c>
      <c r="BP93" s="87"/>
      <c r="BQ93" s="52"/>
    </row>
    <row r="94" spans="1:69" x14ac:dyDescent="0.35">
      <c r="A94" s="132" t="s">
        <v>78</v>
      </c>
      <c r="B94" s="54" t="s">
        <v>65</v>
      </c>
      <c r="C94" s="144"/>
      <c r="D94" s="146"/>
      <c r="E94" s="166" t="e">
        <f t="shared" si="133"/>
        <v>#VALUE!</v>
      </c>
      <c r="F94" s="147"/>
      <c r="G94" s="166">
        <f t="shared" si="133"/>
        <v>0</v>
      </c>
      <c r="H94" s="147"/>
      <c r="I94" s="166">
        <f t="shared" si="133"/>
        <v>0</v>
      </c>
      <c r="J94" s="147"/>
      <c r="K94" s="166">
        <f t="shared" si="133"/>
        <v>0</v>
      </c>
      <c r="L94" s="147"/>
      <c r="M94" s="166">
        <f t="shared" si="134"/>
        <v>0</v>
      </c>
      <c r="N94" s="147"/>
      <c r="O94" s="166">
        <f t="shared" si="135"/>
        <v>0</v>
      </c>
      <c r="P94" s="147"/>
      <c r="Q94" s="166">
        <f t="shared" si="136"/>
        <v>0</v>
      </c>
      <c r="R94" s="147"/>
      <c r="S94" s="166">
        <f t="shared" si="137"/>
        <v>0</v>
      </c>
      <c r="T94" s="147"/>
      <c r="U94" s="166">
        <f t="shared" si="138"/>
        <v>0</v>
      </c>
      <c r="V94" s="147"/>
      <c r="W94" s="166">
        <f t="shared" si="139"/>
        <v>0</v>
      </c>
      <c r="X94" s="147"/>
      <c r="Y94" s="166">
        <f t="shared" si="140"/>
        <v>0</v>
      </c>
      <c r="Z94" s="147"/>
      <c r="AA94" s="166">
        <f t="shared" si="141"/>
        <v>0</v>
      </c>
      <c r="AB94" s="147"/>
      <c r="AC94" s="166">
        <f t="shared" si="142"/>
        <v>0</v>
      </c>
      <c r="AD94" s="147"/>
      <c r="AE94" s="166">
        <f t="shared" si="143"/>
        <v>0</v>
      </c>
      <c r="AF94" s="147"/>
      <c r="AG94" s="166">
        <f t="shared" si="144"/>
        <v>0</v>
      </c>
      <c r="AH94" s="147"/>
      <c r="AI94" s="166">
        <f t="shared" si="145"/>
        <v>0</v>
      </c>
      <c r="AJ94" s="147"/>
      <c r="AK94" s="166">
        <f t="shared" si="146"/>
        <v>0</v>
      </c>
      <c r="AL94" s="147"/>
      <c r="AM94" s="166">
        <f t="shared" si="147"/>
        <v>0</v>
      </c>
      <c r="AN94" s="147"/>
      <c r="AO94" s="166">
        <f t="shared" si="148"/>
        <v>0</v>
      </c>
      <c r="AP94" s="147"/>
      <c r="AQ94" s="166">
        <f t="shared" si="149"/>
        <v>0</v>
      </c>
      <c r="AR94" s="147"/>
      <c r="AS94" s="166">
        <f t="shared" si="150"/>
        <v>0</v>
      </c>
      <c r="AT94" s="147"/>
      <c r="AU94" s="166">
        <f t="shared" si="151"/>
        <v>0</v>
      </c>
      <c r="AV94" s="147"/>
      <c r="AW94" s="166">
        <f t="shared" si="152"/>
        <v>0</v>
      </c>
      <c r="AX94" s="147"/>
      <c r="AY94" s="166">
        <f t="shared" si="153"/>
        <v>0</v>
      </c>
      <c r="AZ94" s="147"/>
      <c r="BA94" s="166">
        <f t="shared" si="154"/>
        <v>0</v>
      </c>
      <c r="BB94" s="147"/>
      <c r="BC94" s="166">
        <f t="shared" si="155"/>
        <v>0</v>
      </c>
      <c r="BD94" s="147"/>
      <c r="BE94" s="166">
        <f t="shared" si="156"/>
        <v>0</v>
      </c>
      <c r="BF94" s="147"/>
      <c r="BG94" s="166">
        <f t="shared" si="157"/>
        <v>0</v>
      </c>
      <c r="BH94" s="147"/>
      <c r="BI94" s="166">
        <f t="shared" si="158"/>
        <v>0</v>
      </c>
      <c r="BJ94" s="147"/>
      <c r="BK94" s="166">
        <f t="shared" si="159"/>
        <v>0</v>
      </c>
      <c r="BL94" s="147"/>
      <c r="BM94" s="166">
        <f t="shared" si="160"/>
        <v>0</v>
      </c>
      <c r="BN94" s="50"/>
      <c r="BO94" s="170" t="e">
        <f t="shared" si="132"/>
        <v>#VALUE!</v>
      </c>
      <c r="BP94" s="87"/>
      <c r="BQ94" s="52"/>
    </row>
    <row r="95" spans="1:69" x14ac:dyDescent="0.35">
      <c r="A95" s="136"/>
      <c r="B95" s="54" t="s">
        <v>66</v>
      </c>
      <c r="C95" s="144"/>
      <c r="D95" s="146"/>
      <c r="E95" s="166" t="e">
        <f t="shared" si="133"/>
        <v>#VALUE!</v>
      </c>
      <c r="F95" s="147"/>
      <c r="G95" s="166">
        <f t="shared" si="133"/>
        <v>0</v>
      </c>
      <c r="H95" s="147"/>
      <c r="I95" s="166">
        <f t="shared" si="133"/>
        <v>0</v>
      </c>
      <c r="J95" s="147"/>
      <c r="K95" s="166">
        <f t="shared" si="133"/>
        <v>0</v>
      </c>
      <c r="L95" s="147"/>
      <c r="M95" s="166">
        <f t="shared" si="134"/>
        <v>0</v>
      </c>
      <c r="N95" s="147"/>
      <c r="O95" s="166">
        <f t="shared" si="135"/>
        <v>0</v>
      </c>
      <c r="P95" s="147"/>
      <c r="Q95" s="166">
        <f t="shared" si="136"/>
        <v>0</v>
      </c>
      <c r="R95" s="147"/>
      <c r="S95" s="166">
        <f t="shared" si="137"/>
        <v>0</v>
      </c>
      <c r="T95" s="147"/>
      <c r="U95" s="166">
        <f t="shared" si="138"/>
        <v>0</v>
      </c>
      <c r="V95" s="147"/>
      <c r="W95" s="166">
        <f t="shared" si="139"/>
        <v>0</v>
      </c>
      <c r="X95" s="147"/>
      <c r="Y95" s="166">
        <f t="shared" si="140"/>
        <v>0</v>
      </c>
      <c r="Z95" s="147"/>
      <c r="AA95" s="166">
        <f t="shared" si="141"/>
        <v>0</v>
      </c>
      <c r="AB95" s="147"/>
      <c r="AC95" s="166">
        <f t="shared" si="142"/>
        <v>0</v>
      </c>
      <c r="AD95" s="147"/>
      <c r="AE95" s="166">
        <f t="shared" si="143"/>
        <v>0</v>
      </c>
      <c r="AF95" s="147"/>
      <c r="AG95" s="166">
        <f t="shared" si="144"/>
        <v>0</v>
      </c>
      <c r="AH95" s="147"/>
      <c r="AI95" s="166">
        <f t="shared" si="145"/>
        <v>0</v>
      </c>
      <c r="AJ95" s="147"/>
      <c r="AK95" s="166">
        <f t="shared" si="146"/>
        <v>0</v>
      </c>
      <c r="AL95" s="147"/>
      <c r="AM95" s="166">
        <f t="shared" si="147"/>
        <v>0</v>
      </c>
      <c r="AN95" s="147"/>
      <c r="AO95" s="166">
        <f t="shared" si="148"/>
        <v>0</v>
      </c>
      <c r="AP95" s="147"/>
      <c r="AQ95" s="166">
        <f t="shared" si="149"/>
        <v>0</v>
      </c>
      <c r="AR95" s="147"/>
      <c r="AS95" s="166">
        <f t="shared" si="150"/>
        <v>0</v>
      </c>
      <c r="AT95" s="147"/>
      <c r="AU95" s="166">
        <f t="shared" si="151"/>
        <v>0</v>
      </c>
      <c r="AV95" s="147"/>
      <c r="AW95" s="166">
        <f t="shared" si="152"/>
        <v>0</v>
      </c>
      <c r="AX95" s="147"/>
      <c r="AY95" s="166">
        <f t="shared" si="153"/>
        <v>0</v>
      </c>
      <c r="AZ95" s="147"/>
      <c r="BA95" s="166">
        <f t="shared" si="154"/>
        <v>0</v>
      </c>
      <c r="BB95" s="147"/>
      <c r="BC95" s="166">
        <f t="shared" si="155"/>
        <v>0</v>
      </c>
      <c r="BD95" s="147"/>
      <c r="BE95" s="166">
        <f t="shared" si="156"/>
        <v>0</v>
      </c>
      <c r="BF95" s="147"/>
      <c r="BG95" s="166">
        <f t="shared" si="157"/>
        <v>0</v>
      </c>
      <c r="BH95" s="147"/>
      <c r="BI95" s="166">
        <f t="shared" si="158"/>
        <v>0</v>
      </c>
      <c r="BJ95" s="147"/>
      <c r="BK95" s="166">
        <f t="shared" si="159"/>
        <v>0</v>
      </c>
      <c r="BL95" s="147"/>
      <c r="BM95" s="166">
        <f t="shared" si="160"/>
        <v>0</v>
      </c>
      <c r="BN95" s="50"/>
      <c r="BO95" s="170" t="e">
        <f t="shared" si="132"/>
        <v>#VALUE!</v>
      </c>
      <c r="BP95" s="87"/>
      <c r="BQ95" s="52"/>
    </row>
    <row r="96" spans="1:69" x14ac:dyDescent="0.35">
      <c r="A96" s="134" t="s">
        <v>80</v>
      </c>
      <c r="B96" s="54" t="s">
        <v>67</v>
      </c>
      <c r="C96" s="144"/>
      <c r="D96" s="146"/>
      <c r="E96" s="166" t="e">
        <f t="shared" si="133"/>
        <v>#VALUE!</v>
      </c>
      <c r="F96" s="147"/>
      <c r="G96" s="166">
        <f t="shared" si="133"/>
        <v>0</v>
      </c>
      <c r="H96" s="147"/>
      <c r="I96" s="166">
        <f t="shared" si="133"/>
        <v>0</v>
      </c>
      <c r="J96" s="147"/>
      <c r="K96" s="166">
        <f t="shared" si="133"/>
        <v>0</v>
      </c>
      <c r="L96" s="147"/>
      <c r="M96" s="166">
        <f t="shared" si="134"/>
        <v>0</v>
      </c>
      <c r="N96" s="147"/>
      <c r="O96" s="166">
        <f t="shared" si="135"/>
        <v>0</v>
      </c>
      <c r="P96" s="147"/>
      <c r="Q96" s="166">
        <f t="shared" si="136"/>
        <v>0</v>
      </c>
      <c r="R96" s="147"/>
      <c r="S96" s="166">
        <f t="shared" si="137"/>
        <v>0</v>
      </c>
      <c r="T96" s="147"/>
      <c r="U96" s="166">
        <f t="shared" si="138"/>
        <v>0</v>
      </c>
      <c r="V96" s="147"/>
      <c r="W96" s="166">
        <f t="shared" si="139"/>
        <v>0</v>
      </c>
      <c r="X96" s="147"/>
      <c r="Y96" s="166">
        <f t="shared" si="140"/>
        <v>0</v>
      </c>
      <c r="Z96" s="147"/>
      <c r="AA96" s="166">
        <f t="shared" si="141"/>
        <v>0</v>
      </c>
      <c r="AB96" s="147"/>
      <c r="AC96" s="166">
        <f t="shared" si="142"/>
        <v>0</v>
      </c>
      <c r="AD96" s="147"/>
      <c r="AE96" s="166">
        <f t="shared" si="143"/>
        <v>0</v>
      </c>
      <c r="AF96" s="147"/>
      <c r="AG96" s="166">
        <f t="shared" si="144"/>
        <v>0</v>
      </c>
      <c r="AH96" s="147"/>
      <c r="AI96" s="166">
        <f t="shared" si="145"/>
        <v>0</v>
      </c>
      <c r="AJ96" s="147"/>
      <c r="AK96" s="166">
        <f t="shared" si="146"/>
        <v>0</v>
      </c>
      <c r="AL96" s="147"/>
      <c r="AM96" s="166">
        <f t="shared" si="147"/>
        <v>0</v>
      </c>
      <c r="AN96" s="147"/>
      <c r="AO96" s="166">
        <f t="shared" si="148"/>
        <v>0</v>
      </c>
      <c r="AP96" s="147"/>
      <c r="AQ96" s="166">
        <f t="shared" si="149"/>
        <v>0</v>
      </c>
      <c r="AR96" s="147"/>
      <c r="AS96" s="166">
        <f t="shared" si="150"/>
        <v>0</v>
      </c>
      <c r="AT96" s="147"/>
      <c r="AU96" s="166">
        <f t="shared" si="151"/>
        <v>0</v>
      </c>
      <c r="AV96" s="147"/>
      <c r="AW96" s="166">
        <f t="shared" si="152"/>
        <v>0</v>
      </c>
      <c r="AX96" s="147"/>
      <c r="AY96" s="166">
        <f t="shared" si="153"/>
        <v>0</v>
      </c>
      <c r="AZ96" s="147"/>
      <c r="BA96" s="166">
        <f t="shared" si="154"/>
        <v>0</v>
      </c>
      <c r="BB96" s="147"/>
      <c r="BC96" s="166">
        <f t="shared" si="155"/>
        <v>0</v>
      </c>
      <c r="BD96" s="147"/>
      <c r="BE96" s="166">
        <f t="shared" si="156"/>
        <v>0</v>
      </c>
      <c r="BF96" s="147"/>
      <c r="BG96" s="166">
        <f t="shared" si="157"/>
        <v>0</v>
      </c>
      <c r="BH96" s="147"/>
      <c r="BI96" s="166">
        <f t="shared" si="158"/>
        <v>0</v>
      </c>
      <c r="BJ96" s="147"/>
      <c r="BK96" s="166">
        <f t="shared" si="159"/>
        <v>0</v>
      </c>
      <c r="BL96" s="147"/>
      <c r="BM96" s="166">
        <f t="shared" si="160"/>
        <v>0</v>
      </c>
      <c r="BN96" s="50"/>
      <c r="BO96" s="170" t="e">
        <f t="shared" si="132"/>
        <v>#VALUE!</v>
      </c>
      <c r="BP96" s="87"/>
      <c r="BQ96" s="52"/>
    </row>
    <row r="97" spans="1:76" x14ac:dyDescent="0.35">
      <c r="A97" s="135"/>
      <c r="B97" s="54" t="s">
        <v>67</v>
      </c>
      <c r="C97" s="144"/>
      <c r="D97" s="146"/>
      <c r="E97" s="166" t="e">
        <f t="shared" si="133"/>
        <v>#VALUE!</v>
      </c>
      <c r="F97" s="147"/>
      <c r="G97" s="166">
        <f t="shared" si="133"/>
        <v>0</v>
      </c>
      <c r="H97" s="147"/>
      <c r="I97" s="166">
        <f t="shared" si="133"/>
        <v>0</v>
      </c>
      <c r="J97" s="147"/>
      <c r="K97" s="166">
        <f t="shared" si="133"/>
        <v>0</v>
      </c>
      <c r="L97" s="147"/>
      <c r="M97" s="166">
        <f t="shared" si="134"/>
        <v>0</v>
      </c>
      <c r="N97" s="147"/>
      <c r="O97" s="166">
        <f t="shared" si="135"/>
        <v>0</v>
      </c>
      <c r="P97" s="147"/>
      <c r="Q97" s="166">
        <f t="shared" si="136"/>
        <v>0</v>
      </c>
      <c r="R97" s="147"/>
      <c r="S97" s="166">
        <f t="shared" si="137"/>
        <v>0</v>
      </c>
      <c r="T97" s="147"/>
      <c r="U97" s="166">
        <f t="shared" si="138"/>
        <v>0</v>
      </c>
      <c r="V97" s="147"/>
      <c r="W97" s="166">
        <f t="shared" si="139"/>
        <v>0</v>
      </c>
      <c r="X97" s="147"/>
      <c r="Y97" s="166">
        <f t="shared" si="140"/>
        <v>0</v>
      </c>
      <c r="Z97" s="147"/>
      <c r="AA97" s="166">
        <f t="shared" si="141"/>
        <v>0</v>
      </c>
      <c r="AB97" s="147"/>
      <c r="AC97" s="166">
        <f t="shared" si="142"/>
        <v>0</v>
      </c>
      <c r="AD97" s="147"/>
      <c r="AE97" s="166">
        <f t="shared" si="143"/>
        <v>0</v>
      </c>
      <c r="AF97" s="147"/>
      <c r="AG97" s="166">
        <f t="shared" si="144"/>
        <v>0</v>
      </c>
      <c r="AH97" s="147"/>
      <c r="AI97" s="166">
        <f t="shared" si="145"/>
        <v>0</v>
      </c>
      <c r="AJ97" s="147"/>
      <c r="AK97" s="166">
        <f t="shared" si="146"/>
        <v>0</v>
      </c>
      <c r="AL97" s="147"/>
      <c r="AM97" s="166">
        <f t="shared" si="147"/>
        <v>0</v>
      </c>
      <c r="AN97" s="147"/>
      <c r="AO97" s="166">
        <f t="shared" si="148"/>
        <v>0</v>
      </c>
      <c r="AP97" s="147"/>
      <c r="AQ97" s="166">
        <f t="shared" si="149"/>
        <v>0</v>
      </c>
      <c r="AR97" s="147"/>
      <c r="AS97" s="166">
        <f t="shared" si="150"/>
        <v>0</v>
      </c>
      <c r="AT97" s="147"/>
      <c r="AU97" s="166">
        <f t="shared" si="151"/>
        <v>0</v>
      </c>
      <c r="AV97" s="147"/>
      <c r="AW97" s="166">
        <f t="shared" si="152"/>
        <v>0</v>
      </c>
      <c r="AX97" s="147"/>
      <c r="AY97" s="166">
        <f t="shared" si="153"/>
        <v>0</v>
      </c>
      <c r="AZ97" s="147"/>
      <c r="BA97" s="166">
        <f t="shared" si="154"/>
        <v>0</v>
      </c>
      <c r="BB97" s="147"/>
      <c r="BC97" s="166">
        <f t="shared" si="155"/>
        <v>0</v>
      </c>
      <c r="BD97" s="147"/>
      <c r="BE97" s="166">
        <f t="shared" si="156"/>
        <v>0</v>
      </c>
      <c r="BF97" s="147"/>
      <c r="BG97" s="166">
        <f t="shared" si="157"/>
        <v>0</v>
      </c>
      <c r="BH97" s="147"/>
      <c r="BI97" s="166">
        <f t="shared" si="158"/>
        <v>0</v>
      </c>
      <c r="BJ97" s="147"/>
      <c r="BK97" s="166">
        <f t="shared" si="159"/>
        <v>0</v>
      </c>
      <c r="BL97" s="147"/>
      <c r="BM97" s="166">
        <f t="shared" si="160"/>
        <v>0</v>
      </c>
      <c r="BN97" s="50"/>
      <c r="BO97" s="170" t="e">
        <f t="shared" si="132"/>
        <v>#VALUE!</v>
      </c>
      <c r="BP97" s="87"/>
      <c r="BQ97" s="52"/>
    </row>
    <row r="98" spans="1:76" x14ac:dyDescent="0.35">
      <c r="A98" s="136" t="s">
        <v>82</v>
      </c>
      <c r="B98" s="54" t="s">
        <v>66</v>
      </c>
      <c r="C98" s="144"/>
      <c r="D98" s="146"/>
      <c r="E98" s="166" t="e">
        <f t="shared" si="133"/>
        <v>#VALUE!</v>
      </c>
      <c r="F98" s="147"/>
      <c r="G98" s="166">
        <f t="shared" si="133"/>
        <v>0</v>
      </c>
      <c r="H98" s="147"/>
      <c r="I98" s="166">
        <f t="shared" si="133"/>
        <v>0</v>
      </c>
      <c r="J98" s="147"/>
      <c r="K98" s="166">
        <f t="shared" si="133"/>
        <v>0</v>
      </c>
      <c r="L98" s="147"/>
      <c r="M98" s="166">
        <f t="shared" si="134"/>
        <v>0</v>
      </c>
      <c r="N98" s="147"/>
      <c r="O98" s="166">
        <f t="shared" si="135"/>
        <v>0</v>
      </c>
      <c r="P98" s="147"/>
      <c r="Q98" s="166">
        <f t="shared" si="136"/>
        <v>0</v>
      </c>
      <c r="R98" s="147"/>
      <c r="S98" s="166">
        <f t="shared" si="137"/>
        <v>0</v>
      </c>
      <c r="T98" s="147"/>
      <c r="U98" s="166">
        <f t="shared" si="138"/>
        <v>0</v>
      </c>
      <c r="V98" s="147"/>
      <c r="W98" s="166">
        <f t="shared" si="139"/>
        <v>0</v>
      </c>
      <c r="X98" s="147"/>
      <c r="Y98" s="166">
        <f t="shared" si="140"/>
        <v>0</v>
      </c>
      <c r="Z98" s="147"/>
      <c r="AA98" s="166">
        <f t="shared" si="141"/>
        <v>0</v>
      </c>
      <c r="AB98" s="147"/>
      <c r="AC98" s="166">
        <f t="shared" si="142"/>
        <v>0</v>
      </c>
      <c r="AD98" s="147"/>
      <c r="AE98" s="166">
        <f t="shared" si="143"/>
        <v>0</v>
      </c>
      <c r="AF98" s="147"/>
      <c r="AG98" s="166">
        <f t="shared" si="144"/>
        <v>0</v>
      </c>
      <c r="AH98" s="147"/>
      <c r="AI98" s="166">
        <f t="shared" si="145"/>
        <v>0</v>
      </c>
      <c r="AJ98" s="147"/>
      <c r="AK98" s="166">
        <f t="shared" si="146"/>
        <v>0</v>
      </c>
      <c r="AL98" s="147"/>
      <c r="AM98" s="166">
        <f t="shared" si="147"/>
        <v>0</v>
      </c>
      <c r="AN98" s="147"/>
      <c r="AO98" s="166">
        <f t="shared" si="148"/>
        <v>0</v>
      </c>
      <c r="AP98" s="147"/>
      <c r="AQ98" s="166">
        <f t="shared" si="149"/>
        <v>0</v>
      </c>
      <c r="AR98" s="147"/>
      <c r="AS98" s="166">
        <f t="shared" si="150"/>
        <v>0</v>
      </c>
      <c r="AT98" s="147"/>
      <c r="AU98" s="166">
        <f t="shared" si="151"/>
        <v>0</v>
      </c>
      <c r="AV98" s="147"/>
      <c r="AW98" s="166">
        <f t="shared" si="152"/>
        <v>0</v>
      </c>
      <c r="AX98" s="147"/>
      <c r="AY98" s="166">
        <f t="shared" si="153"/>
        <v>0</v>
      </c>
      <c r="AZ98" s="147"/>
      <c r="BA98" s="166">
        <f t="shared" si="154"/>
        <v>0</v>
      </c>
      <c r="BB98" s="147"/>
      <c r="BC98" s="166">
        <f t="shared" si="155"/>
        <v>0</v>
      </c>
      <c r="BD98" s="147"/>
      <c r="BE98" s="166">
        <f t="shared" si="156"/>
        <v>0</v>
      </c>
      <c r="BF98" s="147"/>
      <c r="BG98" s="166">
        <f t="shared" si="157"/>
        <v>0</v>
      </c>
      <c r="BH98" s="147"/>
      <c r="BI98" s="166">
        <f t="shared" si="158"/>
        <v>0</v>
      </c>
      <c r="BJ98" s="147"/>
      <c r="BK98" s="166">
        <f t="shared" si="159"/>
        <v>0</v>
      </c>
      <c r="BL98" s="147"/>
      <c r="BM98" s="166">
        <f t="shared" si="160"/>
        <v>0</v>
      </c>
      <c r="BN98" s="50"/>
      <c r="BO98" s="170" t="e">
        <f t="shared" si="132"/>
        <v>#VALUE!</v>
      </c>
      <c r="BP98" s="87"/>
      <c r="BQ98" s="52"/>
    </row>
    <row r="99" spans="1:76" x14ac:dyDescent="0.35">
      <c r="A99" s="44"/>
      <c r="B99" s="54" t="s">
        <v>65</v>
      </c>
      <c r="C99" s="144"/>
      <c r="D99" s="146"/>
      <c r="E99" s="166" t="e">
        <f t="shared" si="133"/>
        <v>#VALUE!</v>
      </c>
      <c r="F99" s="147"/>
      <c r="G99" s="166">
        <f t="shared" si="133"/>
        <v>0</v>
      </c>
      <c r="H99" s="147"/>
      <c r="I99" s="166">
        <f t="shared" si="133"/>
        <v>0</v>
      </c>
      <c r="J99" s="147"/>
      <c r="K99" s="166">
        <f t="shared" si="133"/>
        <v>0</v>
      </c>
      <c r="L99" s="147"/>
      <c r="M99" s="166">
        <f t="shared" si="134"/>
        <v>0</v>
      </c>
      <c r="N99" s="147"/>
      <c r="O99" s="166">
        <f t="shared" si="135"/>
        <v>0</v>
      </c>
      <c r="P99" s="147"/>
      <c r="Q99" s="166">
        <f t="shared" si="136"/>
        <v>0</v>
      </c>
      <c r="R99" s="147"/>
      <c r="S99" s="166">
        <f t="shared" si="137"/>
        <v>0</v>
      </c>
      <c r="T99" s="147"/>
      <c r="U99" s="166">
        <f t="shared" si="138"/>
        <v>0</v>
      </c>
      <c r="V99" s="147"/>
      <c r="W99" s="166">
        <f t="shared" si="139"/>
        <v>0</v>
      </c>
      <c r="X99" s="147"/>
      <c r="Y99" s="166">
        <f t="shared" si="140"/>
        <v>0</v>
      </c>
      <c r="Z99" s="147"/>
      <c r="AA99" s="166">
        <f t="shared" si="141"/>
        <v>0</v>
      </c>
      <c r="AB99" s="147"/>
      <c r="AC99" s="166">
        <f t="shared" si="142"/>
        <v>0</v>
      </c>
      <c r="AD99" s="147"/>
      <c r="AE99" s="166">
        <f t="shared" si="143"/>
        <v>0</v>
      </c>
      <c r="AF99" s="147"/>
      <c r="AG99" s="166">
        <f t="shared" si="144"/>
        <v>0</v>
      </c>
      <c r="AH99" s="147"/>
      <c r="AI99" s="166">
        <f t="shared" si="145"/>
        <v>0</v>
      </c>
      <c r="AJ99" s="147"/>
      <c r="AK99" s="166">
        <f t="shared" si="146"/>
        <v>0</v>
      </c>
      <c r="AL99" s="147"/>
      <c r="AM99" s="166">
        <f t="shared" si="147"/>
        <v>0</v>
      </c>
      <c r="AN99" s="147"/>
      <c r="AO99" s="166">
        <f t="shared" si="148"/>
        <v>0</v>
      </c>
      <c r="AP99" s="147"/>
      <c r="AQ99" s="166">
        <f t="shared" si="149"/>
        <v>0</v>
      </c>
      <c r="AR99" s="147"/>
      <c r="AS99" s="166">
        <f t="shared" si="150"/>
        <v>0</v>
      </c>
      <c r="AT99" s="147"/>
      <c r="AU99" s="166">
        <f t="shared" si="151"/>
        <v>0</v>
      </c>
      <c r="AV99" s="147"/>
      <c r="AW99" s="166">
        <f t="shared" si="152"/>
        <v>0</v>
      </c>
      <c r="AX99" s="147"/>
      <c r="AY99" s="166">
        <f t="shared" si="153"/>
        <v>0</v>
      </c>
      <c r="AZ99" s="147"/>
      <c r="BA99" s="166">
        <f t="shared" si="154"/>
        <v>0</v>
      </c>
      <c r="BB99" s="147"/>
      <c r="BC99" s="166">
        <f t="shared" si="155"/>
        <v>0</v>
      </c>
      <c r="BD99" s="147"/>
      <c r="BE99" s="166">
        <f t="shared" si="156"/>
        <v>0</v>
      </c>
      <c r="BF99" s="147"/>
      <c r="BG99" s="166">
        <f t="shared" si="157"/>
        <v>0</v>
      </c>
      <c r="BH99" s="147"/>
      <c r="BI99" s="166">
        <f t="shared" si="158"/>
        <v>0</v>
      </c>
      <c r="BJ99" s="147"/>
      <c r="BK99" s="166">
        <f t="shared" si="159"/>
        <v>0</v>
      </c>
      <c r="BL99" s="147"/>
      <c r="BM99" s="166">
        <f t="shared" si="160"/>
        <v>0</v>
      </c>
      <c r="BN99" s="50"/>
      <c r="BO99" s="170" t="e">
        <f t="shared" si="132"/>
        <v>#VALUE!</v>
      </c>
      <c r="BP99" s="87"/>
      <c r="BQ99" s="52"/>
    </row>
    <row r="100" spans="1:76" x14ac:dyDescent="0.35">
      <c r="A100" s="135" t="s">
        <v>84</v>
      </c>
      <c r="B100" s="54" t="s">
        <v>67</v>
      </c>
      <c r="C100" s="144"/>
      <c r="D100" s="146"/>
      <c r="E100" s="166" t="e">
        <f t="shared" si="133"/>
        <v>#VALUE!</v>
      </c>
      <c r="F100" s="147"/>
      <c r="G100" s="166">
        <f t="shared" si="133"/>
        <v>0</v>
      </c>
      <c r="H100" s="147"/>
      <c r="I100" s="166">
        <f t="shared" si="133"/>
        <v>0</v>
      </c>
      <c r="J100" s="147"/>
      <c r="K100" s="166">
        <f t="shared" si="133"/>
        <v>0</v>
      </c>
      <c r="L100" s="147"/>
      <c r="M100" s="166">
        <f t="shared" si="134"/>
        <v>0</v>
      </c>
      <c r="N100" s="147"/>
      <c r="O100" s="166">
        <f t="shared" si="135"/>
        <v>0</v>
      </c>
      <c r="P100" s="147"/>
      <c r="Q100" s="166">
        <f t="shared" si="136"/>
        <v>0</v>
      </c>
      <c r="R100" s="147"/>
      <c r="S100" s="166">
        <f t="shared" si="137"/>
        <v>0</v>
      </c>
      <c r="T100" s="147"/>
      <c r="U100" s="166">
        <f t="shared" si="138"/>
        <v>0</v>
      </c>
      <c r="V100" s="147"/>
      <c r="W100" s="166">
        <f t="shared" si="139"/>
        <v>0</v>
      </c>
      <c r="X100" s="147"/>
      <c r="Y100" s="166">
        <f t="shared" si="140"/>
        <v>0</v>
      </c>
      <c r="Z100" s="147"/>
      <c r="AA100" s="166">
        <f t="shared" si="141"/>
        <v>0</v>
      </c>
      <c r="AB100" s="147"/>
      <c r="AC100" s="166">
        <f t="shared" si="142"/>
        <v>0</v>
      </c>
      <c r="AD100" s="147"/>
      <c r="AE100" s="166">
        <f t="shared" si="143"/>
        <v>0</v>
      </c>
      <c r="AF100" s="147"/>
      <c r="AG100" s="166">
        <f t="shared" si="144"/>
        <v>0</v>
      </c>
      <c r="AH100" s="147"/>
      <c r="AI100" s="166">
        <f t="shared" si="145"/>
        <v>0</v>
      </c>
      <c r="AJ100" s="147"/>
      <c r="AK100" s="166">
        <f t="shared" si="146"/>
        <v>0</v>
      </c>
      <c r="AL100" s="147"/>
      <c r="AM100" s="166">
        <f t="shared" si="147"/>
        <v>0</v>
      </c>
      <c r="AN100" s="147"/>
      <c r="AO100" s="166">
        <f t="shared" si="148"/>
        <v>0</v>
      </c>
      <c r="AP100" s="147"/>
      <c r="AQ100" s="166">
        <f t="shared" si="149"/>
        <v>0</v>
      </c>
      <c r="AR100" s="147"/>
      <c r="AS100" s="166">
        <f t="shared" si="150"/>
        <v>0</v>
      </c>
      <c r="AT100" s="147"/>
      <c r="AU100" s="166">
        <f t="shared" si="151"/>
        <v>0</v>
      </c>
      <c r="AV100" s="147"/>
      <c r="AW100" s="166">
        <f t="shared" si="152"/>
        <v>0</v>
      </c>
      <c r="AX100" s="147"/>
      <c r="AY100" s="166">
        <f t="shared" si="153"/>
        <v>0</v>
      </c>
      <c r="AZ100" s="147"/>
      <c r="BA100" s="166">
        <f t="shared" si="154"/>
        <v>0</v>
      </c>
      <c r="BB100" s="147"/>
      <c r="BC100" s="166">
        <f t="shared" si="155"/>
        <v>0</v>
      </c>
      <c r="BD100" s="147"/>
      <c r="BE100" s="166">
        <f t="shared" si="156"/>
        <v>0</v>
      </c>
      <c r="BF100" s="147"/>
      <c r="BG100" s="166">
        <f t="shared" si="157"/>
        <v>0</v>
      </c>
      <c r="BH100" s="147"/>
      <c r="BI100" s="166">
        <f t="shared" si="158"/>
        <v>0</v>
      </c>
      <c r="BJ100" s="147"/>
      <c r="BK100" s="166">
        <f t="shared" si="159"/>
        <v>0</v>
      </c>
      <c r="BL100" s="147"/>
      <c r="BM100" s="166">
        <f t="shared" si="160"/>
        <v>0</v>
      </c>
      <c r="BN100" s="50"/>
      <c r="BO100" s="170" t="e">
        <f t="shared" si="132"/>
        <v>#VALUE!</v>
      </c>
      <c r="BP100" s="87"/>
      <c r="BQ100" s="52"/>
    </row>
    <row r="101" spans="1:76" x14ac:dyDescent="0.35">
      <c r="A101" s="136" t="s">
        <v>85</v>
      </c>
      <c r="B101" s="54" t="s">
        <v>66</v>
      </c>
      <c r="C101" s="144"/>
      <c r="D101" s="146"/>
      <c r="E101" s="166" t="e">
        <f t="shared" si="133"/>
        <v>#VALUE!</v>
      </c>
      <c r="F101" s="147"/>
      <c r="G101" s="166">
        <f t="shared" si="133"/>
        <v>0</v>
      </c>
      <c r="H101" s="147"/>
      <c r="I101" s="166">
        <f t="shared" si="133"/>
        <v>0</v>
      </c>
      <c r="J101" s="147"/>
      <c r="K101" s="166">
        <f t="shared" si="133"/>
        <v>0</v>
      </c>
      <c r="L101" s="147"/>
      <c r="M101" s="166">
        <f t="shared" si="134"/>
        <v>0</v>
      </c>
      <c r="N101" s="147"/>
      <c r="O101" s="166">
        <f t="shared" si="135"/>
        <v>0</v>
      </c>
      <c r="P101" s="147"/>
      <c r="Q101" s="166">
        <f t="shared" si="136"/>
        <v>0</v>
      </c>
      <c r="R101" s="147"/>
      <c r="S101" s="166">
        <f t="shared" si="137"/>
        <v>0</v>
      </c>
      <c r="T101" s="147"/>
      <c r="U101" s="166">
        <f t="shared" si="138"/>
        <v>0</v>
      </c>
      <c r="V101" s="147"/>
      <c r="W101" s="166">
        <f t="shared" si="139"/>
        <v>0</v>
      </c>
      <c r="X101" s="147"/>
      <c r="Y101" s="166">
        <f t="shared" si="140"/>
        <v>0</v>
      </c>
      <c r="Z101" s="147"/>
      <c r="AA101" s="166">
        <f t="shared" si="141"/>
        <v>0</v>
      </c>
      <c r="AB101" s="147"/>
      <c r="AC101" s="166">
        <f t="shared" si="142"/>
        <v>0</v>
      </c>
      <c r="AD101" s="147"/>
      <c r="AE101" s="166">
        <f t="shared" si="143"/>
        <v>0</v>
      </c>
      <c r="AF101" s="147"/>
      <c r="AG101" s="166">
        <f t="shared" si="144"/>
        <v>0</v>
      </c>
      <c r="AH101" s="147"/>
      <c r="AI101" s="166">
        <f t="shared" si="145"/>
        <v>0</v>
      </c>
      <c r="AJ101" s="147"/>
      <c r="AK101" s="166">
        <f t="shared" si="146"/>
        <v>0</v>
      </c>
      <c r="AL101" s="147"/>
      <c r="AM101" s="166">
        <f t="shared" si="147"/>
        <v>0</v>
      </c>
      <c r="AN101" s="147"/>
      <c r="AO101" s="166">
        <f t="shared" si="148"/>
        <v>0</v>
      </c>
      <c r="AP101" s="147"/>
      <c r="AQ101" s="166">
        <f t="shared" si="149"/>
        <v>0</v>
      </c>
      <c r="AR101" s="147"/>
      <c r="AS101" s="166">
        <f t="shared" si="150"/>
        <v>0</v>
      </c>
      <c r="AT101" s="147"/>
      <c r="AU101" s="166">
        <f t="shared" si="151"/>
        <v>0</v>
      </c>
      <c r="AV101" s="147"/>
      <c r="AW101" s="166">
        <f t="shared" si="152"/>
        <v>0</v>
      </c>
      <c r="AX101" s="147"/>
      <c r="AY101" s="166">
        <f t="shared" si="153"/>
        <v>0</v>
      </c>
      <c r="AZ101" s="147"/>
      <c r="BA101" s="166">
        <f t="shared" si="154"/>
        <v>0</v>
      </c>
      <c r="BB101" s="147"/>
      <c r="BC101" s="166">
        <f t="shared" si="155"/>
        <v>0</v>
      </c>
      <c r="BD101" s="147"/>
      <c r="BE101" s="166">
        <f t="shared" si="156"/>
        <v>0</v>
      </c>
      <c r="BF101" s="147"/>
      <c r="BG101" s="166">
        <f t="shared" si="157"/>
        <v>0</v>
      </c>
      <c r="BH101" s="147"/>
      <c r="BI101" s="166">
        <f t="shared" si="158"/>
        <v>0</v>
      </c>
      <c r="BJ101" s="147"/>
      <c r="BK101" s="166">
        <f t="shared" si="159"/>
        <v>0</v>
      </c>
      <c r="BL101" s="147"/>
      <c r="BM101" s="166">
        <f t="shared" si="160"/>
        <v>0</v>
      </c>
      <c r="BN101" s="50"/>
      <c r="BO101" s="170" t="e">
        <f t="shared" si="132"/>
        <v>#VALUE!</v>
      </c>
      <c r="BP101" s="87"/>
      <c r="BQ101" s="52"/>
    </row>
    <row r="102" spans="1:76" x14ac:dyDescent="0.35">
      <c r="A102" s="44" t="s">
        <v>86</v>
      </c>
      <c r="B102" s="54" t="s">
        <v>65</v>
      </c>
      <c r="C102" s="144"/>
      <c r="D102" s="146"/>
      <c r="E102" s="166" t="e">
        <f t="shared" si="133"/>
        <v>#VALUE!</v>
      </c>
      <c r="F102" s="147"/>
      <c r="G102" s="166">
        <f t="shared" si="133"/>
        <v>0</v>
      </c>
      <c r="H102" s="147"/>
      <c r="I102" s="166">
        <f t="shared" si="133"/>
        <v>0</v>
      </c>
      <c r="J102" s="147"/>
      <c r="K102" s="166">
        <f t="shared" si="133"/>
        <v>0</v>
      </c>
      <c r="L102" s="147"/>
      <c r="M102" s="166">
        <f t="shared" si="134"/>
        <v>0</v>
      </c>
      <c r="N102" s="147"/>
      <c r="O102" s="166">
        <f t="shared" si="135"/>
        <v>0</v>
      </c>
      <c r="P102" s="147"/>
      <c r="Q102" s="166">
        <f t="shared" si="136"/>
        <v>0</v>
      </c>
      <c r="R102" s="147"/>
      <c r="S102" s="166">
        <f t="shared" si="137"/>
        <v>0</v>
      </c>
      <c r="T102" s="147"/>
      <c r="U102" s="166">
        <f t="shared" si="138"/>
        <v>0</v>
      </c>
      <c r="V102" s="147"/>
      <c r="W102" s="166">
        <f t="shared" si="139"/>
        <v>0</v>
      </c>
      <c r="X102" s="147"/>
      <c r="Y102" s="166">
        <f t="shared" si="140"/>
        <v>0</v>
      </c>
      <c r="Z102" s="147"/>
      <c r="AA102" s="166">
        <f t="shared" si="141"/>
        <v>0</v>
      </c>
      <c r="AB102" s="147"/>
      <c r="AC102" s="166">
        <f t="shared" si="142"/>
        <v>0</v>
      </c>
      <c r="AD102" s="147"/>
      <c r="AE102" s="166">
        <f t="shared" si="143"/>
        <v>0</v>
      </c>
      <c r="AF102" s="147"/>
      <c r="AG102" s="166">
        <f t="shared" si="144"/>
        <v>0</v>
      </c>
      <c r="AH102" s="147"/>
      <c r="AI102" s="166">
        <f t="shared" si="145"/>
        <v>0</v>
      </c>
      <c r="AJ102" s="147"/>
      <c r="AK102" s="166">
        <f t="shared" si="146"/>
        <v>0</v>
      </c>
      <c r="AL102" s="147"/>
      <c r="AM102" s="166">
        <f t="shared" si="147"/>
        <v>0</v>
      </c>
      <c r="AN102" s="147"/>
      <c r="AO102" s="166">
        <f t="shared" si="148"/>
        <v>0</v>
      </c>
      <c r="AP102" s="147"/>
      <c r="AQ102" s="166">
        <f t="shared" si="149"/>
        <v>0</v>
      </c>
      <c r="AR102" s="147"/>
      <c r="AS102" s="166">
        <f t="shared" si="150"/>
        <v>0</v>
      </c>
      <c r="AT102" s="147"/>
      <c r="AU102" s="166">
        <f t="shared" si="151"/>
        <v>0</v>
      </c>
      <c r="AV102" s="147"/>
      <c r="AW102" s="166">
        <f t="shared" si="152"/>
        <v>0</v>
      </c>
      <c r="AX102" s="147"/>
      <c r="AY102" s="166">
        <f t="shared" si="153"/>
        <v>0</v>
      </c>
      <c r="AZ102" s="147"/>
      <c r="BA102" s="166">
        <f t="shared" si="154"/>
        <v>0</v>
      </c>
      <c r="BB102" s="147"/>
      <c r="BC102" s="166">
        <f t="shared" si="155"/>
        <v>0</v>
      </c>
      <c r="BD102" s="147"/>
      <c r="BE102" s="166">
        <f t="shared" si="156"/>
        <v>0</v>
      </c>
      <c r="BF102" s="147"/>
      <c r="BG102" s="166">
        <f t="shared" si="157"/>
        <v>0</v>
      </c>
      <c r="BH102" s="147"/>
      <c r="BI102" s="166">
        <f t="shared" si="158"/>
        <v>0</v>
      </c>
      <c r="BJ102" s="147"/>
      <c r="BK102" s="166">
        <f t="shared" si="159"/>
        <v>0</v>
      </c>
      <c r="BL102" s="147"/>
      <c r="BM102" s="166">
        <f t="shared" si="160"/>
        <v>0</v>
      </c>
      <c r="BN102" s="50"/>
      <c r="BO102" s="170" t="e">
        <f t="shared" si="132"/>
        <v>#VALUE!</v>
      </c>
      <c r="BP102" s="87"/>
      <c r="BQ102" s="52"/>
    </row>
    <row r="103" spans="1:76" x14ac:dyDescent="0.35">
      <c r="A103" s="53"/>
      <c r="B103" s="54"/>
      <c r="C103" s="144"/>
      <c r="D103" s="189">
        <f>SUM(D91:D102)</f>
        <v>0</v>
      </c>
      <c r="E103" s="166" t="e">
        <f t="shared" ref="E103:BP103" si="161">SUM(E91:E102)</f>
        <v>#VALUE!</v>
      </c>
      <c r="F103" s="167">
        <f t="shared" si="161"/>
        <v>0</v>
      </c>
      <c r="G103" s="166">
        <f t="shared" si="161"/>
        <v>0</v>
      </c>
      <c r="H103" s="167">
        <f t="shared" si="161"/>
        <v>0</v>
      </c>
      <c r="I103" s="166">
        <f t="shared" si="161"/>
        <v>0</v>
      </c>
      <c r="J103" s="167">
        <f t="shared" si="161"/>
        <v>0</v>
      </c>
      <c r="K103" s="166">
        <f t="shared" si="161"/>
        <v>0</v>
      </c>
      <c r="L103" s="167">
        <f t="shared" si="161"/>
        <v>0</v>
      </c>
      <c r="M103" s="166">
        <f t="shared" si="161"/>
        <v>0</v>
      </c>
      <c r="N103" s="167">
        <f t="shared" si="161"/>
        <v>0</v>
      </c>
      <c r="O103" s="166">
        <f t="shared" si="161"/>
        <v>0</v>
      </c>
      <c r="P103" s="167">
        <f t="shared" si="161"/>
        <v>0</v>
      </c>
      <c r="Q103" s="166">
        <f t="shared" si="161"/>
        <v>0</v>
      </c>
      <c r="R103" s="167">
        <f t="shared" si="161"/>
        <v>0</v>
      </c>
      <c r="S103" s="166">
        <f t="shared" si="161"/>
        <v>0</v>
      </c>
      <c r="T103" s="167">
        <f t="shared" si="161"/>
        <v>0</v>
      </c>
      <c r="U103" s="166">
        <f t="shared" si="161"/>
        <v>0</v>
      </c>
      <c r="V103" s="167">
        <f t="shared" si="161"/>
        <v>0</v>
      </c>
      <c r="W103" s="166">
        <f t="shared" si="161"/>
        <v>0</v>
      </c>
      <c r="X103" s="167">
        <f t="shared" si="161"/>
        <v>0</v>
      </c>
      <c r="Y103" s="166">
        <f t="shared" si="161"/>
        <v>0</v>
      </c>
      <c r="Z103" s="167">
        <f t="shared" si="161"/>
        <v>0</v>
      </c>
      <c r="AA103" s="166">
        <f t="shared" si="161"/>
        <v>0</v>
      </c>
      <c r="AB103" s="167">
        <f t="shared" si="161"/>
        <v>0</v>
      </c>
      <c r="AC103" s="166">
        <f t="shared" si="161"/>
        <v>0</v>
      </c>
      <c r="AD103" s="167">
        <f t="shared" si="161"/>
        <v>0</v>
      </c>
      <c r="AE103" s="166">
        <f t="shared" si="161"/>
        <v>0</v>
      </c>
      <c r="AF103" s="167">
        <f t="shared" si="161"/>
        <v>0</v>
      </c>
      <c r="AG103" s="166">
        <f t="shared" si="161"/>
        <v>0</v>
      </c>
      <c r="AH103" s="167">
        <f t="shared" si="161"/>
        <v>0</v>
      </c>
      <c r="AI103" s="166">
        <f t="shared" si="161"/>
        <v>0</v>
      </c>
      <c r="AJ103" s="167">
        <f t="shared" si="161"/>
        <v>0</v>
      </c>
      <c r="AK103" s="166">
        <f t="shared" si="161"/>
        <v>0</v>
      </c>
      <c r="AL103" s="167">
        <f t="shared" si="161"/>
        <v>0</v>
      </c>
      <c r="AM103" s="166">
        <f t="shared" si="161"/>
        <v>0</v>
      </c>
      <c r="AN103" s="167">
        <f t="shared" si="161"/>
        <v>0</v>
      </c>
      <c r="AO103" s="166">
        <f t="shared" si="161"/>
        <v>0</v>
      </c>
      <c r="AP103" s="167">
        <f t="shared" si="161"/>
        <v>0</v>
      </c>
      <c r="AQ103" s="194">
        <f t="shared" si="161"/>
        <v>0</v>
      </c>
      <c r="AR103" s="167">
        <f t="shared" si="161"/>
        <v>0</v>
      </c>
      <c r="AS103" s="166">
        <f t="shared" si="161"/>
        <v>0</v>
      </c>
      <c r="AT103" s="167">
        <f t="shared" si="161"/>
        <v>0</v>
      </c>
      <c r="AU103" s="166">
        <f t="shared" si="161"/>
        <v>0</v>
      </c>
      <c r="AV103" s="167">
        <f t="shared" si="161"/>
        <v>0</v>
      </c>
      <c r="AW103" s="166">
        <f t="shared" si="161"/>
        <v>0</v>
      </c>
      <c r="AX103" s="167">
        <f t="shared" si="161"/>
        <v>0</v>
      </c>
      <c r="AY103" s="166">
        <f t="shared" si="161"/>
        <v>0</v>
      </c>
      <c r="AZ103" s="167">
        <f t="shared" si="161"/>
        <v>0</v>
      </c>
      <c r="BA103" s="166">
        <f t="shared" si="161"/>
        <v>0</v>
      </c>
      <c r="BB103" s="167">
        <f t="shared" si="161"/>
        <v>0</v>
      </c>
      <c r="BC103" s="166">
        <f t="shared" si="161"/>
        <v>0</v>
      </c>
      <c r="BD103" s="167">
        <f t="shared" si="161"/>
        <v>0</v>
      </c>
      <c r="BE103" s="166">
        <f t="shared" si="161"/>
        <v>0</v>
      </c>
      <c r="BF103" s="167">
        <f t="shared" si="161"/>
        <v>0</v>
      </c>
      <c r="BG103" s="166">
        <f t="shared" si="161"/>
        <v>0</v>
      </c>
      <c r="BH103" s="167">
        <f t="shared" si="161"/>
        <v>0</v>
      </c>
      <c r="BI103" s="166">
        <f t="shared" si="161"/>
        <v>0</v>
      </c>
      <c r="BJ103" s="167">
        <f t="shared" si="161"/>
        <v>0</v>
      </c>
      <c r="BK103" s="166">
        <f t="shared" si="161"/>
        <v>0</v>
      </c>
      <c r="BL103" s="167">
        <f t="shared" si="161"/>
        <v>0</v>
      </c>
      <c r="BM103" s="166">
        <f t="shared" si="161"/>
        <v>0</v>
      </c>
      <c r="BN103" s="50"/>
      <c r="BO103" s="170" t="e">
        <f t="shared" si="132"/>
        <v>#VALUE!</v>
      </c>
      <c r="BP103" s="173">
        <f t="shared" si="161"/>
        <v>0</v>
      </c>
      <c r="BQ103" s="52"/>
    </row>
    <row r="104" spans="1:76" x14ac:dyDescent="0.35">
      <c r="A104" s="53"/>
      <c r="B104" s="54"/>
      <c r="C104" s="144"/>
      <c r="D104" s="189">
        <f t="shared" si="98"/>
        <v>0</v>
      </c>
      <c r="E104" s="48"/>
      <c r="F104" s="167">
        <f t="shared" si="99"/>
        <v>0</v>
      </c>
      <c r="G104" s="48"/>
      <c r="H104" s="167">
        <f t="shared" si="100"/>
        <v>0</v>
      </c>
      <c r="I104" s="48"/>
      <c r="J104" s="167">
        <f t="shared" si="101"/>
        <v>0</v>
      </c>
      <c r="K104" s="48"/>
      <c r="L104" s="167">
        <f t="shared" ref="L104" si="162">+M104-K104</f>
        <v>0</v>
      </c>
      <c r="M104" s="48"/>
      <c r="N104" s="167">
        <f t="shared" ref="N104" si="163">+O104-M104</f>
        <v>0</v>
      </c>
      <c r="O104" s="48"/>
      <c r="P104" s="167">
        <f t="shared" ref="P104" si="164">+Q104-O104</f>
        <v>0</v>
      </c>
      <c r="Q104" s="48"/>
      <c r="R104" s="167">
        <f t="shared" ref="R104" si="165">+S104-Q104</f>
        <v>0</v>
      </c>
      <c r="S104" s="48"/>
      <c r="T104" s="167">
        <f t="shared" ref="T104" si="166">+U104-S104</f>
        <v>0</v>
      </c>
      <c r="U104" s="48"/>
      <c r="V104" s="167">
        <f t="shared" ref="V104" si="167">+W104-U104</f>
        <v>0</v>
      </c>
      <c r="W104" s="48"/>
      <c r="X104" s="167">
        <f t="shared" ref="X104" si="168">+Y104-W104</f>
        <v>0</v>
      </c>
      <c r="Y104" s="48"/>
      <c r="Z104" s="167">
        <f t="shared" ref="Z104" si="169">+AA104-Y104</f>
        <v>0</v>
      </c>
      <c r="AA104" s="48"/>
      <c r="AB104" s="167">
        <f t="shared" ref="AB104" si="170">+AC104-AA104</f>
        <v>0</v>
      </c>
      <c r="AC104" s="48"/>
      <c r="AD104" s="167">
        <f t="shared" ref="AD104" si="171">+AE104-AC104</f>
        <v>0</v>
      </c>
      <c r="AE104" s="48"/>
      <c r="AF104" s="167">
        <f t="shared" ref="AF104" si="172">+AG104-AE104</f>
        <v>0</v>
      </c>
      <c r="AG104" s="48"/>
      <c r="AH104" s="167">
        <f t="shared" ref="AH104" si="173">+AI104-AG104</f>
        <v>0</v>
      </c>
      <c r="AI104" s="48"/>
      <c r="AJ104" s="167">
        <f t="shared" ref="AJ104" si="174">+AK104-AI104</f>
        <v>0</v>
      </c>
      <c r="AK104" s="48"/>
      <c r="AL104" s="167">
        <f t="shared" ref="AL104" si="175">+AM104-AK104</f>
        <v>0</v>
      </c>
      <c r="AM104" s="48"/>
      <c r="AN104" s="167">
        <f t="shared" ref="AN104" si="176">+AO104-AM104</f>
        <v>0</v>
      </c>
      <c r="AO104" s="48"/>
      <c r="AP104" s="167">
        <f t="shared" ref="AP104" si="177">+AQ104-AO104</f>
        <v>0</v>
      </c>
      <c r="AQ104" s="48"/>
      <c r="AR104" s="167">
        <f t="shared" ref="AR104" si="178">+AS104-AQ104</f>
        <v>0</v>
      </c>
      <c r="AS104" s="48"/>
      <c r="AT104" s="167">
        <f t="shared" ref="AT104" si="179">+AU104-AS104</f>
        <v>0</v>
      </c>
      <c r="AU104" s="48"/>
      <c r="AV104" s="167">
        <f t="shared" ref="AV104" si="180">+AW104-AU104</f>
        <v>0</v>
      </c>
      <c r="AW104" s="48"/>
      <c r="AX104" s="167">
        <f t="shared" ref="AX104" si="181">+AY104-AW104</f>
        <v>0</v>
      </c>
      <c r="AY104" s="48"/>
      <c r="AZ104" s="167">
        <f t="shared" ref="AZ104" si="182">+BA104-AY104</f>
        <v>0</v>
      </c>
      <c r="BA104" s="48"/>
      <c r="BB104" s="167">
        <f t="shared" ref="BB104" si="183">+BC104-BA104</f>
        <v>0</v>
      </c>
      <c r="BC104" s="48"/>
      <c r="BD104" s="167">
        <f t="shared" ref="BD104" si="184">+BE104-BC104</f>
        <v>0</v>
      </c>
      <c r="BE104" s="48"/>
      <c r="BF104" s="167">
        <f t="shared" ref="BF104" si="185">+BG104-BE104</f>
        <v>0</v>
      </c>
      <c r="BG104" s="48"/>
      <c r="BH104" s="167">
        <f t="shared" ref="BH104" si="186">+BI104-BG104</f>
        <v>0</v>
      </c>
      <c r="BI104" s="48"/>
      <c r="BJ104" s="167">
        <f t="shared" ref="BJ104" si="187">+BK104-BI104</f>
        <v>0</v>
      </c>
      <c r="BK104" s="48"/>
      <c r="BL104" s="167">
        <f t="shared" ref="BL104" si="188">+BM104-BK104</f>
        <v>0</v>
      </c>
      <c r="BM104" s="48"/>
      <c r="BN104" s="50"/>
      <c r="BO104" s="51"/>
      <c r="BP104" s="173">
        <f t="shared" ref="BP104" si="189">+BQ104-BM104</f>
        <v>0</v>
      </c>
      <c r="BQ104" s="52"/>
    </row>
    <row r="105" spans="1:76" x14ac:dyDescent="0.35">
      <c r="A105" s="74"/>
      <c r="B105" s="75"/>
      <c r="C105" s="76"/>
      <c r="D105" s="77"/>
      <c r="E105" s="148"/>
      <c r="F105" s="79"/>
      <c r="G105" s="148"/>
      <c r="H105" s="79"/>
      <c r="I105" s="148"/>
      <c r="J105" s="79"/>
      <c r="K105" s="148"/>
      <c r="L105" s="79"/>
      <c r="M105" s="148"/>
      <c r="N105" s="79"/>
      <c r="O105" s="148"/>
      <c r="P105" s="79"/>
      <c r="Q105" s="148"/>
      <c r="R105" s="79"/>
      <c r="S105" s="148"/>
      <c r="T105" s="79"/>
      <c r="U105" s="148"/>
      <c r="V105" s="79"/>
      <c r="W105" s="148"/>
      <c r="X105" s="79"/>
      <c r="Y105" s="148"/>
      <c r="Z105" s="79"/>
      <c r="AA105" s="148"/>
      <c r="AB105" s="79"/>
      <c r="AC105" s="148"/>
      <c r="AD105" s="79"/>
      <c r="AE105" s="148"/>
      <c r="AF105" s="79"/>
      <c r="AG105" s="148"/>
      <c r="AH105" s="79"/>
      <c r="AI105" s="148"/>
      <c r="AJ105" s="79"/>
      <c r="AK105" s="148"/>
      <c r="AL105" s="79"/>
      <c r="AM105" s="148"/>
      <c r="AN105" s="79"/>
      <c r="AO105" s="148"/>
      <c r="AP105" s="79"/>
      <c r="AQ105" s="148"/>
      <c r="AR105" s="79"/>
      <c r="AS105" s="148"/>
      <c r="AT105" s="79"/>
      <c r="AU105" s="148"/>
      <c r="AV105" s="79"/>
      <c r="AW105" s="148"/>
      <c r="AX105" s="79"/>
      <c r="AY105" s="148"/>
      <c r="AZ105" s="79"/>
      <c r="BA105" s="148"/>
      <c r="BB105" s="79"/>
      <c r="BC105" s="148"/>
      <c r="BD105" s="79"/>
      <c r="BE105" s="148"/>
      <c r="BF105" s="79"/>
      <c r="BG105" s="148"/>
      <c r="BH105" s="79"/>
      <c r="BI105" s="148"/>
      <c r="BJ105" s="79"/>
      <c r="BK105" s="148"/>
      <c r="BL105" s="79"/>
      <c r="BM105" s="148"/>
      <c r="BN105" s="80"/>
      <c r="BO105" s="81"/>
      <c r="BP105" s="79"/>
      <c r="BQ105" s="82"/>
    </row>
    <row r="106" spans="1:76" x14ac:dyDescent="0.35">
      <c r="A106" s="53" t="s">
        <v>32</v>
      </c>
      <c r="B106" s="54"/>
      <c r="C106" s="67"/>
      <c r="D106" s="68"/>
      <c r="E106" s="69"/>
      <c r="F106" s="70"/>
      <c r="G106" s="69"/>
      <c r="H106" s="70"/>
      <c r="I106" s="69"/>
      <c r="J106" s="70"/>
      <c r="K106" s="69"/>
      <c r="L106" s="70"/>
      <c r="M106" s="69"/>
      <c r="N106" s="70"/>
      <c r="O106" s="69"/>
      <c r="P106" s="70"/>
      <c r="Q106" s="69"/>
      <c r="R106" s="70"/>
      <c r="S106" s="69"/>
      <c r="T106" s="70"/>
      <c r="U106" s="69"/>
      <c r="V106" s="70"/>
      <c r="W106" s="69"/>
      <c r="X106" s="70"/>
      <c r="Y106" s="69"/>
      <c r="Z106" s="70"/>
      <c r="AA106" s="69"/>
      <c r="AB106" s="70"/>
      <c r="AC106" s="69"/>
      <c r="AD106" s="70"/>
      <c r="AE106" s="69"/>
      <c r="AF106" s="70"/>
      <c r="AG106" s="69"/>
      <c r="AH106" s="70"/>
      <c r="AI106" s="69"/>
      <c r="AJ106" s="70"/>
      <c r="AK106" s="69"/>
      <c r="AL106" s="70"/>
      <c r="AM106" s="69"/>
      <c r="AN106" s="70"/>
      <c r="AO106" s="69"/>
      <c r="AP106" s="70"/>
      <c r="AQ106" s="69"/>
      <c r="AR106" s="70"/>
      <c r="AS106" s="69"/>
      <c r="AT106" s="70"/>
      <c r="AU106" s="69"/>
      <c r="AV106" s="70"/>
      <c r="AW106" s="69"/>
      <c r="AX106" s="70"/>
      <c r="AY106" s="69"/>
      <c r="AZ106" s="70"/>
      <c r="BA106" s="69"/>
      <c r="BB106" s="70"/>
      <c r="BC106" s="69"/>
      <c r="BD106" s="70"/>
      <c r="BE106" s="69"/>
      <c r="BF106" s="70"/>
      <c r="BG106" s="69"/>
      <c r="BH106" s="70"/>
      <c r="BI106" s="69"/>
      <c r="BJ106" s="70"/>
      <c r="BK106" s="69"/>
      <c r="BL106" s="70"/>
      <c r="BM106" s="69"/>
      <c r="BN106" s="71"/>
      <c r="BO106" s="182" t="str">
        <f t="shared" ref="BO106:BO120" si="190">IF(COUNT(E106,G106,I106,K106,M106,O106,Q106,S106,U106,W106,Y106,AA106,AC106,AE106,AG106,AI106,AK106,AM106,AO106,AQ106,AS106,AU106,AW106,AY106,BA106,BC106,BE106,BG106,BI106,BK106,BM106)=0,"",SUM(E106,G106,I106,K106,M106,O106,Q106,S106,U106,W106,Y106,AA106,AC106,AE106,AG106,AI106,AK106,AM106,AO106,AQ106,AS106,AU106,AW106,AY106,BA106,BC106,BE106,BG106,BI106,BK106,BM106))</f>
        <v/>
      </c>
      <c r="BP106" s="70"/>
      <c r="BQ106" s="73"/>
    </row>
    <row r="107" spans="1:76" x14ac:dyDescent="0.35">
      <c r="A107" s="53" t="s">
        <v>33</v>
      </c>
      <c r="B107" s="54"/>
      <c r="C107" s="67"/>
      <c r="D107" s="68"/>
      <c r="E107" s="69"/>
      <c r="F107" s="70"/>
      <c r="G107" s="69"/>
      <c r="H107" s="70"/>
      <c r="I107" s="69"/>
      <c r="J107" s="70"/>
      <c r="K107" s="69"/>
      <c r="L107" s="70"/>
      <c r="M107" s="69"/>
      <c r="N107" s="70"/>
      <c r="O107" s="69"/>
      <c r="P107" s="70"/>
      <c r="Q107" s="69"/>
      <c r="R107" s="70"/>
      <c r="S107" s="69"/>
      <c r="T107" s="70"/>
      <c r="U107" s="69"/>
      <c r="V107" s="70"/>
      <c r="W107" s="69"/>
      <c r="X107" s="70"/>
      <c r="Y107" s="69"/>
      <c r="Z107" s="70"/>
      <c r="AA107" s="69"/>
      <c r="AB107" s="70"/>
      <c r="AC107" s="69"/>
      <c r="AD107" s="70"/>
      <c r="AE107" s="69"/>
      <c r="AF107" s="70"/>
      <c r="AG107" s="69"/>
      <c r="AH107" s="70"/>
      <c r="AI107" s="69"/>
      <c r="AJ107" s="70"/>
      <c r="AK107" s="69"/>
      <c r="AL107" s="70"/>
      <c r="AM107" s="69"/>
      <c r="AN107" s="70"/>
      <c r="AO107" s="69"/>
      <c r="AP107" s="70"/>
      <c r="AQ107" s="69"/>
      <c r="AR107" s="70"/>
      <c r="AS107" s="69"/>
      <c r="AT107" s="70"/>
      <c r="AU107" s="69"/>
      <c r="AV107" s="70"/>
      <c r="AW107" s="69"/>
      <c r="AX107" s="70"/>
      <c r="AY107" s="69"/>
      <c r="AZ107" s="70"/>
      <c r="BA107" s="69"/>
      <c r="BB107" s="70"/>
      <c r="BC107" s="69"/>
      <c r="BD107" s="70"/>
      <c r="BE107" s="69"/>
      <c r="BF107" s="70"/>
      <c r="BG107" s="69"/>
      <c r="BH107" s="70"/>
      <c r="BI107" s="69"/>
      <c r="BJ107" s="70"/>
      <c r="BK107" s="69"/>
      <c r="BL107" s="70"/>
      <c r="BM107" s="69"/>
      <c r="BN107" s="71"/>
      <c r="BO107" s="182" t="str">
        <f t="shared" si="190"/>
        <v/>
      </c>
      <c r="BP107" s="70"/>
      <c r="BQ107" s="73"/>
    </row>
    <row r="108" spans="1:76" x14ac:dyDescent="0.35">
      <c r="A108" s="53" t="s">
        <v>33</v>
      </c>
      <c r="B108" s="54"/>
      <c r="C108" s="67"/>
      <c r="D108" s="68"/>
      <c r="E108" s="69"/>
      <c r="F108" s="70"/>
      <c r="G108" s="69"/>
      <c r="H108" s="70"/>
      <c r="I108" s="69"/>
      <c r="J108" s="70"/>
      <c r="K108" s="69"/>
      <c r="L108" s="70"/>
      <c r="M108" s="69"/>
      <c r="N108" s="70"/>
      <c r="O108" s="69"/>
      <c r="P108" s="70"/>
      <c r="Q108" s="69"/>
      <c r="R108" s="70"/>
      <c r="S108" s="69"/>
      <c r="T108" s="70"/>
      <c r="U108" s="69"/>
      <c r="V108" s="70"/>
      <c r="W108" s="69"/>
      <c r="X108" s="70"/>
      <c r="Y108" s="69"/>
      <c r="Z108" s="70"/>
      <c r="AA108" s="69"/>
      <c r="AB108" s="70"/>
      <c r="AC108" s="69"/>
      <c r="AD108" s="70"/>
      <c r="AE108" s="69"/>
      <c r="AF108" s="70"/>
      <c r="AG108" s="69"/>
      <c r="AH108" s="70"/>
      <c r="AI108" s="69"/>
      <c r="AJ108" s="70"/>
      <c r="AK108" s="69"/>
      <c r="AL108" s="70"/>
      <c r="AM108" s="69"/>
      <c r="AN108" s="70"/>
      <c r="AO108" s="69"/>
      <c r="AP108" s="70"/>
      <c r="AQ108" s="69"/>
      <c r="AR108" s="70"/>
      <c r="AS108" s="69"/>
      <c r="AT108" s="70"/>
      <c r="AU108" s="69"/>
      <c r="AV108" s="70"/>
      <c r="AW108" s="69"/>
      <c r="AX108" s="70"/>
      <c r="AY108" s="69"/>
      <c r="AZ108" s="70"/>
      <c r="BA108" s="69"/>
      <c r="BB108" s="70"/>
      <c r="BC108" s="69"/>
      <c r="BD108" s="70"/>
      <c r="BE108" s="69"/>
      <c r="BF108" s="70"/>
      <c r="BG108" s="69"/>
      <c r="BH108" s="70"/>
      <c r="BI108" s="69"/>
      <c r="BJ108" s="70"/>
      <c r="BK108" s="69"/>
      <c r="BL108" s="70"/>
      <c r="BM108" s="69"/>
      <c r="BN108" s="71"/>
      <c r="BO108" s="182" t="str">
        <f t="shared" si="190"/>
        <v/>
      </c>
      <c r="BP108" s="70"/>
      <c r="BQ108" s="73"/>
    </row>
    <row r="109" spans="1:76" x14ac:dyDescent="0.35">
      <c r="A109" s="53" t="s">
        <v>34</v>
      </c>
      <c r="B109" s="54"/>
      <c r="C109" s="67"/>
      <c r="D109" s="68"/>
      <c r="E109" s="69"/>
      <c r="F109" s="70"/>
      <c r="G109" s="69"/>
      <c r="H109" s="70"/>
      <c r="I109" s="69"/>
      <c r="J109" s="70"/>
      <c r="K109" s="69"/>
      <c r="L109" s="70"/>
      <c r="M109" s="69"/>
      <c r="N109" s="70"/>
      <c r="O109" s="69"/>
      <c r="P109" s="70"/>
      <c r="Q109" s="69"/>
      <c r="R109" s="70"/>
      <c r="S109" s="69"/>
      <c r="T109" s="70"/>
      <c r="U109" s="69"/>
      <c r="V109" s="70"/>
      <c r="W109" s="69"/>
      <c r="X109" s="70"/>
      <c r="Y109" s="69"/>
      <c r="Z109" s="70"/>
      <c r="AA109" s="69"/>
      <c r="AB109" s="70"/>
      <c r="AC109" s="69"/>
      <c r="AD109" s="70"/>
      <c r="AE109" s="69"/>
      <c r="AF109" s="70"/>
      <c r="AG109" s="69"/>
      <c r="AH109" s="70"/>
      <c r="AI109" s="69"/>
      <c r="AJ109" s="70"/>
      <c r="AK109" s="69"/>
      <c r="AL109" s="70"/>
      <c r="AM109" s="69"/>
      <c r="AN109" s="70"/>
      <c r="AO109" s="69"/>
      <c r="AP109" s="70"/>
      <c r="AQ109" s="69"/>
      <c r="AR109" s="70"/>
      <c r="AS109" s="69"/>
      <c r="AT109" s="70"/>
      <c r="AU109" s="69"/>
      <c r="AV109" s="70"/>
      <c r="AW109" s="69"/>
      <c r="AX109" s="70"/>
      <c r="AY109" s="69"/>
      <c r="AZ109" s="70"/>
      <c r="BA109" s="69"/>
      <c r="BB109" s="70"/>
      <c r="BC109" s="69"/>
      <c r="BD109" s="70"/>
      <c r="BE109" s="69"/>
      <c r="BF109" s="70"/>
      <c r="BG109" s="69"/>
      <c r="BH109" s="70"/>
      <c r="BI109" s="69"/>
      <c r="BJ109" s="70"/>
      <c r="BK109" s="69"/>
      <c r="BL109" s="70"/>
      <c r="BM109" s="69"/>
      <c r="BN109" s="71"/>
      <c r="BO109" s="182" t="str">
        <f t="shared" si="190"/>
        <v/>
      </c>
      <c r="BP109" s="70"/>
      <c r="BQ109" s="73"/>
    </row>
    <row r="110" spans="1:76" x14ac:dyDescent="0.35">
      <c r="A110" s="53" t="s">
        <v>34</v>
      </c>
      <c r="B110" s="54"/>
      <c r="C110" s="67"/>
      <c r="D110" s="68"/>
      <c r="E110" s="69"/>
      <c r="F110" s="70"/>
      <c r="G110" s="69"/>
      <c r="H110" s="70"/>
      <c r="I110" s="69"/>
      <c r="J110" s="70"/>
      <c r="K110" s="69"/>
      <c r="L110" s="70"/>
      <c r="M110" s="69"/>
      <c r="N110" s="70"/>
      <c r="O110" s="69"/>
      <c r="P110" s="70"/>
      <c r="Q110" s="69"/>
      <c r="R110" s="70"/>
      <c r="S110" s="69"/>
      <c r="T110" s="70"/>
      <c r="U110" s="69"/>
      <c r="V110" s="70"/>
      <c r="W110" s="69"/>
      <c r="X110" s="70"/>
      <c r="Y110" s="69"/>
      <c r="Z110" s="70"/>
      <c r="AA110" s="69"/>
      <c r="AB110" s="70"/>
      <c r="AC110" s="69"/>
      <c r="AD110" s="70"/>
      <c r="AE110" s="69"/>
      <c r="AF110" s="70"/>
      <c r="AG110" s="69"/>
      <c r="AH110" s="70"/>
      <c r="AI110" s="69"/>
      <c r="AJ110" s="70"/>
      <c r="AK110" s="69"/>
      <c r="AL110" s="70"/>
      <c r="AM110" s="69"/>
      <c r="AN110" s="70"/>
      <c r="AO110" s="69"/>
      <c r="AP110" s="70"/>
      <c r="AQ110" s="69"/>
      <c r="AR110" s="70"/>
      <c r="AS110" s="69"/>
      <c r="AT110" s="70"/>
      <c r="AU110" s="69"/>
      <c r="AV110" s="70"/>
      <c r="AW110" s="69"/>
      <c r="AX110" s="70"/>
      <c r="AY110" s="69"/>
      <c r="AZ110" s="70"/>
      <c r="BA110" s="69"/>
      <c r="BB110" s="70"/>
      <c r="BC110" s="69"/>
      <c r="BD110" s="70"/>
      <c r="BE110" s="69"/>
      <c r="BF110" s="70"/>
      <c r="BG110" s="69"/>
      <c r="BH110" s="70"/>
      <c r="BI110" s="69"/>
      <c r="BJ110" s="70"/>
      <c r="BK110" s="69"/>
      <c r="BL110" s="70"/>
      <c r="BM110" s="69"/>
      <c r="BN110" s="71"/>
      <c r="BO110" s="182" t="str">
        <f t="shared" si="190"/>
        <v/>
      </c>
      <c r="BP110" s="70"/>
      <c r="BQ110" s="73"/>
    </row>
    <row r="111" spans="1:76" s="6" customFormat="1" x14ac:dyDescent="0.35">
      <c r="A111" s="149" t="s">
        <v>71</v>
      </c>
      <c r="B111" s="150"/>
      <c r="C111" s="67"/>
      <c r="D111" s="151"/>
      <c r="E111" s="69"/>
      <c r="F111" s="152"/>
      <c r="G111" s="69"/>
      <c r="H111" s="152"/>
      <c r="I111" s="69"/>
      <c r="J111" s="152"/>
      <c r="K111" s="69"/>
      <c r="L111" s="152"/>
      <c r="M111" s="69"/>
      <c r="N111" s="152"/>
      <c r="O111" s="69"/>
      <c r="P111" s="152"/>
      <c r="Q111" s="69"/>
      <c r="R111" s="152"/>
      <c r="S111" s="69"/>
      <c r="T111" s="152"/>
      <c r="U111" s="69"/>
      <c r="V111" s="152"/>
      <c r="W111" s="69"/>
      <c r="X111" s="152"/>
      <c r="Y111" s="69"/>
      <c r="Z111" s="152"/>
      <c r="AA111" s="69"/>
      <c r="AB111" s="152"/>
      <c r="AC111" s="69"/>
      <c r="AD111" s="152"/>
      <c r="AE111" s="69"/>
      <c r="AF111" s="152"/>
      <c r="AG111" s="69"/>
      <c r="AH111" s="152"/>
      <c r="AI111" s="69"/>
      <c r="AJ111" s="152"/>
      <c r="AK111" s="69"/>
      <c r="AL111" s="152"/>
      <c r="AM111" s="69"/>
      <c r="AN111" s="152"/>
      <c r="AO111" s="69"/>
      <c r="AP111" s="152"/>
      <c r="AQ111" s="69"/>
      <c r="AR111" s="152"/>
      <c r="AS111" s="69"/>
      <c r="AT111" s="152"/>
      <c r="AU111" s="69"/>
      <c r="AV111" s="152"/>
      <c r="AW111" s="69"/>
      <c r="AX111" s="152"/>
      <c r="AY111" s="69"/>
      <c r="AZ111" s="152"/>
      <c r="BA111" s="69"/>
      <c r="BB111" s="152"/>
      <c r="BC111" s="69"/>
      <c r="BD111" s="152"/>
      <c r="BE111" s="69"/>
      <c r="BF111" s="152"/>
      <c r="BG111" s="69"/>
      <c r="BH111" s="152"/>
      <c r="BI111" s="69"/>
      <c r="BJ111" s="152"/>
      <c r="BK111" s="69"/>
      <c r="BL111" s="152"/>
      <c r="BM111" s="69"/>
      <c r="BN111" s="71"/>
      <c r="BO111" s="182" t="str">
        <f t="shared" si="190"/>
        <v/>
      </c>
      <c r="BP111" s="152"/>
      <c r="BQ111" s="73"/>
      <c r="BR111"/>
      <c r="BS111"/>
      <c r="BT111"/>
      <c r="BU111"/>
      <c r="BV111"/>
      <c r="BW111"/>
      <c r="BX111"/>
    </row>
    <row r="112" spans="1:76" x14ac:dyDescent="0.35">
      <c r="A112" s="53" t="s">
        <v>72</v>
      </c>
      <c r="B112" s="54"/>
      <c r="C112" s="67"/>
      <c r="D112" s="68"/>
      <c r="E112" s="69"/>
      <c r="F112" s="70"/>
      <c r="G112" s="69"/>
      <c r="H112" s="70"/>
      <c r="I112" s="69"/>
      <c r="J112" s="70"/>
      <c r="K112" s="69"/>
      <c r="L112" s="70"/>
      <c r="M112" s="69"/>
      <c r="N112" s="70"/>
      <c r="O112" s="69"/>
      <c r="P112" s="70"/>
      <c r="Q112" s="69"/>
      <c r="R112" s="70"/>
      <c r="S112" s="69"/>
      <c r="T112" s="70"/>
      <c r="U112" s="69"/>
      <c r="V112" s="70"/>
      <c r="W112" s="69"/>
      <c r="X112" s="70"/>
      <c r="Y112" s="69"/>
      <c r="Z112" s="70"/>
      <c r="AA112" s="69"/>
      <c r="AB112" s="70"/>
      <c r="AC112" s="69"/>
      <c r="AD112" s="70"/>
      <c r="AE112" s="69"/>
      <c r="AF112" s="70"/>
      <c r="AG112" s="69"/>
      <c r="AH112" s="70"/>
      <c r="AI112" s="69"/>
      <c r="AJ112" s="70"/>
      <c r="AK112" s="69"/>
      <c r="AL112" s="70"/>
      <c r="AM112" s="69"/>
      <c r="AN112" s="70"/>
      <c r="AO112" s="69"/>
      <c r="AP112" s="70"/>
      <c r="AQ112" s="69"/>
      <c r="AR112" s="70"/>
      <c r="AS112" s="69"/>
      <c r="AT112" s="70"/>
      <c r="AU112" s="69"/>
      <c r="AV112" s="70"/>
      <c r="AW112" s="69"/>
      <c r="AX112" s="70"/>
      <c r="AY112" s="69"/>
      <c r="AZ112" s="70"/>
      <c r="BA112" s="69"/>
      <c r="BB112" s="70"/>
      <c r="BC112" s="69"/>
      <c r="BD112" s="70"/>
      <c r="BE112" s="69"/>
      <c r="BF112" s="70"/>
      <c r="BG112" s="69"/>
      <c r="BH112" s="70"/>
      <c r="BI112" s="69"/>
      <c r="BJ112" s="70"/>
      <c r="BK112" s="69"/>
      <c r="BL112" s="70"/>
      <c r="BM112" s="69"/>
      <c r="BN112" s="71"/>
      <c r="BO112" s="182" t="str">
        <f t="shared" si="190"/>
        <v/>
      </c>
      <c r="BP112" s="70"/>
      <c r="BQ112" s="73"/>
    </row>
    <row r="113" spans="1:69" x14ac:dyDescent="0.35">
      <c r="A113" s="53" t="s">
        <v>73</v>
      </c>
      <c r="B113" s="54"/>
      <c r="C113" s="67"/>
      <c r="D113" s="68"/>
      <c r="E113" s="69"/>
      <c r="F113" s="70"/>
      <c r="G113" s="69"/>
      <c r="H113" s="70"/>
      <c r="I113" s="69"/>
      <c r="J113" s="70"/>
      <c r="K113" s="69"/>
      <c r="L113" s="70"/>
      <c r="M113" s="69"/>
      <c r="N113" s="70"/>
      <c r="O113" s="69"/>
      <c r="P113" s="70"/>
      <c r="Q113" s="69"/>
      <c r="R113" s="70"/>
      <c r="S113" s="69"/>
      <c r="T113" s="70"/>
      <c r="U113" s="69"/>
      <c r="V113" s="70"/>
      <c r="W113" s="69"/>
      <c r="X113" s="70"/>
      <c r="Y113" s="69"/>
      <c r="Z113" s="70"/>
      <c r="AA113" s="69"/>
      <c r="AB113" s="70"/>
      <c r="AC113" s="69"/>
      <c r="AD113" s="70"/>
      <c r="AE113" s="69"/>
      <c r="AF113" s="70"/>
      <c r="AG113" s="69"/>
      <c r="AH113" s="70"/>
      <c r="AI113" s="69"/>
      <c r="AJ113" s="70"/>
      <c r="AK113" s="69"/>
      <c r="AL113" s="70"/>
      <c r="AM113" s="69"/>
      <c r="AN113" s="70"/>
      <c r="AO113" s="69"/>
      <c r="AP113" s="70"/>
      <c r="AQ113" s="69"/>
      <c r="AR113" s="70"/>
      <c r="AS113" s="69"/>
      <c r="AT113" s="70"/>
      <c r="AU113" s="69"/>
      <c r="AV113" s="70"/>
      <c r="AW113" s="69"/>
      <c r="AX113" s="70"/>
      <c r="AY113" s="69"/>
      <c r="AZ113" s="70"/>
      <c r="BA113" s="69"/>
      <c r="BB113" s="70"/>
      <c r="BC113" s="69"/>
      <c r="BD113" s="70"/>
      <c r="BE113" s="69"/>
      <c r="BF113" s="70"/>
      <c r="BG113" s="69"/>
      <c r="BH113" s="70"/>
      <c r="BI113" s="69"/>
      <c r="BJ113" s="70"/>
      <c r="BK113" s="69"/>
      <c r="BL113" s="70"/>
      <c r="BM113" s="69"/>
      <c r="BN113" s="71"/>
      <c r="BO113" s="182" t="str">
        <f t="shared" si="190"/>
        <v/>
      </c>
      <c r="BP113" s="70"/>
      <c r="BQ113" s="73"/>
    </row>
    <row r="114" spans="1:69" x14ac:dyDescent="0.35">
      <c r="A114" s="53" t="s">
        <v>70</v>
      </c>
      <c r="B114" s="54"/>
      <c r="C114" s="67"/>
      <c r="D114" s="68"/>
      <c r="E114" s="69"/>
      <c r="F114" s="70"/>
      <c r="G114" s="69"/>
      <c r="H114" s="70"/>
      <c r="I114" s="69"/>
      <c r="J114" s="70"/>
      <c r="K114" s="69"/>
      <c r="L114" s="70"/>
      <c r="M114" s="69"/>
      <c r="N114" s="70"/>
      <c r="O114" s="69"/>
      <c r="P114" s="70"/>
      <c r="Q114" s="69"/>
      <c r="R114" s="70"/>
      <c r="S114" s="69"/>
      <c r="T114" s="70"/>
      <c r="U114" s="69"/>
      <c r="V114" s="70"/>
      <c r="W114" s="69"/>
      <c r="X114" s="70"/>
      <c r="Y114" s="69"/>
      <c r="Z114" s="70"/>
      <c r="AA114" s="69"/>
      <c r="AB114" s="70"/>
      <c r="AC114" s="69"/>
      <c r="AD114" s="70"/>
      <c r="AE114" s="69"/>
      <c r="AF114" s="70"/>
      <c r="AG114" s="69"/>
      <c r="AH114" s="70"/>
      <c r="AI114" s="69"/>
      <c r="AJ114" s="70"/>
      <c r="AK114" s="69"/>
      <c r="AL114" s="70"/>
      <c r="AM114" s="69"/>
      <c r="AN114" s="70"/>
      <c r="AO114" s="69"/>
      <c r="AP114" s="70"/>
      <c r="AQ114" s="69"/>
      <c r="AR114" s="70"/>
      <c r="AS114" s="69"/>
      <c r="AT114" s="70"/>
      <c r="AU114" s="69"/>
      <c r="AV114" s="70"/>
      <c r="AW114" s="69"/>
      <c r="AX114" s="70"/>
      <c r="AY114" s="69"/>
      <c r="AZ114" s="70"/>
      <c r="BA114" s="69"/>
      <c r="BB114" s="70"/>
      <c r="BC114" s="69"/>
      <c r="BD114" s="70"/>
      <c r="BE114" s="69"/>
      <c r="BF114" s="70"/>
      <c r="BG114" s="69"/>
      <c r="BH114" s="70"/>
      <c r="BI114" s="69"/>
      <c r="BJ114" s="70"/>
      <c r="BK114" s="69"/>
      <c r="BL114" s="70"/>
      <c r="BM114" s="69"/>
      <c r="BN114" s="71"/>
      <c r="BO114" s="182" t="str">
        <f t="shared" si="190"/>
        <v/>
      </c>
      <c r="BP114" s="70"/>
      <c r="BQ114" s="73"/>
    </row>
    <row r="115" spans="1:69" x14ac:dyDescent="0.35">
      <c r="A115" s="53" t="s">
        <v>27</v>
      </c>
      <c r="B115" s="54"/>
      <c r="C115" s="67"/>
      <c r="D115" s="68"/>
      <c r="E115" s="69"/>
      <c r="F115" s="70"/>
      <c r="G115" s="69"/>
      <c r="H115" s="70"/>
      <c r="I115" s="69"/>
      <c r="J115" s="70"/>
      <c r="K115" s="69"/>
      <c r="L115" s="70"/>
      <c r="M115" s="69"/>
      <c r="N115" s="70"/>
      <c r="O115" s="69"/>
      <c r="P115" s="70"/>
      <c r="Q115" s="69"/>
      <c r="R115" s="70"/>
      <c r="S115" s="69"/>
      <c r="T115" s="70"/>
      <c r="U115" s="69"/>
      <c r="V115" s="70"/>
      <c r="W115" s="69"/>
      <c r="X115" s="70"/>
      <c r="Y115" s="69"/>
      <c r="Z115" s="70"/>
      <c r="AA115" s="69"/>
      <c r="AB115" s="70"/>
      <c r="AC115" s="69"/>
      <c r="AD115" s="70"/>
      <c r="AE115" s="69"/>
      <c r="AF115" s="70"/>
      <c r="AG115" s="69"/>
      <c r="AH115" s="70"/>
      <c r="AI115" s="69"/>
      <c r="AJ115" s="70"/>
      <c r="AK115" s="69"/>
      <c r="AL115" s="70"/>
      <c r="AM115" s="69"/>
      <c r="AN115" s="70"/>
      <c r="AO115" s="69"/>
      <c r="AP115" s="70"/>
      <c r="AQ115" s="69"/>
      <c r="AR115" s="70"/>
      <c r="AS115" s="69"/>
      <c r="AT115" s="70"/>
      <c r="AU115" s="69"/>
      <c r="AV115" s="70"/>
      <c r="AW115" s="69"/>
      <c r="AX115" s="70"/>
      <c r="AY115" s="69"/>
      <c r="AZ115" s="70"/>
      <c r="BA115" s="69"/>
      <c r="BB115" s="70"/>
      <c r="BC115" s="69"/>
      <c r="BD115" s="70"/>
      <c r="BE115" s="69"/>
      <c r="BF115" s="70"/>
      <c r="BG115" s="69"/>
      <c r="BH115" s="70"/>
      <c r="BI115" s="69"/>
      <c r="BJ115" s="70"/>
      <c r="BK115" s="69"/>
      <c r="BL115" s="70"/>
      <c r="BM115" s="69"/>
      <c r="BN115" s="71"/>
      <c r="BO115" s="182" t="str">
        <f t="shared" si="190"/>
        <v/>
      </c>
      <c r="BP115" s="70"/>
      <c r="BQ115" s="73"/>
    </row>
    <row r="116" spans="1:69" x14ac:dyDescent="0.35">
      <c r="A116" s="53" t="s">
        <v>28</v>
      </c>
      <c r="B116" s="54"/>
      <c r="C116" s="67"/>
      <c r="D116" s="68"/>
      <c r="E116" s="69"/>
      <c r="F116" s="70"/>
      <c r="G116" s="69"/>
      <c r="H116" s="70"/>
      <c r="I116" s="69"/>
      <c r="J116" s="70"/>
      <c r="K116" s="69"/>
      <c r="L116" s="70"/>
      <c r="M116" s="69"/>
      <c r="N116" s="70"/>
      <c r="O116" s="69"/>
      <c r="P116" s="70"/>
      <c r="Q116" s="69"/>
      <c r="R116" s="70"/>
      <c r="S116" s="69"/>
      <c r="T116" s="70"/>
      <c r="U116" s="69"/>
      <c r="V116" s="70"/>
      <c r="W116" s="69"/>
      <c r="X116" s="70"/>
      <c r="Y116" s="69"/>
      <c r="Z116" s="70"/>
      <c r="AA116" s="69"/>
      <c r="AB116" s="70"/>
      <c r="AC116" s="69"/>
      <c r="AD116" s="70"/>
      <c r="AE116" s="69"/>
      <c r="AF116" s="70"/>
      <c r="AG116" s="69"/>
      <c r="AH116" s="70"/>
      <c r="AI116" s="69"/>
      <c r="AJ116" s="70"/>
      <c r="AK116" s="69"/>
      <c r="AL116" s="70"/>
      <c r="AM116" s="69"/>
      <c r="AN116" s="70"/>
      <c r="AO116" s="69"/>
      <c r="AP116" s="70"/>
      <c r="AQ116" s="69"/>
      <c r="AR116" s="70"/>
      <c r="AS116" s="69"/>
      <c r="AT116" s="70"/>
      <c r="AU116" s="69"/>
      <c r="AV116" s="70"/>
      <c r="AW116" s="69"/>
      <c r="AX116" s="70"/>
      <c r="AY116" s="69"/>
      <c r="AZ116" s="70"/>
      <c r="BA116" s="69"/>
      <c r="BB116" s="70"/>
      <c r="BC116" s="69"/>
      <c r="BD116" s="70"/>
      <c r="BE116" s="69"/>
      <c r="BF116" s="70"/>
      <c r="BG116" s="69"/>
      <c r="BH116" s="70"/>
      <c r="BI116" s="69"/>
      <c r="BJ116" s="70"/>
      <c r="BK116" s="69"/>
      <c r="BL116" s="70"/>
      <c r="BM116" s="69"/>
      <c r="BN116" s="71"/>
      <c r="BO116" s="182" t="str">
        <f t="shared" si="190"/>
        <v/>
      </c>
      <c r="BP116" s="70"/>
      <c r="BQ116" s="73"/>
    </row>
    <row r="117" spans="1:69" x14ac:dyDescent="0.35">
      <c r="A117" s="53" t="s">
        <v>29</v>
      </c>
      <c r="B117" s="54"/>
      <c r="C117" s="67"/>
      <c r="D117" s="68"/>
      <c r="E117" s="69"/>
      <c r="F117" s="70"/>
      <c r="G117" s="69"/>
      <c r="H117" s="70"/>
      <c r="I117" s="69"/>
      <c r="J117" s="70"/>
      <c r="K117" s="69"/>
      <c r="L117" s="70"/>
      <c r="M117" s="69"/>
      <c r="N117" s="70"/>
      <c r="O117" s="69"/>
      <c r="P117" s="70"/>
      <c r="Q117" s="69"/>
      <c r="R117" s="70"/>
      <c r="S117" s="69"/>
      <c r="T117" s="70"/>
      <c r="U117" s="69"/>
      <c r="V117" s="70"/>
      <c r="W117" s="69"/>
      <c r="X117" s="70"/>
      <c r="Y117" s="69"/>
      <c r="Z117" s="70"/>
      <c r="AA117" s="69"/>
      <c r="AB117" s="70"/>
      <c r="AC117" s="69"/>
      <c r="AD117" s="70"/>
      <c r="AE117" s="69"/>
      <c r="AF117" s="70"/>
      <c r="AG117" s="69"/>
      <c r="AH117" s="70"/>
      <c r="AI117" s="69"/>
      <c r="AJ117" s="70"/>
      <c r="AK117" s="69"/>
      <c r="AL117" s="70"/>
      <c r="AM117" s="69"/>
      <c r="AN117" s="70"/>
      <c r="AO117" s="69"/>
      <c r="AP117" s="70"/>
      <c r="AQ117" s="69"/>
      <c r="AR117" s="70"/>
      <c r="AS117" s="69"/>
      <c r="AT117" s="70"/>
      <c r="AU117" s="69"/>
      <c r="AV117" s="70"/>
      <c r="AW117" s="69"/>
      <c r="AX117" s="70"/>
      <c r="AY117" s="69"/>
      <c r="AZ117" s="70"/>
      <c r="BA117" s="69"/>
      <c r="BB117" s="70"/>
      <c r="BC117" s="69"/>
      <c r="BD117" s="70"/>
      <c r="BE117" s="69"/>
      <c r="BF117" s="70"/>
      <c r="BG117" s="69"/>
      <c r="BH117" s="70"/>
      <c r="BI117" s="69"/>
      <c r="BJ117" s="70"/>
      <c r="BK117" s="69"/>
      <c r="BL117" s="70"/>
      <c r="BM117" s="69"/>
      <c r="BN117" s="71"/>
      <c r="BO117" s="182" t="str">
        <f t="shared" si="190"/>
        <v/>
      </c>
      <c r="BP117" s="70"/>
      <c r="BQ117" s="73"/>
    </row>
    <row r="118" spans="1:69" x14ac:dyDescent="0.35">
      <c r="A118" s="74"/>
      <c r="B118" s="75"/>
      <c r="C118" s="153"/>
      <c r="D118" s="77"/>
      <c r="E118" s="78"/>
      <c r="F118" s="79"/>
      <c r="G118" s="78"/>
      <c r="H118" s="79"/>
      <c r="I118" s="78"/>
      <c r="J118" s="79"/>
      <c r="K118" s="78"/>
      <c r="L118" s="79"/>
      <c r="M118" s="78"/>
      <c r="N118" s="79"/>
      <c r="O118" s="78"/>
      <c r="P118" s="79"/>
      <c r="Q118" s="78"/>
      <c r="R118" s="79"/>
      <c r="S118" s="78"/>
      <c r="T118" s="79"/>
      <c r="U118" s="78"/>
      <c r="V118" s="79"/>
      <c r="W118" s="78"/>
      <c r="X118" s="79"/>
      <c r="Y118" s="78"/>
      <c r="Z118" s="79"/>
      <c r="AA118" s="78"/>
      <c r="AB118" s="79"/>
      <c r="AC118" s="78"/>
      <c r="AD118" s="79"/>
      <c r="AE118" s="78"/>
      <c r="AF118" s="79"/>
      <c r="AG118" s="78"/>
      <c r="AH118" s="79"/>
      <c r="AI118" s="78"/>
      <c r="AJ118" s="79"/>
      <c r="AK118" s="78"/>
      <c r="AL118" s="79"/>
      <c r="AM118" s="78"/>
      <c r="AN118" s="79"/>
      <c r="AO118" s="78"/>
      <c r="AP118" s="79"/>
      <c r="AQ118" s="78"/>
      <c r="AR118" s="79"/>
      <c r="AS118" s="78"/>
      <c r="AT118" s="79"/>
      <c r="AU118" s="78"/>
      <c r="AV118" s="79"/>
      <c r="AW118" s="78"/>
      <c r="AX118" s="79"/>
      <c r="AY118" s="78"/>
      <c r="AZ118" s="79"/>
      <c r="BA118" s="78"/>
      <c r="BB118" s="79"/>
      <c r="BC118" s="78"/>
      <c r="BD118" s="79"/>
      <c r="BE118" s="78"/>
      <c r="BF118" s="79"/>
      <c r="BG118" s="78"/>
      <c r="BH118" s="79"/>
      <c r="BI118" s="78"/>
      <c r="BJ118" s="79"/>
      <c r="BK118" s="78"/>
      <c r="BL118" s="79"/>
      <c r="BM118" s="78"/>
      <c r="BN118" s="80"/>
      <c r="BO118" s="195" t="str">
        <f t="shared" si="190"/>
        <v/>
      </c>
      <c r="BP118" s="79"/>
      <c r="BQ118" s="82"/>
    </row>
    <row r="119" spans="1:69" x14ac:dyDescent="0.35">
      <c r="A119" s="53" t="s">
        <v>55</v>
      </c>
      <c r="B119" s="54"/>
      <c r="C119" s="67"/>
      <c r="D119" s="68"/>
      <c r="E119" s="69"/>
      <c r="F119" s="70"/>
      <c r="G119" s="69"/>
      <c r="H119" s="70"/>
      <c r="I119" s="69"/>
      <c r="J119" s="70"/>
      <c r="K119" s="69"/>
      <c r="L119" s="70"/>
      <c r="M119" s="69"/>
      <c r="N119" s="70"/>
      <c r="O119" s="69"/>
      <c r="P119" s="70"/>
      <c r="Q119" s="69"/>
      <c r="R119" s="70"/>
      <c r="S119" s="69"/>
      <c r="T119" s="70"/>
      <c r="U119" s="69"/>
      <c r="V119" s="70"/>
      <c r="W119" s="69"/>
      <c r="X119" s="70"/>
      <c r="Y119" s="69"/>
      <c r="Z119" s="70"/>
      <c r="AA119" s="69"/>
      <c r="AB119" s="70"/>
      <c r="AC119" s="69"/>
      <c r="AD119" s="70"/>
      <c r="AE119" s="69"/>
      <c r="AF119" s="70"/>
      <c r="AG119" s="69"/>
      <c r="AH119" s="70"/>
      <c r="AI119" s="69"/>
      <c r="AJ119" s="70"/>
      <c r="AK119" s="69"/>
      <c r="AL119" s="70"/>
      <c r="AM119" s="69"/>
      <c r="AN119" s="70"/>
      <c r="AO119" s="69"/>
      <c r="AP119" s="70"/>
      <c r="AQ119" s="69"/>
      <c r="AR119" s="70"/>
      <c r="AS119" s="69"/>
      <c r="AT119" s="70"/>
      <c r="AU119" s="69"/>
      <c r="AV119" s="70"/>
      <c r="AW119" s="69"/>
      <c r="AX119" s="70"/>
      <c r="AY119" s="69"/>
      <c r="AZ119" s="70"/>
      <c r="BA119" s="69"/>
      <c r="BB119" s="70"/>
      <c r="BC119" s="69"/>
      <c r="BD119" s="70"/>
      <c r="BE119" s="69"/>
      <c r="BF119" s="70"/>
      <c r="BG119" s="69"/>
      <c r="BH119" s="70"/>
      <c r="BI119" s="69"/>
      <c r="BJ119" s="70"/>
      <c r="BK119" s="69"/>
      <c r="BL119" s="70"/>
      <c r="BM119" s="69"/>
      <c r="BN119" s="71"/>
      <c r="BO119" s="182" t="str">
        <f t="shared" si="190"/>
        <v/>
      </c>
      <c r="BP119" s="70"/>
      <c r="BQ119" s="73"/>
    </row>
    <row r="120" spans="1:69" ht="15" thickBot="1" x14ac:dyDescent="0.4">
      <c r="A120" s="154" t="s">
        <v>56</v>
      </c>
      <c r="B120" s="155"/>
      <c r="C120" s="156"/>
      <c r="D120" s="157"/>
      <c r="E120" s="158"/>
      <c r="F120" s="159"/>
      <c r="G120" s="158"/>
      <c r="H120" s="159"/>
      <c r="I120" s="158"/>
      <c r="J120" s="159"/>
      <c r="K120" s="158"/>
      <c r="L120" s="159"/>
      <c r="M120" s="158"/>
      <c r="N120" s="159"/>
      <c r="O120" s="158"/>
      <c r="P120" s="159"/>
      <c r="Q120" s="158"/>
      <c r="R120" s="159"/>
      <c r="S120" s="158"/>
      <c r="T120" s="159"/>
      <c r="U120" s="158"/>
      <c r="V120" s="159"/>
      <c r="W120" s="158"/>
      <c r="X120" s="159"/>
      <c r="Y120" s="158"/>
      <c r="Z120" s="159"/>
      <c r="AA120" s="158"/>
      <c r="AB120" s="159"/>
      <c r="AC120" s="158"/>
      <c r="AD120" s="159"/>
      <c r="AE120" s="158"/>
      <c r="AF120" s="159"/>
      <c r="AG120" s="158"/>
      <c r="AH120" s="159"/>
      <c r="AI120" s="158"/>
      <c r="AJ120" s="159"/>
      <c r="AK120" s="158"/>
      <c r="AL120" s="159"/>
      <c r="AM120" s="158"/>
      <c r="AN120" s="159"/>
      <c r="AO120" s="158"/>
      <c r="AP120" s="159"/>
      <c r="AQ120" s="158"/>
      <c r="AR120" s="159"/>
      <c r="AS120" s="158"/>
      <c r="AT120" s="159"/>
      <c r="AU120" s="158"/>
      <c r="AV120" s="159"/>
      <c r="AW120" s="158"/>
      <c r="AX120" s="159"/>
      <c r="AY120" s="158"/>
      <c r="AZ120" s="159"/>
      <c r="BA120" s="158"/>
      <c r="BB120" s="159"/>
      <c r="BC120" s="158"/>
      <c r="BD120" s="159"/>
      <c r="BE120" s="158"/>
      <c r="BF120" s="159"/>
      <c r="BG120" s="158"/>
      <c r="BH120" s="159"/>
      <c r="BI120" s="158"/>
      <c r="BJ120" s="159"/>
      <c r="BK120" s="158"/>
      <c r="BL120" s="159"/>
      <c r="BM120" s="158"/>
      <c r="BN120" s="160"/>
      <c r="BO120" s="196" t="str">
        <f t="shared" si="190"/>
        <v/>
      </c>
      <c r="BP120" s="159"/>
      <c r="BQ120" s="161"/>
    </row>
    <row r="121" spans="1:69" x14ac:dyDescent="0.35">
      <c r="AT121"/>
      <c r="AU121"/>
      <c r="AW121"/>
      <c r="BA121"/>
    </row>
    <row r="122" spans="1:69" x14ac:dyDescent="0.35">
      <c r="AT122"/>
      <c r="AU122"/>
      <c r="AW122"/>
      <c r="BA122"/>
    </row>
    <row r="123" spans="1:69" x14ac:dyDescent="0.35">
      <c r="AT123"/>
      <c r="AU123"/>
      <c r="AW123"/>
      <c r="BA123"/>
    </row>
    <row r="124" spans="1:69" x14ac:dyDescent="0.35">
      <c r="AT124"/>
      <c r="AU124"/>
      <c r="AW124"/>
      <c r="BA124"/>
    </row>
    <row r="125" spans="1:69" x14ac:dyDescent="0.35">
      <c r="AT125"/>
      <c r="AU125"/>
      <c r="AW125"/>
      <c r="BA125"/>
    </row>
    <row r="126" spans="1:69" x14ac:dyDescent="0.35">
      <c r="AT126"/>
      <c r="AU126"/>
      <c r="AW126"/>
      <c r="BA126"/>
    </row>
    <row r="127" spans="1:69" x14ac:dyDescent="0.35">
      <c r="AT127"/>
      <c r="AU127"/>
      <c r="AW127"/>
      <c r="BA127"/>
    </row>
    <row r="128" spans="1:69" x14ac:dyDescent="0.35">
      <c r="AT128"/>
      <c r="AU128"/>
      <c r="AW128"/>
      <c r="BA128"/>
    </row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</sheetData>
  <sheetProtection sheet="1" objects="1" scenarios="1"/>
  <mergeCells count="100">
    <mergeCell ref="AD5:AE5"/>
    <mergeCell ref="A1:BQ1"/>
    <mergeCell ref="A2:BQ2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BB5:BC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P5:BQ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BD5:BE5"/>
    <mergeCell ref="BF5:BG5"/>
    <mergeCell ref="BH5:BI5"/>
    <mergeCell ref="BJ5:BK5"/>
    <mergeCell ref="BL5:BM5"/>
    <mergeCell ref="BN5:BO5"/>
    <mergeCell ref="AR6:AS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BP6:BQ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Z12:AA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AX12:AY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BL12:BM12"/>
    <mergeCell ref="BP12:BQ12"/>
    <mergeCell ref="AZ12:BA12"/>
    <mergeCell ref="BB12:BC12"/>
    <mergeCell ref="BD12:BE12"/>
    <mergeCell ref="BF12:BG12"/>
    <mergeCell ref="BH12:BI12"/>
    <mergeCell ref="BJ12:BK12"/>
  </mergeCells>
  <conditionalFormatting sqref="D77:BL88">
    <cfRule type="cellIs" dxfId="89" priority="9" operator="lessThan">
      <formula>0</formula>
    </cfRule>
  </conditionalFormatting>
  <conditionalFormatting sqref="D7:BM11 BP7:BQ104 BO7:BO120">
    <cfRule type="cellIs" dxfId="88" priority="1" operator="lessThan">
      <formula>0</formula>
    </cfRule>
  </conditionalFormatting>
  <conditionalFormatting sqref="D22:BM22">
    <cfRule type="cellIs" dxfId="87" priority="2" operator="lessThan">
      <formula>0</formula>
    </cfRule>
  </conditionalFormatting>
  <conditionalFormatting sqref="D30:BM31">
    <cfRule type="cellIs" dxfId="86" priority="3" operator="lessThan">
      <formula>0</formula>
    </cfRule>
  </conditionalFormatting>
  <conditionalFormatting sqref="D42:BM42">
    <cfRule type="cellIs" dxfId="85" priority="4" operator="lessThan">
      <formula>0</formula>
    </cfRule>
  </conditionalFormatting>
  <conditionalFormatting sqref="D49:BM50">
    <cfRule type="cellIs" dxfId="84" priority="5" operator="lessThan">
      <formula>0</formula>
    </cfRule>
  </conditionalFormatting>
  <conditionalFormatting sqref="D54:BM54">
    <cfRule type="cellIs" dxfId="83" priority="6" operator="lessThan">
      <formula>0</formula>
    </cfRule>
  </conditionalFormatting>
  <conditionalFormatting sqref="D57:BM59">
    <cfRule type="cellIs" dxfId="82" priority="7" operator="lessThan">
      <formula>0</formula>
    </cfRule>
  </conditionalFormatting>
  <conditionalFormatting sqref="D61:BM75">
    <cfRule type="cellIs" dxfId="81" priority="8" operator="lessThan">
      <formula>0</formula>
    </cfRule>
  </conditionalFormatting>
  <conditionalFormatting sqref="E91:BM104">
    <cfRule type="cellIs" dxfId="80" priority="10" operator="lessThan">
      <formula>0</formula>
    </cfRule>
  </conditionalFormatting>
  <pageMargins left="0.25" right="0.25" top="0.75" bottom="0.75" header="0.3" footer="0.3"/>
  <pageSetup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E6C55-66FF-4B6A-B543-A7F21C78E4FF}">
  <sheetPr>
    <pageSetUpPr fitToPage="1"/>
  </sheetPr>
  <dimension ref="A1:BX134"/>
  <sheetViews>
    <sheetView zoomScaleNormal="100" workbookViewId="0">
      <pane xSplit="1" ySplit="12" topLeftCell="B13" activePane="bottomRight" state="frozen"/>
      <selection pane="topRight" activeCell="B1" sqref="B1"/>
      <selection pane="bottomLeft" activeCell="A9" sqref="A9"/>
      <selection pane="bottomRight" activeCell="A13" sqref="A13:XFD13"/>
    </sheetView>
  </sheetViews>
  <sheetFormatPr defaultRowHeight="14.5" x14ac:dyDescent="0.35"/>
  <cols>
    <col min="1" max="1" width="28.54296875" customWidth="1"/>
    <col min="2" max="2" width="15.26953125" customWidth="1"/>
    <col min="3" max="3" width="18.1796875" customWidth="1"/>
    <col min="4" max="45" width="11.81640625" customWidth="1"/>
    <col min="46" max="47" width="11.81640625" style="3" customWidth="1"/>
    <col min="48" max="48" width="11.81640625" customWidth="1"/>
    <col min="49" max="49" width="11.81640625" style="3" customWidth="1"/>
    <col min="50" max="52" width="11.81640625" customWidth="1"/>
    <col min="53" max="53" width="11.81640625" style="3" customWidth="1"/>
    <col min="54" max="65" width="11.81640625" customWidth="1"/>
    <col min="66" max="69" width="15.54296875" customWidth="1"/>
    <col min="70" max="70" width="12.7265625" customWidth="1"/>
    <col min="71" max="71" width="11.1796875" bestFit="1" customWidth="1"/>
    <col min="72" max="72" width="14.81640625" customWidth="1"/>
    <col min="73" max="73" width="8.81640625" customWidth="1"/>
    <col min="74" max="74" width="11.26953125" customWidth="1"/>
    <col min="75" max="75" width="9.26953125" bestFit="1" customWidth="1"/>
    <col min="76" max="76" width="13.453125" customWidth="1"/>
  </cols>
  <sheetData>
    <row r="1" spans="1:76" ht="48" customHeight="1" x14ac:dyDescent="0.35">
      <c r="A1" s="241" t="str">
        <f>"TEXAN FILLING STATION — "&amp;UPPER(TEXT(B3,"MMMM YYYY"))&amp;" DAILY CONTROL"</f>
        <v>TEXAN FILLING STATION — JANUARY 2027 DAILY CONTROL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  <c r="BL1" s="233"/>
      <c r="BM1" s="233"/>
      <c r="BN1" s="233"/>
      <c r="BO1" s="233"/>
      <c r="BP1" s="233"/>
      <c r="BQ1" s="233"/>
    </row>
    <row r="2" spans="1:76" ht="24" customHeight="1" x14ac:dyDescent="0.35">
      <c r="A2" s="234" t="s">
        <v>108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  <c r="BP2" s="234"/>
      <c r="BQ2" s="234"/>
    </row>
    <row r="3" spans="1:76" x14ac:dyDescent="0.35">
      <c r="A3" s="26" t="s">
        <v>109</v>
      </c>
      <c r="B3" s="27">
        <v>46388</v>
      </c>
      <c r="C3" s="28" t="s">
        <v>110</v>
      </c>
      <c r="D3" s="28" t="s">
        <v>111</v>
      </c>
      <c r="E3" s="29" t="s">
        <v>112</v>
      </c>
      <c r="F3" s="30" t="s">
        <v>113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2"/>
      <c r="AU3" s="32"/>
      <c r="AV3" s="31"/>
      <c r="AW3" s="32"/>
      <c r="AX3" s="31"/>
      <c r="AY3" s="31"/>
      <c r="AZ3" s="31"/>
      <c r="BA3" s="32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</row>
    <row r="4" spans="1:76" ht="15" thickBot="1" x14ac:dyDescent="0.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2"/>
      <c r="AU4" s="32"/>
      <c r="AV4" s="31"/>
      <c r="AW4" s="32"/>
      <c r="AX4" s="31"/>
      <c r="AY4" s="31"/>
      <c r="AZ4" s="31"/>
      <c r="BA4" s="32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</row>
    <row r="5" spans="1:76" ht="16.149999999999999" customHeight="1" x14ac:dyDescent="0.35">
      <c r="A5" s="164">
        <f>68*0.1</f>
        <v>6.8000000000000007</v>
      </c>
      <c r="B5" s="33"/>
      <c r="C5" s="34" t="s">
        <v>116</v>
      </c>
      <c r="D5" s="235" t="str">
        <f>IF(D6="","",UPPER(TEXT(D6,"dddd")))</f>
        <v>FRIDAY</v>
      </c>
      <c r="E5" s="229"/>
      <c r="F5" s="228" t="str">
        <f>IF(F6="","",UPPER(TEXT(F6,"dddd")))</f>
        <v>SATURDAY</v>
      </c>
      <c r="G5" s="229"/>
      <c r="H5" s="228" t="str">
        <f>IF(H6="","",UPPER(TEXT(H6,"dddd")))</f>
        <v>SUNDAY</v>
      </c>
      <c r="I5" s="229"/>
      <c r="J5" s="228" t="str">
        <f>IF(J6="","",UPPER(TEXT(J6,"dddd")))</f>
        <v>MONDAY</v>
      </c>
      <c r="K5" s="229"/>
      <c r="L5" s="228" t="str">
        <f>IF(L6="","",UPPER(TEXT(L6,"dddd")))</f>
        <v>TUESDAY</v>
      </c>
      <c r="M5" s="229"/>
      <c r="N5" s="228" t="str">
        <f>IF(N6="","",UPPER(TEXT(N6,"dddd")))</f>
        <v>WEDNESDAY</v>
      </c>
      <c r="O5" s="229"/>
      <c r="P5" s="228" t="str">
        <f>IF(P6="","",UPPER(TEXT(P6,"dddd")))</f>
        <v>THURSDAY</v>
      </c>
      <c r="Q5" s="229"/>
      <c r="R5" s="228" t="str">
        <f>IF(R6="","",UPPER(TEXT(R6,"dddd")))</f>
        <v>FRIDAY</v>
      </c>
      <c r="S5" s="229"/>
      <c r="T5" s="228" t="str">
        <f>IF(T6="","",UPPER(TEXT(T6,"dddd")))</f>
        <v>SATURDAY</v>
      </c>
      <c r="U5" s="229"/>
      <c r="V5" s="228" t="str">
        <f>IF(V6="","",UPPER(TEXT(V6,"dddd")))</f>
        <v>SUNDAY</v>
      </c>
      <c r="W5" s="229"/>
      <c r="X5" s="228" t="str">
        <f>IF(X6="","",UPPER(TEXT(X6,"dddd")))</f>
        <v>MONDAY</v>
      </c>
      <c r="Y5" s="229"/>
      <c r="Z5" s="228" t="str">
        <f>IF(Z6="","",UPPER(TEXT(Z6,"dddd")))</f>
        <v>TUESDAY</v>
      </c>
      <c r="AA5" s="229"/>
      <c r="AB5" s="228" t="str">
        <f>IF(AB6="","",UPPER(TEXT(AB6,"dddd")))</f>
        <v>WEDNESDAY</v>
      </c>
      <c r="AC5" s="229"/>
      <c r="AD5" s="228" t="str">
        <f>IF(AD6="","",UPPER(TEXT(AD6,"dddd")))</f>
        <v>THURSDAY</v>
      </c>
      <c r="AE5" s="229"/>
      <c r="AF5" s="228" t="str">
        <f>IF(AF6="","",UPPER(TEXT(AF6,"dddd")))</f>
        <v>FRIDAY</v>
      </c>
      <c r="AG5" s="229"/>
      <c r="AH5" s="228" t="str">
        <f>IF(AH6="","",UPPER(TEXT(AH6,"dddd")))</f>
        <v>SATURDAY</v>
      </c>
      <c r="AI5" s="229"/>
      <c r="AJ5" s="228" t="str">
        <f>IF(AJ6="","",UPPER(TEXT(AJ6,"dddd")))</f>
        <v>SUNDAY</v>
      </c>
      <c r="AK5" s="229"/>
      <c r="AL5" s="228" t="str">
        <f>IF(AL6="","",UPPER(TEXT(AL6,"dddd")))</f>
        <v>MONDAY</v>
      </c>
      <c r="AM5" s="229"/>
      <c r="AN5" s="228" t="str">
        <f>IF(AN6="","",UPPER(TEXT(AN6,"dddd")))</f>
        <v>TUESDAY</v>
      </c>
      <c r="AO5" s="229"/>
      <c r="AP5" s="228" t="str">
        <f>IF(AP6="","",UPPER(TEXT(AP6,"dddd")))</f>
        <v>WEDNESDAY</v>
      </c>
      <c r="AQ5" s="229"/>
      <c r="AR5" s="228" t="str">
        <f>IF(AR6="","",UPPER(TEXT(AR6,"dddd")))</f>
        <v>THURSDAY</v>
      </c>
      <c r="AS5" s="229"/>
      <c r="AT5" s="228" t="str">
        <f>IF(AT6="","",UPPER(TEXT(AT6,"dddd")))</f>
        <v>FRIDAY</v>
      </c>
      <c r="AU5" s="229"/>
      <c r="AV5" s="228" t="str">
        <f>IF(AV6="","",UPPER(TEXT(AV6,"dddd")))</f>
        <v>SATURDAY</v>
      </c>
      <c r="AW5" s="229"/>
      <c r="AX5" s="228" t="str">
        <f>IF(AX6="","",UPPER(TEXT(AX6,"dddd")))</f>
        <v>SUNDAY</v>
      </c>
      <c r="AY5" s="229"/>
      <c r="AZ5" s="228" t="str">
        <f>IF(AZ6="","",UPPER(TEXT(AZ6,"dddd")))</f>
        <v>MONDAY</v>
      </c>
      <c r="BA5" s="229"/>
      <c r="BB5" s="228" t="str">
        <f>IF(BB6="","",UPPER(TEXT(BB6,"dddd")))</f>
        <v>TUESDAY</v>
      </c>
      <c r="BC5" s="229"/>
      <c r="BD5" s="228" t="str">
        <f>IF(BD6="","",UPPER(TEXT(BD6,"dddd")))</f>
        <v>WEDNESDAY</v>
      </c>
      <c r="BE5" s="229"/>
      <c r="BF5" s="228" t="str">
        <f>IF(BF6="","",UPPER(TEXT(BF6,"dddd")))</f>
        <v>THURSDAY</v>
      </c>
      <c r="BG5" s="229"/>
      <c r="BH5" s="228" t="str">
        <f>IF(BH6="","",UPPER(TEXT(BH6,"dddd")))</f>
        <v>FRIDAY</v>
      </c>
      <c r="BI5" s="229"/>
      <c r="BJ5" s="228" t="str">
        <f>IF(BJ6="","",UPPER(TEXT(BJ6,"dddd")))</f>
        <v>SATURDAY</v>
      </c>
      <c r="BK5" s="229"/>
      <c r="BL5" s="228" t="str">
        <f>IF(BL6="","",UPPER(TEXT(BL6,"dddd")))</f>
        <v>SUNDAY</v>
      </c>
      <c r="BM5" s="229"/>
      <c r="BN5" s="230" t="s">
        <v>114</v>
      </c>
      <c r="BO5" s="231"/>
      <c r="BP5" s="225" t="s">
        <v>118</v>
      </c>
      <c r="BQ5" s="226"/>
    </row>
    <row r="6" spans="1:76" x14ac:dyDescent="0.35">
      <c r="A6" s="35"/>
      <c r="B6" s="36"/>
      <c r="C6" s="37" t="s">
        <v>117</v>
      </c>
      <c r="D6" s="227">
        <f>IF($B$3="","",IF(MONTH($B$3+0)=MONTH($B$3),$B$3+0,""))</f>
        <v>46388</v>
      </c>
      <c r="E6" s="222"/>
      <c r="F6" s="220">
        <f>IF($B$3="","",IF(MONTH($B$3+1)=MONTH($B$3),$B$3+1,""))</f>
        <v>46389</v>
      </c>
      <c r="G6" s="222"/>
      <c r="H6" s="220">
        <f>IF($B$3="","",IF(MONTH($B$3+2)=MONTH($B$3),$B$3+2,""))</f>
        <v>46390</v>
      </c>
      <c r="I6" s="222"/>
      <c r="J6" s="220">
        <f>IF($B$3="","",IF(MONTH($B$3+3)=MONTH($B$3),$B$3+3,""))</f>
        <v>46391</v>
      </c>
      <c r="K6" s="222"/>
      <c r="L6" s="220">
        <f>IF($B$3="","",IF(MONTH($B$3+4)=MONTH($B$3),$B$3+4,""))</f>
        <v>46392</v>
      </c>
      <c r="M6" s="222"/>
      <c r="N6" s="220">
        <f>IF($B$3="","",IF(MONTH($B$3+5)=MONTH($B$3),$B$3+5,""))</f>
        <v>46393</v>
      </c>
      <c r="O6" s="222"/>
      <c r="P6" s="220">
        <f>IF($B$3="","",IF(MONTH($B$3+6)=MONTH($B$3),$B$3+6,""))</f>
        <v>46394</v>
      </c>
      <c r="Q6" s="222"/>
      <c r="R6" s="220">
        <f>IF($B$3="","",IF(MONTH($B$3+7)=MONTH($B$3),$B$3+7,""))</f>
        <v>46395</v>
      </c>
      <c r="S6" s="222"/>
      <c r="T6" s="220">
        <f>IF($B$3="","",IF(MONTH($B$3+8)=MONTH($B$3),$B$3+8,""))</f>
        <v>46396</v>
      </c>
      <c r="U6" s="222"/>
      <c r="V6" s="220">
        <f>IF($B$3="","",IF(MONTH($B$3+9)=MONTH($B$3),$B$3+9,""))</f>
        <v>46397</v>
      </c>
      <c r="W6" s="222"/>
      <c r="X6" s="220">
        <f>IF($B$3="","",IF(MONTH($B$3+10)=MONTH($B$3),$B$3+10,""))</f>
        <v>46398</v>
      </c>
      <c r="Y6" s="222"/>
      <c r="Z6" s="220">
        <f>IF($B$3="","",IF(MONTH($B$3+11)=MONTH($B$3),$B$3+11,""))</f>
        <v>46399</v>
      </c>
      <c r="AA6" s="222"/>
      <c r="AB6" s="220">
        <f>IF($B$3="","",IF(MONTH($B$3+12)=MONTH($B$3),$B$3+12,""))</f>
        <v>46400</v>
      </c>
      <c r="AC6" s="222"/>
      <c r="AD6" s="220">
        <f>IF($B$3="","",IF(MONTH($B$3+13)=MONTH($B$3),$B$3+13,""))</f>
        <v>46401</v>
      </c>
      <c r="AE6" s="222"/>
      <c r="AF6" s="220">
        <f>IF($B$3="","",IF(MONTH($B$3+14)=MONTH($B$3),$B$3+14,""))</f>
        <v>46402</v>
      </c>
      <c r="AG6" s="222"/>
      <c r="AH6" s="220">
        <f>IF($B$3="","",IF(MONTH($B$3+15)=MONTH($B$3),$B$3+15,""))</f>
        <v>46403</v>
      </c>
      <c r="AI6" s="222"/>
      <c r="AJ6" s="220">
        <f>IF($B$3="","",IF(MONTH($B$3+16)=MONTH($B$3),$B$3+16,""))</f>
        <v>46404</v>
      </c>
      <c r="AK6" s="222"/>
      <c r="AL6" s="220">
        <f>IF($B$3="","",IF(MONTH($B$3+17)=MONTH($B$3),$B$3+17,""))</f>
        <v>46405</v>
      </c>
      <c r="AM6" s="222"/>
      <c r="AN6" s="220">
        <f>IF($B$3="","",IF(MONTH($B$3+18)=MONTH($B$3),$B$3+18,""))</f>
        <v>46406</v>
      </c>
      <c r="AO6" s="222"/>
      <c r="AP6" s="220">
        <f>IF($B$3="","",IF(MONTH($B$3+19)=MONTH($B$3),$B$3+19,""))</f>
        <v>46407</v>
      </c>
      <c r="AQ6" s="222"/>
      <c r="AR6" s="220">
        <f>IF($B$3="","",IF(MONTH($B$3+20)=MONTH($B$3),$B$3+20,""))</f>
        <v>46408</v>
      </c>
      <c r="AS6" s="222"/>
      <c r="AT6" s="220">
        <f>IF($B$3="","",IF(MONTH($B$3+21)=MONTH($B$3),$B$3+21,""))</f>
        <v>46409</v>
      </c>
      <c r="AU6" s="222"/>
      <c r="AV6" s="220">
        <f>IF($B$3="","",IF(MONTH($B$3+22)=MONTH($B$3),$B$3+22,""))</f>
        <v>46410</v>
      </c>
      <c r="AW6" s="222"/>
      <c r="AX6" s="220">
        <f>IF($B$3="","",IF(MONTH($B$3+23)=MONTH($B$3),$B$3+23,""))</f>
        <v>46411</v>
      </c>
      <c r="AY6" s="222"/>
      <c r="AZ6" s="220">
        <f>IF($B$3="","",IF(MONTH($B$3+24)=MONTH($B$3),$B$3+24,""))</f>
        <v>46412</v>
      </c>
      <c r="BA6" s="222"/>
      <c r="BB6" s="220">
        <f>IF($B$3="","",IF(MONTH($B$3+25)=MONTH($B$3),$B$3+25,""))</f>
        <v>46413</v>
      </c>
      <c r="BC6" s="222"/>
      <c r="BD6" s="220">
        <f>IF($B$3="","",IF(MONTH($B$3+26)=MONTH($B$3),$B$3+26,""))</f>
        <v>46414</v>
      </c>
      <c r="BE6" s="222"/>
      <c r="BF6" s="220">
        <f>IF($B$3="","",IF(MONTH($B$3+27)=MONTH($B$3),$B$3+27,""))</f>
        <v>46415</v>
      </c>
      <c r="BG6" s="222"/>
      <c r="BH6" s="220">
        <f>IF($B$3="","",IF(MONTH($B$3+28)=MONTH($B$3),$B$3+28,""))</f>
        <v>46416</v>
      </c>
      <c r="BI6" s="222"/>
      <c r="BJ6" s="220">
        <f>IF($B$3="","",IF(MONTH($B$3+29)=MONTH($B$3),$B$3+29,""))</f>
        <v>46417</v>
      </c>
      <c r="BK6" s="222"/>
      <c r="BL6" s="220">
        <f>IF($B$3="","",IF(MONTH($B$3+30)=MONTH($B$3),$B$3+30,""))</f>
        <v>46418</v>
      </c>
      <c r="BM6" s="222"/>
      <c r="BN6" s="223" t="s">
        <v>115</v>
      </c>
      <c r="BO6" s="224"/>
      <c r="BP6" s="220">
        <f>IF($B$3="","",EOMONTH($B$3,0)+1)</f>
        <v>46419</v>
      </c>
      <c r="BQ6" s="221"/>
    </row>
    <row r="7" spans="1:76" x14ac:dyDescent="0.35">
      <c r="A7" s="38" t="s">
        <v>20</v>
      </c>
      <c r="B7" s="39"/>
      <c r="C7" s="40"/>
      <c r="D7" s="41"/>
      <c r="E7" s="165">
        <f>E59</f>
        <v>0</v>
      </c>
      <c r="F7" s="42"/>
      <c r="G7" s="165">
        <f>G59</f>
        <v>0</v>
      </c>
      <c r="H7" s="42"/>
      <c r="I7" s="165">
        <f>I59</f>
        <v>0</v>
      </c>
      <c r="J7" s="42"/>
      <c r="K7" s="165">
        <f>K59</f>
        <v>0</v>
      </c>
      <c r="L7" s="42"/>
      <c r="M7" s="165">
        <f>M59</f>
        <v>0</v>
      </c>
      <c r="N7" s="42"/>
      <c r="O7" s="165">
        <f>O59</f>
        <v>0</v>
      </c>
      <c r="P7" s="42"/>
      <c r="Q7" s="165">
        <f>Q59</f>
        <v>0</v>
      </c>
      <c r="R7" s="42"/>
      <c r="S7" s="165">
        <f>S59</f>
        <v>0</v>
      </c>
      <c r="T7" s="42"/>
      <c r="U7" s="165">
        <f>U59</f>
        <v>0</v>
      </c>
      <c r="V7" s="42"/>
      <c r="W7" s="165">
        <f>W59</f>
        <v>0</v>
      </c>
      <c r="X7" s="42"/>
      <c r="Y7" s="165">
        <f>Y59</f>
        <v>0</v>
      </c>
      <c r="Z7" s="42"/>
      <c r="AA7" s="165">
        <f>AA59</f>
        <v>0</v>
      </c>
      <c r="AB7" s="42"/>
      <c r="AC7" s="165">
        <f>AC59</f>
        <v>0</v>
      </c>
      <c r="AD7" s="42"/>
      <c r="AE7" s="165">
        <f>AE59</f>
        <v>0</v>
      </c>
      <c r="AF7" s="42"/>
      <c r="AG7" s="165">
        <f>AG59</f>
        <v>0</v>
      </c>
      <c r="AH7" s="42"/>
      <c r="AI7" s="165">
        <f>AI59</f>
        <v>0</v>
      </c>
      <c r="AJ7" s="42"/>
      <c r="AK7" s="165">
        <f>AK59</f>
        <v>0</v>
      </c>
      <c r="AL7" s="42"/>
      <c r="AM7" s="165">
        <f>AM59</f>
        <v>0</v>
      </c>
      <c r="AN7" s="42"/>
      <c r="AO7" s="165">
        <f>AO59</f>
        <v>0</v>
      </c>
      <c r="AP7" s="42"/>
      <c r="AQ7" s="165">
        <f>AQ59</f>
        <v>0</v>
      </c>
      <c r="AR7" s="42"/>
      <c r="AS7" s="165">
        <f>AS59</f>
        <v>0</v>
      </c>
      <c r="AT7" s="42"/>
      <c r="AU7" s="165">
        <f>AU59</f>
        <v>0</v>
      </c>
      <c r="AV7" s="42"/>
      <c r="AW7" s="165">
        <f>AW59</f>
        <v>0</v>
      </c>
      <c r="AX7" s="42"/>
      <c r="AY7" s="165">
        <f>AY59</f>
        <v>0</v>
      </c>
      <c r="AZ7" s="42"/>
      <c r="BA7" s="165">
        <f>BA59</f>
        <v>0</v>
      </c>
      <c r="BB7" s="42"/>
      <c r="BC7" s="165">
        <f>BC59</f>
        <v>0</v>
      </c>
      <c r="BD7" s="42"/>
      <c r="BE7" s="165">
        <f>BE59</f>
        <v>0</v>
      </c>
      <c r="BF7" s="42"/>
      <c r="BG7" s="165">
        <f>BG59</f>
        <v>0</v>
      </c>
      <c r="BH7" s="42"/>
      <c r="BI7" s="165">
        <f>BI59</f>
        <v>0</v>
      </c>
      <c r="BJ7" s="42"/>
      <c r="BK7" s="165">
        <f>BK59</f>
        <v>0</v>
      </c>
      <c r="BL7" s="42"/>
      <c r="BM7" s="165">
        <f>BM59</f>
        <v>0</v>
      </c>
      <c r="BN7" s="43"/>
      <c r="BO7" s="169">
        <f>IF(COUNT(E7,G7,I7,K7,M7,O7,Q7,S7,U7,W7,Y7,AA7,AC7,AE7,AG7,AI7,AK7,AM7,AO7,AQ7,AS7,AU7,AW7,AY7,BA7,BC7,BE7,BG7,BI7,BK7,BM7)=0,"",SUM(E7,G7,I7,K7,M7,O7,Q7,S7,U7,W7,Y7,AA7,AC7,AE7,AG7,AI7,AK7,AM7,AO7,AQ7,AS7,AU7,AW7,AY7,BA7,BC7,BE7,BG7,BI7,BK7,BM7))</f>
        <v>0</v>
      </c>
      <c r="BP7" s="42"/>
      <c r="BQ7" s="171">
        <f>BQ59</f>
        <v>0</v>
      </c>
    </row>
    <row r="8" spans="1:76" x14ac:dyDescent="0.35">
      <c r="A8" s="38" t="s">
        <v>49</v>
      </c>
      <c r="B8" s="39"/>
      <c r="C8" s="40"/>
      <c r="D8" s="41"/>
      <c r="E8" s="165">
        <f>E58</f>
        <v>0</v>
      </c>
      <c r="F8" s="42"/>
      <c r="G8" s="165">
        <f>G58</f>
        <v>0</v>
      </c>
      <c r="H8" s="42"/>
      <c r="I8" s="165">
        <f>I58</f>
        <v>0</v>
      </c>
      <c r="J8" s="42"/>
      <c r="K8" s="165">
        <f>K58</f>
        <v>0</v>
      </c>
      <c r="L8" s="42"/>
      <c r="M8" s="165">
        <f>M58</f>
        <v>0</v>
      </c>
      <c r="N8" s="42"/>
      <c r="O8" s="165">
        <f>O58</f>
        <v>0</v>
      </c>
      <c r="P8" s="42"/>
      <c r="Q8" s="165">
        <f>Q58</f>
        <v>0</v>
      </c>
      <c r="R8" s="42"/>
      <c r="S8" s="165">
        <f>S58</f>
        <v>0</v>
      </c>
      <c r="T8" s="42"/>
      <c r="U8" s="165">
        <f>U58</f>
        <v>0</v>
      </c>
      <c r="V8" s="42"/>
      <c r="W8" s="165">
        <f>W58</f>
        <v>0</v>
      </c>
      <c r="X8" s="42"/>
      <c r="Y8" s="165">
        <f>Y58</f>
        <v>0</v>
      </c>
      <c r="Z8" s="42"/>
      <c r="AA8" s="165">
        <f>AA58</f>
        <v>0</v>
      </c>
      <c r="AB8" s="42"/>
      <c r="AC8" s="165">
        <f>AC58</f>
        <v>0</v>
      </c>
      <c r="AD8" s="42"/>
      <c r="AE8" s="165">
        <f>AE58</f>
        <v>0</v>
      </c>
      <c r="AF8" s="42"/>
      <c r="AG8" s="165">
        <f>AG58</f>
        <v>0</v>
      </c>
      <c r="AH8" s="42"/>
      <c r="AI8" s="165">
        <f>AI58</f>
        <v>0</v>
      </c>
      <c r="AJ8" s="42"/>
      <c r="AK8" s="165">
        <f>AK58</f>
        <v>0</v>
      </c>
      <c r="AL8" s="42"/>
      <c r="AM8" s="165">
        <f>AM58</f>
        <v>0</v>
      </c>
      <c r="AN8" s="42"/>
      <c r="AO8" s="165">
        <f>AO58</f>
        <v>0</v>
      </c>
      <c r="AP8" s="42"/>
      <c r="AQ8" s="165">
        <f>AQ58</f>
        <v>0</v>
      </c>
      <c r="AR8" s="42"/>
      <c r="AS8" s="165">
        <f>AS58</f>
        <v>0</v>
      </c>
      <c r="AT8" s="42"/>
      <c r="AU8" s="168">
        <f>AU58</f>
        <v>0</v>
      </c>
      <c r="AV8" s="42"/>
      <c r="AW8" s="165">
        <f>AW58</f>
        <v>0</v>
      </c>
      <c r="AX8" s="42"/>
      <c r="AY8" s="165">
        <f>AY58</f>
        <v>0</v>
      </c>
      <c r="AZ8" s="42"/>
      <c r="BA8" s="165">
        <f>BA58</f>
        <v>0</v>
      </c>
      <c r="BB8" s="42"/>
      <c r="BC8" s="165">
        <f>BC58</f>
        <v>0</v>
      </c>
      <c r="BD8" s="42"/>
      <c r="BE8" s="165">
        <f>BE58</f>
        <v>0</v>
      </c>
      <c r="BF8" s="42"/>
      <c r="BG8" s="165">
        <f>BG58</f>
        <v>0</v>
      </c>
      <c r="BH8" s="42"/>
      <c r="BI8" s="165">
        <f>BI58</f>
        <v>0</v>
      </c>
      <c r="BJ8" s="42"/>
      <c r="BK8" s="165">
        <f>BK58</f>
        <v>0</v>
      </c>
      <c r="BL8" s="42"/>
      <c r="BM8" s="165">
        <f>BM58</f>
        <v>0</v>
      </c>
      <c r="BN8" s="43"/>
      <c r="BO8" s="169">
        <f>IF(COUNT(E8,G8,I8,K8,M8,O8,Q8,S8,U8,W8,Y8,AA8,AC8,AE8,AG8,AI8,AK8,AM8,AO8,AQ8,AS8,AU8,AW8,AY8,BA8,BC8,BE8,BG8,BI8,BK8,BM8)=0,"",SUM(E8,G8,I8,K8,M8,O8,Q8,S8,U8,W8,Y8,AA8,AC8,AE8,AG8,AI8,AK8,AM8,AO8,AQ8,AS8,AU8,AW8,AY8,BA8,BC8,BE8,BG8,BI8,BK8,BM8))</f>
        <v>0</v>
      </c>
      <c r="BP8" s="42"/>
      <c r="BQ8" s="171">
        <f>BQ58</f>
        <v>0</v>
      </c>
    </row>
    <row r="9" spans="1:76" x14ac:dyDescent="0.35">
      <c r="A9" s="38" t="s">
        <v>50</v>
      </c>
      <c r="B9" s="39"/>
      <c r="C9" s="40"/>
      <c r="D9" s="41"/>
      <c r="E9" s="165" t="e">
        <f>E61</f>
        <v>#VALUE!</v>
      </c>
      <c r="F9" s="42"/>
      <c r="G9" s="165">
        <f>G61</f>
        <v>0</v>
      </c>
      <c r="H9" s="42"/>
      <c r="I9" s="165">
        <f>I61</f>
        <v>0</v>
      </c>
      <c r="J9" s="42"/>
      <c r="K9" s="165">
        <f>K61</f>
        <v>0</v>
      </c>
      <c r="L9" s="42"/>
      <c r="M9" s="165">
        <f>M61</f>
        <v>0</v>
      </c>
      <c r="N9" s="42"/>
      <c r="O9" s="165">
        <f>O61</f>
        <v>0</v>
      </c>
      <c r="P9" s="42"/>
      <c r="Q9" s="165">
        <f>Q61</f>
        <v>0</v>
      </c>
      <c r="R9" s="42"/>
      <c r="S9" s="165">
        <f>S61</f>
        <v>0</v>
      </c>
      <c r="T9" s="42"/>
      <c r="U9" s="165">
        <f>U61</f>
        <v>0</v>
      </c>
      <c r="V9" s="42"/>
      <c r="W9" s="165">
        <f>W61</f>
        <v>0</v>
      </c>
      <c r="X9" s="42"/>
      <c r="Y9" s="165">
        <f>Y61</f>
        <v>0</v>
      </c>
      <c r="Z9" s="42"/>
      <c r="AA9" s="165">
        <f>AA61</f>
        <v>0</v>
      </c>
      <c r="AB9" s="42"/>
      <c r="AC9" s="165">
        <f>AC61</f>
        <v>0</v>
      </c>
      <c r="AD9" s="42"/>
      <c r="AE9" s="165">
        <f>AE61</f>
        <v>0</v>
      </c>
      <c r="AF9" s="42"/>
      <c r="AG9" s="165">
        <f>AG61</f>
        <v>0</v>
      </c>
      <c r="AH9" s="42"/>
      <c r="AI9" s="165">
        <f>AI61</f>
        <v>0</v>
      </c>
      <c r="AJ9" s="42"/>
      <c r="AK9" s="165">
        <f>AK61</f>
        <v>0</v>
      </c>
      <c r="AL9" s="42"/>
      <c r="AM9" s="165">
        <f>AM61</f>
        <v>0</v>
      </c>
      <c r="AN9" s="42"/>
      <c r="AO9" s="165">
        <f>AO61</f>
        <v>0</v>
      </c>
      <c r="AP9" s="42"/>
      <c r="AQ9" s="165">
        <f>AQ61</f>
        <v>0</v>
      </c>
      <c r="AR9" s="42"/>
      <c r="AS9" s="165">
        <f>AS61</f>
        <v>0</v>
      </c>
      <c r="AT9" s="42"/>
      <c r="AU9" s="165">
        <f>AU61</f>
        <v>0</v>
      </c>
      <c r="AV9" s="42"/>
      <c r="AW9" s="165">
        <f>AW61</f>
        <v>0</v>
      </c>
      <c r="AX9" s="42"/>
      <c r="AY9" s="165">
        <f>AY61</f>
        <v>0</v>
      </c>
      <c r="AZ9" s="42"/>
      <c r="BA9" s="165">
        <f>BA61</f>
        <v>0</v>
      </c>
      <c r="BB9" s="42"/>
      <c r="BC9" s="165">
        <f>BC61</f>
        <v>0</v>
      </c>
      <c r="BD9" s="42"/>
      <c r="BE9" s="165">
        <f>BE61</f>
        <v>0</v>
      </c>
      <c r="BF9" s="42"/>
      <c r="BG9" s="165">
        <f>BG61</f>
        <v>0</v>
      </c>
      <c r="BH9" s="42"/>
      <c r="BI9" s="165">
        <f>BI61</f>
        <v>0</v>
      </c>
      <c r="BJ9" s="42"/>
      <c r="BK9" s="165">
        <f>BK61</f>
        <v>0</v>
      </c>
      <c r="BL9" s="42"/>
      <c r="BM9" s="165">
        <f>BM61</f>
        <v>0</v>
      </c>
      <c r="BN9" s="43"/>
      <c r="BO9" s="169" t="e">
        <f>IF(COUNT(E9,G9,I9,K9,M9,O9,Q9,S9,U9,W9,Y9,AA9,AC9,AE9,AG9,AI9,AK9,AM9,AO9,AQ9,AS9,AU9,AW9,AY9,BA9,BC9,BE9,BG9,BI9,BK9,BM9)=0,"",SUM(E9,G9,I9,K9,M9,O9,Q9,S9,U9,W9,Y9,AA9,AC9,AE9,AG9,AI9,AK9,AM9,AO9,AQ9,AS9,AU9,AW9,AY9,BA9,BC9,BE9,BG9,BI9,BK9,BM9))</f>
        <v>#VALUE!</v>
      </c>
      <c r="BP9" s="42"/>
      <c r="BQ9" s="171">
        <f>BQ61</f>
        <v>0</v>
      </c>
    </row>
    <row r="10" spans="1:76" s="2" customFormat="1" x14ac:dyDescent="0.35">
      <c r="A10" s="44" t="s">
        <v>47</v>
      </c>
      <c r="B10" s="45"/>
      <c r="C10" s="46">
        <v>1413.73</v>
      </c>
      <c r="D10" s="47"/>
      <c r="E10" s="166" t="e">
        <f>E73</f>
        <v>#VALUE!</v>
      </c>
      <c r="F10" s="49"/>
      <c r="G10" s="166">
        <f t="shared" ref="G10:BQ10" si="0">G73</f>
        <v>0</v>
      </c>
      <c r="H10" s="49"/>
      <c r="I10" s="166">
        <f t="shared" si="0"/>
        <v>0</v>
      </c>
      <c r="J10" s="49"/>
      <c r="K10" s="166">
        <f t="shared" si="0"/>
        <v>0</v>
      </c>
      <c r="L10" s="49"/>
      <c r="M10" s="166">
        <f t="shared" si="0"/>
        <v>0</v>
      </c>
      <c r="N10" s="49"/>
      <c r="O10" s="166">
        <f t="shared" si="0"/>
        <v>0</v>
      </c>
      <c r="P10" s="49"/>
      <c r="Q10" s="166">
        <f t="shared" si="0"/>
        <v>0</v>
      </c>
      <c r="R10" s="49"/>
      <c r="S10" s="166">
        <f t="shared" si="0"/>
        <v>0</v>
      </c>
      <c r="T10" s="49"/>
      <c r="U10" s="166">
        <f t="shared" si="0"/>
        <v>0</v>
      </c>
      <c r="V10" s="49"/>
      <c r="W10" s="166">
        <f t="shared" si="0"/>
        <v>0</v>
      </c>
      <c r="X10" s="49"/>
      <c r="Y10" s="166">
        <f t="shared" si="0"/>
        <v>0</v>
      </c>
      <c r="Z10" s="49"/>
      <c r="AA10" s="166">
        <f t="shared" si="0"/>
        <v>0</v>
      </c>
      <c r="AB10" s="49"/>
      <c r="AC10" s="166">
        <f t="shared" si="0"/>
        <v>0</v>
      </c>
      <c r="AD10" s="49"/>
      <c r="AE10" s="166">
        <f t="shared" si="0"/>
        <v>0</v>
      </c>
      <c r="AF10" s="49"/>
      <c r="AG10" s="166">
        <f t="shared" si="0"/>
        <v>0</v>
      </c>
      <c r="AH10" s="49"/>
      <c r="AI10" s="166">
        <f t="shared" si="0"/>
        <v>0</v>
      </c>
      <c r="AJ10" s="49"/>
      <c r="AK10" s="166">
        <f t="shared" si="0"/>
        <v>0</v>
      </c>
      <c r="AL10" s="49"/>
      <c r="AM10" s="166">
        <f t="shared" si="0"/>
        <v>0</v>
      </c>
      <c r="AN10" s="49"/>
      <c r="AO10" s="166">
        <f t="shared" si="0"/>
        <v>0</v>
      </c>
      <c r="AP10" s="49"/>
      <c r="AQ10" s="166">
        <f t="shared" si="0"/>
        <v>0</v>
      </c>
      <c r="AR10" s="49"/>
      <c r="AS10" s="166">
        <f t="shared" si="0"/>
        <v>0</v>
      </c>
      <c r="AT10" s="49"/>
      <c r="AU10" s="166">
        <f t="shared" si="0"/>
        <v>0</v>
      </c>
      <c r="AV10" s="49"/>
      <c r="AW10" s="166">
        <f t="shared" si="0"/>
        <v>0</v>
      </c>
      <c r="AX10" s="49"/>
      <c r="AY10" s="166">
        <f t="shared" si="0"/>
        <v>0</v>
      </c>
      <c r="AZ10" s="49"/>
      <c r="BA10" s="166">
        <f t="shared" si="0"/>
        <v>0</v>
      </c>
      <c r="BB10" s="49"/>
      <c r="BC10" s="166">
        <f t="shared" si="0"/>
        <v>0</v>
      </c>
      <c r="BD10" s="49"/>
      <c r="BE10" s="166">
        <f t="shared" si="0"/>
        <v>0</v>
      </c>
      <c r="BF10" s="49"/>
      <c r="BG10" s="166">
        <f t="shared" si="0"/>
        <v>0</v>
      </c>
      <c r="BH10" s="49"/>
      <c r="BI10" s="166">
        <f t="shared" si="0"/>
        <v>0</v>
      </c>
      <c r="BJ10" s="49"/>
      <c r="BK10" s="166">
        <f t="shared" si="0"/>
        <v>0</v>
      </c>
      <c r="BL10" s="49"/>
      <c r="BM10" s="166">
        <f t="shared" si="0"/>
        <v>0</v>
      </c>
      <c r="BN10" s="50"/>
      <c r="BO10" s="170" t="e">
        <f>IF(COUNT(E10,G10,I10,K10,M10,O10,Q10,S10,U10,W10,Y10,AA10,AC10,AE10,AG10,AI10,AK10,AM10,AO10,AQ10,AS10,AU10,AW10,AY10,BA10,BC10,BE10,BG10,BI10,BK10,BM10)=0,"",SUM(E10,G10,I10,K10,M10,O10,Q10,S10,U10,W10,Y10,AA10,AC10,AE10,AG10,AI10,AK10,AM10,AO10,AQ10,AS10,AU10,AW10,AY10,BA10,BC10,BE10,BG10,BI10,BK10,BM10))</f>
        <v>#VALUE!</v>
      </c>
      <c r="BP10" s="49"/>
      <c r="BQ10" s="172">
        <f t="shared" si="0"/>
        <v>0</v>
      </c>
      <c r="BR10"/>
      <c r="BS10"/>
      <c r="BT10"/>
      <c r="BU10"/>
      <c r="BV10"/>
      <c r="BW10"/>
      <c r="BX10"/>
    </row>
    <row r="11" spans="1:76" s="2" customFormat="1" x14ac:dyDescent="0.35">
      <c r="A11" s="44" t="s">
        <v>48</v>
      </c>
      <c r="B11" s="45"/>
      <c r="C11" s="46">
        <v>5252.8</v>
      </c>
      <c r="D11" s="47"/>
      <c r="E11" s="166">
        <f>E75+E56</f>
        <v>0</v>
      </c>
      <c r="F11" s="49"/>
      <c r="G11" s="166">
        <f>G75+G56</f>
        <v>0</v>
      </c>
      <c r="H11" s="49"/>
      <c r="I11" s="166">
        <f>I75+I56</f>
        <v>0</v>
      </c>
      <c r="J11" s="49"/>
      <c r="K11" s="166">
        <f>K75+K56</f>
        <v>0</v>
      </c>
      <c r="L11" s="49"/>
      <c r="M11" s="166">
        <f>M75+M56</f>
        <v>0</v>
      </c>
      <c r="N11" s="49"/>
      <c r="O11" s="166">
        <f>O75+O56</f>
        <v>0</v>
      </c>
      <c r="P11" s="49"/>
      <c r="Q11" s="166">
        <f>Q75+Q56</f>
        <v>0</v>
      </c>
      <c r="R11" s="49"/>
      <c r="S11" s="166">
        <f>S75+S56</f>
        <v>0</v>
      </c>
      <c r="T11" s="49"/>
      <c r="U11" s="166">
        <f>U75+U56</f>
        <v>0</v>
      </c>
      <c r="V11" s="49"/>
      <c r="W11" s="166">
        <f>W75+W56</f>
        <v>0</v>
      </c>
      <c r="X11" s="167">
        <f t="shared" ref="X11:AL11" si="1">X75</f>
        <v>0</v>
      </c>
      <c r="Y11" s="166">
        <f>Y75+Y56</f>
        <v>0</v>
      </c>
      <c r="Z11" s="167">
        <f t="shared" si="1"/>
        <v>0</v>
      </c>
      <c r="AA11" s="166">
        <f>AA75+AA56</f>
        <v>0</v>
      </c>
      <c r="AB11" s="167">
        <f t="shared" si="1"/>
        <v>0</v>
      </c>
      <c r="AC11" s="166">
        <f>AC75+AC56</f>
        <v>0</v>
      </c>
      <c r="AD11" s="167">
        <f t="shared" si="1"/>
        <v>0</v>
      </c>
      <c r="AE11" s="166">
        <f>AE75+AE56</f>
        <v>0</v>
      </c>
      <c r="AF11" s="167">
        <f t="shared" si="1"/>
        <v>0</v>
      </c>
      <c r="AG11" s="166">
        <f>AG75+AG56</f>
        <v>0</v>
      </c>
      <c r="AH11" s="167">
        <f t="shared" si="1"/>
        <v>0</v>
      </c>
      <c r="AI11" s="166">
        <f>AI75+AI56</f>
        <v>0</v>
      </c>
      <c r="AJ11" s="167">
        <f t="shared" si="1"/>
        <v>0</v>
      </c>
      <c r="AK11" s="166">
        <f>AK75+AK56</f>
        <v>0</v>
      </c>
      <c r="AL11" s="167">
        <f t="shared" si="1"/>
        <v>0</v>
      </c>
      <c r="AM11" s="166">
        <f>AM75+AM56</f>
        <v>0</v>
      </c>
      <c r="AN11" s="49"/>
      <c r="AO11" s="166">
        <f>AO75+AO56</f>
        <v>0</v>
      </c>
      <c r="AP11" s="49"/>
      <c r="AQ11" s="166">
        <f>AQ75+AQ56</f>
        <v>0</v>
      </c>
      <c r="AR11" s="49"/>
      <c r="AS11" s="166">
        <f>AS75+AS56</f>
        <v>0</v>
      </c>
      <c r="AT11" s="49"/>
      <c r="AU11" s="166">
        <f>AU75+AU56</f>
        <v>0</v>
      </c>
      <c r="AV11" s="49"/>
      <c r="AW11" s="166">
        <f>AW75+AW56</f>
        <v>0</v>
      </c>
      <c r="AX11" s="49"/>
      <c r="AY11" s="166">
        <f>AY75+AY56</f>
        <v>0</v>
      </c>
      <c r="AZ11" s="49"/>
      <c r="BA11" s="166">
        <f>BA75+BA56</f>
        <v>0</v>
      </c>
      <c r="BB11" s="49"/>
      <c r="BC11" s="166">
        <f>BC75+BC56</f>
        <v>0</v>
      </c>
      <c r="BD11" s="49"/>
      <c r="BE11" s="166">
        <f>BE75+BE56</f>
        <v>0</v>
      </c>
      <c r="BF11" s="49"/>
      <c r="BG11" s="166">
        <f>BG75+BG56</f>
        <v>0</v>
      </c>
      <c r="BH11" s="49"/>
      <c r="BI11" s="166">
        <f>BI75+BI56</f>
        <v>0</v>
      </c>
      <c r="BJ11" s="49"/>
      <c r="BK11" s="166">
        <f>BK75+BK56</f>
        <v>0</v>
      </c>
      <c r="BL11" s="49"/>
      <c r="BM11" s="166">
        <f>BM75+BM56</f>
        <v>0</v>
      </c>
      <c r="BN11" s="50"/>
      <c r="BO11" s="170">
        <f>IF(COUNT(E11,G11,I11,K11,M11,O11,Q11,S11,U11,W11,Y11,AA11,AC11,AE11,AG11,AI11,AK11,AM11,AO11,AQ11,AS11,AU11,AW11,AY11,BA11,BC11,BE11,BG11,BI11,BK11,BM11)=0,"",SUM(E11,G11,I11,K11,M11,O11,Q11,S11,U11,W11,Y11,AA11,AC11,AE11,AG11,AI11,AK11,AM11,AO11,AQ11,AS11,AU11,AW11,AY11,BA11,BC11,BE11,BG11,BI11,BK11,BM11))</f>
        <v>0</v>
      </c>
      <c r="BP11" s="49"/>
      <c r="BQ11" s="172" t="e">
        <f>BQ75+BQ56</f>
        <v>#VALUE!</v>
      </c>
      <c r="BR11"/>
      <c r="BS11"/>
      <c r="BT11"/>
      <c r="BU11"/>
      <c r="BV11"/>
      <c r="BW11"/>
      <c r="BX11"/>
    </row>
    <row r="12" spans="1:76" ht="13.5" customHeight="1" x14ac:dyDescent="0.35">
      <c r="A12" s="53"/>
      <c r="B12" s="54"/>
      <c r="C12" s="55"/>
      <c r="D12" s="219"/>
      <c r="E12" s="217"/>
      <c r="F12" s="216"/>
      <c r="G12" s="217"/>
      <c r="H12" s="216"/>
      <c r="I12" s="217"/>
      <c r="J12" s="216"/>
      <c r="K12" s="217"/>
      <c r="L12" s="216"/>
      <c r="M12" s="217"/>
      <c r="N12" s="216"/>
      <c r="O12" s="217"/>
      <c r="P12" s="216"/>
      <c r="Q12" s="217"/>
      <c r="R12" s="216"/>
      <c r="S12" s="217"/>
      <c r="T12" s="216"/>
      <c r="U12" s="217"/>
      <c r="V12" s="216"/>
      <c r="W12" s="217"/>
      <c r="X12" s="216"/>
      <c r="Y12" s="217"/>
      <c r="Z12" s="216"/>
      <c r="AA12" s="217"/>
      <c r="AB12" s="216"/>
      <c r="AC12" s="217"/>
      <c r="AD12" s="216"/>
      <c r="AE12" s="217"/>
      <c r="AF12" s="216"/>
      <c r="AG12" s="217"/>
      <c r="AH12" s="216"/>
      <c r="AI12" s="217"/>
      <c r="AJ12" s="216"/>
      <c r="AK12" s="217"/>
      <c r="AL12" s="216"/>
      <c r="AM12" s="217"/>
      <c r="AN12" s="216"/>
      <c r="AO12" s="217"/>
      <c r="AP12" s="216"/>
      <c r="AQ12" s="217"/>
      <c r="AR12" s="216"/>
      <c r="AS12" s="217"/>
      <c r="AT12" s="216"/>
      <c r="AU12" s="217"/>
      <c r="AV12" s="216"/>
      <c r="AW12" s="217"/>
      <c r="AX12" s="216"/>
      <c r="AY12" s="217"/>
      <c r="AZ12" s="216"/>
      <c r="BA12" s="217"/>
      <c r="BB12" s="216"/>
      <c r="BC12" s="217"/>
      <c r="BD12" s="216"/>
      <c r="BE12" s="217"/>
      <c r="BF12" s="216"/>
      <c r="BG12" s="217"/>
      <c r="BH12" s="216"/>
      <c r="BI12" s="217"/>
      <c r="BJ12" s="216"/>
      <c r="BK12" s="217"/>
      <c r="BL12" s="216"/>
      <c r="BM12" s="217"/>
      <c r="BN12" s="56"/>
      <c r="BO12" s="57"/>
      <c r="BP12" s="216"/>
      <c r="BQ12" s="218"/>
    </row>
    <row r="13" spans="1:76" x14ac:dyDescent="0.35">
      <c r="A13" s="58" t="s">
        <v>39</v>
      </c>
      <c r="B13" s="59"/>
      <c r="C13" s="205" t="str">
        <f>IF('December 2026 Log'!BM13="","",'December 2026 Log'!BM13)</f>
        <v/>
      </c>
      <c r="D13" s="61" t="s">
        <v>52</v>
      </c>
      <c r="E13" s="62"/>
      <c r="F13" s="63" t="s">
        <v>52</v>
      </c>
      <c r="G13" s="62"/>
      <c r="H13" s="63" t="s">
        <v>52</v>
      </c>
      <c r="I13" s="62"/>
      <c r="J13" s="63" t="s">
        <v>52</v>
      </c>
      <c r="K13" s="62"/>
      <c r="L13" s="63" t="s">
        <v>52</v>
      </c>
      <c r="M13" s="62"/>
      <c r="N13" s="63" t="s">
        <v>52</v>
      </c>
      <c r="O13" s="62"/>
      <c r="P13" s="63" t="s">
        <v>52</v>
      </c>
      <c r="Q13" s="62"/>
      <c r="R13" s="63" t="s">
        <v>52</v>
      </c>
      <c r="S13" s="62"/>
      <c r="T13" s="63" t="s">
        <v>52</v>
      </c>
      <c r="U13" s="62"/>
      <c r="V13" s="63" t="s">
        <v>52</v>
      </c>
      <c r="W13" s="62"/>
      <c r="X13" s="63" t="s">
        <v>52</v>
      </c>
      <c r="Y13" s="62"/>
      <c r="Z13" s="63" t="s">
        <v>52</v>
      </c>
      <c r="AA13" s="62"/>
      <c r="AB13" s="63" t="s">
        <v>52</v>
      </c>
      <c r="AC13" s="62"/>
      <c r="AD13" s="63" t="s">
        <v>52</v>
      </c>
      <c r="AE13" s="62"/>
      <c r="AF13" s="63" t="s">
        <v>52</v>
      </c>
      <c r="AG13" s="62"/>
      <c r="AH13" s="63" t="s">
        <v>52</v>
      </c>
      <c r="AI13" s="62"/>
      <c r="AJ13" s="63" t="s">
        <v>52</v>
      </c>
      <c r="AK13" s="62"/>
      <c r="AL13" s="63" t="s">
        <v>52</v>
      </c>
      <c r="AM13" s="62"/>
      <c r="AN13" s="63" t="s">
        <v>52</v>
      </c>
      <c r="AO13" s="62"/>
      <c r="AP13" s="63" t="s">
        <v>52</v>
      </c>
      <c r="AQ13" s="62"/>
      <c r="AR13" s="63" t="s">
        <v>52</v>
      </c>
      <c r="AS13" s="62"/>
      <c r="AT13" s="63" t="s">
        <v>52</v>
      </c>
      <c r="AU13" s="62"/>
      <c r="AV13" s="63" t="s">
        <v>52</v>
      </c>
      <c r="AW13" s="62"/>
      <c r="AX13" s="63" t="s">
        <v>52</v>
      </c>
      <c r="AY13" s="62"/>
      <c r="AZ13" s="63" t="s">
        <v>52</v>
      </c>
      <c r="BA13" s="62"/>
      <c r="BB13" s="63" t="s">
        <v>52</v>
      </c>
      <c r="BC13" s="62"/>
      <c r="BD13" s="63" t="s">
        <v>52</v>
      </c>
      <c r="BE13" s="62"/>
      <c r="BF13" s="63" t="s">
        <v>52</v>
      </c>
      <c r="BG13" s="62"/>
      <c r="BH13" s="63" t="s">
        <v>52</v>
      </c>
      <c r="BI13" s="62"/>
      <c r="BJ13" s="63" t="s">
        <v>52</v>
      </c>
      <c r="BK13" s="62"/>
      <c r="BL13" s="63" t="s">
        <v>52</v>
      </c>
      <c r="BM13" s="62"/>
      <c r="BN13" s="64"/>
      <c r="BO13" s="65"/>
      <c r="BP13" s="63" t="s">
        <v>52</v>
      </c>
      <c r="BQ13" s="207" t="str">
        <f>IF(BM13="","",BM13)</f>
        <v/>
      </c>
    </row>
    <row r="14" spans="1:76" x14ac:dyDescent="0.35">
      <c r="A14" s="53" t="s">
        <v>40</v>
      </c>
      <c r="B14" s="59"/>
      <c r="C14" s="206" t="str">
        <f>IF('December 2026 Log'!BM14="","",'December 2026 Log'!BM14)</f>
        <v/>
      </c>
      <c r="D14" s="68" t="s">
        <v>40</v>
      </c>
      <c r="E14" s="69"/>
      <c r="F14" s="70" t="s">
        <v>40</v>
      </c>
      <c r="G14" s="69"/>
      <c r="H14" s="70" t="s">
        <v>40</v>
      </c>
      <c r="I14" s="69"/>
      <c r="J14" s="70" t="s">
        <v>40</v>
      </c>
      <c r="K14" s="69"/>
      <c r="L14" s="70" t="s">
        <v>40</v>
      </c>
      <c r="M14" s="69"/>
      <c r="N14" s="70" t="s">
        <v>40</v>
      </c>
      <c r="O14" s="69"/>
      <c r="P14" s="70" t="s">
        <v>40</v>
      </c>
      <c r="Q14" s="69"/>
      <c r="R14" s="70" t="s">
        <v>40</v>
      </c>
      <c r="S14" s="69"/>
      <c r="T14" s="70" t="s">
        <v>40</v>
      </c>
      <c r="U14" s="69"/>
      <c r="V14" s="70" t="s">
        <v>40</v>
      </c>
      <c r="W14" s="69"/>
      <c r="X14" s="70" t="s">
        <v>40</v>
      </c>
      <c r="Y14" s="69"/>
      <c r="Z14" s="70" t="s">
        <v>40</v>
      </c>
      <c r="AA14" s="69"/>
      <c r="AB14" s="70" t="s">
        <v>40</v>
      </c>
      <c r="AC14" s="69"/>
      <c r="AD14" s="70" t="s">
        <v>40</v>
      </c>
      <c r="AE14" s="69"/>
      <c r="AF14" s="70" t="s">
        <v>40</v>
      </c>
      <c r="AG14" s="69"/>
      <c r="AH14" s="70" t="s">
        <v>40</v>
      </c>
      <c r="AI14" s="69"/>
      <c r="AJ14" s="70" t="s">
        <v>40</v>
      </c>
      <c r="AK14" s="69"/>
      <c r="AL14" s="70" t="s">
        <v>40</v>
      </c>
      <c r="AM14" s="69"/>
      <c r="AN14" s="70" t="s">
        <v>40</v>
      </c>
      <c r="AO14" s="69"/>
      <c r="AP14" s="70" t="s">
        <v>40</v>
      </c>
      <c r="AQ14" s="69"/>
      <c r="AR14" s="70" t="s">
        <v>40</v>
      </c>
      <c r="AS14" s="69"/>
      <c r="AT14" s="70" t="s">
        <v>40</v>
      </c>
      <c r="AU14" s="69"/>
      <c r="AV14" s="70" t="s">
        <v>40</v>
      </c>
      <c r="AW14" s="69"/>
      <c r="AX14" s="70" t="s">
        <v>40</v>
      </c>
      <c r="AY14" s="69"/>
      <c r="AZ14" s="70" t="s">
        <v>40</v>
      </c>
      <c r="BA14" s="69"/>
      <c r="BB14" s="70" t="s">
        <v>40</v>
      </c>
      <c r="BC14" s="69"/>
      <c r="BD14" s="70" t="s">
        <v>40</v>
      </c>
      <c r="BE14" s="69"/>
      <c r="BF14" s="70" t="s">
        <v>40</v>
      </c>
      <c r="BG14" s="69"/>
      <c r="BH14" s="70" t="s">
        <v>40</v>
      </c>
      <c r="BI14" s="69"/>
      <c r="BJ14" s="70" t="s">
        <v>40</v>
      </c>
      <c r="BK14" s="69"/>
      <c r="BL14" s="70" t="s">
        <v>40</v>
      </c>
      <c r="BM14" s="69"/>
      <c r="BN14" s="71"/>
      <c r="BO14" s="72"/>
      <c r="BP14" s="70" t="s">
        <v>40</v>
      </c>
      <c r="BQ14" s="208" t="str">
        <f>IF(BM14="","",BM14)</f>
        <v/>
      </c>
    </row>
    <row r="15" spans="1:76" x14ac:dyDescent="0.35">
      <c r="A15" s="53" t="s">
        <v>38</v>
      </c>
      <c r="B15" s="54"/>
      <c r="C15" s="206" t="str">
        <f>IF('December 2026 Log'!BM15="","",'December 2026 Log'!BM15)</f>
        <v/>
      </c>
      <c r="D15" s="68" t="s">
        <v>53</v>
      </c>
      <c r="E15" s="69"/>
      <c r="F15" s="70" t="s">
        <v>53</v>
      </c>
      <c r="G15" s="69"/>
      <c r="H15" s="70" t="s">
        <v>53</v>
      </c>
      <c r="I15" s="69"/>
      <c r="J15" s="70" t="s">
        <v>53</v>
      </c>
      <c r="K15" s="69"/>
      <c r="L15" s="70" t="s">
        <v>53</v>
      </c>
      <c r="M15" s="69"/>
      <c r="N15" s="70" t="s">
        <v>53</v>
      </c>
      <c r="O15" s="69"/>
      <c r="P15" s="70" t="s">
        <v>53</v>
      </c>
      <c r="Q15" s="69"/>
      <c r="R15" s="70" t="s">
        <v>53</v>
      </c>
      <c r="S15" s="69"/>
      <c r="T15" s="70" t="s">
        <v>53</v>
      </c>
      <c r="U15" s="69"/>
      <c r="V15" s="70" t="s">
        <v>53</v>
      </c>
      <c r="W15" s="69"/>
      <c r="X15" s="70" t="s">
        <v>53</v>
      </c>
      <c r="Y15" s="69"/>
      <c r="Z15" s="70" t="s">
        <v>53</v>
      </c>
      <c r="AA15" s="69"/>
      <c r="AB15" s="70" t="s">
        <v>53</v>
      </c>
      <c r="AC15" s="69"/>
      <c r="AD15" s="70" t="s">
        <v>53</v>
      </c>
      <c r="AE15" s="69"/>
      <c r="AF15" s="70" t="s">
        <v>53</v>
      </c>
      <c r="AG15" s="69"/>
      <c r="AH15" s="70" t="s">
        <v>53</v>
      </c>
      <c r="AI15" s="69"/>
      <c r="AJ15" s="70" t="s">
        <v>53</v>
      </c>
      <c r="AK15" s="69"/>
      <c r="AL15" s="70" t="s">
        <v>53</v>
      </c>
      <c r="AM15" s="69"/>
      <c r="AN15" s="70" t="s">
        <v>53</v>
      </c>
      <c r="AO15" s="69"/>
      <c r="AP15" s="70" t="s">
        <v>53</v>
      </c>
      <c r="AQ15" s="69"/>
      <c r="AR15" s="70" t="s">
        <v>53</v>
      </c>
      <c r="AS15" s="69"/>
      <c r="AT15" s="70" t="s">
        <v>53</v>
      </c>
      <c r="AU15" s="69"/>
      <c r="AV15" s="70" t="s">
        <v>53</v>
      </c>
      <c r="AW15" s="69"/>
      <c r="AX15" s="70" t="s">
        <v>53</v>
      </c>
      <c r="AY15" s="69"/>
      <c r="AZ15" s="70" t="s">
        <v>53</v>
      </c>
      <c r="BA15" s="69"/>
      <c r="BB15" s="70" t="s">
        <v>53</v>
      </c>
      <c r="BC15" s="69"/>
      <c r="BD15" s="70" t="s">
        <v>53</v>
      </c>
      <c r="BE15" s="69"/>
      <c r="BF15" s="70" t="s">
        <v>53</v>
      </c>
      <c r="BG15" s="69"/>
      <c r="BH15" s="70" t="s">
        <v>53</v>
      </c>
      <c r="BI15" s="69"/>
      <c r="BJ15" s="70" t="s">
        <v>53</v>
      </c>
      <c r="BK15" s="69"/>
      <c r="BL15" s="70" t="s">
        <v>53</v>
      </c>
      <c r="BM15" s="69"/>
      <c r="BN15" s="71"/>
      <c r="BO15" s="72"/>
      <c r="BP15" s="70" t="s">
        <v>53</v>
      </c>
      <c r="BQ15" s="208" t="str">
        <f>IF(BM15="","",BM15)</f>
        <v/>
      </c>
    </row>
    <row r="16" spans="1:76" x14ac:dyDescent="0.35">
      <c r="A16" s="74" t="s">
        <v>51</v>
      </c>
      <c r="B16" s="75"/>
      <c r="C16" s="76"/>
      <c r="D16" s="77"/>
      <c r="E16" s="78"/>
      <c r="F16" s="79"/>
      <c r="G16" s="78"/>
      <c r="H16" s="79"/>
      <c r="I16" s="78"/>
      <c r="J16" s="79"/>
      <c r="K16" s="78"/>
      <c r="L16" s="79"/>
      <c r="M16" s="78"/>
      <c r="N16" s="79"/>
      <c r="O16" s="78"/>
      <c r="P16" s="79"/>
      <c r="Q16" s="78"/>
      <c r="R16" s="79"/>
      <c r="S16" s="78"/>
      <c r="T16" s="79"/>
      <c r="U16" s="78"/>
      <c r="V16" s="79"/>
      <c r="W16" s="78"/>
      <c r="X16" s="79"/>
      <c r="Y16" s="78"/>
      <c r="Z16" s="79"/>
      <c r="AA16" s="78"/>
      <c r="AB16" s="79"/>
      <c r="AC16" s="78"/>
      <c r="AD16" s="79"/>
      <c r="AE16" s="78"/>
      <c r="AF16" s="79"/>
      <c r="AG16" s="78"/>
      <c r="AH16" s="79"/>
      <c r="AI16" s="78"/>
      <c r="AJ16" s="79"/>
      <c r="AK16" s="78"/>
      <c r="AL16" s="79"/>
      <c r="AM16" s="78"/>
      <c r="AN16" s="79"/>
      <c r="AO16" s="78"/>
      <c r="AP16" s="79"/>
      <c r="AQ16" s="78"/>
      <c r="AR16" s="79"/>
      <c r="AS16" s="78"/>
      <c r="AT16" s="79"/>
      <c r="AU16" s="78"/>
      <c r="AV16" s="79"/>
      <c r="AW16" s="78"/>
      <c r="AX16" s="79"/>
      <c r="AY16" s="78"/>
      <c r="AZ16" s="79"/>
      <c r="BA16" s="78"/>
      <c r="BB16" s="79"/>
      <c r="BC16" s="78"/>
      <c r="BD16" s="79"/>
      <c r="BE16" s="78"/>
      <c r="BF16" s="79"/>
      <c r="BG16" s="78"/>
      <c r="BH16" s="79"/>
      <c r="BI16" s="78"/>
      <c r="BJ16" s="79"/>
      <c r="BK16" s="78"/>
      <c r="BL16" s="79"/>
      <c r="BM16" s="78"/>
      <c r="BN16" s="80"/>
      <c r="BO16" s="81"/>
      <c r="BP16" s="79"/>
      <c r="BQ16" s="82"/>
    </row>
    <row r="17" spans="1:76" x14ac:dyDescent="0.35">
      <c r="A17" s="53" t="s">
        <v>45</v>
      </c>
      <c r="B17" s="54"/>
      <c r="C17" s="206" t="str">
        <f>IF('December 2026 Log'!BM17="","",'December 2026 Log'!BM17)</f>
        <v/>
      </c>
      <c r="D17" s="68"/>
      <c r="E17" s="69"/>
      <c r="F17" s="70"/>
      <c r="G17" s="69"/>
      <c r="H17" s="70"/>
      <c r="I17" s="69"/>
      <c r="J17" s="70"/>
      <c r="K17" s="69"/>
      <c r="L17" s="70"/>
      <c r="M17" s="69"/>
      <c r="N17" s="70"/>
      <c r="O17" s="69"/>
      <c r="P17" s="70"/>
      <c r="Q17" s="69"/>
      <c r="R17" s="70"/>
      <c r="S17" s="69"/>
      <c r="T17" s="70"/>
      <c r="U17" s="69"/>
      <c r="V17" s="70"/>
      <c r="W17" s="69"/>
      <c r="X17" s="70"/>
      <c r="Y17" s="69"/>
      <c r="Z17" s="70"/>
      <c r="AA17" s="69"/>
      <c r="AB17" s="70"/>
      <c r="AC17" s="69"/>
      <c r="AD17" s="70"/>
      <c r="AE17" s="69"/>
      <c r="AF17" s="70"/>
      <c r="AG17" s="69"/>
      <c r="AH17" s="70"/>
      <c r="AI17" s="69"/>
      <c r="AJ17" s="70"/>
      <c r="AK17" s="69"/>
      <c r="AL17" s="70"/>
      <c r="AM17" s="69"/>
      <c r="AN17" s="70"/>
      <c r="AO17" s="69"/>
      <c r="AP17" s="70"/>
      <c r="AQ17" s="69"/>
      <c r="AR17" s="70"/>
      <c r="AS17" s="69"/>
      <c r="AT17" s="70"/>
      <c r="AU17" s="69"/>
      <c r="AV17" s="70"/>
      <c r="AW17" s="69"/>
      <c r="AX17" s="70"/>
      <c r="AY17" s="69"/>
      <c r="AZ17" s="70"/>
      <c r="BA17" s="69"/>
      <c r="BB17" s="70"/>
      <c r="BC17" s="69"/>
      <c r="BD17" s="70"/>
      <c r="BE17" s="69"/>
      <c r="BF17" s="70"/>
      <c r="BG17" s="69"/>
      <c r="BH17" s="70"/>
      <c r="BI17" s="69"/>
      <c r="BJ17" s="70"/>
      <c r="BK17" s="69"/>
      <c r="BL17" s="70"/>
      <c r="BM17" s="69"/>
      <c r="BN17" s="71"/>
      <c r="BO17" s="182" t="str">
        <f t="shared" ref="BO17:BO59" si="2">IF(COUNT(E17,G17,I17,K17,M17,O17,Q17,S17,U17,W17,Y17,AA17,AC17,AE17,AG17,AI17,AK17,AM17,AO17,AQ17,AS17,AU17,AW17,AY17,BA17,BC17,BE17,BG17,BI17,BK17,BM17)=0,"",SUM(E17,G17,I17,K17,M17,O17,Q17,S17,U17,W17,Y17,AA17,AC17,AE17,AG17,AI17,AK17,AM17,AO17,AQ17,AS17,AU17,AW17,AY17,BA17,BC17,BE17,BG17,BI17,BK17,BM17))</f>
        <v/>
      </c>
      <c r="BP17" s="70"/>
      <c r="BQ17" s="208" t="str">
        <f>IF(BM17="","",BM17)</f>
        <v/>
      </c>
    </row>
    <row r="18" spans="1:76" x14ac:dyDescent="0.35">
      <c r="A18" s="53" t="s">
        <v>46</v>
      </c>
      <c r="B18" s="54"/>
      <c r="C18" s="67"/>
      <c r="D18" s="68"/>
      <c r="E18" s="69"/>
      <c r="F18" s="70"/>
      <c r="G18" s="69"/>
      <c r="H18" s="70"/>
      <c r="I18" s="69"/>
      <c r="J18" s="70"/>
      <c r="K18" s="69"/>
      <c r="L18" s="70"/>
      <c r="M18" s="69"/>
      <c r="N18" s="70"/>
      <c r="O18" s="69"/>
      <c r="P18" s="70"/>
      <c r="Q18" s="69"/>
      <c r="R18" s="70"/>
      <c r="S18" s="69"/>
      <c r="T18" s="70"/>
      <c r="U18" s="69"/>
      <c r="V18" s="70"/>
      <c r="W18" s="69"/>
      <c r="X18" s="70"/>
      <c r="Y18" s="69"/>
      <c r="Z18" s="70"/>
      <c r="AA18" s="69"/>
      <c r="AB18" s="70"/>
      <c r="AC18" s="69"/>
      <c r="AD18" s="70"/>
      <c r="AE18" s="69"/>
      <c r="AF18" s="70"/>
      <c r="AG18" s="69"/>
      <c r="AH18" s="70"/>
      <c r="AI18" s="69"/>
      <c r="AJ18" s="70"/>
      <c r="AK18" s="69"/>
      <c r="AL18" s="70"/>
      <c r="AM18" s="69"/>
      <c r="AN18" s="70"/>
      <c r="AO18" s="69"/>
      <c r="AP18" s="70"/>
      <c r="AQ18" s="69"/>
      <c r="AR18" s="70"/>
      <c r="AS18" s="69"/>
      <c r="AT18" s="70"/>
      <c r="AU18" s="69"/>
      <c r="AV18" s="70"/>
      <c r="AW18" s="69"/>
      <c r="AX18" s="70"/>
      <c r="AY18" s="69"/>
      <c r="AZ18" s="70"/>
      <c r="BA18" s="69"/>
      <c r="BB18" s="70"/>
      <c r="BC18" s="69"/>
      <c r="BD18" s="70"/>
      <c r="BE18" s="69"/>
      <c r="BF18" s="70"/>
      <c r="BG18" s="69"/>
      <c r="BH18" s="70"/>
      <c r="BI18" s="69"/>
      <c r="BJ18" s="70"/>
      <c r="BK18" s="69"/>
      <c r="BL18" s="70"/>
      <c r="BM18" s="69"/>
      <c r="BN18" s="71"/>
      <c r="BO18" s="182" t="str">
        <f t="shared" si="2"/>
        <v/>
      </c>
      <c r="BP18" s="70"/>
      <c r="BQ18" s="73"/>
    </row>
    <row r="19" spans="1:76" x14ac:dyDescent="0.35">
      <c r="A19" s="53" t="s">
        <v>69</v>
      </c>
      <c r="B19" s="54"/>
      <c r="C19" s="67"/>
      <c r="D19" s="68"/>
      <c r="E19" s="69"/>
      <c r="F19" s="70"/>
      <c r="G19" s="69"/>
      <c r="H19" s="70"/>
      <c r="I19" s="69"/>
      <c r="J19" s="70"/>
      <c r="K19" s="69"/>
      <c r="L19" s="70"/>
      <c r="M19" s="69"/>
      <c r="N19" s="70"/>
      <c r="O19" s="69"/>
      <c r="P19" s="70"/>
      <c r="Q19" s="69"/>
      <c r="R19" s="70"/>
      <c r="S19" s="69"/>
      <c r="T19" s="70"/>
      <c r="U19" s="69"/>
      <c r="V19" s="70"/>
      <c r="W19" s="69"/>
      <c r="X19" s="70"/>
      <c r="Y19" s="69"/>
      <c r="Z19" s="70"/>
      <c r="AA19" s="69"/>
      <c r="AB19" s="70"/>
      <c r="AC19" s="69"/>
      <c r="AD19" s="70"/>
      <c r="AE19" s="69"/>
      <c r="AF19" s="70"/>
      <c r="AG19" s="69"/>
      <c r="AH19" s="70"/>
      <c r="AI19" s="69"/>
      <c r="AJ19" s="70"/>
      <c r="AK19" s="69"/>
      <c r="AL19" s="70"/>
      <c r="AM19" s="69"/>
      <c r="AN19" s="70"/>
      <c r="AO19" s="69"/>
      <c r="AP19" s="70"/>
      <c r="AQ19" s="69"/>
      <c r="AR19" s="70"/>
      <c r="AS19" s="69"/>
      <c r="AT19" s="70"/>
      <c r="AU19" s="69"/>
      <c r="AV19" s="70"/>
      <c r="AW19" s="69"/>
      <c r="AX19" s="70"/>
      <c r="AY19" s="69"/>
      <c r="AZ19" s="70"/>
      <c r="BA19" s="69"/>
      <c r="BB19" s="70"/>
      <c r="BC19" s="69"/>
      <c r="BD19" s="70"/>
      <c r="BE19" s="69"/>
      <c r="BF19" s="70"/>
      <c r="BG19" s="69"/>
      <c r="BH19" s="70"/>
      <c r="BI19" s="69"/>
      <c r="BJ19" s="70"/>
      <c r="BK19" s="69"/>
      <c r="BL19" s="70"/>
      <c r="BM19" s="69"/>
      <c r="BN19" s="71"/>
      <c r="BO19" s="182" t="str">
        <f t="shared" si="2"/>
        <v/>
      </c>
      <c r="BP19" s="70"/>
      <c r="BQ19" s="73"/>
    </row>
    <row r="20" spans="1:76" x14ac:dyDescent="0.35">
      <c r="A20" s="83" t="s">
        <v>0</v>
      </c>
      <c r="B20" s="54"/>
      <c r="C20" s="84"/>
      <c r="D20" s="85"/>
      <c r="E20" s="86"/>
      <c r="F20" s="87"/>
      <c r="G20" s="86"/>
      <c r="H20" s="87"/>
      <c r="I20" s="86"/>
      <c r="J20" s="87"/>
      <c r="K20" s="86"/>
      <c r="L20" s="87"/>
      <c r="M20" s="86"/>
      <c r="N20" s="87"/>
      <c r="O20" s="86"/>
      <c r="P20" s="87"/>
      <c r="Q20" s="86"/>
      <c r="R20" s="87"/>
      <c r="S20" s="86"/>
      <c r="T20" s="87"/>
      <c r="U20" s="86"/>
      <c r="V20" s="87"/>
      <c r="W20" s="86"/>
      <c r="X20" s="87"/>
      <c r="Y20" s="86"/>
      <c r="Z20" s="87"/>
      <c r="AA20" s="86"/>
      <c r="AB20" s="87"/>
      <c r="AC20" s="86"/>
      <c r="AD20" s="87"/>
      <c r="AE20" s="86"/>
      <c r="AF20" s="87"/>
      <c r="AG20" s="86"/>
      <c r="AH20" s="87"/>
      <c r="AI20" s="86"/>
      <c r="AJ20" s="87"/>
      <c r="AK20" s="86"/>
      <c r="AL20" s="87"/>
      <c r="AM20" s="86"/>
      <c r="AN20" s="87"/>
      <c r="AO20" s="86"/>
      <c r="AP20" s="87"/>
      <c r="AQ20" s="86"/>
      <c r="AR20" s="87"/>
      <c r="AS20" s="86"/>
      <c r="AT20" s="87"/>
      <c r="AU20" s="86"/>
      <c r="AV20" s="87"/>
      <c r="AW20" s="86"/>
      <c r="AX20" s="87"/>
      <c r="AY20" s="86"/>
      <c r="AZ20" s="87"/>
      <c r="BA20" s="86"/>
      <c r="BB20" s="87"/>
      <c r="BC20" s="86"/>
      <c r="BD20" s="87"/>
      <c r="BE20" s="86"/>
      <c r="BF20" s="87"/>
      <c r="BG20" s="86"/>
      <c r="BH20" s="87"/>
      <c r="BI20" s="86"/>
      <c r="BJ20" s="87"/>
      <c r="BK20" s="86"/>
      <c r="BL20" s="87"/>
      <c r="BM20" s="86"/>
      <c r="BN20" s="50"/>
      <c r="BO20" s="170" t="str">
        <f t="shared" si="2"/>
        <v/>
      </c>
      <c r="BP20" s="87"/>
      <c r="BQ20" s="88"/>
    </row>
    <row r="21" spans="1:76" x14ac:dyDescent="0.35">
      <c r="A21" s="83" t="s">
        <v>1</v>
      </c>
      <c r="B21" s="54"/>
      <c r="C21" s="174" t="str">
        <f>IF('December 2026 Log'!BM21="","",'December 2026 Log'!BM21)</f>
        <v/>
      </c>
      <c r="D21" s="85"/>
      <c r="E21" s="86"/>
      <c r="F21" s="87"/>
      <c r="G21" s="86"/>
      <c r="H21" s="87"/>
      <c r="I21" s="86"/>
      <c r="J21" s="87"/>
      <c r="K21" s="86"/>
      <c r="L21" s="87"/>
      <c r="M21" s="86"/>
      <c r="N21" s="87"/>
      <c r="O21" s="86"/>
      <c r="P21" s="87"/>
      <c r="Q21" s="86"/>
      <c r="R21" s="87"/>
      <c r="S21" s="86"/>
      <c r="T21" s="87"/>
      <c r="U21" s="86"/>
      <c r="V21" s="87"/>
      <c r="W21" s="86"/>
      <c r="X21" s="87"/>
      <c r="Y21" s="86"/>
      <c r="Z21" s="87"/>
      <c r="AA21" s="86"/>
      <c r="AB21" s="87"/>
      <c r="AC21" s="86"/>
      <c r="AD21" s="87"/>
      <c r="AE21" s="86"/>
      <c r="AF21" s="87"/>
      <c r="AG21" s="86"/>
      <c r="AH21" s="87"/>
      <c r="AI21" s="86"/>
      <c r="AJ21" s="87"/>
      <c r="AK21" s="86"/>
      <c r="AL21" s="87"/>
      <c r="AM21" s="86"/>
      <c r="AN21" s="87"/>
      <c r="AO21" s="86"/>
      <c r="AP21" s="87"/>
      <c r="AQ21" s="86"/>
      <c r="AR21" s="87"/>
      <c r="AS21" s="86"/>
      <c r="AT21" s="87"/>
      <c r="AU21" s="86"/>
      <c r="AV21" s="87"/>
      <c r="AW21" s="86"/>
      <c r="AX21" s="87"/>
      <c r="AY21" s="86"/>
      <c r="AZ21" s="87"/>
      <c r="BA21" s="86"/>
      <c r="BB21" s="87"/>
      <c r="BC21" s="86"/>
      <c r="BD21" s="87"/>
      <c r="BE21" s="86"/>
      <c r="BF21" s="87"/>
      <c r="BG21" s="86"/>
      <c r="BH21" s="87"/>
      <c r="BI21" s="86"/>
      <c r="BJ21" s="87"/>
      <c r="BK21" s="86"/>
      <c r="BL21" s="87"/>
      <c r="BM21" s="86"/>
      <c r="BN21" s="50"/>
      <c r="BO21" s="170" t="str">
        <f t="shared" si="2"/>
        <v/>
      </c>
      <c r="BP21" s="87"/>
      <c r="BQ21" s="178" t="str">
        <f>IF(BM21="","",BM21)</f>
        <v/>
      </c>
    </row>
    <row r="22" spans="1:76" s="1" customFormat="1" ht="15" thickBot="1" x14ac:dyDescent="0.4">
      <c r="A22" s="89" t="s">
        <v>41</v>
      </c>
      <c r="B22" s="90"/>
      <c r="C22" s="175">
        <f>IF('December 2026 Log'!BM22="","",'December 2026 Log'!BM22)</f>
        <v>0</v>
      </c>
      <c r="D22" s="47"/>
      <c r="E22" s="177">
        <f t="shared" ref="E22" si="3">SUM(E20:E21)</f>
        <v>0</v>
      </c>
      <c r="F22" s="49"/>
      <c r="G22" s="177">
        <f t="shared" ref="G22" si="4">SUM(G20:G21)</f>
        <v>0</v>
      </c>
      <c r="H22" s="49"/>
      <c r="I22" s="177">
        <f t="shared" ref="I22" si="5">SUM(I20:I21)</f>
        <v>0</v>
      </c>
      <c r="J22" s="49"/>
      <c r="K22" s="177">
        <f t="shared" ref="K22" si="6">SUM(K20:K21)</f>
        <v>0</v>
      </c>
      <c r="L22" s="49"/>
      <c r="M22" s="177">
        <f t="shared" ref="M22" si="7">SUM(M20:M21)</f>
        <v>0</v>
      </c>
      <c r="N22" s="49"/>
      <c r="O22" s="177">
        <f t="shared" ref="O22" si="8">SUM(O20:O21)</f>
        <v>0</v>
      </c>
      <c r="P22" s="49"/>
      <c r="Q22" s="177">
        <f t="shared" ref="Q22" si="9">SUM(Q20:Q21)</f>
        <v>0</v>
      </c>
      <c r="R22" s="49"/>
      <c r="S22" s="177">
        <f t="shared" ref="S22" si="10">SUM(S20:S21)</f>
        <v>0</v>
      </c>
      <c r="T22" s="49"/>
      <c r="U22" s="177">
        <f t="shared" ref="U22" si="11">SUM(U20:U21)</f>
        <v>0</v>
      </c>
      <c r="V22" s="49"/>
      <c r="W22" s="177">
        <f t="shared" ref="W22" si="12">SUM(W20:W21)</f>
        <v>0</v>
      </c>
      <c r="X22" s="49"/>
      <c r="Y22" s="177">
        <f t="shared" ref="Y22" si="13">SUM(Y20:Y21)</f>
        <v>0</v>
      </c>
      <c r="Z22" s="49"/>
      <c r="AA22" s="177">
        <f t="shared" ref="AA22" si="14">SUM(AA20:AA21)</f>
        <v>0</v>
      </c>
      <c r="AB22" s="49"/>
      <c r="AC22" s="177">
        <f t="shared" ref="AC22" si="15">SUM(AC20:AC21)</f>
        <v>0</v>
      </c>
      <c r="AD22" s="49"/>
      <c r="AE22" s="177">
        <f t="shared" ref="AE22" si="16">SUM(AE20:AE21)</f>
        <v>0</v>
      </c>
      <c r="AF22" s="49"/>
      <c r="AG22" s="177">
        <f t="shared" ref="AG22" si="17">SUM(AG20:AG21)</f>
        <v>0</v>
      </c>
      <c r="AH22" s="49"/>
      <c r="AI22" s="177">
        <f t="shared" ref="AI22" si="18">SUM(AI20:AI21)</f>
        <v>0</v>
      </c>
      <c r="AJ22" s="49"/>
      <c r="AK22" s="177">
        <f t="shared" ref="AK22" si="19">SUM(AK20:AK21)</f>
        <v>0</v>
      </c>
      <c r="AL22" s="49"/>
      <c r="AM22" s="177">
        <f t="shared" ref="AM22" si="20">SUM(AM20:AM21)</f>
        <v>0</v>
      </c>
      <c r="AN22" s="49"/>
      <c r="AO22" s="177">
        <f t="shared" ref="AO22" si="21">SUM(AO20:AO21)</f>
        <v>0</v>
      </c>
      <c r="AP22" s="49"/>
      <c r="AQ22" s="177">
        <f t="shared" ref="AQ22" si="22">SUM(AQ20:AQ21)</f>
        <v>0</v>
      </c>
      <c r="AR22" s="49"/>
      <c r="AS22" s="177">
        <f t="shared" ref="AS22" si="23">SUM(AS20:AS21)</f>
        <v>0</v>
      </c>
      <c r="AT22" s="49"/>
      <c r="AU22" s="177">
        <f t="shared" ref="AU22" si="24">SUM(AU20:AU21)</f>
        <v>0</v>
      </c>
      <c r="AV22" s="49"/>
      <c r="AW22" s="177">
        <f t="shared" ref="AW22" si="25">SUM(AW20:AW21)</f>
        <v>0</v>
      </c>
      <c r="AX22" s="49"/>
      <c r="AY22" s="177">
        <f t="shared" ref="AY22" si="26">SUM(AY20:AY21)</f>
        <v>0</v>
      </c>
      <c r="AZ22" s="49"/>
      <c r="BA22" s="177">
        <f t="shared" ref="BA22" si="27">SUM(BA20:BA21)</f>
        <v>0</v>
      </c>
      <c r="BB22" s="49"/>
      <c r="BC22" s="177">
        <f t="shared" ref="BC22" si="28">SUM(BC20:BC21)</f>
        <v>0</v>
      </c>
      <c r="BD22" s="49"/>
      <c r="BE22" s="177">
        <f t="shared" ref="BE22" si="29">SUM(BE20:BE21)</f>
        <v>0</v>
      </c>
      <c r="BF22" s="49"/>
      <c r="BG22" s="177">
        <f t="shared" ref="BG22" si="30">SUM(BG20:BG21)</f>
        <v>0</v>
      </c>
      <c r="BH22" s="49"/>
      <c r="BI22" s="177">
        <f t="shared" ref="BI22" si="31">SUM(BI20:BI21)</f>
        <v>0</v>
      </c>
      <c r="BJ22" s="49"/>
      <c r="BK22" s="177">
        <f t="shared" ref="BK22" si="32">SUM(BK20:BK21)</f>
        <v>0</v>
      </c>
      <c r="BL22" s="49"/>
      <c r="BM22" s="177">
        <f t="shared" ref="BM22" si="33">SUM(BM20:BM21)</f>
        <v>0</v>
      </c>
      <c r="BN22" s="92"/>
      <c r="BO22" s="170">
        <f t="shared" si="2"/>
        <v>0</v>
      </c>
      <c r="BP22" s="49"/>
      <c r="BQ22" s="179">
        <f>IF(BM22="","",BM22)</f>
        <v>0</v>
      </c>
      <c r="BR22"/>
      <c r="BS22"/>
      <c r="BT22"/>
      <c r="BU22"/>
      <c r="BV22"/>
      <c r="BW22"/>
      <c r="BX22"/>
    </row>
    <row r="23" spans="1:76" ht="15" hidden="1" thickBot="1" x14ac:dyDescent="0.4">
      <c r="A23" s="83" t="s">
        <v>2</v>
      </c>
      <c r="B23" s="54"/>
      <c r="C23" s="84"/>
      <c r="D23" s="85"/>
      <c r="E23" s="86"/>
      <c r="F23" s="87"/>
      <c r="G23" s="86"/>
      <c r="H23" s="87"/>
      <c r="I23" s="86"/>
      <c r="J23" s="87"/>
      <c r="K23" s="86"/>
      <c r="L23" s="87"/>
      <c r="M23" s="86"/>
      <c r="N23" s="87"/>
      <c r="O23" s="86"/>
      <c r="P23" s="87"/>
      <c r="Q23" s="86"/>
      <c r="R23" s="87"/>
      <c r="S23" s="86"/>
      <c r="T23" s="87"/>
      <c r="U23" s="86"/>
      <c r="V23" s="87"/>
      <c r="W23" s="86"/>
      <c r="X23" s="87"/>
      <c r="Y23" s="86"/>
      <c r="Z23" s="87"/>
      <c r="AA23" s="86"/>
      <c r="AB23" s="87"/>
      <c r="AC23" s="86"/>
      <c r="AD23" s="87"/>
      <c r="AE23" s="86"/>
      <c r="AF23" s="87"/>
      <c r="AG23" s="86"/>
      <c r="AH23" s="87"/>
      <c r="AI23" s="86"/>
      <c r="AJ23" s="87"/>
      <c r="AK23" s="86"/>
      <c r="AL23" s="87"/>
      <c r="AM23" s="86"/>
      <c r="AN23" s="87"/>
      <c r="AO23" s="86"/>
      <c r="AP23" s="87"/>
      <c r="AQ23" s="86"/>
      <c r="AR23" s="87"/>
      <c r="AS23" s="86"/>
      <c r="AT23" s="87"/>
      <c r="AU23" s="86"/>
      <c r="AV23" s="87"/>
      <c r="AW23" s="86"/>
      <c r="AX23" s="87"/>
      <c r="AY23" s="86"/>
      <c r="AZ23" s="87"/>
      <c r="BA23" s="86"/>
      <c r="BB23" s="87"/>
      <c r="BC23" s="86"/>
      <c r="BD23" s="87"/>
      <c r="BE23" s="86"/>
      <c r="BF23" s="87"/>
      <c r="BG23" s="86"/>
      <c r="BH23" s="87"/>
      <c r="BI23" s="86"/>
      <c r="BJ23" s="87"/>
      <c r="BK23" s="86"/>
      <c r="BL23" s="87"/>
      <c r="BM23" s="86"/>
      <c r="BN23" s="50"/>
      <c r="BO23" s="170" t="str">
        <f t="shared" si="2"/>
        <v/>
      </c>
      <c r="BP23" s="87"/>
      <c r="BQ23" s="88"/>
    </row>
    <row r="24" spans="1:76" ht="15" hidden="1" thickBot="1" x14ac:dyDescent="0.4">
      <c r="A24" s="83" t="s">
        <v>3</v>
      </c>
      <c r="B24" s="54"/>
      <c r="C24" s="84"/>
      <c r="D24" s="85"/>
      <c r="E24" s="86"/>
      <c r="F24" s="87"/>
      <c r="G24" s="86"/>
      <c r="H24" s="87"/>
      <c r="I24" s="86"/>
      <c r="J24" s="87"/>
      <c r="K24" s="86"/>
      <c r="L24" s="87"/>
      <c r="M24" s="86"/>
      <c r="N24" s="87"/>
      <c r="O24" s="86"/>
      <c r="P24" s="87"/>
      <c r="Q24" s="86"/>
      <c r="R24" s="87"/>
      <c r="S24" s="86"/>
      <c r="T24" s="87"/>
      <c r="U24" s="86"/>
      <c r="V24" s="87"/>
      <c r="W24" s="86"/>
      <c r="X24" s="87"/>
      <c r="Y24" s="86"/>
      <c r="Z24" s="87"/>
      <c r="AA24" s="86"/>
      <c r="AB24" s="87"/>
      <c r="AC24" s="86"/>
      <c r="AD24" s="87"/>
      <c r="AE24" s="86"/>
      <c r="AF24" s="87"/>
      <c r="AG24" s="86"/>
      <c r="AH24" s="87"/>
      <c r="AI24" s="86"/>
      <c r="AJ24" s="87"/>
      <c r="AK24" s="86"/>
      <c r="AL24" s="87"/>
      <c r="AM24" s="86"/>
      <c r="AN24" s="87"/>
      <c r="AO24" s="86"/>
      <c r="AP24" s="87"/>
      <c r="AQ24" s="86"/>
      <c r="AR24" s="87"/>
      <c r="AS24" s="86"/>
      <c r="AT24" s="87"/>
      <c r="AU24" s="86"/>
      <c r="AV24" s="87"/>
      <c r="AW24" s="86"/>
      <c r="AX24" s="87"/>
      <c r="AY24" s="86"/>
      <c r="AZ24" s="87"/>
      <c r="BA24" s="86"/>
      <c r="BB24" s="87"/>
      <c r="BC24" s="86"/>
      <c r="BD24" s="87"/>
      <c r="BE24" s="86"/>
      <c r="BF24" s="87"/>
      <c r="BG24" s="86"/>
      <c r="BH24" s="87"/>
      <c r="BI24" s="86"/>
      <c r="BJ24" s="87"/>
      <c r="BK24" s="86"/>
      <c r="BL24" s="87"/>
      <c r="BM24" s="86"/>
      <c r="BN24" s="50"/>
      <c r="BO24" s="170" t="str">
        <f t="shared" si="2"/>
        <v/>
      </c>
      <c r="BP24" s="87"/>
      <c r="BQ24" s="88"/>
    </row>
    <row r="25" spans="1:76" s="7" customFormat="1" x14ac:dyDescent="0.35">
      <c r="A25" s="83" t="s">
        <v>37</v>
      </c>
      <c r="B25" s="54"/>
      <c r="C25" s="174" t="str">
        <f>IF('December 2026 Log'!BM25="","",'December 2026 Log'!BM25)</f>
        <v/>
      </c>
      <c r="D25" s="85"/>
      <c r="E25" s="86"/>
      <c r="F25" s="87"/>
      <c r="G25" s="86"/>
      <c r="H25" s="87"/>
      <c r="I25" s="86"/>
      <c r="J25" s="87"/>
      <c r="K25" s="86"/>
      <c r="L25" s="87"/>
      <c r="M25" s="86"/>
      <c r="N25" s="87"/>
      <c r="O25" s="86"/>
      <c r="P25" s="87"/>
      <c r="Q25" s="86"/>
      <c r="R25" s="87"/>
      <c r="S25" s="86"/>
      <c r="T25" s="87"/>
      <c r="U25" s="86"/>
      <c r="V25" s="87"/>
      <c r="W25" s="86"/>
      <c r="X25" s="87"/>
      <c r="Y25" s="86"/>
      <c r="Z25" s="87"/>
      <c r="AA25" s="86"/>
      <c r="AB25" s="87"/>
      <c r="AC25" s="86"/>
      <c r="AD25" s="87"/>
      <c r="AE25" s="86"/>
      <c r="AF25" s="87"/>
      <c r="AG25" s="86"/>
      <c r="AH25" s="87"/>
      <c r="AI25" s="86"/>
      <c r="AJ25" s="87"/>
      <c r="AK25" s="86"/>
      <c r="AL25" s="87"/>
      <c r="AM25" s="86"/>
      <c r="AN25" s="87"/>
      <c r="AO25" s="86"/>
      <c r="AP25" s="87"/>
      <c r="AQ25" s="86"/>
      <c r="AR25" s="87"/>
      <c r="AS25" s="86"/>
      <c r="AT25" s="87"/>
      <c r="AU25" s="86"/>
      <c r="AV25" s="87"/>
      <c r="AW25" s="86"/>
      <c r="AX25" s="87"/>
      <c r="AY25" s="86"/>
      <c r="AZ25" s="87"/>
      <c r="BA25" s="86"/>
      <c r="BB25" s="87"/>
      <c r="BC25" s="86"/>
      <c r="BD25" s="87"/>
      <c r="BE25" s="86"/>
      <c r="BF25" s="87"/>
      <c r="BG25" s="86"/>
      <c r="BH25" s="87"/>
      <c r="BI25" s="86"/>
      <c r="BJ25" s="87"/>
      <c r="BK25" s="86"/>
      <c r="BL25" s="87"/>
      <c r="BM25" s="86"/>
      <c r="BN25" s="50"/>
      <c r="BO25" s="170" t="str">
        <f t="shared" si="2"/>
        <v/>
      </c>
      <c r="BP25" s="87"/>
      <c r="BQ25" s="178" t="str">
        <f>IF(BM25="","",BM25)</f>
        <v/>
      </c>
      <c r="BR25"/>
      <c r="BS25"/>
      <c r="BT25"/>
      <c r="BU25"/>
      <c r="BV25"/>
      <c r="BW25"/>
      <c r="BX25"/>
    </row>
    <row r="26" spans="1:76" ht="15" thickBot="1" x14ac:dyDescent="0.4">
      <c r="A26" s="94" t="s">
        <v>4</v>
      </c>
      <c r="B26" s="95"/>
      <c r="C26" s="174" t="str">
        <f>IF('December 2026 Log'!BM26="","",'December 2026 Log'!BM26)</f>
        <v/>
      </c>
      <c r="D26" s="96"/>
      <c r="E26" s="86"/>
      <c r="F26" s="97"/>
      <c r="G26" s="86"/>
      <c r="H26" s="97"/>
      <c r="I26" s="86"/>
      <c r="J26" s="97"/>
      <c r="K26" s="86"/>
      <c r="L26" s="97"/>
      <c r="M26" s="86"/>
      <c r="N26" s="97"/>
      <c r="O26" s="86"/>
      <c r="P26" s="97"/>
      <c r="Q26" s="86"/>
      <c r="R26" s="97"/>
      <c r="S26" s="86"/>
      <c r="T26" s="97"/>
      <c r="U26" s="86"/>
      <c r="V26" s="97"/>
      <c r="W26" s="86"/>
      <c r="X26" s="97"/>
      <c r="Y26" s="86"/>
      <c r="Z26" s="97"/>
      <c r="AA26" s="86"/>
      <c r="AB26" s="97"/>
      <c r="AC26" s="86"/>
      <c r="AD26" s="97"/>
      <c r="AE26" s="86"/>
      <c r="AF26" s="97"/>
      <c r="AG26" s="86"/>
      <c r="AH26" s="97"/>
      <c r="AI26" s="86"/>
      <c r="AJ26" s="97"/>
      <c r="AK26" s="86"/>
      <c r="AL26" s="97"/>
      <c r="AM26" s="86"/>
      <c r="AN26" s="97"/>
      <c r="AO26" s="86"/>
      <c r="AP26" s="97"/>
      <c r="AQ26" s="86"/>
      <c r="AR26" s="97"/>
      <c r="AS26" s="86"/>
      <c r="AT26" s="97"/>
      <c r="AU26" s="86"/>
      <c r="AV26" s="97"/>
      <c r="AW26" s="86"/>
      <c r="AX26" s="97"/>
      <c r="AY26" s="86"/>
      <c r="AZ26" s="97"/>
      <c r="BA26" s="86"/>
      <c r="BB26" s="97"/>
      <c r="BC26" s="86"/>
      <c r="BD26" s="97"/>
      <c r="BE26" s="86"/>
      <c r="BF26" s="97"/>
      <c r="BG26" s="86"/>
      <c r="BH26" s="97"/>
      <c r="BI26" s="86"/>
      <c r="BJ26" s="97"/>
      <c r="BK26" s="86"/>
      <c r="BL26" s="97"/>
      <c r="BM26" s="86"/>
      <c r="BN26" s="50"/>
      <c r="BO26" s="170" t="str">
        <f t="shared" si="2"/>
        <v/>
      </c>
      <c r="BP26" s="97"/>
      <c r="BQ26" s="178" t="str">
        <f>IF(BM26="","",BM26)</f>
        <v/>
      </c>
    </row>
    <row r="27" spans="1:76" s="7" customFormat="1" x14ac:dyDescent="0.35">
      <c r="A27" s="53" t="s">
        <v>21</v>
      </c>
      <c r="B27" s="54"/>
      <c r="C27" s="174" t="str">
        <f>IF('December 2026 Log'!BM27="","",'December 2026 Log'!BM27)</f>
        <v/>
      </c>
      <c r="D27" s="85"/>
      <c r="E27" s="86"/>
      <c r="F27" s="87"/>
      <c r="G27" s="86"/>
      <c r="H27" s="87"/>
      <c r="I27" s="86"/>
      <c r="J27" s="87"/>
      <c r="K27" s="86"/>
      <c r="L27" s="87"/>
      <c r="M27" s="86"/>
      <c r="N27" s="87"/>
      <c r="O27" s="86"/>
      <c r="P27" s="87"/>
      <c r="Q27" s="86"/>
      <c r="R27" s="87"/>
      <c r="S27" s="86"/>
      <c r="T27" s="87"/>
      <c r="U27" s="86"/>
      <c r="V27" s="87"/>
      <c r="W27" s="86"/>
      <c r="X27" s="87"/>
      <c r="Y27" s="86"/>
      <c r="Z27" s="87"/>
      <c r="AA27" s="86"/>
      <c r="AB27" s="87"/>
      <c r="AC27" s="86"/>
      <c r="AD27" s="87"/>
      <c r="AE27" s="86"/>
      <c r="AF27" s="87"/>
      <c r="AG27" s="86"/>
      <c r="AH27" s="87"/>
      <c r="AI27" s="86"/>
      <c r="AJ27" s="87"/>
      <c r="AK27" s="86"/>
      <c r="AL27" s="87"/>
      <c r="AM27" s="86"/>
      <c r="AN27" s="87"/>
      <c r="AO27" s="86"/>
      <c r="AP27" s="87"/>
      <c r="AQ27" s="86"/>
      <c r="AR27" s="87"/>
      <c r="AS27" s="86"/>
      <c r="AT27" s="87"/>
      <c r="AU27" s="86"/>
      <c r="AV27" s="87"/>
      <c r="AW27" s="86"/>
      <c r="AX27" s="87"/>
      <c r="AY27" s="86"/>
      <c r="AZ27" s="87"/>
      <c r="BA27" s="86"/>
      <c r="BB27" s="87"/>
      <c r="BC27" s="86"/>
      <c r="BD27" s="87"/>
      <c r="BE27" s="86"/>
      <c r="BF27" s="87"/>
      <c r="BG27" s="86"/>
      <c r="BH27" s="87"/>
      <c r="BI27" s="86"/>
      <c r="BJ27" s="87"/>
      <c r="BK27" s="86"/>
      <c r="BL27" s="87"/>
      <c r="BM27" s="86"/>
      <c r="BN27" s="50"/>
      <c r="BO27" s="170" t="str">
        <f t="shared" si="2"/>
        <v/>
      </c>
      <c r="BP27" s="87"/>
      <c r="BQ27" s="178" t="str">
        <f>IF(BM27="","",BM27)</f>
        <v/>
      </c>
      <c r="BR27"/>
      <c r="BS27"/>
      <c r="BT27"/>
      <c r="BU27"/>
      <c r="BV27"/>
      <c r="BW27"/>
      <c r="BX27"/>
    </row>
    <row r="28" spans="1:76" x14ac:dyDescent="0.35">
      <c r="A28" s="53" t="s">
        <v>22</v>
      </c>
      <c r="B28" s="54"/>
      <c r="C28" s="174" t="str">
        <f>IF('December 2026 Log'!BM28="","",'December 2026 Log'!BM28)</f>
        <v/>
      </c>
      <c r="D28" s="85"/>
      <c r="E28" s="86"/>
      <c r="F28" s="87"/>
      <c r="G28" s="86"/>
      <c r="H28" s="87"/>
      <c r="I28" s="86"/>
      <c r="J28" s="87"/>
      <c r="K28" s="86"/>
      <c r="L28" s="87"/>
      <c r="M28" s="86"/>
      <c r="N28" s="87"/>
      <c r="O28" s="86"/>
      <c r="P28" s="87"/>
      <c r="Q28" s="86"/>
      <c r="R28" s="87"/>
      <c r="S28" s="86"/>
      <c r="T28" s="87"/>
      <c r="U28" s="86"/>
      <c r="V28" s="87"/>
      <c r="W28" s="86"/>
      <c r="X28" s="87"/>
      <c r="Y28" s="86"/>
      <c r="Z28" s="87"/>
      <c r="AA28" s="86"/>
      <c r="AB28" s="87"/>
      <c r="AC28" s="86"/>
      <c r="AD28" s="87"/>
      <c r="AE28" s="86"/>
      <c r="AF28" s="87"/>
      <c r="AG28" s="86"/>
      <c r="AH28" s="87"/>
      <c r="AI28" s="86"/>
      <c r="AJ28" s="87"/>
      <c r="AK28" s="86"/>
      <c r="AL28" s="87"/>
      <c r="AM28" s="86"/>
      <c r="AN28" s="87"/>
      <c r="AO28" s="86"/>
      <c r="AP28" s="87"/>
      <c r="AQ28" s="86"/>
      <c r="AR28" s="87"/>
      <c r="AS28" s="86"/>
      <c r="AT28" s="87"/>
      <c r="AU28" s="86"/>
      <c r="AV28" s="87"/>
      <c r="AW28" s="86"/>
      <c r="AX28" s="87"/>
      <c r="AY28" s="86"/>
      <c r="AZ28" s="87"/>
      <c r="BA28" s="86"/>
      <c r="BB28" s="87"/>
      <c r="BC28" s="86"/>
      <c r="BD28" s="87"/>
      <c r="BE28" s="86"/>
      <c r="BF28" s="87"/>
      <c r="BG28" s="86"/>
      <c r="BH28" s="87"/>
      <c r="BI28" s="86"/>
      <c r="BJ28" s="87"/>
      <c r="BK28" s="86"/>
      <c r="BL28" s="87"/>
      <c r="BM28" s="86"/>
      <c r="BN28" s="50"/>
      <c r="BO28" s="170" t="str">
        <f t="shared" si="2"/>
        <v/>
      </c>
      <c r="BP28" s="87"/>
      <c r="BQ28" s="178" t="str">
        <f>IF(BM28="","",BM28)</f>
        <v/>
      </c>
    </row>
    <row r="29" spans="1:76" s="4" customFormat="1" ht="15" thickBot="1" x14ac:dyDescent="0.4">
      <c r="A29" s="53" t="s">
        <v>23</v>
      </c>
      <c r="B29" s="54"/>
      <c r="C29" s="84"/>
      <c r="D29" s="85"/>
      <c r="E29" s="86"/>
      <c r="F29" s="87"/>
      <c r="G29" s="86"/>
      <c r="H29" s="87"/>
      <c r="I29" s="86"/>
      <c r="J29" s="87"/>
      <c r="K29" s="86"/>
      <c r="L29" s="87"/>
      <c r="M29" s="86"/>
      <c r="N29" s="87"/>
      <c r="O29" s="86"/>
      <c r="P29" s="87"/>
      <c r="Q29" s="86"/>
      <c r="R29" s="87"/>
      <c r="S29" s="86"/>
      <c r="T29" s="87"/>
      <c r="U29" s="86"/>
      <c r="V29" s="87"/>
      <c r="W29" s="86"/>
      <c r="X29" s="87"/>
      <c r="Y29" s="86"/>
      <c r="Z29" s="87"/>
      <c r="AA29" s="86"/>
      <c r="AB29" s="87"/>
      <c r="AC29" s="86"/>
      <c r="AD29" s="87"/>
      <c r="AE29" s="86"/>
      <c r="AF29" s="87"/>
      <c r="AG29" s="86"/>
      <c r="AH29" s="87"/>
      <c r="AI29" s="86"/>
      <c r="AJ29" s="87"/>
      <c r="AK29" s="86"/>
      <c r="AL29" s="87"/>
      <c r="AM29" s="86"/>
      <c r="AN29" s="87"/>
      <c r="AO29" s="86"/>
      <c r="AP29" s="87"/>
      <c r="AQ29" s="86"/>
      <c r="AR29" s="87"/>
      <c r="AS29" s="86"/>
      <c r="AT29" s="87"/>
      <c r="AU29" s="86"/>
      <c r="AV29" s="87"/>
      <c r="AW29" s="86"/>
      <c r="AX29" s="87"/>
      <c r="AY29" s="86"/>
      <c r="AZ29" s="87"/>
      <c r="BA29" s="86"/>
      <c r="BB29" s="87"/>
      <c r="BC29" s="86"/>
      <c r="BD29" s="87"/>
      <c r="BE29" s="86"/>
      <c r="BF29" s="87"/>
      <c r="BG29" s="86"/>
      <c r="BH29" s="87"/>
      <c r="BI29" s="86"/>
      <c r="BJ29" s="87"/>
      <c r="BK29" s="86"/>
      <c r="BL29" s="87"/>
      <c r="BM29" s="86"/>
      <c r="BN29" s="50"/>
      <c r="BO29" s="170" t="str">
        <f t="shared" si="2"/>
        <v/>
      </c>
      <c r="BP29" s="87"/>
      <c r="BQ29" s="88"/>
      <c r="BR29"/>
      <c r="BS29"/>
      <c r="BT29"/>
      <c r="BU29"/>
      <c r="BV29"/>
      <c r="BW29"/>
      <c r="BX29"/>
    </row>
    <row r="30" spans="1:76" s="5" customFormat="1" ht="15" thickBot="1" x14ac:dyDescent="0.4">
      <c r="A30" s="98"/>
      <c r="B30" s="90"/>
      <c r="C30" s="84"/>
      <c r="D30" s="47"/>
      <c r="E30" s="180" t="e">
        <f>E28-(C28-E25+E29)</f>
        <v>#VALUE!</v>
      </c>
      <c r="F30" s="49"/>
      <c r="G30" s="166">
        <f>G28-(E28-G25+G29)</f>
        <v>0</v>
      </c>
      <c r="H30" s="49"/>
      <c r="I30" s="166">
        <f>I28-(G28-I25+I29)</f>
        <v>0</v>
      </c>
      <c r="J30" s="49"/>
      <c r="K30" s="180">
        <f>K28-(I28-K25+K29)</f>
        <v>0</v>
      </c>
      <c r="L30" s="49"/>
      <c r="M30" s="166">
        <f>M28-(K28-M25+M29)</f>
        <v>0</v>
      </c>
      <c r="N30" s="49"/>
      <c r="O30" s="166">
        <f>O28-(M28-O25+O29)</f>
        <v>0</v>
      </c>
      <c r="P30" s="49"/>
      <c r="Q30" s="166">
        <f>Q28-(O28-Q25+Q29)</f>
        <v>0</v>
      </c>
      <c r="R30" s="49"/>
      <c r="S30" s="166">
        <f>S28-(Q28-S25+S29)</f>
        <v>0</v>
      </c>
      <c r="T30" s="49"/>
      <c r="U30" s="166">
        <f>U28-(S28-U25+U29)</f>
        <v>0</v>
      </c>
      <c r="V30" s="49"/>
      <c r="W30" s="166">
        <f>W28-(U28-W25+W29)</f>
        <v>0</v>
      </c>
      <c r="X30" s="49"/>
      <c r="Y30" s="166">
        <f>Y28-(W28-Y25+Y29)</f>
        <v>0</v>
      </c>
      <c r="Z30" s="49"/>
      <c r="AA30" s="166">
        <f>AA28-(Y28-AA25+AA29)</f>
        <v>0</v>
      </c>
      <c r="AB30" s="49"/>
      <c r="AC30" s="166">
        <f>AC28-(AA28-AC25+AC29)</f>
        <v>0</v>
      </c>
      <c r="AD30" s="49"/>
      <c r="AE30" s="166">
        <f>AE28-(AC28-AE25+AE29)</f>
        <v>0</v>
      </c>
      <c r="AF30" s="49"/>
      <c r="AG30" s="166">
        <f>AG28-(AE28-AG25+AG29)</f>
        <v>0</v>
      </c>
      <c r="AH30" s="49"/>
      <c r="AI30" s="166">
        <f>AI28-(AG28-AI25+AI29)</f>
        <v>0</v>
      </c>
      <c r="AJ30" s="49"/>
      <c r="AK30" s="166">
        <f>AK28-(AI28-AK25+AK29)</f>
        <v>0</v>
      </c>
      <c r="AL30" s="49"/>
      <c r="AM30" s="166">
        <f>AM28-(AK28-AM25+AM29)</f>
        <v>0</v>
      </c>
      <c r="AN30" s="49"/>
      <c r="AO30" s="166">
        <f>AO28-(AM28-AO25+AO29)</f>
        <v>0</v>
      </c>
      <c r="AP30" s="49"/>
      <c r="AQ30" s="166">
        <f>AQ28-(AO28-AQ25+AQ29)</f>
        <v>0</v>
      </c>
      <c r="AR30" s="49"/>
      <c r="AS30" s="166">
        <f>AS28-(AQ28-AS25+AS29)</f>
        <v>0</v>
      </c>
      <c r="AT30" s="49"/>
      <c r="AU30" s="166">
        <f>AU28-(AS28-AU25+AU29)</f>
        <v>0</v>
      </c>
      <c r="AV30" s="49"/>
      <c r="AW30" s="166">
        <f>AW28-(AU28-AW25+AW29)</f>
        <v>0</v>
      </c>
      <c r="AX30" s="49"/>
      <c r="AY30" s="166">
        <f>AY28-(AW28-AY25+AY29)</f>
        <v>0</v>
      </c>
      <c r="AZ30" s="49"/>
      <c r="BA30" s="166">
        <f>BA28-(AY28-BA25+BA29)</f>
        <v>0</v>
      </c>
      <c r="BB30" s="49"/>
      <c r="BC30" s="166">
        <f>BC28-(BA28-BC25+BC29)</f>
        <v>0</v>
      </c>
      <c r="BD30" s="49"/>
      <c r="BE30" s="166">
        <f>BE28-(BC28-BE25+BE29)</f>
        <v>0</v>
      </c>
      <c r="BF30" s="49"/>
      <c r="BG30" s="166">
        <f>BG28-(BE28-BG25+BG29)</f>
        <v>0</v>
      </c>
      <c r="BH30" s="49"/>
      <c r="BI30" s="166">
        <f>BI28-(BG28-BI25+BI29)</f>
        <v>0</v>
      </c>
      <c r="BJ30" s="49"/>
      <c r="BK30" s="166">
        <f>BK28-(BI28-BK25+BK29)</f>
        <v>0</v>
      </c>
      <c r="BL30" s="49"/>
      <c r="BM30" s="166">
        <f>BM28-(BK28-BM25+BM29)</f>
        <v>0</v>
      </c>
      <c r="BN30" s="50"/>
      <c r="BO30" s="170" t="e">
        <f t="shared" si="2"/>
        <v>#VALUE!</v>
      </c>
      <c r="BP30" s="49"/>
      <c r="BQ30" s="52"/>
      <c r="BR30"/>
      <c r="BS30"/>
      <c r="BT30"/>
      <c r="BU30"/>
      <c r="BV30"/>
      <c r="BW30"/>
      <c r="BX30"/>
    </row>
    <row r="31" spans="1:76" s="5" customFormat="1" ht="15" thickBot="1" x14ac:dyDescent="0.4">
      <c r="A31" s="98"/>
      <c r="B31" s="90"/>
      <c r="C31" s="84"/>
      <c r="D31" s="47"/>
      <c r="E31" s="166" t="str">
        <f>IF(E25=0,"",E30/E25*100)</f>
        <v/>
      </c>
      <c r="F31" s="49"/>
      <c r="G31" s="166" t="str">
        <f>IF(G25=0,"",G30/G25*100)</f>
        <v/>
      </c>
      <c r="H31" s="49"/>
      <c r="I31" s="166" t="str">
        <f>IF(I25=0,"",I30/I25*100)</f>
        <v/>
      </c>
      <c r="J31" s="49"/>
      <c r="K31" s="166" t="str">
        <f>IF(K25=0,"",K30/K25*100)</f>
        <v/>
      </c>
      <c r="L31" s="49"/>
      <c r="M31" s="166" t="str">
        <f>IF(M25=0,"",M30/M25*100)</f>
        <v/>
      </c>
      <c r="N31" s="49"/>
      <c r="O31" s="166" t="str">
        <f>IF(O25=0,"",O30/O25*100)</f>
        <v/>
      </c>
      <c r="P31" s="49"/>
      <c r="Q31" s="166" t="str">
        <f>IF(Q25=0,"",Q30/Q25*100)</f>
        <v/>
      </c>
      <c r="R31" s="49"/>
      <c r="S31" s="166" t="str">
        <f>IF(S25=0,"",S30/S25*100)</f>
        <v/>
      </c>
      <c r="T31" s="49"/>
      <c r="U31" s="166" t="str">
        <f>IF(U25=0,"",U30/U25*100)</f>
        <v/>
      </c>
      <c r="V31" s="49"/>
      <c r="W31" s="166" t="str">
        <f>IF(W25=0,"",W30/W25*100)</f>
        <v/>
      </c>
      <c r="X31" s="49"/>
      <c r="Y31" s="166" t="str">
        <f>IF(Y25=0,"",Y30/Y25*100)</f>
        <v/>
      </c>
      <c r="Z31" s="49"/>
      <c r="AA31" s="166" t="str">
        <f>IF(AA25=0,"",AA30/AA25*100)</f>
        <v/>
      </c>
      <c r="AB31" s="49"/>
      <c r="AC31" s="166" t="str">
        <f>IF(AC25=0,"",AC30/AC25*100)</f>
        <v/>
      </c>
      <c r="AD31" s="49"/>
      <c r="AE31" s="166" t="str">
        <f>IF(AE25=0,"",AE30/AE25*100)</f>
        <v/>
      </c>
      <c r="AF31" s="49"/>
      <c r="AG31" s="166" t="str">
        <f>IF(AG25=0,"",AG30/AG25*100)</f>
        <v/>
      </c>
      <c r="AH31" s="49"/>
      <c r="AI31" s="166" t="str">
        <f>IF(AI25=0,"",AI30/AI25*100)</f>
        <v/>
      </c>
      <c r="AJ31" s="49"/>
      <c r="AK31" s="166" t="str">
        <f>IF(AK25=0,"",AK30/AK25*100)</f>
        <v/>
      </c>
      <c r="AL31" s="49"/>
      <c r="AM31" s="166" t="str">
        <f>IF(AM25=0,"",AM30/AM25*100)</f>
        <v/>
      </c>
      <c r="AN31" s="49"/>
      <c r="AO31" s="166" t="str">
        <f>IF(AO25=0,"",AO30/AO25*100)</f>
        <v/>
      </c>
      <c r="AP31" s="49"/>
      <c r="AQ31" s="166" t="str">
        <f>IF(AQ25=0,"",AQ30/AQ25*100)</f>
        <v/>
      </c>
      <c r="AR31" s="49"/>
      <c r="AS31" s="166" t="str">
        <f>IF(AS25=0,"",AS30/AS25*100)</f>
        <v/>
      </c>
      <c r="AT31" s="49"/>
      <c r="AU31" s="166" t="str">
        <f>IF(AU25=0,"",AU30/AU25*100)</f>
        <v/>
      </c>
      <c r="AV31" s="49"/>
      <c r="AW31" s="166" t="str">
        <f>IF(AW25=0,"",AW30/AW25*100)</f>
        <v/>
      </c>
      <c r="AX31" s="49"/>
      <c r="AY31" s="166" t="str">
        <f>IF(AY25=0,"",AY30/AY25*100)</f>
        <v/>
      </c>
      <c r="AZ31" s="49"/>
      <c r="BA31" s="166" t="str">
        <f>IF(BA25=0,"",BA30/BA25*100)</f>
        <v/>
      </c>
      <c r="BB31" s="49"/>
      <c r="BC31" s="166" t="str">
        <f>IF(BC25=0,"",BC30/BC25*100)</f>
        <v/>
      </c>
      <c r="BD31" s="49"/>
      <c r="BE31" s="166" t="str">
        <f>IF(BE25=0,"",BE30/BE25*100)</f>
        <v/>
      </c>
      <c r="BF31" s="49"/>
      <c r="BG31" s="166" t="str">
        <f>IF(BG25=0,"",BG30/BG25*100)</f>
        <v/>
      </c>
      <c r="BH31" s="49"/>
      <c r="BI31" s="166" t="str">
        <f>IF(BI25=0,"",BI30/BI25*100)</f>
        <v/>
      </c>
      <c r="BJ31" s="49"/>
      <c r="BK31" s="166" t="str">
        <f>IF(BK25=0,"",BK30/BK25*100)</f>
        <v/>
      </c>
      <c r="BL31" s="49"/>
      <c r="BM31" s="166" t="str">
        <f>IF(BM25=0,"",BM30/BM25*100)</f>
        <v/>
      </c>
      <c r="BN31" s="50"/>
      <c r="BO31" s="170" t="str">
        <f t="shared" si="2"/>
        <v/>
      </c>
      <c r="BP31" s="49"/>
      <c r="BQ31" s="52"/>
      <c r="BR31"/>
      <c r="BS31"/>
      <c r="BT31"/>
      <c r="BU31"/>
      <c r="BV31"/>
      <c r="BW31"/>
      <c r="BX31"/>
    </row>
    <row r="32" spans="1:76" x14ac:dyDescent="0.35">
      <c r="A32" s="83" t="s">
        <v>5</v>
      </c>
      <c r="B32" s="54"/>
      <c r="C32" s="174" t="str">
        <f>IF('December 2026 Log'!BM32="","",'December 2026 Log'!BM32)</f>
        <v/>
      </c>
      <c r="D32" s="85"/>
      <c r="E32" s="86"/>
      <c r="F32" s="87"/>
      <c r="G32" s="86"/>
      <c r="H32" s="87"/>
      <c r="I32" s="86"/>
      <c r="J32" s="87"/>
      <c r="K32" s="86"/>
      <c r="L32" s="87"/>
      <c r="M32" s="86"/>
      <c r="N32" s="87"/>
      <c r="O32" s="86"/>
      <c r="P32" s="87"/>
      <c r="Q32" s="86"/>
      <c r="R32" s="87"/>
      <c r="S32" s="86"/>
      <c r="T32" s="87"/>
      <c r="U32" s="86"/>
      <c r="V32" s="87"/>
      <c r="W32" s="86"/>
      <c r="X32" s="87"/>
      <c r="Y32" s="86"/>
      <c r="Z32" s="87"/>
      <c r="AA32" s="86"/>
      <c r="AB32" s="87"/>
      <c r="AC32" s="86"/>
      <c r="AD32" s="87"/>
      <c r="AE32" s="86"/>
      <c r="AF32" s="87"/>
      <c r="AG32" s="86"/>
      <c r="AH32" s="87"/>
      <c r="AI32" s="86"/>
      <c r="AJ32" s="87"/>
      <c r="AK32" s="86"/>
      <c r="AL32" s="87"/>
      <c r="AM32" s="86"/>
      <c r="AN32" s="87"/>
      <c r="AO32" s="86"/>
      <c r="AP32" s="87"/>
      <c r="AQ32" s="86"/>
      <c r="AR32" s="87"/>
      <c r="AS32" s="86"/>
      <c r="AT32" s="87"/>
      <c r="AU32" s="86"/>
      <c r="AV32" s="87"/>
      <c r="AW32" s="86"/>
      <c r="AX32" s="87"/>
      <c r="AY32" s="86"/>
      <c r="AZ32" s="87"/>
      <c r="BA32" s="86"/>
      <c r="BB32" s="87"/>
      <c r="BC32" s="86"/>
      <c r="BD32" s="87"/>
      <c r="BE32" s="86"/>
      <c r="BF32" s="87"/>
      <c r="BG32" s="86"/>
      <c r="BH32" s="87"/>
      <c r="BI32" s="86"/>
      <c r="BJ32" s="87"/>
      <c r="BK32" s="86"/>
      <c r="BL32" s="87"/>
      <c r="BM32" s="86"/>
      <c r="BN32" s="50"/>
      <c r="BO32" s="170" t="str">
        <f t="shared" si="2"/>
        <v/>
      </c>
      <c r="BP32" s="87"/>
      <c r="BQ32" s="178" t="str">
        <f>IF(BM32="","",BM32)</f>
        <v/>
      </c>
    </row>
    <row r="33" spans="1:76" x14ac:dyDescent="0.35">
      <c r="A33" s="83" t="s">
        <v>6</v>
      </c>
      <c r="B33" s="54"/>
      <c r="C33" s="174" t="str">
        <f>IF('December 2026 Log'!BM33="","",'December 2026 Log'!BM33)</f>
        <v/>
      </c>
      <c r="D33" s="85"/>
      <c r="E33" s="86"/>
      <c r="F33" s="87"/>
      <c r="G33" s="86"/>
      <c r="H33" s="87"/>
      <c r="I33" s="86"/>
      <c r="J33" s="87"/>
      <c r="K33" s="86"/>
      <c r="L33" s="87"/>
      <c r="M33" s="86"/>
      <c r="N33" s="87"/>
      <c r="O33" s="86"/>
      <c r="P33" s="87"/>
      <c r="Q33" s="86"/>
      <c r="R33" s="87"/>
      <c r="S33" s="86"/>
      <c r="T33" s="87"/>
      <c r="U33" s="86"/>
      <c r="V33" s="87"/>
      <c r="W33" s="86"/>
      <c r="X33" s="87"/>
      <c r="Y33" s="86"/>
      <c r="Z33" s="87"/>
      <c r="AA33" s="86"/>
      <c r="AB33" s="87"/>
      <c r="AC33" s="86"/>
      <c r="AD33" s="87"/>
      <c r="AE33" s="86"/>
      <c r="AF33" s="87"/>
      <c r="AG33" s="86"/>
      <c r="AH33" s="87"/>
      <c r="AI33" s="86"/>
      <c r="AJ33" s="87"/>
      <c r="AK33" s="86"/>
      <c r="AL33" s="87"/>
      <c r="AM33" s="86"/>
      <c r="AN33" s="87"/>
      <c r="AO33" s="86"/>
      <c r="AP33" s="87"/>
      <c r="AQ33" s="86"/>
      <c r="AR33" s="87"/>
      <c r="AS33" s="86"/>
      <c r="AT33" s="87"/>
      <c r="AU33" s="86"/>
      <c r="AV33" s="87"/>
      <c r="AW33" s="86"/>
      <c r="AX33" s="87"/>
      <c r="AY33" s="86"/>
      <c r="AZ33" s="87"/>
      <c r="BA33" s="86"/>
      <c r="BB33" s="87"/>
      <c r="BC33" s="86"/>
      <c r="BD33" s="87"/>
      <c r="BE33" s="86"/>
      <c r="BF33" s="87"/>
      <c r="BG33" s="86"/>
      <c r="BH33" s="87"/>
      <c r="BI33" s="86"/>
      <c r="BJ33" s="87"/>
      <c r="BK33" s="86"/>
      <c r="BL33" s="87"/>
      <c r="BM33" s="86"/>
      <c r="BN33" s="50"/>
      <c r="BO33" s="170" t="str">
        <f t="shared" si="2"/>
        <v/>
      </c>
      <c r="BP33" s="87"/>
      <c r="BQ33" s="178" t="str">
        <f>IF(BM33="","",BM33)</f>
        <v/>
      </c>
    </row>
    <row r="34" spans="1:76" x14ac:dyDescent="0.35">
      <c r="A34" s="83" t="s">
        <v>7</v>
      </c>
      <c r="B34" s="54"/>
      <c r="C34" s="174" t="str">
        <f>IF('December 2026 Log'!BM34="","",'December 2026 Log'!BM34)</f>
        <v/>
      </c>
      <c r="D34" s="85"/>
      <c r="E34" s="86"/>
      <c r="F34" s="87"/>
      <c r="G34" s="86"/>
      <c r="H34" s="87"/>
      <c r="I34" s="86"/>
      <c r="J34" s="87"/>
      <c r="K34" s="86"/>
      <c r="L34" s="87"/>
      <c r="M34" s="86"/>
      <c r="N34" s="87"/>
      <c r="O34" s="86"/>
      <c r="P34" s="87"/>
      <c r="Q34" s="86"/>
      <c r="R34" s="87"/>
      <c r="S34" s="86"/>
      <c r="T34" s="87"/>
      <c r="U34" s="86"/>
      <c r="V34" s="87"/>
      <c r="W34" s="86"/>
      <c r="X34" s="87"/>
      <c r="Y34" s="86"/>
      <c r="Z34" s="87"/>
      <c r="AA34" s="86"/>
      <c r="AB34" s="87"/>
      <c r="AC34" s="86"/>
      <c r="AD34" s="87"/>
      <c r="AE34" s="86"/>
      <c r="AF34" s="87"/>
      <c r="AG34" s="86"/>
      <c r="AH34" s="87"/>
      <c r="AI34" s="86"/>
      <c r="AJ34" s="87"/>
      <c r="AK34" s="86"/>
      <c r="AL34" s="87"/>
      <c r="AM34" s="86"/>
      <c r="AN34" s="87"/>
      <c r="AO34" s="86"/>
      <c r="AP34" s="87"/>
      <c r="AQ34" s="86"/>
      <c r="AR34" s="87"/>
      <c r="AS34" s="86"/>
      <c r="AT34" s="99"/>
      <c r="AU34" s="86"/>
      <c r="AV34" s="87"/>
      <c r="AW34" s="86"/>
      <c r="AX34" s="87"/>
      <c r="AY34" s="86"/>
      <c r="AZ34" s="87"/>
      <c r="BA34" s="86"/>
      <c r="BB34" s="87"/>
      <c r="BC34" s="86"/>
      <c r="BD34" s="87"/>
      <c r="BE34" s="86"/>
      <c r="BF34" s="87"/>
      <c r="BG34" s="86"/>
      <c r="BH34" s="87"/>
      <c r="BI34" s="86"/>
      <c r="BJ34" s="87"/>
      <c r="BK34" s="86"/>
      <c r="BL34" s="87"/>
      <c r="BM34" s="86"/>
      <c r="BN34" s="50"/>
      <c r="BO34" s="170" t="str">
        <f t="shared" si="2"/>
        <v/>
      </c>
      <c r="BP34" s="87"/>
      <c r="BQ34" s="178" t="str">
        <f>IF(BM34="","",BM34)</f>
        <v/>
      </c>
    </row>
    <row r="35" spans="1:76" x14ac:dyDescent="0.35">
      <c r="A35" s="100"/>
      <c r="B35" s="75"/>
      <c r="C35" s="101"/>
      <c r="D35" s="102"/>
      <c r="E35" s="103"/>
      <c r="F35" s="104"/>
      <c r="G35" s="103"/>
      <c r="H35" s="104"/>
      <c r="I35" s="103"/>
      <c r="J35" s="104"/>
      <c r="K35" s="103"/>
      <c r="L35" s="104"/>
      <c r="M35" s="103"/>
      <c r="N35" s="104"/>
      <c r="O35" s="103"/>
      <c r="P35" s="104"/>
      <c r="Q35" s="103"/>
      <c r="R35" s="104"/>
      <c r="S35" s="103"/>
      <c r="T35" s="104"/>
      <c r="U35" s="103"/>
      <c r="V35" s="104"/>
      <c r="W35" s="103"/>
      <c r="X35" s="104"/>
      <c r="Y35" s="103"/>
      <c r="Z35" s="104"/>
      <c r="AA35" s="103"/>
      <c r="AB35" s="104"/>
      <c r="AC35" s="103"/>
      <c r="AD35" s="104"/>
      <c r="AE35" s="103"/>
      <c r="AF35" s="104"/>
      <c r="AG35" s="103"/>
      <c r="AH35" s="104"/>
      <c r="AI35" s="103"/>
      <c r="AJ35" s="104"/>
      <c r="AK35" s="103"/>
      <c r="AL35" s="104"/>
      <c r="AM35" s="103"/>
      <c r="AN35" s="104"/>
      <c r="AO35" s="103"/>
      <c r="AP35" s="104"/>
      <c r="AQ35" s="103"/>
      <c r="AR35" s="104"/>
      <c r="AS35" s="103"/>
      <c r="AT35" s="104"/>
      <c r="AU35" s="103"/>
      <c r="AV35" s="104"/>
      <c r="AW35" s="103"/>
      <c r="AX35" s="104"/>
      <c r="AY35" s="103"/>
      <c r="AZ35" s="104"/>
      <c r="BA35" s="103"/>
      <c r="BB35" s="104"/>
      <c r="BC35" s="103"/>
      <c r="BD35" s="104"/>
      <c r="BE35" s="103"/>
      <c r="BF35" s="104"/>
      <c r="BG35" s="103"/>
      <c r="BH35" s="104"/>
      <c r="BI35" s="103"/>
      <c r="BJ35" s="104"/>
      <c r="BK35" s="103"/>
      <c r="BL35" s="104"/>
      <c r="BM35" s="103"/>
      <c r="BN35" s="105"/>
      <c r="BO35" s="183" t="str">
        <f t="shared" si="2"/>
        <v/>
      </c>
      <c r="BP35" s="104"/>
      <c r="BQ35" s="107"/>
    </row>
    <row r="36" spans="1:76" x14ac:dyDescent="0.35">
      <c r="A36" s="83" t="s">
        <v>59</v>
      </c>
      <c r="B36" s="54" t="s">
        <v>58</v>
      </c>
      <c r="C36" s="174" t="str">
        <f>IF('December 2026 Log'!BM36="","",'December 2026 Log'!BM36)</f>
        <v/>
      </c>
      <c r="D36" s="85"/>
      <c r="E36" s="86"/>
      <c r="F36" s="87"/>
      <c r="G36" s="86"/>
      <c r="H36" s="87"/>
      <c r="I36" s="86"/>
      <c r="J36" s="87"/>
      <c r="K36" s="86"/>
      <c r="L36" s="87"/>
      <c r="M36" s="86"/>
      <c r="N36" s="87"/>
      <c r="O36" s="86"/>
      <c r="P36" s="87"/>
      <c r="Q36" s="86"/>
      <c r="R36" s="87"/>
      <c r="S36" s="86"/>
      <c r="T36" s="87"/>
      <c r="U36" s="86"/>
      <c r="V36" s="87"/>
      <c r="W36" s="86"/>
      <c r="X36" s="87"/>
      <c r="Y36" s="86"/>
      <c r="Z36" s="87"/>
      <c r="AA36" s="86"/>
      <c r="AB36" s="87"/>
      <c r="AC36" s="86"/>
      <c r="AD36" s="87"/>
      <c r="AE36" s="86"/>
      <c r="AF36" s="87"/>
      <c r="AG36" s="86"/>
      <c r="AH36" s="87"/>
      <c r="AI36" s="86"/>
      <c r="AJ36" s="87"/>
      <c r="AK36" s="86"/>
      <c r="AL36" s="87"/>
      <c r="AM36" s="86"/>
      <c r="AN36" s="87"/>
      <c r="AO36" s="86"/>
      <c r="AP36" s="87"/>
      <c r="AQ36" s="86"/>
      <c r="AR36" s="87"/>
      <c r="AS36" s="86"/>
      <c r="AT36" s="87"/>
      <c r="AU36" s="86"/>
      <c r="AV36" s="87"/>
      <c r="AW36" s="86"/>
      <c r="AX36" s="87"/>
      <c r="AY36" s="86"/>
      <c r="AZ36" s="87"/>
      <c r="BA36" s="86"/>
      <c r="BB36" s="87"/>
      <c r="BC36" s="86"/>
      <c r="BD36" s="87"/>
      <c r="BE36" s="86"/>
      <c r="BF36" s="87"/>
      <c r="BG36" s="86"/>
      <c r="BH36" s="87"/>
      <c r="BI36" s="86"/>
      <c r="BJ36" s="87"/>
      <c r="BK36" s="86"/>
      <c r="BL36" s="87"/>
      <c r="BM36" s="86"/>
      <c r="BN36" s="50"/>
      <c r="BO36" s="170" t="str">
        <f t="shared" si="2"/>
        <v/>
      </c>
      <c r="BP36" s="87"/>
      <c r="BQ36" s="178" t="str">
        <f>IF(BM36="","",BM36)</f>
        <v/>
      </c>
    </row>
    <row r="37" spans="1:76" x14ac:dyDescent="0.35">
      <c r="A37" s="83"/>
      <c r="B37" s="54"/>
      <c r="C37" s="84"/>
      <c r="D37" s="85"/>
      <c r="E37" s="86"/>
      <c r="F37" s="87"/>
      <c r="G37" s="86"/>
      <c r="H37" s="87"/>
      <c r="I37" s="86"/>
      <c r="J37" s="87"/>
      <c r="K37" s="86"/>
      <c r="L37" s="87"/>
      <c r="M37" s="86"/>
      <c r="N37" s="87"/>
      <c r="O37" s="86"/>
      <c r="P37" s="87"/>
      <c r="Q37" s="86"/>
      <c r="R37" s="87"/>
      <c r="S37" s="86"/>
      <c r="T37" s="87"/>
      <c r="U37" s="86"/>
      <c r="V37" s="87"/>
      <c r="W37" s="86"/>
      <c r="X37" s="87"/>
      <c r="Y37" s="86"/>
      <c r="Z37" s="87"/>
      <c r="AA37" s="86"/>
      <c r="AB37" s="87"/>
      <c r="AC37" s="86"/>
      <c r="AD37" s="87"/>
      <c r="AE37" s="86"/>
      <c r="AF37" s="87"/>
      <c r="AG37" s="86"/>
      <c r="AH37" s="87"/>
      <c r="AI37" s="86"/>
      <c r="AJ37" s="87"/>
      <c r="AK37" s="86"/>
      <c r="AL37" s="87"/>
      <c r="AM37" s="86"/>
      <c r="AN37" s="87"/>
      <c r="AO37" s="86"/>
      <c r="AP37" s="87"/>
      <c r="AQ37" s="86"/>
      <c r="AR37" s="87"/>
      <c r="AS37" s="86"/>
      <c r="AT37" s="87"/>
      <c r="AU37" s="86"/>
      <c r="AV37" s="87"/>
      <c r="AW37" s="86"/>
      <c r="AX37" s="87"/>
      <c r="AY37" s="86"/>
      <c r="AZ37" s="87"/>
      <c r="BA37" s="86"/>
      <c r="BB37" s="87"/>
      <c r="BC37" s="86"/>
      <c r="BD37" s="87"/>
      <c r="BE37" s="86"/>
      <c r="BF37" s="87"/>
      <c r="BG37" s="86"/>
      <c r="BH37" s="87"/>
      <c r="BI37" s="86"/>
      <c r="BJ37" s="87"/>
      <c r="BK37" s="86"/>
      <c r="BL37" s="87"/>
      <c r="BM37" s="86"/>
      <c r="BN37" s="50"/>
      <c r="BO37" s="170" t="str">
        <f t="shared" si="2"/>
        <v/>
      </c>
      <c r="BP37" s="87"/>
      <c r="BQ37" s="88"/>
    </row>
    <row r="38" spans="1:76" x14ac:dyDescent="0.35">
      <c r="A38" s="83" t="s">
        <v>62</v>
      </c>
      <c r="B38" s="54" t="s">
        <v>63</v>
      </c>
      <c r="C38" s="174" t="str">
        <f>IF('December 2026 Log'!BM38="","",'December 2026 Log'!BM38)</f>
        <v/>
      </c>
      <c r="D38" s="85"/>
      <c r="E38" s="86"/>
      <c r="F38" s="87"/>
      <c r="G38" s="86"/>
      <c r="H38" s="87"/>
      <c r="I38" s="86"/>
      <c r="J38" s="87"/>
      <c r="K38" s="86"/>
      <c r="L38" s="87"/>
      <c r="M38" s="86"/>
      <c r="N38" s="87"/>
      <c r="O38" s="86"/>
      <c r="P38" s="87"/>
      <c r="Q38" s="86"/>
      <c r="R38" s="87"/>
      <c r="S38" s="86"/>
      <c r="T38" s="87"/>
      <c r="U38" s="86"/>
      <c r="V38" s="87"/>
      <c r="W38" s="86"/>
      <c r="X38" s="87"/>
      <c r="Y38" s="86"/>
      <c r="Z38" s="87"/>
      <c r="AA38" s="86"/>
      <c r="AB38" s="87"/>
      <c r="AC38" s="86"/>
      <c r="AD38" s="87"/>
      <c r="AE38" s="86"/>
      <c r="AF38" s="87"/>
      <c r="AG38" s="86"/>
      <c r="AH38" s="87"/>
      <c r="AI38" s="86"/>
      <c r="AJ38" s="87"/>
      <c r="AK38" s="86"/>
      <c r="AL38" s="87"/>
      <c r="AM38" s="86"/>
      <c r="AN38" s="87"/>
      <c r="AO38" s="86"/>
      <c r="AP38" s="87"/>
      <c r="AQ38" s="86"/>
      <c r="AR38" s="87"/>
      <c r="AS38" s="86"/>
      <c r="AT38" s="87"/>
      <c r="AU38" s="86"/>
      <c r="AV38" s="87"/>
      <c r="AW38" s="86"/>
      <c r="AX38" s="87"/>
      <c r="AY38" s="86"/>
      <c r="AZ38" s="87"/>
      <c r="BA38" s="86"/>
      <c r="BB38" s="87"/>
      <c r="BC38" s="86"/>
      <c r="BD38" s="87"/>
      <c r="BE38" s="86"/>
      <c r="BF38" s="87"/>
      <c r="BG38" s="86"/>
      <c r="BH38" s="87"/>
      <c r="BI38" s="86"/>
      <c r="BJ38" s="87"/>
      <c r="BK38" s="86"/>
      <c r="BL38" s="87"/>
      <c r="BM38" s="86"/>
      <c r="BN38" s="50"/>
      <c r="BO38" s="170" t="str">
        <f t="shared" si="2"/>
        <v/>
      </c>
      <c r="BP38" s="87"/>
      <c r="BQ38" s="178" t="str">
        <f>IF(BM38="","",BM38)</f>
        <v/>
      </c>
    </row>
    <row r="39" spans="1:76" x14ac:dyDescent="0.35">
      <c r="A39" s="83" t="s">
        <v>64</v>
      </c>
      <c r="B39" s="54" t="s">
        <v>63</v>
      </c>
      <c r="C39" s="174" t="str">
        <f>IF('December 2026 Log'!BM39="","",'December 2026 Log'!BM39)</f>
        <v/>
      </c>
      <c r="D39" s="85"/>
      <c r="E39" s="86"/>
      <c r="F39" s="87"/>
      <c r="G39" s="86"/>
      <c r="H39" s="87"/>
      <c r="I39" s="86"/>
      <c r="J39" s="87"/>
      <c r="K39" s="86"/>
      <c r="L39" s="87"/>
      <c r="M39" s="86"/>
      <c r="N39" s="87"/>
      <c r="O39" s="86"/>
      <c r="P39" s="87"/>
      <c r="Q39" s="86"/>
      <c r="R39" s="87"/>
      <c r="S39" s="86"/>
      <c r="T39" s="87"/>
      <c r="U39" s="86"/>
      <c r="V39" s="87"/>
      <c r="W39" s="86"/>
      <c r="X39" s="87"/>
      <c r="Y39" s="86"/>
      <c r="Z39" s="87"/>
      <c r="AA39" s="86"/>
      <c r="AB39" s="87"/>
      <c r="AC39" s="86"/>
      <c r="AD39" s="87"/>
      <c r="AE39" s="86"/>
      <c r="AF39" s="87"/>
      <c r="AG39" s="86"/>
      <c r="AH39" s="87"/>
      <c r="AI39" s="86"/>
      <c r="AJ39" s="87"/>
      <c r="AK39" s="86"/>
      <c r="AL39" s="87"/>
      <c r="AM39" s="86"/>
      <c r="AN39" s="87"/>
      <c r="AO39" s="86"/>
      <c r="AP39" s="87"/>
      <c r="AQ39" s="86"/>
      <c r="AR39" s="87"/>
      <c r="AS39" s="86"/>
      <c r="AT39" s="87"/>
      <c r="AU39" s="86"/>
      <c r="AV39" s="87"/>
      <c r="AW39" s="86"/>
      <c r="AX39" s="87"/>
      <c r="AY39" s="86"/>
      <c r="AZ39" s="87"/>
      <c r="BA39" s="86"/>
      <c r="BB39" s="87"/>
      <c r="BC39" s="86"/>
      <c r="BD39" s="87"/>
      <c r="BE39" s="86"/>
      <c r="BF39" s="87"/>
      <c r="BG39" s="86"/>
      <c r="BH39" s="87"/>
      <c r="BI39" s="86"/>
      <c r="BJ39" s="87"/>
      <c r="BK39" s="86"/>
      <c r="BL39" s="87"/>
      <c r="BM39" s="86"/>
      <c r="BN39" s="50"/>
      <c r="BO39" s="170" t="str">
        <f t="shared" si="2"/>
        <v/>
      </c>
      <c r="BP39" s="87"/>
      <c r="BQ39" s="178" t="str">
        <f>IF(BM39="","",BM39)</f>
        <v/>
      </c>
    </row>
    <row r="40" spans="1:76" x14ac:dyDescent="0.35">
      <c r="A40" s="83" t="s">
        <v>44</v>
      </c>
      <c r="B40" s="54"/>
      <c r="C40" s="84"/>
      <c r="D40" s="85"/>
      <c r="E40" s="86"/>
      <c r="F40" s="87"/>
      <c r="G40" s="86"/>
      <c r="H40" s="87"/>
      <c r="I40" s="86"/>
      <c r="J40" s="87"/>
      <c r="K40" s="86"/>
      <c r="L40" s="87"/>
      <c r="M40" s="86"/>
      <c r="N40" s="87"/>
      <c r="O40" s="86"/>
      <c r="P40" s="87"/>
      <c r="Q40" s="86"/>
      <c r="R40" s="87"/>
      <c r="S40" s="86"/>
      <c r="T40" s="87"/>
      <c r="U40" s="86"/>
      <c r="V40" s="87"/>
      <c r="W40" s="86"/>
      <c r="X40" s="87"/>
      <c r="Y40" s="86"/>
      <c r="Z40" s="87"/>
      <c r="AA40" s="86"/>
      <c r="AB40" s="87"/>
      <c r="AC40" s="86"/>
      <c r="AD40" s="87"/>
      <c r="AE40" s="86"/>
      <c r="AF40" s="87"/>
      <c r="AG40" s="86"/>
      <c r="AH40" s="87"/>
      <c r="AI40" s="86"/>
      <c r="AJ40" s="87"/>
      <c r="AK40" s="86"/>
      <c r="AL40" s="87"/>
      <c r="AM40" s="86"/>
      <c r="AN40" s="87"/>
      <c r="AO40" s="86"/>
      <c r="AP40" s="87"/>
      <c r="AQ40" s="86"/>
      <c r="AR40" s="87"/>
      <c r="AS40" s="86"/>
      <c r="AT40" s="87"/>
      <c r="AU40" s="86"/>
      <c r="AV40" s="87"/>
      <c r="AW40" s="86"/>
      <c r="AX40" s="87"/>
      <c r="AY40" s="86"/>
      <c r="AZ40" s="87"/>
      <c r="BA40" s="86"/>
      <c r="BB40" s="87"/>
      <c r="BC40" s="86"/>
      <c r="BD40" s="87"/>
      <c r="BE40" s="86"/>
      <c r="BF40" s="87"/>
      <c r="BG40" s="86"/>
      <c r="BH40" s="87"/>
      <c r="BI40" s="86"/>
      <c r="BJ40" s="87"/>
      <c r="BK40" s="86"/>
      <c r="BL40" s="87"/>
      <c r="BM40" s="86"/>
      <c r="BN40" s="50"/>
      <c r="BO40" s="170" t="str">
        <f t="shared" si="2"/>
        <v/>
      </c>
      <c r="BP40" s="87"/>
      <c r="BQ40" s="88"/>
    </row>
    <row r="41" spans="1:76" x14ac:dyDescent="0.35">
      <c r="A41" s="83" t="s">
        <v>54</v>
      </c>
      <c r="B41" s="54"/>
      <c r="C41" s="84"/>
      <c r="D41" s="85"/>
      <c r="E41" s="86"/>
      <c r="F41" s="87"/>
      <c r="G41" s="86"/>
      <c r="H41" s="87"/>
      <c r="I41" s="86"/>
      <c r="J41" s="87"/>
      <c r="K41" s="86"/>
      <c r="L41" s="87"/>
      <c r="M41" s="86"/>
      <c r="N41" s="87"/>
      <c r="O41" s="86"/>
      <c r="P41" s="87"/>
      <c r="Q41" s="86"/>
      <c r="R41" s="87"/>
      <c r="S41" s="86"/>
      <c r="T41" s="87"/>
      <c r="U41" s="86"/>
      <c r="V41" s="87"/>
      <c r="W41" s="86"/>
      <c r="X41" s="87"/>
      <c r="Y41" s="86"/>
      <c r="Z41" s="87"/>
      <c r="AA41" s="86"/>
      <c r="AB41" s="87"/>
      <c r="AC41" s="86"/>
      <c r="AD41" s="87"/>
      <c r="AE41" s="86"/>
      <c r="AF41" s="87"/>
      <c r="AG41" s="86"/>
      <c r="AH41" s="87"/>
      <c r="AI41" s="86"/>
      <c r="AJ41" s="87"/>
      <c r="AK41" s="86"/>
      <c r="AL41" s="87"/>
      <c r="AM41" s="86"/>
      <c r="AN41" s="87"/>
      <c r="AO41" s="86"/>
      <c r="AP41" s="87"/>
      <c r="AQ41" s="86"/>
      <c r="AR41" s="87"/>
      <c r="AS41" s="86"/>
      <c r="AT41" s="87"/>
      <c r="AU41" s="86"/>
      <c r="AV41" s="87"/>
      <c r="AW41" s="86"/>
      <c r="AX41" s="87"/>
      <c r="AY41" s="86"/>
      <c r="AZ41" s="87"/>
      <c r="BA41" s="86"/>
      <c r="BB41" s="87"/>
      <c r="BC41" s="86"/>
      <c r="BD41" s="87"/>
      <c r="BE41" s="86"/>
      <c r="BF41" s="87"/>
      <c r="BG41" s="86"/>
      <c r="BH41" s="87"/>
      <c r="BI41" s="86"/>
      <c r="BJ41" s="87"/>
      <c r="BK41" s="86"/>
      <c r="BL41" s="87"/>
      <c r="BM41" s="86"/>
      <c r="BN41" s="50"/>
      <c r="BO41" s="170" t="str">
        <f t="shared" si="2"/>
        <v/>
      </c>
      <c r="BP41" s="87"/>
      <c r="BQ41" s="88"/>
    </row>
    <row r="42" spans="1:76" s="1" customFormat="1" x14ac:dyDescent="0.35">
      <c r="A42" s="89" t="s">
        <v>35</v>
      </c>
      <c r="B42" s="90"/>
      <c r="C42" s="174">
        <f>IF('December 2026 Log'!BM42="","",'December 2026 Log'!BM42)</f>
        <v>0</v>
      </c>
      <c r="D42" s="47"/>
      <c r="E42" s="166">
        <f>SUM(E36:E41)</f>
        <v>0</v>
      </c>
      <c r="F42" s="49"/>
      <c r="G42" s="166">
        <f>SUM(G36:G41)</f>
        <v>0</v>
      </c>
      <c r="H42" s="49"/>
      <c r="I42" s="166">
        <f>SUM(I36:I41)</f>
        <v>0</v>
      </c>
      <c r="J42" s="49"/>
      <c r="K42" s="166">
        <f>SUM(K36:K41)</f>
        <v>0</v>
      </c>
      <c r="L42" s="49"/>
      <c r="M42" s="166">
        <f>SUM(M36:M41)</f>
        <v>0</v>
      </c>
      <c r="N42" s="49"/>
      <c r="O42" s="166">
        <f>SUM(O36:O41)</f>
        <v>0</v>
      </c>
      <c r="P42" s="49"/>
      <c r="Q42" s="166">
        <f>SUM(Q36:Q41)</f>
        <v>0</v>
      </c>
      <c r="R42" s="49"/>
      <c r="S42" s="166">
        <f>SUM(S36:S41)</f>
        <v>0</v>
      </c>
      <c r="T42" s="49"/>
      <c r="U42" s="166">
        <f>SUM(U36:U41)</f>
        <v>0</v>
      </c>
      <c r="V42" s="49"/>
      <c r="W42" s="166">
        <f>SUM(W36:W41)</f>
        <v>0</v>
      </c>
      <c r="X42" s="49"/>
      <c r="Y42" s="166">
        <f>SUM(Y36:Y41)</f>
        <v>0</v>
      </c>
      <c r="Z42" s="49"/>
      <c r="AA42" s="166">
        <f>SUM(AA36:AA41)</f>
        <v>0</v>
      </c>
      <c r="AB42" s="49"/>
      <c r="AC42" s="166">
        <f>SUM(AC36:AC41)</f>
        <v>0</v>
      </c>
      <c r="AD42" s="49"/>
      <c r="AE42" s="166">
        <f>SUM(AE36:AE41)</f>
        <v>0</v>
      </c>
      <c r="AF42" s="49"/>
      <c r="AG42" s="166">
        <f>SUM(AG36:AG41)</f>
        <v>0</v>
      </c>
      <c r="AH42" s="49"/>
      <c r="AI42" s="166">
        <f>SUM(AI36:AI41)</f>
        <v>0</v>
      </c>
      <c r="AJ42" s="49"/>
      <c r="AK42" s="166">
        <f>SUM(AK36:AK41)</f>
        <v>0</v>
      </c>
      <c r="AL42" s="49"/>
      <c r="AM42" s="166">
        <f>SUM(AM36:AM41)</f>
        <v>0</v>
      </c>
      <c r="AN42" s="49"/>
      <c r="AO42" s="166">
        <f>SUM(AO36:AO41)</f>
        <v>0</v>
      </c>
      <c r="AP42" s="49"/>
      <c r="AQ42" s="166">
        <f>SUM(AQ36:AQ41)</f>
        <v>0</v>
      </c>
      <c r="AR42" s="49"/>
      <c r="AS42" s="166">
        <f>SUM(AS36:AS41)</f>
        <v>0</v>
      </c>
      <c r="AT42" s="49"/>
      <c r="AU42" s="166">
        <f>SUM(AU36:AU41)</f>
        <v>0</v>
      </c>
      <c r="AV42" s="49"/>
      <c r="AW42" s="166">
        <f>SUM(AW36:AW41)</f>
        <v>0</v>
      </c>
      <c r="AX42" s="49"/>
      <c r="AY42" s="166">
        <f>SUM(AY36:AY41)</f>
        <v>0</v>
      </c>
      <c r="AZ42" s="49"/>
      <c r="BA42" s="166">
        <f>SUM(BA36:BA41)</f>
        <v>0</v>
      </c>
      <c r="BB42" s="49"/>
      <c r="BC42" s="166">
        <f>SUM(BC36:BC41)</f>
        <v>0</v>
      </c>
      <c r="BD42" s="49"/>
      <c r="BE42" s="166">
        <f>SUM(BE36:BE41)</f>
        <v>0</v>
      </c>
      <c r="BF42" s="49"/>
      <c r="BG42" s="166">
        <f>SUM(BG36:BG41)</f>
        <v>0</v>
      </c>
      <c r="BH42" s="49"/>
      <c r="BI42" s="166">
        <f>SUM(BI36:BI41)</f>
        <v>0</v>
      </c>
      <c r="BJ42" s="49"/>
      <c r="BK42" s="166">
        <f>SUM(BK36:BK41)</f>
        <v>0</v>
      </c>
      <c r="BL42" s="49"/>
      <c r="BM42" s="166">
        <f>SUM(BM36:BM41)</f>
        <v>0</v>
      </c>
      <c r="BN42" s="50"/>
      <c r="BO42" s="170">
        <f t="shared" si="2"/>
        <v>0</v>
      </c>
      <c r="BP42" s="49"/>
      <c r="BQ42" s="172">
        <f>IF(BM42="","",BM42)</f>
        <v>0</v>
      </c>
      <c r="BR42"/>
      <c r="BS42"/>
      <c r="BT42"/>
      <c r="BU42"/>
      <c r="BV42"/>
      <c r="BW42"/>
      <c r="BX42"/>
    </row>
    <row r="43" spans="1:76" x14ac:dyDescent="0.35">
      <c r="A43" s="83" t="s">
        <v>61</v>
      </c>
      <c r="B43" s="54" t="s">
        <v>60</v>
      </c>
      <c r="C43" s="174" t="str">
        <f>IF('December 2026 Log'!BM43="","",'December 2026 Log'!BM43)</f>
        <v/>
      </c>
      <c r="D43" s="85"/>
      <c r="E43" s="86"/>
      <c r="F43" s="87"/>
      <c r="G43" s="86"/>
      <c r="H43" s="87"/>
      <c r="I43" s="86"/>
      <c r="J43" s="87"/>
      <c r="K43" s="86"/>
      <c r="L43" s="87"/>
      <c r="M43" s="86"/>
      <c r="N43" s="87"/>
      <c r="O43" s="86"/>
      <c r="P43" s="87"/>
      <c r="Q43" s="86"/>
      <c r="R43" s="87"/>
      <c r="S43" s="86"/>
      <c r="T43" s="87"/>
      <c r="U43" s="86"/>
      <c r="V43" s="87"/>
      <c r="W43" s="86"/>
      <c r="X43" s="87"/>
      <c r="Y43" s="86"/>
      <c r="Z43" s="87"/>
      <c r="AA43" s="86"/>
      <c r="AB43" s="87"/>
      <c r="AC43" s="86"/>
      <c r="AD43" s="87"/>
      <c r="AE43" s="86"/>
      <c r="AF43" s="87"/>
      <c r="AG43" s="86"/>
      <c r="AH43" s="87"/>
      <c r="AI43" s="86"/>
      <c r="AJ43" s="87"/>
      <c r="AK43" s="86"/>
      <c r="AL43" s="87"/>
      <c r="AM43" s="86"/>
      <c r="AN43" s="87"/>
      <c r="AO43" s="86"/>
      <c r="AP43" s="87"/>
      <c r="AQ43" s="86"/>
      <c r="AR43" s="87"/>
      <c r="AS43" s="86"/>
      <c r="AT43" s="87"/>
      <c r="AU43" s="86"/>
      <c r="AV43" s="87"/>
      <c r="AW43" s="86"/>
      <c r="AX43" s="87"/>
      <c r="AY43" s="86"/>
      <c r="AZ43" s="87"/>
      <c r="BA43" s="86"/>
      <c r="BB43" s="87"/>
      <c r="BC43" s="86"/>
      <c r="BD43" s="87"/>
      <c r="BE43" s="86"/>
      <c r="BF43" s="87"/>
      <c r="BG43" s="86"/>
      <c r="BH43" s="87"/>
      <c r="BI43" s="86"/>
      <c r="BJ43" s="87"/>
      <c r="BK43" s="86"/>
      <c r="BL43" s="87"/>
      <c r="BM43" s="86"/>
      <c r="BN43" s="50"/>
      <c r="BO43" s="170" t="str">
        <f t="shared" si="2"/>
        <v/>
      </c>
      <c r="BP43" s="87"/>
      <c r="BQ43" s="178" t="str">
        <f>IF(BM43="","",BM43)</f>
        <v/>
      </c>
    </row>
    <row r="44" spans="1:76" hidden="1" x14ac:dyDescent="0.35">
      <c r="A44" s="83" t="s">
        <v>8</v>
      </c>
      <c r="B44" s="54"/>
      <c r="C44" s="84"/>
      <c r="D44" s="85"/>
      <c r="E44" s="86"/>
      <c r="F44" s="87"/>
      <c r="G44" s="86"/>
      <c r="H44" s="87"/>
      <c r="I44" s="86"/>
      <c r="J44" s="87"/>
      <c r="K44" s="86"/>
      <c r="L44" s="87"/>
      <c r="M44" s="86"/>
      <c r="N44" s="87"/>
      <c r="O44" s="86"/>
      <c r="P44" s="87"/>
      <c r="Q44" s="86"/>
      <c r="R44" s="87"/>
      <c r="S44" s="86"/>
      <c r="T44" s="87"/>
      <c r="U44" s="86"/>
      <c r="V44" s="87"/>
      <c r="W44" s="86"/>
      <c r="X44" s="87"/>
      <c r="Y44" s="86"/>
      <c r="Z44" s="87"/>
      <c r="AA44" s="86"/>
      <c r="AB44" s="87"/>
      <c r="AC44" s="86"/>
      <c r="AD44" s="87"/>
      <c r="AE44" s="86"/>
      <c r="AF44" s="87"/>
      <c r="AG44" s="86"/>
      <c r="AH44" s="87"/>
      <c r="AI44" s="86"/>
      <c r="AJ44" s="87"/>
      <c r="AK44" s="86"/>
      <c r="AL44" s="87"/>
      <c r="AM44" s="86"/>
      <c r="AN44" s="87"/>
      <c r="AO44" s="86"/>
      <c r="AP44" s="87"/>
      <c r="AQ44" s="86"/>
      <c r="AR44" s="87"/>
      <c r="AS44" s="86"/>
      <c r="AT44" s="87"/>
      <c r="AU44" s="86"/>
      <c r="AV44" s="87"/>
      <c r="AW44" s="86"/>
      <c r="AX44" s="87"/>
      <c r="AY44" s="86"/>
      <c r="AZ44" s="87"/>
      <c r="BA44" s="86"/>
      <c r="BB44" s="87"/>
      <c r="BC44" s="86"/>
      <c r="BD44" s="87"/>
      <c r="BE44" s="86"/>
      <c r="BF44" s="87"/>
      <c r="BG44" s="86"/>
      <c r="BH44" s="87"/>
      <c r="BI44" s="86"/>
      <c r="BJ44" s="87"/>
      <c r="BK44" s="86"/>
      <c r="BL44" s="87"/>
      <c r="BM44" s="86"/>
      <c r="BN44" s="50"/>
      <c r="BO44" s="170" t="str">
        <f t="shared" si="2"/>
        <v/>
      </c>
      <c r="BP44" s="87"/>
      <c r="BQ44" s="88"/>
    </row>
    <row r="45" spans="1:76" hidden="1" x14ac:dyDescent="0.35">
      <c r="A45" s="83" t="s">
        <v>9</v>
      </c>
      <c r="B45" s="54"/>
      <c r="C45" s="84"/>
      <c r="D45" s="85"/>
      <c r="E45" s="86"/>
      <c r="F45" s="87"/>
      <c r="G45" s="86"/>
      <c r="H45" s="87"/>
      <c r="I45" s="86"/>
      <c r="J45" s="87"/>
      <c r="K45" s="86"/>
      <c r="L45" s="87"/>
      <c r="M45" s="86"/>
      <c r="N45" s="87"/>
      <c r="O45" s="86"/>
      <c r="P45" s="87"/>
      <c r="Q45" s="86"/>
      <c r="R45" s="87"/>
      <c r="S45" s="86"/>
      <c r="T45" s="87"/>
      <c r="U45" s="86"/>
      <c r="V45" s="87"/>
      <c r="W45" s="86"/>
      <c r="X45" s="87"/>
      <c r="Y45" s="86"/>
      <c r="Z45" s="87"/>
      <c r="AA45" s="86"/>
      <c r="AB45" s="87"/>
      <c r="AC45" s="86"/>
      <c r="AD45" s="87"/>
      <c r="AE45" s="86"/>
      <c r="AF45" s="87"/>
      <c r="AG45" s="86"/>
      <c r="AH45" s="87"/>
      <c r="AI45" s="86"/>
      <c r="AJ45" s="87"/>
      <c r="AK45" s="86"/>
      <c r="AL45" s="87"/>
      <c r="AM45" s="86"/>
      <c r="AN45" s="87"/>
      <c r="AO45" s="86"/>
      <c r="AP45" s="87"/>
      <c r="AQ45" s="86"/>
      <c r="AR45" s="87"/>
      <c r="AS45" s="86"/>
      <c r="AT45" s="87"/>
      <c r="AU45" s="86"/>
      <c r="AV45" s="87"/>
      <c r="AW45" s="86"/>
      <c r="AX45" s="87"/>
      <c r="AY45" s="86"/>
      <c r="AZ45" s="87"/>
      <c r="BA45" s="86"/>
      <c r="BB45" s="87"/>
      <c r="BC45" s="86"/>
      <c r="BD45" s="87"/>
      <c r="BE45" s="86"/>
      <c r="BF45" s="87"/>
      <c r="BG45" s="86"/>
      <c r="BH45" s="87"/>
      <c r="BI45" s="86"/>
      <c r="BJ45" s="87"/>
      <c r="BK45" s="86"/>
      <c r="BL45" s="87"/>
      <c r="BM45" s="86"/>
      <c r="BN45" s="50"/>
      <c r="BO45" s="170" t="str">
        <f t="shared" si="2"/>
        <v/>
      </c>
      <c r="BP45" s="87"/>
      <c r="BQ45" s="88"/>
    </row>
    <row r="46" spans="1:76" hidden="1" x14ac:dyDescent="0.35">
      <c r="A46" s="83" t="s">
        <v>43</v>
      </c>
      <c r="B46" s="54"/>
      <c r="C46" s="84"/>
      <c r="D46" s="85"/>
      <c r="E46" s="86"/>
      <c r="F46" s="87"/>
      <c r="G46" s="86"/>
      <c r="H46" s="87"/>
      <c r="I46" s="86"/>
      <c r="J46" s="87"/>
      <c r="K46" s="86"/>
      <c r="L46" s="87"/>
      <c r="M46" s="86"/>
      <c r="N46" s="87"/>
      <c r="O46" s="86"/>
      <c r="P46" s="87"/>
      <c r="Q46" s="86"/>
      <c r="R46" s="87"/>
      <c r="S46" s="86"/>
      <c r="T46" s="87"/>
      <c r="U46" s="86"/>
      <c r="V46" s="87"/>
      <c r="W46" s="86"/>
      <c r="X46" s="87"/>
      <c r="Y46" s="86"/>
      <c r="Z46" s="87"/>
      <c r="AA46" s="86"/>
      <c r="AB46" s="87"/>
      <c r="AC46" s="86"/>
      <c r="AD46" s="87"/>
      <c r="AE46" s="86"/>
      <c r="AF46" s="87"/>
      <c r="AG46" s="86"/>
      <c r="AH46" s="87"/>
      <c r="AI46" s="86"/>
      <c r="AJ46" s="87"/>
      <c r="AK46" s="86"/>
      <c r="AL46" s="87"/>
      <c r="AM46" s="86"/>
      <c r="AN46" s="87"/>
      <c r="AO46" s="86"/>
      <c r="AP46" s="87"/>
      <c r="AQ46" s="86"/>
      <c r="AR46" s="87"/>
      <c r="AS46" s="86"/>
      <c r="AT46" s="87"/>
      <c r="AU46" s="86"/>
      <c r="AV46" s="87"/>
      <c r="AW46" s="86"/>
      <c r="AX46" s="87"/>
      <c r="AY46" s="86"/>
      <c r="AZ46" s="87"/>
      <c r="BA46" s="86"/>
      <c r="BB46" s="87"/>
      <c r="BC46" s="86"/>
      <c r="BD46" s="87"/>
      <c r="BE46" s="86"/>
      <c r="BF46" s="87"/>
      <c r="BG46" s="86"/>
      <c r="BH46" s="87"/>
      <c r="BI46" s="86"/>
      <c r="BJ46" s="87"/>
      <c r="BK46" s="86"/>
      <c r="BL46" s="87"/>
      <c r="BM46" s="86"/>
      <c r="BN46" s="50"/>
      <c r="BO46" s="170" t="str">
        <f t="shared" si="2"/>
        <v/>
      </c>
      <c r="BP46" s="87"/>
      <c r="BQ46" s="88"/>
    </row>
    <row r="47" spans="1:76" hidden="1" x14ac:dyDescent="0.35">
      <c r="A47" s="83" t="s">
        <v>10</v>
      </c>
      <c r="B47" s="54"/>
      <c r="C47" s="84"/>
      <c r="D47" s="85"/>
      <c r="E47" s="86"/>
      <c r="F47" s="87"/>
      <c r="G47" s="86"/>
      <c r="H47" s="87"/>
      <c r="I47" s="86"/>
      <c r="J47" s="87"/>
      <c r="K47" s="86"/>
      <c r="L47" s="87"/>
      <c r="M47" s="86"/>
      <c r="N47" s="87"/>
      <c r="O47" s="86"/>
      <c r="P47" s="87"/>
      <c r="Q47" s="86"/>
      <c r="R47" s="87"/>
      <c r="S47" s="86"/>
      <c r="T47" s="87"/>
      <c r="U47" s="86"/>
      <c r="V47" s="87"/>
      <c r="W47" s="86"/>
      <c r="X47" s="87"/>
      <c r="Y47" s="86"/>
      <c r="Z47" s="87"/>
      <c r="AA47" s="86"/>
      <c r="AB47" s="87"/>
      <c r="AC47" s="86"/>
      <c r="AD47" s="87"/>
      <c r="AE47" s="86"/>
      <c r="AF47" s="87"/>
      <c r="AG47" s="86"/>
      <c r="AH47" s="87"/>
      <c r="AI47" s="86"/>
      <c r="AJ47" s="87"/>
      <c r="AK47" s="86"/>
      <c r="AL47" s="87"/>
      <c r="AM47" s="86"/>
      <c r="AN47" s="87"/>
      <c r="AO47" s="86"/>
      <c r="AP47" s="87"/>
      <c r="AQ47" s="86"/>
      <c r="AR47" s="87"/>
      <c r="AS47" s="86"/>
      <c r="AT47" s="87"/>
      <c r="AU47" s="86"/>
      <c r="AV47" s="87"/>
      <c r="AW47" s="86"/>
      <c r="AX47" s="87"/>
      <c r="AY47" s="86"/>
      <c r="AZ47" s="87"/>
      <c r="BA47" s="86"/>
      <c r="BB47" s="87"/>
      <c r="BC47" s="86"/>
      <c r="BD47" s="87"/>
      <c r="BE47" s="86"/>
      <c r="BF47" s="87"/>
      <c r="BG47" s="86"/>
      <c r="BH47" s="87"/>
      <c r="BI47" s="86"/>
      <c r="BJ47" s="87"/>
      <c r="BK47" s="86"/>
      <c r="BL47" s="87"/>
      <c r="BM47" s="86"/>
      <c r="BN47" s="50"/>
      <c r="BO47" s="170" t="str">
        <f t="shared" si="2"/>
        <v/>
      </c>
      <c r="BP47" s="87"/>
      <c r="BQ47" s="88"/>
    </row>
    <row r="48" spans="1:76" hidden="1" x14ac:dyDescent="0.35">
      <c r="A48" s="83" t="s">
        <v>11</v>
      </c>
      <c r="B48" s="54"/>
      <c r="C48" s="84"/>
      <c r="D48" s="85"/>
      <c r="E48" s="86"/>
      <c r="F48" s="87"/>
      <c r="G48" s="86"/>
      <c r="H48" s="87"/>
      <c r="I48" s="86"/>
      <c r="J48" s="87"/>
      <c r="K48" s="86"/>
      <c r="L48" s="87"/>
      <c r="M48" s="86"/>
      <c r="N48" s="87"/>
      <c r="O48" s="86"/>
      <c r="P48" s="87"/>
      <c r="Q48" s="86"/>
      <c r="R48" s="87"/>
      <c r="S48" s="86"/>
      <c r="T48" s="87"/>
      <c r="U48" s="86"/>
      <c r="V48" s="87"/>
      <c r="W48" s="86"/>
      <c r="X48" s="87"/>
      <c r="Y48" s="86"/>
      <c r="Z48" s="87"/>
      <c r="AA48" s="86"/>
      <c r="AB48" s="87"/>
      <c r="AC48" s="86"/>
      <c r="AD48" s="87"/>
      <c r="AE48" s="86"/>
      <c r="AF48" s="87"/>
      <c r="AG48" s="86"/>
      <c r="AH48" s="87"/>
      <c r="AI48" s="86"/>
      <c r="AJ48" s="87"/>
      <c r="AK48" s="86"/>
      <c r="AL48" s="87"/>
      <c r="AM48" s="86"/>
      <c r="AN48" s="87"/>
      <c r="AO48" s="86"/>
      <c r="AP48" s="87"/>
      <c r="AQ48" s="86"/>
      <c r="AR48" s="87"/>
      <c r="AS48" s="86"/>
      <c r="AT48" s="87"/>
      <c r="AU48" s="86"/>
      <c r="AV48" s="87"/>
      <c r="AW48" s="86"/>
      <c r="AX48" s="87"/>
      <c r="AY48" s="86"/>
      <c r="AZ48" s="87"/>
      <c r="BA48" s="86"/>
      <c r="BB48" s="87"/>
      <c r="BC48" s="86"/>
      <c r="BD48" s="87"/>
      <c r="BE48" s="86"/>
      <c r="BF48" s="87"/>
      <c r="BG48" s="86"/>
      <c r="BH48" s="87"/>
      <c r="BI48" s="86"/>
      <c r="BJ48" s="87"/>
      <c r="BK48" s="86"/>
      <c r="BL48" s="87"/>
      <c r="BM48" s="86"/>
      <c r="BN48" s="50"/>
      <c r="BO48" s="170" t="str">
        <f t="shared" si="2"/>
        <v/>
      </c>
      <c r="BP48" s="87"/>
      <c r="BQ48" s="88"/>
    </row>
    <row r="49" spans="1:76" s="1" customFormat="1" x14ac:dyDescent="0.35">
      <c r="A49" s="89" t="s">
        <v>36</v>
      </c>
      <c r="B49" s="90"/>
      <c r="C49" s="174">
        <f>IF('December 2026 Log'!BM49="","",'December 2026 Log'!BM49)</f>
        <v>0</v>
      </c>
      <c r="D49" s="47"/>
      <c r="E49" s="166">
        <f>SUM(E43:E48)</f>
        <v>0</v>
      </c>
      <c r="F49" s="49"/>
      <c r="G49" s="166">
        <f>SUM(G43:G48)</f>
        <v>0</v>
      </c>
      <c r="H49" s="49"/>
      <c r="I49" s="166">
        <f>SUM(I43:I48)</f>
        <v>0</v>
      </c>
      <c r="J49" s="49"/>
      <c r="K49" s="166">
        <f>SUM(K43:K48)</f>
        <v>0</v>
      </c>
      <c r="L49" s="49"/>
      <c r="M49" s="166">
        <f>SUM(M43:M48)</f>
        <v>0</v>
      </c>
      <c r="N49" s="49"/>
      <c r="O49" s="166">
        <f>SUM(O43:O48)</f>
        <v>0</v>
      </c>
      <c r="P49" s="49"/>
      <c r="Q49" s="166">
        <f>SUM(Q43:Q48)</f>
        <v>0</v>
      </c>
      <c r="R49" s="49"/>
      <c r="S49" s="166">
        <f>SUM(S43:S48)</f>
        <v>0</v>
      </c>
      <c r="T49" s="49"/>
      <c r="U49" s="166">
        <f>SUM(U43:U48)</f>
        <v>0</v>
      </c>
      <c r="V49" s="49"/>
      <c r="W49" s="166">
        <f>SUM(W43:W48)</f>
        <v>0</v>
      </c>
      <c r="X49" s="49"/>
      <c r="Y49" s="166">
        <f>SUM(Y43:Y48)</f>
        <v>0</v>
      </c>
      <c r="Z49" s="49"/>
      <c r="AA49" s="166">
        <f>SUM(AA43:AA48)</f>
        <v>0</v>
      </c>
      <c r="AB49" s="49"/>
      <c r="AC49" s="166">
        <f>SUM(AC43:AC48)</f>
        <v>0</v>
      </c>
      <c r="AD49" s="49"/>
      <c r="AE49" s="166">
        <f>SUM(AE43:AE48)</f>
        <v>0</v>
      </c>
      <c r="AF49" s="49"/>
      <c r="AG49" s="166">
        <f>SUM(AG43:AG48)</f>
        <v>0</v>
      </c>
      <c r="AH49" s="49"/>
      <c r="AI49" s="166">
        <f>SUM(AI43:AI48)</f>
        <v>0</v>
      </c>
      <c r="AJ49" s="49"/>
      <c r="AK49" s="166">
        <f>SUM(AK43:AK48)</f>
        <v>0</v>
      </c>
      <c r="AL49" s="49"/>
      <c r="AM49" s="166">
        <f>SUM(AM43:AM48)</f>
        <v>0</v>
      </c>
      <c r="AN49" s="49"/>
      <c r="AO49" s="166">
        <f>SUM(AO43:AO48)</f>
        <v>0</v>
      </c>
      <c r="AP49" s="49"/>
      <c r="AQ49" s="166">
        <f>SUM(AQ43:AQ48)</f>
        <v>0</v>
      </c>
      <c r="AR49" s="49"/>
      <c r="AS49" s="166">
        <f>SUM(AS43:AS48)</f>
        <v>0</v>
      </c>
      <c r="AT49" s="49"/>
      <c r="AU49" s="166">
        <f>SUM(AU43:AU48)</f>
        <v>0</v>
      </c>
      <c r="AV49" s="49"/>
      <c r="AW49" s="166">
        <f>SUM(AW43:AW48)</f>
        <v>0</v>
      </c>
      <c r="AX49" s="49"/>
      <c r="AY49" s="166">
        <f>SUM(AY43:AY48)</f>
        <v>0</v>
      </c>
      <c r="AZ49" s="49"/>
      <c r="BA49" s="166">
        <f>SUM(BA43:BA48)</f>
        <v>0</v>
      </c>
      <c r="BB49" s="49"/>
      <c r="BC49" s="166">
        <f>SUM(BC43:BC48)</f>
        <v>0</v>
      </c>
      <c r="BD49" s="49"/>
      <c r="BE49" s="166">
        <f>SUM(BE43:BE48)</f>
        <v>0</v>
      </c>
      <c r="BF49" s="49"/>
      <c r="BG49" s="166">
        <f>SUM(BG43:BG48)</f>
        <v>0</v>
      </c>
      <c r="BH49" s="49"/>
      <c r="BI49" s="166">
        <f>SUM(BI43:BI48)</f>
        <v>0</v>
      </c>
      <c r="BJ49" s="49"/>
      <c r="BK49" s="166">
        <f>SUM(BK43:BK48)</f>
        <v>0</v>
      </c>
      <c r="BL49" s="49"/>
      <c r="BM49" s="166">
        <f>SUM(BM43:BM48)</f>
        <v>0</v>
      </c>
      <c r="BN49" s="50"/>
      <c r="BO49" s="170">
        <f t="shared" si="2"/>
        <v>0</v>
      </c>
      <c r="BP49" s="49"/>
      <c r="BQ49" s="172">
        <f>IF(BM49="","",BM49)</f>
        <v>0</v>
      </c>
      <c r="BR49"/>
      <c r="BS49"/>
      <c r="BT49"/>
      <c r="BU49"/>
      <c r="BV49"/>
      <c r="BW49"/>
      <c r="BX49"/>
    </row>
    <row r="50" spans="1:76" s="1" customFormat="1" x14ac:dyDescent="0.35">
      <c r="A50" s="89" t="s">
        <v>12</v>
      </c>
      <c r="B50" s="90"/>
      <c r="C50" s="174">
        <f>IF('December 2026 Log'!BM50="","",'December 2026 Log'!BM50)</f>
        <v>0</v>
      </c>
      <c r="D50" s="47"/>
      <c r="E50" s="166">
        <f t="shared" ref="E50" si="34">+E42+E49</f>
        <v>0</v>
      </c>
      <c r="F50" s="49"/>
      <c r="G50" s="166">
        <f t="shared" ref="G50" si="35">+G42+G49</f>
        <v>0</v>
      </c>
      <c r="H50" s="49"/>
      <c r="I50" s="166">
        <f t="shared" ref="I50" si="36">+I42+I49</f>
        <v>0</v>
      </c>
      <c r="J50" s="49"/>
      <c r="K50" s="166">
        <f t="shared" ref="K50" si="37">+K42+K49</f>
        <v>0</v>
      </c>
      <c r="L50" s="49"/>
      <c r="M50" s="166">
        <f t="shared" ref="M50" si="38">+M42+M49</f>
        <v>0</v>
      </c>
      <c r="N50" s="49"/>
      <c r="O50" s="166">
        <f t="shared" ref="O50" si="39">+O42+O49</f>
        <v>0</v>
      </c>
      <c r="P50" s="49"/>
      <c r="Q50" s="166">
        <f t="shared" ref="Q50" si="40">+Q42+Q49</f>
        <v>0</v>
      </c>
      <c r="R50" s="49"/>
      <c r="S50" s="166">
        <f t="shared" ref="S50" si="41">+S42+S49</f>
        <v>0</v>
      </c>
      <c r="T50" s="49"/>
      <c r="U50" s="166">
        <f t="shared" ref="U50" si="42">+U42+U49</f>
        <v>0</v>
      </c>
      <c r="V50" s="49"/>
      <c r="W50" s="166">
        <f t="shared" ref="W50" si="43">+W42+W49</f>
        <v>0</v>
      </c>
      <c r="X50" s="49"/>
      <c r="Y50" s="166">
        <f t="shared" ref="Y50" si="44">+Y42+Y49</f>
        <v>0</v>
      </c>
      <c r="Z50" s="49"/>
      <c r="AA50" s="166">
        <f t="shared" ref="AA50" si="45">+AA42+AA49</f>
        <v>0</v>
      </c>
      <c r="AB50" s="49"/>
      <c r="AC50" s="166">
        <f t="shared" ref="AC50" si="46">+AC42+AC49</f>
        <v>0</v>
      </c>
      <c r="AD50" s="49"/>
      <c r="AE50" s="166">
        <f t="shared" ref="AE50" si="47">+AE42+AE49</f>
        <v>0</v>
      </c>
      <c r="AF50" s="49"/>
      <c r="AG50" s="166">
        <f t="shared" ref="AG50" si="48">+AG42+AG49</f>
        <v>0</v>
      </c>
      <c r="AH50" s="49"/>
      <c r="AI50" s="166">
        <f t="shared" ref="AI50" si="49">+AI42+AI49</f>
        <v>0</v>
      </c>
      <c r="AJ50" s="49"/>
      <c r="AK50" s="166">
        <f t="shared" ref="AK50" si="50">+AK42+AK49</f>
        <v>0</v>
      </c>
      <c r="AL50" s="49"/>
      <c r="AM50" s="166">
        <f t="shared" ref="AM50" si="51">+AM42+AM49</f>
        <v>0</v>
      </c>
      <c r="AN50" s="49"/>
      <c r="AO50" s="166">
        <f t="shared" ref="AO50" si="52">+AO42+AO49</f>
        <v>0</v>
      </c>
      <c r="AP50" s="49"/>
      <c r="AQ50" s="166">
        <f t="shared" ref="AQ50" si="53">+AQ42+AQ49</f>
        <v>0</v>
      </c>
      <c r="AR50" s="49"/>
      <c r="AS50" s="166">
        <f t="shared" ref="AS50" si="54">+AS42+AS49</f>
        <v>0</v>
      </c>
      <c r="AT50" s="49"/>
      <c r="AU50" s="166">
        <f t="shared" ref="AU50" si="55">+AU42+AU49</f>
        <v>0</v>
      </c>
      <c r="AV50" s="49"/>
      <c r="AW50" s="166">
        <f t="shared" ref="AW50" si="56">+AW42+AW49</f>
        <v>0</v>
      </c>
      <c r="AX50" s="49"/>
      <c r="AY50" s="166">
        <f t="shared" ref="AY50" si="57">+AY42+AY49</f>
        <v>0</v>
      </c>
      <c r="AZ50" s="49"/>
      <c r="BA50" s="166">
        <f t="shared" ref="BA50" si="58">+BA42+BA49</f>
        <v>0</v>
      </c>
      <c r="BB50" s="49"/>
      <c r="BC50" s="166">
        <f t="shared" ref="BC50" si="59">+BC42+BC49</f>
        <v>0</v>
      </c>
      <c r="BD50" s="49"/>
      <c r="BE50" s="166">
        <f t="shared" ref="BE50" si="60">+BE42+BE49</f>
        <v>0</v>
      </c>
      <c r="BF50" s="49"/>
      <c r="BG50" s="166">
        <f t="shared" ref="BG50" si="61">+BG42+BG49</f>
        <v>0</v>
      </c>
      <c r="BH50" s="49"/>
      <c r="BI50" s="166">
        <f t="shared" ref="BI50" si="62">+BI42+BI49</f>
        <v>0</v>
      </c>
      <c r="BJ50" s="49"/>
      <c r="BK50" s="166">
        <f t="shared" ref="BK50" si="63">+BK42+BK49</f>
        <v>0</v>
      </c>
      <c r="BL50" s="49"/>
      <c r="BM50" s="166">
        <f t="shared" ref="BM50" si="64">+BM42+BM49</f>
        <v>0</v>
      </c>
      <c r="BN50" s="50"/>
      <c r="BO50" s="170">
        <f t="shared" si="2"/>
        <v>0</v>
      </c>
      <c r="BP50" s="49"/>
      <c r="BQ50" s="172">
        <f>IF(BM50="","",BM50)</f>
        <v>0</v>
      </c>
      <c r="BR50"/>
      <c r="BS50"/>
      <c r="BT50"/>
      <c r="BU50"/>
      <c r="BV50"/>
      <c r="BW50"/>
      <c r="BX50"/>
    </row>
    <row r="51" spans="1:76" x14ac:dyDescent="0.35">
      <c r="A51" s="83" t="s">
        <v>13</v>
      </c>
      <c r="B51" s="54"/>
      <c r="C51" s="84"/>
      <c r="D51" s="85"/>
      <c r="E51" s="86"/>
      <c r="F51" s="87"/>
      <c r="G51" s="86"/>
      <c r="H51" s="87"/>
      <c r="I51" s="86"/>
      <c r="J51" s="87"/>
      <c r="K51" s="86"/>
      <c r="L51" s="87"/>
      <c r="M51" s="86"/>
      <c r="N51" s="87"/>
      <c r="O51" s="86"/>
      <c r="P51" s="87"/>
      <c r="Q51" s="86"/>
      <c r="R51" s="87"/>
      <c r="S51" s="86"/>
      <c r="T51" s="87"/>
      <c r="U51" s="86"/>
      <c r="V51" s="87"/>
      <c r="W51" s="86"/>
      <c r="X51" s="87"/>
      <c r="Y51" s="86"/>
      <c r="Z51" s="87"/>
      <c r="AA51" s="86"/>
      <c r="AB51" s="87"/>
      <c r="AC51" s="86"/>
      <c r="AD51" s="87"/>
      <c r="AE51" s="86"/>
      <c r="AF51" s="87"/>
      <c r="AG51" s="86"/>
      <c r="AH51" s="87"/>
      <c r="AI51" s="86"/>
      <c r="AJ51" s="87"/>
      <c r="AK51" s="86"/>
      <c r="AL51" s="87"/>
      <c r="AM51" s="86"/>
      <c r="AN51" s="87"/>
      <c r="AO51" s="86"/>
      <c r="AP51" s="87"/>
      <c r="AQ51" s="86"/>
      <c r="AR51" s="87"/>
      <c r="AS51" s="86"/>
      <c r="AT51" s="87"/>
      <c r="AU51" s="86"/>
      <c r="AV51" s="87"/>
      <c r="AW51" s="86"/>
      <c r="AX51" s="87"/>
      <c r="AY51" s="86"/>
      <c r="AZ51" s="87"/>
      <c r="BA51" s="86"/>
      <c r="BB51" s="87"/>
      <c r="BC51" s="86"/>
      <c r="BD51" s="87"/>
      <c r="BE51" s="86"/>
      <c r="BF51" s="87"/>
      <c r="BG51" s="86"/>
      <c r="BH51" s="87"/>
      <c r="BI51" s="86"/>
      <c r="BJ51" s="87"/>
      <c r="BK51" s="86"/>
      <c r="BL51" s="87"/>
      <c r="BM51" s="86"/>
      <c r="BN51" s="50"/>
      <c r="BO51" s="170" t="str">
        <f t="shared" si="2"/>
        <v/>
      </c>
      <c r="BP51" s="87"/>
      <c r="BQ51" s="88"/>
    </row>
    <row r="52" spans="1:76" x14ac:dyDescent="0.35">
      <c r="A52" s="83" t="s">
        <v>14</v>
      </c>
      <c r="B52" s="54"/>
      <c r="C52" s="84"/>
      <c r="D52" s="85"/>
      <c r="E52" s="86"/>
      <c r="F52" s="87"/>
      <c r="G52" s="86"/>
      <c r="H52" s="87"/>
      <c r="I52" s="86"/>
      <c r="J52" s="87"/>
      <c r="K52" s="86"/>
      <c r="L52" s="87"/>
      <c r="M52" s="86"/>
      <c r="N52" s="87"/>
      <c r="O52" s="86"/>
      <c r="P52" s="87"/>
      <c r="Q52" s="86"/>
      <c r="R52" s="87"/>
      <c r="S52" s="86"/>
      <c r="T52" s="87"/>
      <c r="U52" s="86"/>
      <c r="V52" s="87"/>
      <c r="W52" s="86"/>
      <c r="X52" s="87"/>
      <c r="Y52" s="86"/>
      <c r="Z52" s="87"/>
      <c r="AA52" s="86"/>
      <c r="AB52" s="87"/>
      <c r="AC52" s="86"/>
      <c r="AD52" s="87"/>
      <c r="AE52" s="86"/>
      <c r="AF52" s="87"/>
      <c r="AG52" s="86"/>
      <c r="AH52" s="87"/>
      <c r="AI52" s="86"/>
      <c r="AJ52" s="87"/>
      <c r="AK52" s="86"/>
      <c r="AL52" s="87"/>
      <c r="AM52" s="86"/>
      <c r="AN52" s="87"/>
      <c r="AO52" s="86"/>
      <c r="AP52" s="87"/>
      <c r="AQ52" s="86"/>
      <c r="AR52" s="87"/>
      <c r="AS52" s="86"/>
      <c r="AT52" s="87"/>
      <c r="AU52" s="86"/>
      <c r="AV52" s="87"/>
      <c r="AW52" s="86"/>
      <c r="AX52" s="87"/>
      <c r="AY52" s="86"/>
      <c r="AZ52" s="87"/>
      <c r="BA52" s="86"/>
      <c r="BB52" s="87"/>
      <c r="BC52" s="86"/>
      <c r="BD52" s="87"/>
      <c r="BE52" s="86"/>
      <c r="BF52" s="87"/>
      <c r="BG52" s="86"/>
      <c r="BH52" s="87"/>
      <c r="BI52" s="86"/>
      <c r="BJ52" s="87"/>
      <c r="BK52" s="86"/>
      <c r="BL52" s="87"/>
      <c r="BM52" s="86"/>
      <c r="BN52" s="50"/>
      <c r="BO52" s="170" t="str">
        <f t="shared" si="2"/>
        <v/>
      </c>
      <c r="BP52" s="87"/>
      <c r="BQ52" s="88"/>
    </row>
    <row r="53" spans="1:76" x14ac:dyDescent="0.35">
      <c r="A53" s="83" t="s">
        <v>42</v>
      </c>
      <c r="B53" s="54"/>
      <c r="C53" s="84"/>
      <c r="D53" s="85"/>
      <c r="E53" s="86"/>
      <c r="F53" s="87"/>
      <c r="G53" s="86"/>
      <c r="H53" s="87"/>
      <c r="I53" s="86"/>
      <c r="J53" s="87"/>
      <c r="K53" s="86"/>
      <c r="L53" s="87"/>
      <c r="M53" s="86"/>
      <c r="N53" s="87"/>
      <c r="O53" s="86"/>
      <c r="P53" s="87"/>
      <c r="Q53" s="86"/>
      <c r="R53" s="87"/>
      <c r="S53" s="86"/>
      <c r="T53" s="87"/>
      <c r="U53" s="86"/>
      <c r="V53" s="87"/>
      <c r="W53" s="86"/>
      <c r="X53" s="87"/>
      <c r="Y53" s="86"/>
      <c r="Z53" s="87"/>
      <c r="AA53" s="86"/>
      <c r="AB53" s="87"/>
      <c r="AC53" s="86"/>
      <c r="AD53" s="87"/>
      <c r="AE53" s="86"/>
      <c r="AF53" s="87"/>
      <c r="AG53" s="86"/>
      <c r="AH53" s="87"/>
      <c r="AI53" s="86"/>
      <c r="AJ53" s="87"/>
      <c r="AK53" s="86"/>
      <c r="AL53" s="87"/>
      <c r="AM53" s="86"/>
      <c r="AN53" s="87"/>
      <c r="AO53" s="86"/>
      <c r="AP53" s="87"/>
      <c r="AQ53" s="86"/>
      <c r="AR53" s="87"/>
      <c r="AS53" s="86"/>
      <c r="AT53" s="87"/>
      <c r="AU53" s="86"/>
      <c r="AV53" s="87"/>
      <c r="AW53" s="86"/>
      <c r="AX53" s="87"/>
      <c r="AY53" s="86"/>
      <c r="AZ53" s="87"/>
      <c r="BA53" s="86"/>
      <c r="BB53" s="87"/>
      <c r="BC53" s="86"/>
      <c r="BD53" s="87"/>
      <c r="BE53" s="86"/>
      <c r="BF53" s="87"/>
      <c r="BG53" s="86"/>
      <c r="BH53" s="87"/>
      <c r="BI53" s="86"/>
      <c r="BJ53" s="87"/>
      <c r="BK53" s="86"/>
      <c r="BL53" s="87"/>
      <c r="BM53" s="86"/>
      <c r="BN53" s="50"/>
      <c r="BO53" s="170" t="str">
        <f t="shared" si="2"/>
        <v/>
      </c>
      <c r="BP53" s="87"/>
      <c r="BQ53" s="88"/>
    </row>
    <row r="54" spans="1:76" x14ac:dyDescent="0.35">
      <c r="A54" s="89" t="s">
        <v>15</v>
      </c>
      <c r="B54" s="90"/>
      <c r="C54" s="174">
        <f>IF('December 2026 Log'!BM54="","",'December 2026 Log'!BM54)</f>
        <v>0</v>
      </c>
      <c r="D54" s="47"/>
      <c r="E54" s="166">
        <f>E22+E23+E32+E34+E50+E51+E52-E33+E24+E53+E112</f>
        <v>0</v>
      </c>
      <c r="F54" s="49"/>
      <c r="G54" s="166">
        <f>G22+G23+G32+G34+G50+G51+G52-G33+G24+G53+G112</f>
        <v>0</v>
      </c>
      <c r="H54" s="49"/>
      <c r="I54" s="166">
        <f>I22+I23+I32+I34+I50+I51+I52-I33+I24+I53+I112</f>
        <v>0</v>
      </c>
      <c r="J54" s="49"/>
      <c r="K54" s="166">
        <f>K22+K23+K32+K34+K50+K51+K52-K33+K24+K53+K112</f>
        <v>0</v>
      </c>
      <c r="L54" s="49"/>
      <c r="M54" s="166">
        <f>M22+M23+M32+M34+M50+M51+M52-M33+M24+M53+M112</f>
        <v>0</v>
      </c>
      <c r="N54" s="49"/>
      <c r="O54" s="166">
        <f>O22+O23+O32+O34+O50+O51+O52-O33+O24+O53+O112</f>
        <v>0</v>
      </c>
      <c r="P54" s="49"/>
      <c r="Q54" s="166">
        <f>Q22+Q23+Q32+Q34+Q50+Q51+Q52-Q33+Q24+Q53+Q112</f>
        <v>0</v>
      </c>
      <c r="R54" s="49"/>
      <c r="S54" s="166">
        <f>S22+S23+S32+S34+S50+S51+S52-S33+S24+S53+S112</f>
        <v>0</v>
      </c>
      <c r="T54" s="49"/>
      <c r="U54" s="166">
        <f>U22+U23+U32+U34+U50+U51+U52-U33+U24+U53+U112</f>
        <v>0</v>
      </c>
      <c r="V54" s="49"/>
      <c r="W54" s="166">
        <f>W22+W23+W32+W34+W50+W51+W52-W33+W24+W53+W112</f>
        <v>0</v>
      </c>
      <c r="X54" s="49"/>
      <c r="Y54" s="166">
        <f>Y22+Y23+Y32+Y34+Y50+Y51+Y52-Y33+Y24+Y53+Y112</f>
        <v>0</v>
      </c>
      <c r="Z54" s="49"/>
      <c r="AA54" s="166">
        <f>AA22+AA23+AA32+AA34+AA50+AA51+AA52-AA33+AA24+AA53+AA112</f>
        <v>0</v>
      </c>
      <c r="AB54" s="49"/>
      <c r="AC54" s="166">
        <f>AC22+AC23+AC32+AC34+AC50+AC51+AC52-AC33+AC24+AC53+AC112</f>
        <v>0</v>
      </c>
      <c r="AD54" s="49"/>
      <c r="AE54" s="166">
        <f>AE22+AE23+AE32+AE34+AE50+AE51+AE52-AE33+AE24+AE53+AE112</f>
        <v>0</v>
      </c>
      <c r="AF54" s="49"/>
      <c r="AG54" s="166">
        <f>AG22+AG23+AG32+AG34+AG50+AG51+AG52-AG33+AG24+AG53+AG112</f>
        <v>0</v>
      </c>
      <c r="AH54" s="49"/>
      <c r="AI54" s="166">
        <f>AI22+AI23+AI32+AI34+AI50+AI51+AI52-AI33+AI24+AI53+AI112</f>
        <v>0</v>
      </c>
      <c r="AJ54" s="49"/>
      <c r="AK54" s="166">
        <f>AK22+AK23+AK32+AK34+AK50+AK51+AK52-AK33+AK24+AK53+AK112</f>
        <v>0</v>
      </c>
      <c r="AL54" s="49"/>
      <c r="AM54" s="166">
        <f>AM22+AM23+AM32+AM34+AM50+AM51+AM52-AM33+AM24+AM53+AM112</f>
        <v>0</v>
      </c>
      <c r="AN54" s="49"/>
      <c r="AO54" s="166">
        <f>AO22+AO23+AO32+AO34+AO50+AO51+AO52-AO33+AO24+AO53+AO112</f>
        <v>0</v>
      </c>
      <c r="AP54" s="49"/>
      <c r="AQ54" s="166">
        <f>AQ22+AQ23+AQ32+AQ34+AQ50+AQ51+AQ52-AQ33+AQ24+AQ53+AQ112</f>
        <v>0</v>
      </c>
      <c r="AR54" s="49"/>
      <c r="AS54" s="166">
        <f>AS22+AS23+AS32+AS34+AS50+AS51+AS52-AS33+AS24+AS53+AS112</f>
        <v>0</v>
      </c>
      <c r="AT54" s="49"/>
      <c r="AU54" s="166">
        <f>AU22+AU23+AU32+AU34+AU50+AU51+AU52-AU33+AU24+AU53+AU112</f>
        <v>0</v>
      </c>
      <c r="AV54" s="49"/>
      <c r="AW54" s="166">
        <f>AW22+AW23+AW32+AW34+AW50+AW51+AW52-AW33+AW24+AW53+AW112</f>
        <v>0</v>
      </c>
      <c r="AX54" s="49"/>
      <c r="AY54" s="166">
        <f>AY22+AY23+AY32+AY34+AY50+AY51+AY52-AY33+AY24+AY53+AY112</f>
        <v>0</v>
      </c>
      <c r="AZ54" s="49"/>
      <c r="BA54" s="166">
        <f>BA22+BA23+BA32+BA34+BA50+BA51+BA52-BA33+BA24+BA53+BA112</f>
        <v>0</v>
      </c>
      <c r="BB54" s="49"/>
      <c r="BC54" s="166">
        <f>BC22+BC23+BC32+BC34+BC50+BC51+BC52-BC33+BC24+BC53+BC112</f>
        <v>0</v>
      </c>
      <c r="BD54" s="49"/>
      <c r="BE54" s="166">
        <f>BE22+BE23+BE32+BE34+BE50+BE51+BE52-BE33+BE24+BE53+BE112</f>
        <v>0</v>
      </c>
      <c r="BF54" s="49"/>
      <c r="BG54" s="166">
        <f>BG22+BG23+BG32+BG34+BG50+BG51+BG52-BG33+BG24+BG53+BG112</f>
        <v>0</v>
      </c>
      <c r="BH54" s="49"/>
      <c r="BI54" s="166">
        <f>BI22+BI23+BI32+BI34+BI50+BI51+BI52-BI33+BI24+BI53+BI112</f>
        <v>0</v>
      </c>
      <c r="BJ54" s="49"/>
      <c r="BK54" s="166">
        <f>BK22+BK23+BK32+BK34+BK50+BK51+BK52-BK33+BK24+BK53+BK112</f>
        <v>0</v>
      </c>
      <c r="BL54" s="49"/>
      <c r="BM54" s="166">
        <f>BM22+BM23+BM32+BM34+BM50+BM51+BM52-BM33+BM24+BM53+BM112</f>
        <v>0</v>
      </c>
      <c r="BN54" s="50"/>
      <c r="BO54" s="170">
        <f t="shared" si="2"/>
        <v>0</v>
      </c>
      <c r="BP54" s="49"/>
      <c r="BQ54" s="172">
        <f t="shared" ref="BQ54:BQ59" si="65">IF(BM54="","",BM54)</f>
        <v>0</v>
      </c>
    </row>
    <row r="55" spans="1:76" x14ac:dyDescent="0.35">
      <c r="A55" s="83" t="s">
        <v>16</v>
      </c>
      <c r="B55" s="54"/>
      <c r="C55" s="174" t="str">
        <f>IF('December 2026 Log'!BM55="","",'December 2026 Log'!BM55)</f>
        <v/>
      </c>
      <c r="D55" s="85"/>
      <c r="E55" s="86"/>
      <c r="F55" s="87"/>
      <c r="G55" s="86"/>
      <c r="H55" s="87"/>
      <c r="I55" s="86"/>
      <c r="J55" s="87"/>
      <c r="K55" s="86"/>
      <c r="L55" s="87"/>
      <c r="M55" s="86"/>
      <c r="N55" s="87"/>
      <c r="O55" s="86"/>
      <c r="P55" s="87"/>
      <c r="Q55" s="86"/>
      <c r="R55" s="87"/>
      <c r="S55" s="86"/>
      <c r="T55" s="87"/>
      <c r="U55" s="86"/>
      <c r="V55" s="87"/>
      <c r="W55" s="86"/>
      <c r="X55" s="87"/>
      <c r="Y55" s="86"/>
      <c r="Z55" s="87"/>
      <c r="AA55" s="86"/>
      <c r="AB55" s="87"/>
      <c r="AC55" s="86"/>
      <c r="AD55" s="87"/>
      <c r="AE55" s="86"/>
      <c r="AF55" s="87"/>
      <c r="AG55" s="86"/>
      <c r="AH55" s="87"/>
      <c r="AI55" s="86"/>
      <c r="AJ55" s="87"/>
      <c r="AK55" s="86"/>
      <c r="AL55" s="87"/>
      <c r="AM55" s="86"/>
      <c r="AN55" s="87"/>
      <c r="AO55" s="86"/>
      <c r="AP55" s="87"/>
      <c r="AQ55" s="86"/>
      <c r="AR55" s="87"/>
      <c r="AS55" s="86"/>
      <c r="AT55" s="87"/>
      <c r="AU55" s="86"/>
      <c r="AV55" s="87"/>
      <c r="AW55" s="86"/>
      <c r="AX55" s="87"/>
      <c r="AY55" s="86"/>
      <c r="AZ55" s="87"/>
      <c r="BA55" s="86"/>
      <c r="BB55" s="87"/>
      <c r="BC55" s="86"/>
      <c r="BD55" s="87"/>
      <c r="BE55" s="86"/>
      <c r="BF55" s="87"/>
      <c r="BG55" s="86"/>
      <c r="BH55" s="87"/>
      <c r="BI55" s="86"/>
      <c r="BJ55" s="87"/>
      <c r="BK55" s="86"/>
      <c r="BL55" s="87"/>
      <c r="BM55" s="86"/>
      <c r="BN55" s="50"/>
      <c r="BO55" s="170" t="str">
        <f t="shared" si="2"/>
        <v/>
      </c>
      <c r="BP55" s="87"/>
      <c r="BQ55" s="178" t="str">
        <f t="shared" si="65"/>
        <v/>
      </c>
    </row>
    <row r="56" spans="1:76" x14ac:dyDescent="0.35">
      <c r="A56" s="83" t="s">
        <v>17</v>
      </c>
      <c r="B56" s="54"/>
      <c r="C56" s="174" t="str">
        <f>IF('December 2026 Log'!BM56="","",'December 2026 Log'!BM56)</f>
        <v/>
      </c>
      <c r="D56" s="85"/>
      <c r="E56" s="86"/>
      <c r="F56" s="87"/>
      <c r="G56" s="86"/>
      <c r="H56" s="87"/>
      <c r="I56" s="86"/>
      <c r="J56" s="87"/>
      <c r="K56" s="86"/>
      <c r="L56" s="87"/>
      <c r="M56" s="86"/>
      <c r="N56" s="87"/>
      <c r="O56" s="86"/>
      <c r="P56" s="87"/>
      <c r="Q56" s="86"/>
      <c r="R56" s="87"/>
      <c r="S56" s="86"/>
      <c r="T56" s="87"/>
      <c r="U56" s="86"/>
      <c r="V56" s="87"/>
      <c r="W56" s="86"/>
      <c r="X56" s="87"/>
      <c r="Y56" s="86"/>
      <c r="Z56" s="87"/>
      <c r="AA56" s="86"/>
      <c r="AB56" s="87"/>
      <c r="AC56" s="86"/>
      <c r="AD56" s="87"/>
      <c r="AE56" s="86"/>
      <c r="AF56" s="87"/>
      <c r="AG56" s="86"/>
      <c r="AH56" s="87"/>
      <c r="AI56" s="86"/>
      <c r="AJ56" s="87"/>
      <c r="AK56" s="86"/>
      <c r="AL56" s="87"/>
      <c r="AM56" s="86"/>
      <c r="AN56" s="87"/>
      <c r="AO56" s="86"/>
      <c r="AP56" s="87"/>
      <c r="AQ56" s="86"/>
      <c r="AR56" s="87"/>
      <c r="AS56" s="86"/>
      <c r="AT56" s="87"/>
      <c r="AU56" s="86"/>
      <c r="AV56" s="87"/>
      <c r="AW56" s="86"/>
      <c r="AX56" s="87"/>
      <c r="AY56" s="86"/>
      <c r="AZ56" s="87"/>
      <c r="BA56" s="86"/>
      <c r="BB56" s="87"/>
      <c r="BC56" s="86"/>
      <c r="BD56" s="87"/>
      <c r="BE56" s="86"/>
      <c r="BF56" s="87"/>
      <c r="BG56" s="86"/>
      <c r="BH56" s="87"/>
      <c r="BI56" s="86"/>
      <c r="BJ56" s="87"/>
      <c r="BK56" s="86"/>
      <c r="BL56" s="87"/>
      <c r="BM56" s="86"/>
      <c r="BN56" s="50"/>
      <c r="BO56" s="170" t="str">
        <f t="shared" si="2"/>
        <v/>
      </c>
      <c r="BP56" s="87"/>
      <c r="BQ56" s="178" t="str">
        <f t="shared" si="65"/>
        <v/>
      </c>
    </row>
    <row r="57" spans="1:76" x14ac:dyDescent="0.35">
      <c r="A57" s="89" t="s">
        <v>18</v>
      </c>
      <c r="B57" s="90"/>
      <c r="C57" s="174">
        <f>IF('December 2026 Log'!BM57="","",'December 2026 Log'!BM57)</f>
        <v>0</v>
      </c>
      <c r="D57" s="47"/>
      <c r="E57" s="166">
        <f>SUM(E55:E56)</f>
        <v>0</v>
      </c>
      <c r="F57" s="49"/>
      <c r="G57" s="166">
        <f>SUM(G55:G56)</f>
        <v>0</v>
      </c>
      <c r="H57" s="49"/>
      <c r="I57" s="166">
        <f>SUM(I55:I56)</f>
        <v>0</v>
      </c>
      <c r="J57" s="49"/>
      <c r="K57" s="166">
        <f>SUM(K55:K56)</f>
        <v>0</v>
      </c>
      <c r="L57" s="49"/>
      <c r="M57" s="166">
        <f>SUM(M55:M56)</f>
        <v>0</v>
      </c>
      <c r="N57" s="49"/>
      <c r="O57" s="166">
        <f>SUM(O55:O56)</f>
        <v>0</v>
      </c>
      <c r="P57" s="49"/>
      <c r="Q57" s="166">
        <f>SUM(Q55:Q56)</f>
        <v>0</v>
      </c>
      <c r="R57" s="49"/>
      <c r="S57" s="166">
        <f>SUM(S55:S56)</f>
        <v>0</v>
      </c>
      <c r="T57" s="49"/>
      <c r="U57" s="166">
        <f>SUM(U55:U56)</f>
        <v>0</v>
      </c>
      <c r="V57" s="49"/>
      <c r="W57" s="166">
        <f>SUM(W55:W56)</f>
        <v>0</v>
      </c>
      <c r="X57" s="49"/>
      <c r="Y57" s="166">
        <f>SUM(Y55:Y56)</f>
        <v>0</v>
      </c>
      <c r="Z57" s="49"/>
      <c r="AA57" s="166">
        <f>SUM(AA55:AA56)</f>
        <v>0</v>
      </c>
      <c r="AB57" s="49"/>
      <c r="AC57" s="166">
        <f>SUM(AC55:AC56)</f>
        <v>0</v>
      </c>
      <c r="AD57" s="49"/>
      <c r="AE57" s="166">
        <f>SUM(AE55:AE56)</f>
        <v>0</v>
      </c>
      <c r="AF57" s="49"/>
      <c r="AG57" s="166">
        <f>SUM(AG55:AG56)</f>
        <v>0</v>
      </c>
      <c r="AH57" s="49"/>
      <c r="AI57" s="166">
        <f>SUM(AI55:AI56)</f>
        <v>0</v>
      </c>
      <c r="AJ57" s="49"/>
      <c r="AK57" s="166">
        <f>SUM(AK55:AK56)</f>
        <v>0</v>
      </c>
      <c r="AL57" s="49"/>
      <c r="AM57" s="166">
        <f>SUM(AM55:AM56)</f>
        <v>0</v>
      </c>
      <c r="AN57" s="49"/>
      <c r="AO57" s="166">
        <f>SUM(AO55:AO56)</f>
        <v>0</v>
      </c>
      <c r="AP57" s="49"/>
      <c r="AQ57" s="166">
        <f>SUM(AQ55:AQ56)</f>
        <v>0</v>
      </c>
      <c r="AR57" s="49"/>
      <c r="AS57" s="166">
        <f>SUM(AS55:AS56)</f>
        <v>0</v>
      </c>
      <c r="AT57" s="49"/>
      <c r="AU57" s="166">
        <f>SUM(AU55:AU56)</f>
        <v>0</v>
      </c>
      <c r="AV57" s="49"/>
      <c r="AW57" s="166">
        <f>SUM(AW55:AW56)</f>
        <v>0</v>
      </c>
      <c r="AX57" s="49"/>
      <c r="AY57" s="166">
        <f>SUM(AY55:AY56)</f>
        <v>0</v>
      </c>
      <c r="AZ57" s="49"/>
      <c r="BA57" s="166">
        <f>SUM(BA55:BA56)</f>
        <v>0</v>
      </c>
      <c r="BB57" s="49"/>
      <c r="BC57" s="166">
        <f>SUM(BC55:BC56)</f>
        <v>0</v>
      </c>
      <c r="BD57" s="49"/>
      <c r="BE57" s="166">
        <f>SUM(BE55:BE56)</f>
        <v>0</v>
      </c>
      <c r="BF57" s="49"/>
      <c r="BG57" s="166">
        <f>SUM(BG55:BG56)</f>
        <v>0</v>
      </c>
      <c r="BH57" s="49"/>
      <c r="BI57" s="166">
        <f>SUM(BI55:BI56)</f>
        <v>0</v>
      </c>
      <c r="BJ57" s="49"/>
      <c r="BK57" s="166">
        <f>SUM(BK55:BK56)</f>
        <v>0</v>
      </c>
      <c r="BL57" s="49"/>
      <c r="BM57" s="166">
        <f>SUM(BM55:BM56)</f>
        <v>0</v>
      </c>
      <c r="BN57" s="50"/>
      <c r="BO57" s="170">
        <f t="shared" si="2"/>
        <v>0</v>
      </c>
      <c r="BP57" s="49"/>
      <c r="BQ57" s="172">
        <f t="shared" si="65"/>
        <v>0</v>
      </c>
    </row>
    <row r="58" spans="1:76" x14ac:dyDescent="0.35">
      <c r="A58" s="108" t="s">
        <v>19</v>
      </c>
      <c r="B58" s="109"/>
      <c r="C58" s="174">
        <f>IF('December 2026 Log'!BM58="","",'December 2026 Log'!BM58)</f>
        <v>0</v>
      </c>
      <c r="D58" s="47"/>
      <c r="E58" s="166">
        <f>+E54-E57</f>
        <v>0</v>
      </c>
      <c r="F58" s="49"/>
      <c r="G58" s="166">
        <f>+G54-G57</f>
        <v>0</v>
      </c>
      <c r="H58" s="49"/>
      <c r="I58" s="166">
        <f>+I54-I57</f>
        <v>0</v>
      </c>
      <c r="J58" s="49"/>
      <c r="K58" s="166">
        <f>+K54-K57</f>
        <v>0</v>
      </c>
      <c r="L58" s="49"/>
      <c r="M58" s="166">
        <f>+M54-M57</f>
        <v>0</v>
      </c>
      <c r="N58" s="49"/>
      <c r="O58" s="166">
        <f>+O54-O57</f>
        <v>0</v>
      </c>
      <c r="P58" s="49"/>
      <c r="Q58" s="166">
        <f>+Q54-Q57</f>
        <v>0</v>
      </c>
      <c r="R58" s="49"/>
      <c r="S58" s="166">
        <f>+S54-S57</f>
        <v>0</v>
      </c>
      <c r="T58" s="49"/>
      <c r="U58" s="166">
        <f>+U54-U57</f>
        <v>0</v>
      </c>
      <c r="V58" s="49"/>
      <c r="W58" s="166">
        <f>+W54-W57</f>
        <v>0</v>
      </c>
      <c r="X58" s="49"/>
      <c r="Y58" s="166">
        <f>+Y54-Y57</f>
        <v>0</v>
      </c>
      <c r="Z58" s="49"/>
      <c r="AA58" s="166">
        <f>+AA54-AA57</f>
        <v>0</v>
      </c>
      <c r="AB58" s="49"/>
      <c r="AC58" s="166">
        <f>+AC54-AC57</f>
        <v>0</v>
      </c>
      <c r="AD58" s="49"/>
      <c r="AE58" s="166">
        <f>+AE54-AE57</f>
        <v>0</v>
      </c>
      <c r="AF58" s="49"/>
      <c r="AG58" s="166">
        <f>+AG54-AG57</f>
        <v>0</v>
      </c>
      <c r="AH58" s="49"/>
      <c r="AI58" s="166">
        <f>+AI54-AI57</f>
        <v>0</v>
      </c>
      <c r="AJ58" s="49"/>
      <c r="AK58" s="166">
        <f>+AK54-AK57</f>
        <v>0</v>
      </c>
      <c r="AL58" s="49"/>
      <c r="AM58" s="166">
        <f>+AM54-AM57</f>
        <v>0</v>
      </c>
      <c r="AN58" s="49"/>
      <c r="AO58" s="166">
        <f>+AO54-AO57</f>
        <v>0</v>
      </c>
      <c r="AP58" s="49"/>
      <c r="AQ58" s="166">
        <f>+AQ54-AQ57</f>
        <v>0</v>
      </c>
      <c r="AR58" s="49"/>
      <c r="AS58" s="166">
        <f>+AS54-AS57</f>
        <v>0</v>
      </c>
      <c r="AT58" s="49"/>
      <c r="AU58" s="166">
        <f>+AU54-AU57</f>
        <v>0</v>
      </c>
      <c r="AV58" s="49"/>
      <c r="AW58" s="166">
        <f>+AW54-AW57</f>
        <v>0</v>
      </c>
      <c r="AX58" s="49"/>
      <c r="AY58" s="166">
        <f>+AY54-AY57</f>
        <v>0</v>
      </c>
      <c r="AZ58" s="49"/>
      <c r="BA58" s="166">
        <f>+BA54-BA57</f>
        <v>0</v>
      </c>
      <c r="BB58" s="49"/>
      <c r="BC58" s="166">
        <f>+BC54-BC57</f>
        <v>0</v>
      </c>
      <c r="BD58" s="49"/>
      <c r="BE58" s="166">
        <f>+BE54-BE57</f>
        <v>0</v>
      </c>
      <c r="BF58" s="49"/>
      <c r="BG58" s="166">
        <f>+BG54-BG57</f>
        <v>0</v>
      </c>
      <c r="BH58" s="49"/>
      <c r="BI58" s="166">
        <f>+BI54-BI57</f>
        <v>0</v>
      </c>
      <c r="BJ58" s="49"/>
      <c r="BK58" s="166">
        <f>+BK54-BK57</f>
        <v>0</v>
      </c>
      <c r="BL58" s="49"/>
      <c r="BM58" s="166">
        <f>+BM54-BM57</f>
        <v>0</v>
      </c>
      <c r="BN58" s="50"/>
      <c r="BO58" s="170">
        <f t="shared" si="2"/>
        <v>0</v>
      </c>
      <c r="BP58" s="49"/>
      <c r="BQ58" s="172">
        <f t="shared" si="65"/>
        <v>0</v>
      </c>
    </row>
    <row r="59" spans="1:76" x14ac:dyDescent="0.35">
      <c r="A59" s="108" t="s">
        <v>20</v>
      </c>
      <c r="B59" s="109"/>
      <c r="C59" s="174">
        <f>IF('December 2026 Log'!BM59="","",'December 2026 Log'!BM59)</f>
        <v>0</v>
      </c>
      <c r="D59" s="47"/>
      <c r="E59" s="166">
        <f>-E25+E26</f>
        <v>0</v>
      </c>
      <c r="F59" s="49"/>
      <c r="G59" s="166">
        <f>-G25+G26</f>
        <v>0</v>
      </c>
      <c r="H59" s="49"/>
      <c r="I59" s="166">
        <f>-I25+I26</f>
        <v>0</v>
      </c>
      <c r="J59" s="49"/>
      <c r="K59" s="166">
        <f>-K25+K26</f>
        <v>0</v>
      </c>
      <c r="L59" s="49"/>
      <c r="M59" s="166">
        <f>-M25+M26</f>
        <v>0</v>
      </c>
      <c r="N59" s="49"/>
      <c r="O59" s="166">
        <f>-O25+O26</f>
        <v>0</v>
      </c>
      <c r="P59" s="49"/>
      <c r="Q59" s="166">
        <f>-Q25+Q26</f>
        <v>0</v>
      </c>
      <c r="R59" s="49"/>
      <c r="S59" s="166">
        <f>-S25+S26</f>
        <v>0</v>
      </c>
      <c r="T59" s="49"/>
      <c r="U59" s="166">
        <f>-U25+U26</f>
        <v>0</v>
      </c>
      <c r="V59" s="49"/>
      <c r="W59" s="166">
        <f>-W25+W26</f>
        <v>0</v>
      </c>
      <c r="X59" s="49"/>
      <c r="Y59" s="166">
        <f>-Y25+Y26</f>
        <v>0</v>
      </c>
      <c r="Z59" s="49"/>
      <c r="AA59" s="166">
        <f>-AA25+AA26</f>
        <v>0</v>
      </c>
      <c r="AB59" s="49"/>
      <c r="AC59" s="166">
        <f>-AC25+AC26</f>
        <v>0</v>
      </c>
      <c r="AD59" s="49"/>
      <c r="AE59" s="166">
        <f>-AE25+AE26</f>
        <v>0</v>
      </c>
      <c r="AF59" s="49"/>
      <c r="AG59" s="166">
        <f>-AG25+AG26</f>
        <v>0</v>
      </c>
      <c r="AH59" s="49"/>
      <c r="AI59" s="166">
        <f>-AI25+AI26</f>
        <v>0</v>
      </c>
      <c r="AJ59" s="49"/>
      <c r="AK59" s="166">
        <f>-AK25+AK26</f>
        <v>0</v>
      </c>
      <c r="AL59" s="49"/>
      <c r="AM59" s="166">
        <f>-AM25+AM26</f>
        <v>0</v>
      </c>
      <c r="AN59" s="49"/>
      <c r="AO59" s="166">
        <f>-AO25+AO26</f>
        <v>0</v>
      </c>
      <c r="AP59" s="49"/>
      <c r="AQ59" s="166">
        <f>-AQ25+AQ26</f>
        <v>0</v>
      </c>
      <c r="AR59" s="49"/>
      <c r="AS59" s="166">
        <f>-AS25+AS26</f>
        <v>0</v>
      </c>
      <c r="AT59" s="49"/>
      <c r="AU59" s="166">
        <f>-AU25+AU26</f>
        <v>0</v>
      </c>
      <c r="AV59" s="49"/>
      <c r="AW59" s="166">
        <f>-AW25+AW26</f>
        <v>0</v>
      </c>
      <c r="AX59" s="49"/>
      <c r="AY59" s="166">
        <f>-AY25+AY26</f>
        <v>0</v>
      </c>
      <c r="AZ59" s="49"/>
      <c r="BA59" s="166">
        <f>-BA25+BA26</f>
        <v>0</v>
      </c>
      <c r="BB59" s="49"/>
      <c r="BC59" s="166">
        <f>-BC25+BC26</f>
        <v>0</v>
      </c>
      <c r="BD59" s="49"/>
      <c r="BE59" s="166">
        <f>-BE25+BE26</f>
        <v>0</v>
      </c>
      <c r="BF59" s="49"/>
      <c r="BG59" s="166">
        <f>-BG25+BG26</f>
        <v>0</v>
      </c>
      <c r="BH59" s="49"/>
      <c r="BI59" s="166">
        <f>-BI25+BI26</f>
        <v>0</v>
      </c>
      <c r="BJ59" s="49"/>
      <c r="BK59" s="166">
        <f>-BK25+BK26</f>
        <v>0</v>
      </c>
      <c r="BL59" s="49"/>
      <c r="BM59" s="166">
        <f>-BM25+BM26</f>
        <v>0</v>
      </c>
      <c r="BN59" s="50"/>
      <c r="BO59" s="170">
        <f t="shared" si="2"/>
        <v>0</v>
      </c>
      <c r="BP59" s="49"/>
      <c r="BQ59" s="172">
        <f t="shared" si="65"/>
        <v>0</v>
      </c>
    </row>
    <row r="60" spans="1:76" x14ac:dyDescent="0.35">
      <c r="A60" s="74"/>
      <c r="B60" s="75"/>
      <c r="C60" s="141"/>
      <c r="D60" s="102"/>
      <c r="E60" s="142"/>
      <c r="F60" s="104"/>
      <c r="G60" s="142"/>
      <c r="H60" s="104"/>
      <c r="I60" s="142"/>
      <c r="J60" s="104"/>
      <c r="K60" s="142"/>
      <c r="L60" s="104"/>
      <c r="M60" s="142"/>
      <c r="N60" s="104"/>
      <c r="O60" s="142"/>
      <c r="P60" s="104"/>
      <c r="Q60" s="142"/>
      <c r="R60" s="104"/>
      <c r="S60" s="142"/>
      <c r="T60" s="104"/>
      <c r="U60" s="142"/>
      <c r="V60" s="104"/>
      <c r="W60" s="142"/>
      <c r="X60" s="104"/>
      <c r="Y60" s="142"/>
      <c r="Z60" s="104"/>
      <c r="AA60" s="142"/>
      <c r="AB60" s="104"/>
      <c r="AC60" s="142"/>
      <c r="AD60" s="104"/>
      <c r="AE60" s="142"/>
      <c r="AF60" s="104"/>
      <c r="AG60" s="142"/>
      <c r="AH60" s="104"/>
      <c r="AI60" s="142"/>
      <c r="AJ60" s="104"/>
      <c r="AK60" s="142"/>
      <c r="AL60" s="104"/>
      <c r="AM60" s="142"/>
      <c r="AN60" s="104"/>
      <c r="AO60" s="142"/>
      <c r="AP60" s="104"/>
      <c r="AQ60" s="142"/>
      <c r="AR60" s="104"/>
      <c r="AS60" s="142"/>
      <c r="AT60" s="104"/>
      <c r="AU60" s="142"/>
      <c r="AV60" s="104"/>
      <c r="AW60" s="142"/>
      <c r="AX60" s="104"/>
      <c r="AY60" s="142"/>
      <c r="AZ60" s="104"/>
      <c r="BA60" s="142"/>
      <c r="BB60" s="104"/>
      <c r="BC60" s="142"/>
      <c r="BD60" s="104"/>
      <c r="BE60" s="142"/>
      <c r="BF60" s="104"/>
      <c r="BG60" s="142"/>
      <c r="BH60" s="104"/>
      <c r="BI60" s="142"/>
      <c r="BJ60" s="104"/>
      <c r="BK60" s="142"/>
      <c r="BL60" s="104"/>
      <c r="BM60" s="142"/>
      <c r="BN60" s="105"/>
      <c r="BO60" s="106"/>
      <c r="BP60" s="104"/>
      <c r="BQ60" s="107"/>
    </row>
    <row r="61" spans="1:76" s="8" customFormat="1" x14ac:dyDescent="0.35">
      <c r="A61" s="213" t="s">
        <v>68</v>
      </c>
      <c r="B61" s="214"/>
      <c r="C61" s="215"/>
      <c r="D61" s="47"/>
      <c r="E61" s="166" t="e">
        <f t="shared" ref="E61" si="66">+E73-D67</f>
        <v>#VALUE!</v>
      </c>
      <c r="F61" s="49"/>
      <c r="G61" s="166">
        <f t="shared" ref="G61" si="67">+G73-F67</f>
        <v>0</v>
      </c>
      <c r="H61" s="49"/>
      <c r="I61" s="166">
        <f t="shared" ref="I61" si="68">+I73-H67</f>
        <v>0</v>
      </c>
      <c r="J61" s="49"/>
      <c r="K61" s="166">
        <f t="shared" ref="K61" si="69">+K73-J67</f>
        <v>0</v>
      </c>
      <c r="L61" s="49"/>
      <c r="M61" s="166">
        <f t="shared" ref="M61" si="70">+M73-L67</f>
        <v>0</v>
      </c>
      <c r="N61" s="49"/>
      <c r="O61" s="166">
        <f t="shared" ref="O61" si="71">+O73-N67</f>
        <v>0</v>
      </c>
      <c r="P61" s="49"/>
      <c r="Q61" s="166">
        <f t="shared" ref="Q61" si="72">+Q73-P67</f>
        <v>0</v>
      </c>
      <c r="R61" s="49"/>
      <c r="S61" s="166">
        <f t="shared" ref="S61" si="73">+S73-R67</f>
        <v>0</v>
      </c>
      <c r="T61" s="49"/>
      <c r="U61" s="166">
        <f t="shared" ref="U61" si="74">+U73-T67</f>
        <v>0</v>
      </c>
      <c r="V61" s="49"/>
      <c r="W61" s="166">
        <f t="shared" ref="W61" si="75">+W73-V67</f>
        <v>0</v>
      </c>
      <c r="X61" s="49"/>
      <c r="Y61" s="166">
        <f t="shared" ref="Y61" si="76">+Y73-X67</f>
        <v>0</v>
      </c>
      <c r="Z61" s="49"/>
      <c r="AA61" s="166">
        <f t="shared" ref="AA61" si="77">+AA73-Z67</f>
        <v>0</v>
      </c>
      <c r="AB61" s="49"/>
      <c r="AC61" s="166">
        <f t="shared" ref="AC61" si="78">+AC73-AB67</f>
        <v>0</v>
      </c>
      <c r="AD61" s="49"/>
      <c r="AE61" s="166">
        <f t="shared" ref="AE61" si="79">+AE73-AD67</f>
        <v>0</v>
      </c>
      <c r="AF61" s="49"/>
      <c r="AG61" s="166">
        <f t="shared" ref="AG61" si="80">+AG73-AF67</f>
        <v>0</v>
      </c>
      <c r="AH61" s="49"/>
      <c r="AI61" s="166">
        <f t="shared" ref="AI61" si="81">+AI73-AH67</f>
        <v>0</v>
      </c>
      <c r="AJ61" s="49"/>
      <c r="AK61" s="166">
        <f t="shared" ref="AK61" si="82">+AK73-AJ67</f>
        <v>0</v>
      </c>
      <c r="AL61" s="49"/>
      <c r="AM61" s="166">
        <f t="shared" ref="AM61" si="83">+AM73-AL67</f>
        <v>0</v>
      </c>
      <c r="AN61" s="49"/>
      <c r="AO61" s="166">
        <f t="shared" ref="AO61" si="84">+AO73-AN67</f>
        <v>0</v>
      </c>
      <c r="AP61" s="49"/>
      <c r="AQ61" s="166">
        <f t="shared" ref="AQ61" si="85">+AQ73-AP67</f>
        <v>0</v>
      </c>
      <c r="AR61" s="49"/>
      <c r="AS61" s="166">
        <f t="shared" ref="AS61" si="86">+AS73-AR67</f>
        <v>0</v>
      </c>
      <c r="AT61" s="49"/>
      <c r="AU61" s="166">
        <f t="shared" ref="AU61" si="87">+AU73-AT67</f>
        <v>0</v>
      </c>
      <c r="AV61" s="49"/>
      <c r="AW61" s="166">
        <f t="shared" ref="AW61" si="88">+AW73-AV67</f>
        <v>0</v>
      </c>
      <c r="AX61" s="49"/>
      <c r="AY61" s="166">
        <f t="shared" ref="AY61" si="89">+AY73-AX67</f>
        <v>0</v>
      </c>
      <c r="AZ61" s="49"/>
      <c r="BA61" s="166">
        <f t="shared" ref="BA61" si="90">+BA73-AZ67</f>
        <v>0</v>
      </c>
      <c r="BB61" s="49"/>
      <c r="BC61" s="166">
        <f t="shared" ref="BC61" si="91">+BC73-BB67</f>
        <v>0</v>
      </c>
      <c r="BD61" s="49"/>
      <c r="BE61" s="166">
        <f t="shared" ref="BE61" si="92">+BE73-BD67</f>
        <v>0</v>
      </c>
      <c r="BF61" s="49"/>
      <c r="BG61" s="166">
        <f>+BG73-BF67</f>
        <v>0</v>
      </c>
      <c r="BH61" s="49"/>
      <c r="BI61" s="166">
        <f>+BI73-BH67</f>
        <v>0</v>
      </c>
      <c r="BJ61" s="49"/>
      <c r="BK61" s="166">
        <f t="shared" ref="BK61" si="93">+BK73-BJ67</f>
        <v>0</v>
      </c>
      <c r="BL61" s="49"/>
      <c r="BM61" s="166">
        <f t="shared" ref="BM61" si="94">+BM73-BL67</f>
        <v>0</v>
      </c>
      <c r="BN61" s="50"/>
      <c r="BO61" s="170" t="e">
        <f>IF(COUNT(E61,G61,I61,K61,M61,O61,Q61,S61,U61,W61,Y61,AA61,AC61,AE61,AG61,AI61,AK61,AM61,AO61,AQ61,AS61,AU61,AW61,AY61,BA61,BC61,BE61,BG61,BI61,BK61,BM61)=0,"",SUM(E61,G61,I61,K61,M61,O61,Q61,S61,U61,W61,Y61,AA61,AC61,AE61,AG61,AI61,AK61,AM61,AO61,AQ61,AS61,AU61,AW61,AY61,BA61,BC61,BE61,BG61,BI61,BK61,BM61))</f>
        <v>#VALUE!</v>
      </c>
      <c r="BP61" s="49"/>
      <c r="BQ61" s="52"/>
      <c r="BR61"/>
      <c r="BS61"/>
      <c r="BT61"/>
      <c r="BU61"/>
      <c r="BV61"/>
      <c r="BW61"/>
      <c r="BX61"/>
    </row>
    <row r="62" spans="1:76" x14ac:dyDescent="0.35">
      <c r="A62" s="53" t="s">
        <v>24</v>
      </c>
      <c r="B62" s="187" t="e">
        <f>C62-C106</f>
        <v>#VALUE!</v>
      </c>
      <c r="C62" s="174" t="str">
        <f>IF('December 2026 Log'!BM62="","",'December 2026 Log'!BM62)</f>
        <v/>
      </c>
      <c r="D62" s="189" t="e">
        <f>+C62-E62+E106</f>
        <v>#VALUE!</v>
      </c>
      <c r="E62" s="48"/>
      <c r="F62" s="167">
        <f>+E62-G62+G106</f>
        <v>0</v>
      </c>
      <c r="G62" s="48"/>
      <c r="H62" s="167">
        <f>+G62-I62+I106</f>
        <v>0</v>
      </c>
      <c r="I62" s="48"/>
      <c r="J62" s="167">
        <f>+I62-K62+K106</f>
        <v>0</v>
      </c>
      <c r="K62" s="48"/>
      <c r="L62" s="167">
        <f>+K62-M62+M106</f>
        <v>0</v>
      </c>
      <c r="M62" s="48"/>
      <c r="N62" s="167">
        <f>+M62-O62+O106</f>
        <v>0</v>
      </c>
      <c r="O62" s="48"/>
      <c r="P62" s="167">
        <f>+O62-Q62+Q106</f>
        <v>0</v>
      </c>
      <c r="Q62" s="48"/>
      <c r="R62" s="167">
        <f>+Q62-S62+S106</f>
        <v>0</v>
      </c>
      <c r="S62" s="48"/>
      <c r="T62" s="167">
        <f>+S62-U62+U106</f>
        <v>0</v>
      </c>
      <c r="U62" s="48"/>
      <c r="V62" s="167">
        <f>+U62-W62+W106</f>
        <v>0</v>
      </c>
      <c r="W62" s="48"/>
      <c r="X62" s="167">
        <f>+W62-Y62+Y106</f>
        <v>0</v>
      </c>
      <c r="Y62" s="48"/>
      <c r="Z62" s="167">
        <f>+Y62-AA62+AA106</f>
        <v>0</v>
      </c>
      <c r="AA62" s="48"/>
      <c r="AB62" s="167">
        <f>+AA62-AC62+AC106</f>
        <v>0</v>
      </c>
      <c r="AC62" s="48"/>
      <c r="AD62" s="167">
        <f>+AC62-AE62+AE106</f>
        <v>0</v>
      </c>
      <c r="AE62" s="48"/>
      <c r="AF62" s="167">
        <f>+AE62-AG62+AG106</f>
        <v>0</v>
      </c>
      <c r="AG62" s="48"/>
      <c r="AH62" s="167">
        <f>+AG62-AI62+AI106</f>
        <v>0</v>
      </c>
      <c r="AI62" s="48"/>
      <c r="AJ62" s="167">
        <f>+AI62-AK62+AK106</f>
        <v>0</v>
      </c>
      <c r="AK62" s="48"/>
      <c r="AL62" s="167">
        <f>+AK62-AM62+AM106</f>
        <v>0</v>
      </c>
      <c r="AM62" s="48"/>
      <c r="AN62" s="167">
        <f>+AM62-AO62+AO106</f>
        <v>0</v>
      </c>
      <c r="AO62" s="48"/>
      <c r="AP62" s="167">
        <f>+AO62-AQ62+AQ106</f>
        <v>0</v>
      </c>
      <c r="AQ62" s="48"/>
      <c r="AR62" s="167">
        <f>+AQ62-AS62+AS106</f>
        <v>0</v>
      </c>
      <c r="AS62" s="48"/>
      <c r="AT62" s="167">
        <f>+AS62-AU62+AU106</f>
        <v>0</v>
      </c>
      <c r="AU62" s="48"/>
      <c r="AV62" s="167">
        <f>+AU62-AW62+AW106</f>
        <v>0</v>
      </c>
      <c r="AW62" s="48"/>
      <c r="AX62" s="167">
        <f>+AW62-AY62+AY106</f>
        <v>0</v>
      </c>
      <c r="AY62" s="48"/>
      <c r="AZ62" s="167">
        <f>+AY62-BA62+BA106</f>
        <v>0</v>
      </c>
      <c r="BA62" s="48"/>
      <c r="BB62" s="167">
        <f>+BA62-BC62+BC106</f>
        <v>0</v>
      </c>
      <c r="BC62" s="48"/>
      <c r="BD62" s="167">
        <f>+BC62-BE62+BE106</f>
        <v>0</v>
      </c>
      <c r="BE62" s="48"/>
      <c r="BF62" s="167">
        <f>+BE62-BG62+BG106</f>
        <v>0</v>
      </c>
      <c r="BG62" s="48"/>
      <c r="BH62" s="167">
        <f>+BG62-BI62+BI106</f>
        <v>0</v>
      </c>
      <c r="BI62" s="48"/>
      <c r="BJ62" s="167">
        <f>+BI62-BK62+BK106</f>
        <v>0</v>
      </c>
      <c r="BK62" s="48"/>
      <c r="BL62" s="167">
        <f>+BK62-BM62+BM106</f>
        <v>0</v>
      </c>
      <c r="BM62" s="48"/>
      <c r="BN62" s="50"/>
      <c r="BO62" s="170" t="e">
        <f>IF(COUNT(D62,F62,H62,J62,L62,N62,P62,R62,T62,V62,X62,Z62,AB62,AD62,AF62,AH62,AJ62,AL62,AN62,AP62,AR62,AT62,AV62,AX62,AZ62,BB62,BD62,BF62,BH62,BJ62,BL62)=0,"",SUM(D62,F62,H62,J62,L62,N62,P62,R62,T62,V62,X62,Z62,AB62,AD62,AF62,AH62,AJ62,AL62,AN62,AP62,AR62,AT62,AV62,AX62,AZ62,BB62,BD62,BF62,BH62,BJ62,BL62))</f>
        <v>#VALUE!</v>
      </c>
      <c r="BP62" s="167" t="e">
        <f>+BM62-BQ62+BQ106</f>
        <v>#VALUE!</v>
      </c>
      <c r="BQ62" s="178" t="str">
        <f>IF(BM62="","",BM62)</f>
        <v/>
      </c>
    </row>
    <row r="63" spans="1:76" x14ac:dyDescent="0.35">
      <c r="A63" s="53" t="s">
        <v>25</v>
      </c>
      <c r="B63" s="187" t="e">
        <f>C63-C107</f>
        <v>#VALUE!</v>
      </c>
      <c r="C63" s="174" t="str">
        <f>IF('December 2026 Log'!BM63="","",'December 2026 Log'!BM63)</f>
        <v/>
      </c>
      <c r="D63" s="189" t="e">
        <f>+C63-E63+E107</f>
        <v>#VALUE!</v>
      </c>
      <c r="E63" s="48"/>
      <c r="F63" s="167">
        <f>+E63-G63+G107</f>
        <v>0</v>
      </c>
      <c r="G63" s="48"/>
      <c r="H63" s="167">
        <f>+G63-I63+I107</f>
        <v>0</v>
      </c>
      <c r="I63" s="48"/>
      <c r="J63" s="167">
        <f>+I63-K63+K107</f>
        <v>0</v>
      </c>
      <c r="K63" s="48"/>
      <c r="L63" s="167">
        <f>+K63-M63+M107</f>
        <v>0</v>
      </c>
      <c r="M63" s="48"/>
      <c r="N63" s="167">
        <f>+M63-O63+O107</f>
        <v>0</v>
      </c>
      <c r="O63" s="48"/>
      <c r="P63" s="167">
        <f>+O63-Q63+Q107</f>
        <v>0</v>
      </c>
      <c r="Q63" s="48"/>
      <c r="R63" s="167">
        <f>+Q63-S63+S107</f>
        <v>0</v>
      </c>
      <c r="S63" s="48"/>
      <c r="T63" s="167">
        <f>+S63-U63+U107</f>
        <v>0</v>
      </c>
      <c r="U63" s="48"/>
      <c r="V63" s="167">
        <f>+U63-W63+W107</f>
        <v>0</v>
      </c>
      <c r="W63" s="48"/>
      <c r="X63" s="167">
        <f>+W63-Y63+Y107</f>
        <v>0</v>
      </c>
      <c r="Y63" s="48"/>
      <c r="Z63" s="167">
        <f>+Y63-AA63+AA107</f>
        <v>0</v>
      </c>
      <c r="AA63" s="48"/>
      <c r="AB63" s="167">
        <f>+AA63-AC63+AC107</f>
        <v>0</v>
      </c>
      <c r="AC63" s="48"/>
      <c r="AD63" s="167">
        <f>+AC63-AE63+AE107</f>
        <v>0</v>
      </c>
      <c r="AE63" s="48"/>
      <c r="AF63" s="167">
        <f>+AE63-AG63+AG107</f>
        <v>0</v>
      </c>
      <c r="AG63" s="48"/>
      <c r="AH63" s="167">
        <f>+AG63-AI63+AI107</f>
        <v>0</v>
      </c>
      <c r="AI63" s="48"/>
      <c r="AJ63" s="167">
        <f>+AI63-AK63+AK107</f>
        <v>0</v>
      </c>
      <c r="AK63" s="48"/>
      <c r="AL63" s="167">
        <f>+AK63-AM63+AM107</f>
        <v>0</v>
      </c>
      <c r="AM63" s="48"/>
      <c r="AN63" s="167">
        <f>+AM63-AO63+AO107</f>
        <v>0</v>
      </c>
      <c r="AO63" s="48"/>
      <c r="AP63" s="167">
        <f>+AO63-AQ63+AQ107</f>
        <v>0</v>
      </c>
      <c r="AQ63" s="48"/>
      <c r="AR63" s="167">
        <f>+AQ63-AS63+AS107</f>
        <v>0</v>
      </c>
      <c r="AS63" s="48"/>
      <c r="AT63" s="167">
        <f>+AS63-AU63+AU107</f>
        <v>0</v>
      </c>
      <c r="AU63" s="48"/>
      <c r="AV63" s="167">
        <f>+AU63-AW63+AW107</f>
        <v>0</v>
      </c>
      <c r="AW63" s="48"/>
      <c r="AX63" s="167">
        <f>+AW63-AY63+AY107</f>
        <v>0</v>
      </c>
      <c r="AY63" s="48"/>
      <c r="AZ63" s="167">
        <f>+AY63-BA63+BA107</f>
        <v>0</v>
      </c>
      <c r="BA63" s="48"/>
      <c r="BB63" s="167">
        <f>+BA63-BC63+BC107</f>
        <v>0</v>
      </c>
      <c r="BC63" s="48"/>
      <c r="BD63" s="167">
        <f>+BC63-BE63+BE107</f>
        <v>0</v>
      </c>
      <c r="BE63" s="48"/>
      <c r="BF63" s="167">
        <f>+BE63-BG63+BG107</f>
        <v>0</v>
      </c>
      <c r="BG63" s="48"/>
      <c r="BH63" s="167">
        <f>+BG63-BI63+BI107</f>
        <v>0</v>
      </c>
      <c r="BI63" s="48"/>
      <c r="BJ63" s="167">
        <f>+BI63-BK63+BK107</f>
        <v>0</v>
      </c>
      <c r="BK63" s="48"/>
      <c r="BL63" s="167">
        <f>+BK63-BM63+BM107</f>
        <v>0</v>
      </c>
      <c r="BM63" s="48"/>
      <c r="BN63" s="50"/>
      <c r="BO63" s="170" t="e">
        <f>IF(COUNT(D63,F63,H63,J63,L63,N63,P63,R63,T63,V63,X63,Z63,AB63,AD63,AF63,AH63,AJ63,AL63,AN63,AP63,AR63,AT63,AV63,AX63,AZ63,BB63,BD63,BF63,BH63,BJ63,BL63)=0,"",SUM(D63,F63,H63,J63,L63,N63,P63,R63,T63,V63,X63,Z63,AB63,AD63,AF63,AH63,AJ63,AL63,AN63,AP63,AR63,AT63,AV63,AX63,AZ63,BB63,BD63,BF63,BH63,BJ63,BL63))</f>
        <v>#VALUE!</v>
      </c>
      <c r="BP63" s="167" t="e">
        <f>+BM63-BQ63+BQ107</f>
        <v>#VALUE!</v>
      </c>
      <c r="BQ63" s="178" t="str">
        <f>IF(BM63="","",BM63)</f>
        <v/>
      </c>
    </row>
    <row r="64" spans="1:76" x14ac:dyDescent="0.35">
      <c r="A64" s="53" t="s">
        <v>25</v>
      </c>
      <c r="B64" s="187" t="e">
        <f>C64-C108</f>
        <v>#VALUE!</v>
      </c>
      <c r="C64" s="174" t="str">
        <f>IF('December 2026 Log'!BM64="","",'December 2026 Log'!BM64)</f>
        <v/>
      </c>
      <c r="D64" s="189" t="e">
        <f>+C64-E64+E108</f>
        <v>#VALUE!</v>
      </c>
      <c r="E64" s="48"/>
      <c r="F64" s="167">
        <f>+E64-G64+G108</f>
        <v>0</v>
      </c>
      <c r="G64" s="48"/>
      <c r="H64" s="167">
        <f>+G64-I64+I108</f>
        <v>0</v>
      </c>
      <c r="I64" s="48"/>
      <c r="J64" s="167">
        <f>+I64-K64+K108</f>
        <v>0</v>
      </c>
      <c r="K64" s="48"/>
      <c r="L64" s="167">
        <f>+K64-M64+M108</f>
        <v>0</v>
      </c>
      <c r="M64" s="48"/>
      <c r="N64" s="167">
        <f>+M64-O64+O108</f>
        <v>0</v>
      </c>
      <c r="O64" s="48"/>
      <c r="P64" s="167">
        <f>+O64-Q64+Q108</f>
        <v>0</v>
      </c>
      <c r="Q64" s="48"/>
      <c r="R64" s="167">
        <f>+Q64-S64+S108</f>
        <v>0</v>
      </c>
      <c r="S64" s="48"/>
      <c r="T64" s="167">
        <f>+S64-U64+U108</f>
        <v>0</v>
      </c>
      <c r="U64" s="48"/>
      <c r="V64" s="167">
        <f>+U64-W64+W108</f>
        <v>0</v>
      </c>
      <c r="W64" s="48"/>
      <c r="X64" s="167">
        <f>+W64-Y64+Y108</f>
        <v>0</v>
      </c>
      <c r="Y64" s="48"/>
      <c r="Z64" s="167">
        <f>+Y64-AA64+AA108</f>
        <v>0</v>
      </c>
      <c r="AA64" s="48"/>
      <c r="AB64" s="167">
        <f>+AA64-AC64+AC108</f>
        <v>0</v>
      </c>
      <c r="AC64" s="48"/>
      <c r="AD64" s="167">
        <f>+AC64-AE64+AE108</f>
        <v>0</v>
      </c>
      <c r="AE64" s="48"/>
      <c r="AF64" s="167">
        <f>+AE64-AG64+AG108</f>
        <v>0</v>
      </c>
      <c r="AG64" s="48"/>
      <c r="AH64" s="167">
        <f>+AG64-AI64+AI108</f>
        <v>0</v>
      </c>
      <c r="AI64" s="48"/>
      <c r="AJ64" s="167">
        <f>+AI64-AK64+AK108</f>
        <v>0</v>
      </c>
      <c r="AK64" s="48"/>
      <c r="AL64" s="167">
        <f>+AK64-AM64+AM108</f>
        <v>0</v>
      </c>
      <c r="AM64" s="48"/>
      <c r="AN64" s="167">
        <f>+AM64-AO64+AO108</f>
        <v>0</v>
      </c>
      <c r="AO64" s="48"/>
      <c r="AP64" s="167">
        <f>+AO64-AQ64+AQ108</f>
        <v>0</v>
      </c>
      <c r="AQ64" s="48"/>
      <c r="AR64" s="167">
        <f>+AQ64-AS64+AS108</f>
        <v>0</v>
      </c>
      <c r="AS64" s="48"/>
      <c r="AT64" s="167">
        <f>+AS64-AU64+AU108</f>
        <v>0</v>
      </c>
      <c r="AU64" s="48"/>
      <c r="AV64" s="167">
        <f>+AU64-AW64+AW108</f>
        <v>0</v>
      </c>
      <c r="AW64" s="48"/>
      <c r="AX64" s="167">
        <f>+AW64-AY64+AY108</f>
        <v>0</v>
      </c>
      <c r="AY64" s="48"/>
      <c r="AZ64" s="167">
        <f>+AY64-BA64+BA108</f>
        <v>0</v>
      </c>
      <c r="BA64" s="48"/>
      <c r="BB64" s="167">
        <f>+BA64-BC64+BC108</f>
        <v>0</v>
      </c>
      <c r="BC64" s="48"/>
      <c r="BD64" s="167">
        <f>+BC64-BE64+BE108</f>
        <v>0</v>
      </c>
      <c r="BE64" s="48"/>
      <c r="BF64" s="167">
        <f>+BE64-BG64+BG108</f>
        <v>0</v>
      </c>
      <c r="BG64" s="48"/>
      <c r="BH64" s="167">
        <f>+BG64-BI64+BI108</f>
        <v>0</v>
      </c>
      <c r="BI64" s="48"/>
      <c r="BJ64" s="167">
        <f>+BI64-BK64+BK108</f>
        <v>0</v>
      </c>
      <c r="BK64" s="48"/>
      <c r="BL64" s="167">
        <f>+BK64-BM64+BM108</f>
        <v>0</v>
      </c>
      <c r="BM64" s="48"/>
      <c r="BN64" s="50"/>
      <c r="BO64" s="170" t="e">
        <f>IF(COUNT(D64,F64,H64,J64,L64,N64,P64,R64,T64,V64,X64,Z64,AB64,AD64,AF64,AH64,AJ64,AL64,AN64,AP64,AR64,AT64,AV64,AX64,AZ64,BB64,BD64,BF64,BH64,BJ64,BL64)=0,"",SUM(D64,F64,H64,J64,L64,N64,P64,R64,T64,V64,X64,Z64,AB64,AD64,AF64,AH64,AJ64,AL64,AN64,AP64,AR64,AT64,AV64,AX64,AZ64,BB64,BD64,BF64,BH64,BJ64,BL64))</f>
        <v>#VALUE!</v>
      </c>
      <c r="BP64" s="167" t="e">
        <f>+BM64-BQ64+BQ108</f>
        <v>#VALUE!</v>
      </c>
      <c r="BQ64" s="178" t="str">
        <f>IF(BM64="","",BM64)</f>
        <v/>
      </c>
    </row>
    <row r="65" spans="1:69" x14ac:dyDescent="0.35">
      <c r="A65" s="53" t="s">
        <v>26</v>
      </c>
      <c r="B65" s="187" t="e">
        <f>C65-C109</f>
        <v>#VALUE!</v>
      </c>
      <c r="C65" s="174" t="str">
        <f>IF('December 2026 Log'!BM65="","",'December 2026 Log'!BM65)</f>
        <v/>
      </c>
      <c r="D65" s="189" t="e">
        <f>+C65-E65+E109</f>
        <v>#VALUE!</v>
      </c>
      <c r="E65" s="48"/>
      <c r="F65" s="167">
        <f>+E65-G65+G109</f>
        <v>0</v>
      </c>
      <c r="G65" s="48"/>
      <c r="H65" s="167">
        <f>+G65-I65+I109</f>
        <v>0</v>
      </c>
      <c r="I65" s="48"/>
      <c r="J65" s="167">
        <f>+I65-K65+K109</f>
        <v>0</v>
      </c>
      <c r="K65" s="48"/>
      <c r="L65" s="167">
        <f>+K65-M65+M109</f>
        <v>0</v>
      </c>
      <c r="M65" s="48"/>
      <c r="N65" s="167">
        <f>+M65-O65+O109</f>
        <v>0</v>
      </c>
      <c r="O65" s="48"/>
      <c r="P65" s="167">
        <f>+O65-Q65+Q109</f>
        <v>0</v>
      </c>
      <c r="Q65" s="48"/>
      <c r="R65" s="167">
        <f>+Q65-S65+S109</f>
        <v>0</v>
      </c>
      <c r="S65" s="48"/>
      <c r="T65" s="167">
        <f>+S65-U65+U109</f>
        <v>0</v>
      </c>
      <c r="U65" s="48"/>
      <c r="V65" s="167">
        <f>+U65-W65+W109</f>
        <v>0</v>
      </c>
      <c r="W65" s="48"/>
      <c r="X65" s="167">
        <f>+W65-Y65+Y109</f>
        <v>0</v>
      </c>
      <c r="Y65" s="48"/>
      <c r="Z65" s="167">
        <f>+Y65-AA65+AA109</f>
        <v>0</v>
      </c>
      <c r="AA65" s="48"/>
      <c r="AB65" s="167">
        <f>+AA65-AC65+AC109</f>
        <v>0</v>
      </c>
      <c r="AC65" s="48"/>
      <c r="AD65" s="167">
        <f>+AC65-AE65+AE109</f>
        <v>0</v>
      </c>
      <c r="AE65" s="48"/>
      <c r="AF65" s="167">
        <f>+AE65-AG65+AG109</f>
        <v>0</v>
      </c>
      <c r="AG65" s="48"/>
      <c r="AH65" s="167">
        <f>+AG65-AI65+AI109</f>
        <v>0</v>
      </c>
      <c r="AI65" s="48"/>
      <c r="AJ65" s="167">
        <f>+AI65-AK65+AK109</f>
        <v>0</v>
      </c>
      <c r="AK65" s="48"/>
      <c r="AL65" s="167">
        <f>+AK65-AM65+AM109</f>
        <v>0</v>
      </c>
      <c r="AM65" s="48"/>
      <c r="AN65" s="167">
        <f>+AM65-AO65+AO109</f>
        <v>0</v>
      </c>
      <c r="AO65" s="48"/>
      <c r="AP65" s="167">
        <f>+AO65-AQ65+AQ109</f>
        <v>0</v>
      </c>
      <c r="AQ65" s="48"/>
      <c r="AR65" s="167">
        <f>+AQ65-AS65+AS109</f>
        <v>0</v>
      </c>
      <c r="AS65" s="48"/>
      <c r="AT65" s="167">
        <f>+AS65-AU65+AU109</f>
        <v>0</v>
      </c>
      <c r="AU65" s="48"/>
      <c r="AV65" s="167">
        <f>+AU65-AW65+AW109</f>
        <v>0</v>
      </c>
      <c r="AW65" s="48"/>
      <c r="AX65" s="167">
        <f>+AW65-AY65+AY109</f>
        <v>0</v>
      </c>
      <c r="AY65" s="48"/>
      <c r="AZ65" s="167">
        <f>+AY65-BA65+BA109</f>
        <v>0</v>
      </c>
      <c r="BA65" s="48"/>
      <c r="BB65" s="167">
        <f>+BA65-BC65+BC109</f>
        <v>0</v>
      </c>
      <c r="BC65" s="48"/>
      <c r="BD65" s="167">
        <f>+BC65-BE65+BE109</f>
        <v>0</v>
      </c>
      <c r="BE65" s="48"/>
      <c r="BF65" s="167">
        <f>+BE65-BG65+BG109</f>
        <v>0</v>
      </c>
      <c r="BG65" s="48"/>
      <c r="BH65" s="167">
        <f>+BG65-BI65+BI109</f>
        <v>0</v>
      </c>
      <c r="BI65" s="48"/>
      <c r="BJ65" s="167">
        <f>+BI65-BK65+BK109</f>
        <v>0</v>
      </c>
      <c r="BK65" s="48"/>
      <c r="BL65" s="167">
        <f>+BK65-BM65+BM109</f>
        <v>0</v>
      </c>
      <c r="BM65" s="48"/>
      <c r="BN65" s="50"/>
      <c r="BO65" s="170" t="e">
        <f>IF(COUNT(D65,F65,H65,J65,L65,N65,P65,R65,T65,V65,X65,Z65,AB65,AD65,AF65,AH65,AJ65,AL65,AN65,AP65,AR65,AT65,AV65,AX65,AZ65,BB65,BD65,BF65,BH65,BJ65,BL65)=0,"",SUM(D65,F65,H65,J65,L65,N65,P65,R65,T65,V65,X65,Z65,AB65,AD65,AF65,AH65,AJ65,AL65,AN65,AP65,AR65,AT65,AV65,AX65,AZ65,BB65,BD65,BF65,BH65,BJ65,BL65))</f>
        <v>#VALUE!</v>
      </c>
      <c r="BP65" s="167" t="e">
        <f>+BM65-BQ65+BQ109</f>
        <v>#VALUE!</v>
      </c>
      <c r="BQ65" s="178" t="str">
        <f>IF(BM65="","",BM65)</f>
        <v/>
      </c>
    </row>
    <row r="66" spans="1:69" x14ac:dyDescent="0.35">
      <c r="A66" s="53" t="s">
        <v>26</v>
      </c>
      <c r="B66" s="187" t="e">
        <f>C66-C110</f>
        <v>#VALUE!</v>
      </c>
      <c r="C66" s="174" t="str">
        <f>IF('December 2026 Log'!BM66="","",'December 2026 Log'!BM66)</f>
        <v/>
      </c>
      <c r="D66" s="189" t="e">
        <f>+C66-E66+E110</f>
        <v>#VALUE!</v>
      </c>
      <c r="E66" s="48"/>
      <c r="F66" s="167">
        <f>+E66-G66+G110</f>
        <v>0</v>
      </c>
      <c r="G66" s="48"/>
      <c r="H66" s="167">
        <f>+G66-I66+I110</f>
        <v>0</v>
      </c>
      <c r="I66" s="48"/>
      <c r="J66" s="167">
        <f>+I66-K66+K110</f>
        <v>0</v>
      </c>
      <c r="K66" s="48"/>
      <c r="L66" s="167">
        <f>+K66-M66+M110</f>
        <v>0</v>
      </c>
      <c r="M66" s="48"/>
      <c r="N66" s="167">
        <f>+M66-O66+O110</f>
        <v>0</v>
      </c>
      <c r="O66" s="48"/>
      <c r="P66" s="167">
        <f>+O66-Q66+Q110</f>
        <v>0</v>
      </c>
      <c r="Q66" s="48"/>
      <c r="R66" s="167">
        <f>+Q66-S66+S110</f>
        <v>0</v>
      </c>
      <c r="S66" s="48"/>
      <c r="T66" s="167">
        <f>+S66-U66+U110</f>
        <v>0</v>
      </c>
      <c r="U66" s="48"/>
      <c r="V66" s="167">
        <f>+U66-W66+W110</f>
        <v>0</v>
      </c>
      <c r="W66" s="48"/>
      <c r="X66" s="167">
        <f>+W66-Y66+Y110</f>
        <v>0</v>
      </c>
      <c r="Y66" s="48"/>
      <c r="Z66" s="167">
        <f>+Y66-AA66+AA110</f>
        <v>0</v>
      </c>
      <c r="AA66" s="48"/>
      <c r="AB66" s="167">
        <f>+AA66-AC66+AC110</f>
        <v>0</v>
      </c>
      <c r="AC66" s="48"/>
      <c r="AD66" s="167">
        <f>+AC66-AE66+AE110</f>
        <v>0</v>
      </c>
      <c r="AE66" s="48"/>
      <c r="AF66" s="167">
        <f>+AE66-AG66+AG110</f>
        <v>0</v>
      </c>
      <c r="AG66" s="48"/>
      <c r="AH66" s="167">
        <f>+AG66-AI66+AI110</f>
        <v>0</v>
      </c>
      <c r="AI66" s="48"/>
      <c r="AJ66" s="167">
        <f>+AI66-AK66+AK110</f>
        <v>0</v>
      </c>
      <c r="AK66" s="48"/>
      <c r="AL66" s="167">
        <f>+AK66-AM66+AM110</f>
        <v>0</v>
      </c>
      <c r="AM66" s="48"/>
      <c r="AN66" s="167">
        <f>+AM66-AO66+AO110</f>
        <v>0</v>
      </c>
      <c r="AO66" s="48"/>
      <c r="AP66" s="167">
        <f>+AO66-AQ66+AQ110</f>
        <v>0</v>
      </c>
      <c r="AQ66" s="48"/>
      <c r="AR66" s="167">
        <f>+AQ66-AS66+AS110</f>
        <v>0</v>
      </c>
      <c r="AS66" s="48"/>
      <c r="AT66" s="167">
        <f>+AS66-AU66+AU110</f>
        <v>0</v>
      </c>
      <c r="AU66" s="48"/>
      <c r="AV66" s="167">
        <f>+AU66-AW66+AW110</f>
        <v>0</v>
      </c>
      <c r="AW66" s="48"/>
      <c r="AX66" s="167">
        <f>+AW66-AY66+AY110</f>
        <v>0</v>
      </c>
      <c r="AY66" s="48"/>
      <c r="AZ66" s="167">
        <f>+AY66-BA66+BA110</f>
        <v>0</v>
      </c>
      <c r="BA66" s="48"/>
      <c r="BB66" s="167">
        <f>+BA66-BC66+BC110</f>
        <v>0</v>
      </c>
      <c r="BC66" s="48"/>
      <c r="BD66" s="167">
        <f>+BC66-BE66+BE110</f>
        <v>0</v>
      </c>
      <c r="BE66" s="48"/>
      <c r="BF66" s="167">
        <f>+BE66-BG66+BG110</f>
        <v>0</v>
      </c>
      <c r="BG66" s="48"/>
      <c r="BH66" s="167">
        <f>+BG66-BI66+BI110</f>
        <v>0</v>
      </c>
      <c r="BI66" s="48"/>
      <c r="BJ66" s="167">
        <f>+BI66-BK66+BK110</f>
        <v>0</v>
      </c>
      <c r="BK66" s="48"/>
      <c r="BL66" s="167">
        <f>+BK66-BM66+BM110</f>
        <v>0</v>
      </c>
      <c r="BM66" s="48"/>
      <c r="BN66" s="50"/>
      <c r="BO66" s="170" t="e">
        <f>IF(COUNT(D66,F66,H66,J66,L66,N66,P66,R66,T66,V66,X66,Z66,AB66,AD66,AF66,AH66,AJ66,AL66,AN66,AP66,AR66,AT66,AV66,AX66,AZ66,BB66,BD66,BF66,BH66,BJ66,BL66)=0,"",SUM(D66,F66,H66,J66,L66,N66,P66,R66,T66,V66,X66,Z66,AB66,AD66,AF66,AH66,AJ66,AL66,AN66,AP66,AR66,AT66,AV66,AX66,AZ66,BB66,BD66,BF66,BH66,BJ66,BL66))</f>
        <v>#VALUE!</v>
      </c>
      <c r="BP66" s="167" t="e">
        <f>+BM66-BQ66+BQ110</f>
        <v>#VALUE!</v>
      </c>
      <c r="BQ66" s="178" t="str">
        <f>IF(BM66="","",BM66)</f>
        <v/>
      </c>
    </row>
    <row r="67" spans="1:69" x14ac:dyDescent="0.35">
      <c r="A67" s="98"/>
      <c r="B67" s="90"/>
      <c r="C67" s="131"/>
      <c r="D67" s="189" t="e">
        <f>SUM(D62:D66)</f>
        <v>#VALUE!</v>
      </c>
      <c r="E67" s="166" t="e">
        <f>+E73-D73</f>
        <v>#VALUE!</v>
      </c>
      <c r="F67" s="167">
        <f>SUM(F62:F66)</f>
        <v>0</v>
      </c>
      <c r="G67" s="166">
        <f>+G73-F73</f>
        <v>0</v>
      </c>
      <c r="H67" s="167">
        <f>SUM(H62:H66)</f>
        <v>0</v>
      </c>
      <c r="I67" s="166">
        <f>+I73-H73</f>
        <v>0</v>
      </c>
      <c r="J67" s="167">
        <f>SUM(J62:J66)</f>
        <v>0</v>
      </c>
      <c r="K67" s="166">
        <f>+K73-J73</f>
        <v>0</v>
      </c>
      <c r="L67" s="167">
        <f>SUM(L62:L66)</f>
        <v>0</v>
      </c>
      <c r="M67" s="166">
        <f>+M73-L73</f>
        <v>0</v>
      </c>
      <c r="N67" s="167">
        <f>SUM(N62:N66)</f>
        <v>0</v>
      </c>
      <c r="O67" s="166">
        <f>+O73-N73</f>
        <v>0</v>
      </c>
      <c r="P67" s="167">
        <f>SUM(P62:P66)</f>
        <v>0</v>
      </c>
      <c r="Q67" s="166">
        <f>+Q73-P73</f>
        <v>0</v>
      </c>
      <c r="R67" s="167">
        <f>SUM(R62:R66)</f>
        <v>0</v>
      </c>
      <c r="S67" s="166">
        <f>+S73-R73</f>
        <v>0</v>
      </c>
      <c r="T67" s="167">
        <f>SUM(T62:T66)</f>
        <v>0</v>
      </c>
      <c r="U67" s="166">
        <f>+U73-T73</f>
        <v>0</v>
      </c>
      <c r="V67" s="167">
        <f>SUM(V62:V66)</f>
        <v>0</v>
      </c>
      <c r="W67" s="166">
        <f>+W73-V73</f>
        <v>0</v>
      </c>
      <c r="X67" s="167">
        <f>SUM(X62:X66)</f>
        <v>0</v>
      </c>
      <c r="Y67" s="166">
        <f>+Y73-X73</f>
        <v>0</v>
      </c>
      <c r="Z67" s="167">
        <f>SUM(Z62:Z66)</f>
        <v>0</v>
      </c>
      <c r="AA67" s="166">
        <f>+AA73-Z73</f>
        <v>0</v>
      </c>
      <c r="AB67" s="167">
        <f>SUM(AB62:AB66)</f>
        <v>0</v>
      </c>
      <c r="AC67" s="166">
        <f>+AC73-AB73</f>
        <v>0</v>
      </c>
      <c r="AD67" s="167">
        <f>SUM(AD62:AD66)</f>
        <v>0</v>
      </c>
      <c r="AE67" s="166">
        <f>+AE73-AD73</f>
        <v>0</v>
      </c>
      <c r="AF67" s="167">
        <f>SUM(AF62:AF66)</f>
        <v>0</v>
      </c>
      <c r="AG67" s="166">
        <f>+AG73-AF73</f>
        <v>0</v>
      </c>
      <c r="AH67" s="167">
        <f>SUM(AH62:AH66)</f>
        <v>0</v>
      </c>
      <c r="AI67" s="166">
        <f>+AI73-AH73</f>
        <v>0</v>
      </c>
      <c r="AJ67" s="167">
        <f>SUM(AJ62:AJ66)</f>
        <v>0</v>
      </c>
      <c r="AK67" s="166">
        <f>+AK73-AJ73</f>
        <v>0</v>
      </c>
      <c r="AL67" s="167">
        <f>SUM(AL62:AL66)</f>
        <v>0</v>
      </c>
      <c r="AM67" s="166">
        <f>+AM73-AL73</f>
        <v>0</v>
      </c>
      <c r="AN67" s="167">
        <f>SUM(AN62:AN66)</f>
        <v>0</v>
      </c>
      <c r="AO67" s="166">
        <f>+AO73-AN73</f>
        <v>0</v>
      </c>
      <c r="AP67" s="167">
        <f>SUM(AP62:AP66)</f>
        <v>0</v>
      </c>
      <c r="AQ67" s="166">
        <f>+AQ73-AP73</f>
        <v>0</v>
      </c>
      <c r="AR67" s="167">
        <f>SUM(AR62:AR66)</f>
        <v>0</v>
      </c>
      <c r="AS67" s="166">
        <f>+AS73-AR73</f>
        <v>0</v>
      </c>
      <c r="AT67" s="167">
        <f>SUM(AT62:AT66)</f>
        <v>0</v>
      </c>
      <c r="AU67" s="166">
        <f>+AU73-AT73</f>
        <v>0</v>
      </c>
      <c r="AV67" s="167">
        <f>SUM(AV62:AV66)</f>
        <v>0</v>
      </c>
      <c r="AW67" s="166">
        <f>+AW73-AV73</f>
        <v>0</v>
      </c>
      <c r="AX67" s="167">
        <f>SUM(AX62:AX66)</f>
        <v>0</v>
      </c>
      <c r="AY67" s="166">
        <f>+AY73-AX73</f>
        <v>0</v>
      </c>
      <c r="AZ67" s="167">
        <f>SUM(AZ62:AZ66)</f>
        <v>0</v>
      </c>
      <c r="BA67" s="166">
        <f>+BA73-AZ73</f>
        <v>0</v>
      </c>
      <c r="BB67" s="167">
        <f>SUM(BB62:BB66)</f>
        <v>0</v>
      </c>
      <c r="BC67" s="166">
        <f>+BC73-BB73</f>
        <v>0</v>
      </c>
      <c r="BD67" s="167">
        <f>SUM(BD62:BD66)</f>
        <v>0</v>
      </c>
      <c r="BE67" s="166">
        <f>+BE73-BD73</f>
        <v>0</v>
      </c>
      <c r="BF67" s="167">
        <f>SUM(BF62:BF66)</f>
        <v>0</v>
      </c>
      <c r="BG67" s="166">
        <f>+BG73-BF73</f>
        <v>0</v>
      </c>
      <c r="BH67" s="167">
        <f>SUM(BH62:BH66)</f>
        <v>0</v>
      </c>
      <c r="BI67" s="166">
        <f>+BI73-BH73</f>
        <v>0</v>
      </c>
      <c r="BJ67" s="167">
        <f>SUM(BJ62:BJ66)</f>
        <v>0</v>
      </c>
      <c r="BK67" s="166">
        <f>+BK73-BJ73</f>
        <v>0</v>
      </c>
      <c r="BL67" s="167">
        <f>SUM(BL62:BL66)</f>
        <v>0</v>
      </c>
      <c r="BM67" s="166">
        <f>+BM73-BL73</f>
        <v>0</v>
      </c>
      <c r="BN67" s="50"/>
      <c r="BO67" s="170" t="e">
        <f t="shared" ref="BO67:BO75" si="95">IF(COUNT(E67,G67,I67,K67,M67,O67,Q67,S67,U67,W67,Y67,AA67,AC67,AE67,AG67,AI67,AK67,AM67,AO67,AQ67,AS67,AU67,AW67,AY67,BA67,BC67,BE67,BG67,BI67,BK67,BM67)=0,"",SUM(E67,G67,I67,K67,M67,O67,Q67,S67,U67,W67,Y67,AA67,AC67,AE67,AG67,AI67,AK67,AM67,AO67,AQ67,AS67,AU67,AW67,AY67,BA67,BC67,BE67,BG67,BI67,BK67,BM67))</f>
        <v>#VALUE!</v>
      </c>
      <c r="BP67" s="167" t="e">
        <f>SUM(BP62:BP66)</f>
        <v>#VALUE!</v>
      </c>
      <c r="BQ67" s="52"/>
    </row>
    <row r="68" spans="1:69" x14ac:dyDescent="0.35">
      <c r="A68" s="132" t="s">
        <v>87</v>
      </c>
      <c r="B68" s="133"/>
      <c r="C68" s="131"/>
      <c r="D68" s="189">
        <f>D91+D94</f>
        <v>0</v>
      </c>
      <c r="E68" s="166" t="e">
        <f>+E77-C77+E80-C80</f>
        <v>#VALUE!</v>
      </c>
      <c r="F68" s="167">
        <f>F91+F94</f>
        <v>0</v>
      </c>
      <c r="G68" s="166">
        <f>+G77-E77+G80-E80</f>
        <v>0</v>
      </c>
      <c r="H68" s="167">
        <f>H91+H94</f>
        <v>0</v>
      </c>
      <c r="I68" s="166">
        <f>+I77-G77+I80-G80</f>
        <v>0</v>
      </c>
      <c r="J68" s="167">
        <f>J91+J94</f>
        <v>0</v>
      </c>
      <c r="K68" s="166">
        <f>+K77-I77+K80-I80</f>
        <v>0</v>
      </c>
      <c r="L68" s="167">
        <f>L91+L94</f>
        <v>0</v>
      </c>
      <c r="M68" s="166">
        <f>+M77-K77+M80-K80</f>
        <v>0</v>
      </c>
      <c r="N68" s="167">
        <f>N91+N94</f>
        <v>0</v>
      </c>
      <c r="O68" s="166">
        <f>+O77-M77+O80-M80</f>
        <v>0</v>
      </c>
      <c r="P68" s="167">
        <f>P91+P94</f>
        <v>0</v>
      </c>
      <c r="Q68" s="166">
        <f>+Q77-O77+Q80-O80</f>
        <v>0</v>
      </c>
      <c r="R68" s="167">
        <f>R91+R94</f>
        <v>0</v>
      </c>
      <c r="S68" s="166">
        <f>+S77-Q77+S80-Q80</f>
        <v>0</v>
      </c>
      <c r="T68" s="167">
        <f>T91+T94</f>
        <v>0</v>
      </c>
      <c r="U68" s="166">
        <f>+U77-S77+U80-S80</f>
        <v>0</v>
      </c>
      <c r="V68" s="167">
        <f>V91+V94</f>
        <v>0</v>
      </c>
      <c r="W68" s="166">
        <f>+W77-U77+W80-U80</f>
        <v>0</v>
      </c>
      <c r="X68" s="167">
        <f>X91+X94</f>
        <v>0</v>
      </c>
      <c r="Y68" s="166">
        <f>+Y77-W77+Y80-W80</f>
        <v>0</v>
      </c>
      <c r="Z68" s="167">
        <f>Z91+Z94</f>
        <v>0</v>
      </c>
      <c r="AA68" s="166">
        <f>+AA77-Y77+AA80-Y80</f>
        <v>0</v>
      </c>
      <c r="AB68" s="167">
        <f>AB91+AB94</f>
        <v>0</v>
      </c>
      <c r="AC68" s="166">
        <f>+AC77-AA77+AC80-AA80</f>
        <v>0</v>
      </c>
      <c r="AD68" s="167">
        <f>AD91+AD94</f>
        <v>0</v>
      </c>
      <c r="AE68" s="166">
        <f>+AE77-AC77+AE80-AC80</f>
        <v>0</v>
      </c>
      <c r="AF68" s="167">
        <f>AF91+AF94</f>
        <v>0</v>
      </c>
      <c r="AG68" s="166">
        <f>+AG77-AE77+AG80-AE80</f>
        <v>0</v>
      </c>
      <c r="AH68" s="167">
        <f>AH91+AH94</f>
        <v>0</v>
      </c>
      <c r="AI68" s="166">
        <f>+AI77-AG77+AI80-AG80</f>
        <v>0</v>
      </c>
      <c r="AJ68" s="167">
        <f>AJ91+AJ94</f>
        <v>0</v>
      </c>
      <c r="AK68" s="166">
        <f>+AK77-AI77+AK80-AI80</f>
        <v>0</v>
      </c>
      <c r="AL68" s="167">
        <f>AL91+AL94</f>
        <v>0</v>
      </c>
      <c r="AM68" s="166">
        <f>+AM77-AK77+AM80-AK80</f>
        <v>0</v>
      </c>
      <c r="AN68" s="167">
        <f>AN91+AN94</f>
        <v>0</v>
      </c>
      <c r="AO68" s="166">
        <f>+AO77-AM77+AO80-AM80</f>
        <v>0</v>
      </c>
      <c r="AP68" s="167">
        <f>AP91+AP94</f>
        <v>0</v>
      </c>
      <c r="AQ68" s="166">
        <f>+AQ77-AO77+AQ80-AO80</f>
        <v>0</v>
      </c>
      <c r="AR68" s="167">
        <f>AR91+AR94</f>
        <v>0</v>
      </c>
      <c r="AS68" s="166">
        <f>+AS77-AQ77+AS80-AQ80</f>
        <v>0</v>
      </c>
      <c r="AT68" s="167">
        <f>AT91+AT94</f>
        <v>0</v>
      </c>
      <c r="AU68" s="166">
        <f>+AU77-AS77+AU80-AS80</f>
        <v>0</v>
      </c>
      <c r="AV68" s="167">
        <f>AV91+AV94</f>
        <v>0</v>
      </c>
      <c r="AW68" s="166">
        <f>+AW77-AU77+AW80-AU80</f>
        <v>0</v>
      </c>
      <c r="AX68" s="167">
        <f>AX91+AX94</f>
        <v>0</v>
      </c>
      <c r="AY68" s="166">
        <f>+AY77-AW77+AY80-AW80</f>
        <v>0</v>
      </c>
      <c r="AZ68" s="167">
        <f>AZ91+AZ94</f>
        <v>0</v>
      </c>
      <c r="BA68" s="166">
        <f>+BA77-AY77+BA80-AY80</f>
        <v>0</v>
      </c>
      <c r="BB68" s="167">
        <f>BB91+BB94</f>
        <v>0</v>
      </c>
      <c r="BC68" s="166">
        <f>+BC77-BA77+BC80-BA80</f>
        <v>0</v>
      </c>
      <c r="BD68" s="167">
        <f>BD91+BD94</f>
        <v>0</v>
      </c>
      <c r="BE68" s="166">
        <f>+BE77-BC77+BE80-BC80</f>
        <v>0</v>
      </c>
      <c r="BF68" s="167">
        <f>BF91+BF94</f>
        <v>0</v>
      </c>
      <c r="BG68" s="166">
        <f>+BG77-BE77+BG80-BE80</f>
        <v>0</v>
      </c>
      <c r="BH68" s="167">
        <f>BH91+BH94</f>
        <v>0</v>
      </c>
      <c r="BI68" s="166">
        <f>+BI77-BG77+BI80-BG80</f>
        <v>0</v>
      </c>
      <c r="BJ68" s="167">
        <f>BJ91+BJ94</f>
        <v>0</v>
      </c>
      <c r="BK68" s="166">
        <f>+BK77-BI77+BK80-BI80</f>
        <v>0</v>
      </c>
      <c r="BL68" s="167">
        <f>BL91+BL94</f>
        <v>0</v>
      </c>
      <c r="BM68" s="166">
        <f>+BM77-BK77+BM80-BK80</f>
        <v>0</v>
      </c>
      <c r="BN68" s="50"/>
      <c r="BO68" s="170" t="e">
        <f t="shared" si="95"/>
        <v>#VALUE!</v>
      </c>
      <c r="BP68" s="167">
        <f>BP91+BP94</f>
        <v>0</v>
      </c>
      <c r="BQ68" s="52"/>
    </row>
    <row r="69" spans="1:69" x14ac:dyDescent="0.35">
      <c r="A69" s="44" t="s">
        <v>88</v>
      </c>
      <c r="B69" s="133"/>
      <c r="C69" s="131"/>
      <c r="D69" s="189">
        <f>D99+D102</f>
        <v>0</v>
      </c>
      <c r="E69" s="166" t="e">
        <f>+E85-C85+E88-C88</f>
        <v>#VALUE!</v>
      </c>
      <c r="F69" s="167">
        <f>F99+F102</f>
        <v>0</v>
      </c>
      <c r="G69" s="166">
        <f>+G85-E85+G88-E88</f>
        <v>0</v>
      </c>
      <c r="H69" s="167">
        <f>H99+H102</f>
        <v>0</v>
      </c>
      <c r="I69" s="166">
        <f>+I85-G85+I88-G88</f>
        <v>0</v>
      </c>
      <c r="J69" s="167">
        <f>J99+J102</f>
        <v>0</v>
      </c>
      <c r="K69" s="166">
        <f>+K85-I85+K88-I88</f>
        <v>0</v>
      </c>
      <c r="L69" s="167">
        <f>L99+L102</f>
        <v>0</v>
      </c>
      <c r="M69" s="166">
        <f>+M85-K85+M88-K88</f>
        <v>0</v>
      </c>
      <c r="N69" s="167">
        <f>N99+N102</f>
        <v>0</v>
      </c>
      <c r="O69" s="166">
        <f>+O85-M85+O88-M88</f>
        <v>0</v>
      </c>
      <c r="P69" s="167">
        <f>P99+P102</f>
        <v>0</v>
      </c>
      <c r="Q69" s="166">
        <f>+Q85-O85+Q88-O88</f>
        <v>0</v>
      </c>
      <c r="R69" s="167">
        <f>R99+R102</f>
        <v>0</v>
      </c>
      <c r="S69" s="166">
        <f>+S85-Q85+S88-Q88</f>
        <v>0</v>
      </c>
      <c r="T69" s="167">
        <f>T99+T102</f>
        <v>0</v>
      </c>
      <c r="U69" s="166">
        <f>+U85-S85+U88-S88</f>
        <v>0</v>
      </c>
      <c r="V69" s="167">
        <f>V99+V102</f>
        <v>0</v>
      </c>
      <c r="W69" s="166">
        <f>+W85-U85+W88-U88</f>
        <v>0</v>
      </c>
      <c r="X69" s="167">
        <f>X99+X102</f>
        <v>0</v>
      </c>
      <c r="Y69" s="166">
        <f>+Y85-W85+Y88-W88</f>
        <v>0</v>
      </c>
      <c r="Z69" s="167">
        <f>Z99+Z102</f>
        <v>0</v>
      </c>
      <c r="AA69" s="166">
        <f>+AA85-Y85+AA88-Y88</f>
        <v>0</v>
      </c>
      <c r="AB69" s="167">
        <f>AB99+AB102</f>
        <v>0</v>
      </c>
      <c r="AC69" s="166">
        <f>+AC85-AA85+AC88-AA88</f>
        <v>0</v>
      </c>
      <c r="AD69" s="167">
        <f>AD99+AD102</f>
        <v>0</v>
      </c>
      <c r="AE69" s="166">
        <f>+AE85-AC85+AE88-AC88</f>
        <v>0</v>
      </c>
      <c r="AF69" s="167">
        <f>AF99+AF102</f>
        <v>0</v>
      </c>
      <c r="AG69" s="166">
        <f>+AG85-AE85+AG88-AE88</f>
        <v>0</v>
      </c>
      <c r="AH69" s="167">
        <f>AH99+AH102</f>
        <v>0</v>
      </c>
      <c r="AI69" s="166">
        <f>+AI85-AG85+AI88-AG88</f>
        <v>0</v>
      </c>
      <c r="AJ69" s="167">
        <f>AJ99+AJ102</f>
        <v>0</v>
      </c>
      <c r="AK69" s="166">
        <f>+AK85-AI85+AK88-AI88</f>
        <v>0</v>
      </c>
      <c r="AL69" s="167">
        <f>AL99+AL102</f>
        <v>0</v>
      </c>
      <c r="AM69" s="166">
        <f>+AM85-AK85+AM88-AK88</f>
        <v>0</v>
      </c>
      <c r="AN69" s="167">
        <f>AN99+AN102</f>
        <v>0</v>
      </c>
      <c r="AO69" s="166">
        <f>+AO85-AM85+AO88-AM88</f>
        <v>0</v>
      </c>
      <c r="AP69" s="167">
        <f>AP99+AP102</f>
        <v>0</v>
      </c>
      <c r="AQ69" s="166">
        <f>+AQ85-AO85+AQ88-AO88</f>
        <v>0</v>
      </c>
      <c r="AR69" s="167">
        <f>AR99+AR102</f>
        <v>0</v>
      </c>
      <c r="AS69" s="166">
        <f>+AS85-AQ85+AS88-AQ88</f>
        <v>0</v>
      </c>
      <c r="AT69" s="167">
        <f>AT99+AT102</f>
        <v>0</v>
      </c>
      <c r="AU69" s="166">
        <f>+AU85-AS85+AU88-AS88</f>
        <v>0</v>
      </c>
      <c r="AV69" s="167">
        <f>AV99+AV102</f>
        <v>0</v>
      </c>
      <c r="AW69" s="166">
        <f>+AW85-AU85+AW88-AU88</f>
        <v>0</v>
      </c>
      <c r="AX69" s="167">
        <f>AX99+AX102</f>
        <v>0</v>
      </c>
      <c r="AY69" s="166">
        <f>+AY85-AW85+AY88-AW88</f>
        <v>0</v>
      </c>
      <c r="AZ69" s="167">
        <f>AZ99+AZ102</f>
        <v>0</v>
      </c>
      <c r="BA69" s="166">
        <f>+BA85-AY85+BA88-AY88</f>
        <v>0</v>
      </c>
      <c r="BB69" s="167">
        <f>BB99+BB102</f>
        <v>0</v>
      </c>
      <c r="BC69" s="166">
        <f>+BC85-BA85+BC88-BA88</f>
        <v>0</v>
      </c>
      <c r="BD69" s="167">
        <f>BD99+BD102</f>
        <v>0</v>
      </c>
      <c r="BE69" s="166">
        <f>+BE85-BC85+BE88-BC88</f>
        <v>0</v>
      </c>
      <c r="BF69" s="167">
        <f>BF99+BF102</f>
        <v>0</v>
      </c>
      <c r="BG69" s="166">
        <f>+BG85-BE85+BG88-BE88</f>
        <v>0</v>
      </c>
      <c r="BH69" s="167">
        <f>BH99+BH102</f>
        <v>0</v>
      </c>
      <c r="BI69" s="166">
        <f>+BI85-BG85+BI88-BG88</f>
        <v>0</v>
      </c>
      <c r="BJ69" s="167">
        <f>BJ99+BJ102</f>
        <v>0</v>
      </c>
      <c r="BK69" s="166">
        <f>+BK85-BI85+BK88-BI88</f>
        <v>0</v>
      </c>
      <c r="BL69" s="167">
        <f>BL99+BL102</f>
        <v>0</v>
      </c>
      <c r="BM69" s="166">
        <f>+BM85-BK85+BM88-BK88</f>
        <v>0</v>
      </c>
      <c r="BN69" s="50"/>
      <c r="BO69" s="170" t="e">
        <f t="shared" si="95"/>
        <v>#VALUE!</v>
      </c>
      <c r="BP69" s="167">
        <f>BP99+BP102</f>
        <v>0</v>
      </c>
      <c r="BQ69" s="52"/>
    </row>
    <row r="70" spans="1:69" x14ac:dyDescent="0.35">
      <c r="A70" s="134" t="s">
        <v>89</v>
      </c>
      <c r="B70" s="133"/>
      <c r="C70" s="131"/>
      <c r="D70" s="189">
        <f>D93+D96</f>
        <v>0</v>
      </c>
      <c r="E70" s="166" t="e">
        <f>+E79-C79+E82-C82</f>
        <v>#VALUE!</v>
      </c>
      <c r="F70" s="167">
        <f>F93+F96</f>
        <v>0</v>
      </c>
      <c r="G70" s="166">
        <f>+G79-E79+G82-E82</f>
        <v>0</v>
      </c>
      <c r="H70" s="167">
        <f>H93+H96</f>
        <v>0</v>
      </c>
      <c r="I70" s="166">
        <f>+I79-G79+I82-G82</f>
        <v>0</v>
      </c>
      <c r="J70" s="167">
        <f>J93+J96</f>
        <v>0</v>
      </c>
      <c r="K70" s="166">
        <f>+K79-I79+K82-I82</f>
        <v>0</v>
      </c>
      <c r="L70" s="167">
        <f>L93+L96</f>
        <v>0</v>
      </c>
      <c r="M70" s="166">
        <f>+M79-K79+M82-K82</f>
        <v>0</v>
      </c>
      <c r="N70" s="167">
        <f>N93+N96</f>
        <v>0</v>
      </c>
      <c r="O70" s="166">
        <f>+O79-M79+O82-M82</f>
        <v>0</v>
      </c>
      <c r="P70" s="167">
        <f>P93+P96</f>
        <v>0</v>
      </c>
      <c r="Q70" s="166">
        <f>+Q79-O79+Q82-O82</f>
        <v>0</v>
      </c>
      <c r="R70" s="167">
        <f>R93+R96</f>
        <v>0</v>
      </c>
      <c r="S70" s="166">
        <f>+S79-Q79+S82-Q82</f>
        <v>0</v>
      </c>
      <c r="T70" s="167">
        <f>T93+T96</f>
        <v>0</v>
      </c>
      <c r="U70" s="166">
        <f>+U79-S79+U82-S82</f>
        <v>0</v>
      </c>
      <c r="V70" s="167">
        <f>V93+V96</f>
        <v>0</v>
      </c>
      <c r="W70" s="166">
        <f>+W79-U79+W82-U82</f>
        <v>0</v>
      </c>
      <c r="X70" s="167">
        <f>X93+X96</f>
        <v>0</v>
      </c>
      <c r="Y70" s="166">
        <f>+Y79-W79+Y82-W82</f>
        <v>0</v>
      </c>
      <c r="Z70" s="167">
        <f>Z93+Z96</f>
        <v>0</v>
      </c>
      <c r="AA70" s="166">
        <f>+AA79-Y79+AA82-Y82</f>
        <v>0</v>
      </c>
      <c r="AB70" s="167">
        <f>AB93+AB96</f>
        <v>0</v>
      </c>
      <c r="AC70" s="166">
        <f>+AC79-AA79+AC82-AA82</f>
        <v>0</v>
      </c>
      <c r="AD70" s="167">
        <f>AD93+AD96</f>
        <v>0</v>
      </c>
      <c r="AE70" s="166">
        <f>+AE79-AC79+AE82-AC82</f>
        <v>0</v>
      </c>
      <c r="AF70" s="167">
        <f>AF93+AF96</f>
        <v>0</v>
      </c>
      <c r="AG70" s="166">
        <f>+AG79-AE79+AG82-AE82</f>
        <v>0</v>
      </c>
      <c r="AH70" s="167">
        <f>AH93+AH96</f>
        <v>0</v>
      </c>
      <c r="AI70" s="166">
        <f>+AI79-AG79+AI82-AG82</f>
        <v>0</v>
      </c>
      <c r="AJ70" s="167">
        <f>AJ93+AJ96</f>
        <v>0</v>
      </c>
      <c r="AK70" s="166">
        <f>+AK79-AI79+AK82-AI82</f>
        <v>0</v>
      </c>
      <c r="AL70" s="167">
        <f>AL93+AL96</f>
        <v>0</v>
      </c>
      <c r="AM70" s="166">
        <f>+AM79-AK79+AM82-AK82</f>
        <v>0</v>
      </c>
      <c r="AN70" s="167">
        <f>AN93+AN96</f>
        <v>0</v>
      </c>
      <c r="AO70" s="166">
        <f>+AO79-AM79+AO82-AM82</f>
        <v>0</v>
      </c>
      <c r="AP70" s="167">
        <f>AP93+AP96</f>
        <v>0</v>
      </c>
      <c r="AQ70" s="166">
        <f>+AQ79-AO79+AQ82-AO82</f>
        <v>0</v>
      </c>
      <c r="AR70" s="167">
        <f>AR93+AR96</f>
        <v>0</v>
      </c>
      <c r="AS70" s="166">
        <f>+AS79-AQ79+AS82-AQ82</f>
        <v>0</v>
      </c>
      <c r="AT70" s="167">
        <f>AT93+AT96</f>
        <v>0</v>
      </c>
      <c r="AU70" s="166">
        <f>+AU79-AS79+AU82-AS82</f>
        <v>0</v>
      </c>
      <c r="AV70" s="167">
        <f>AV93+AV96</f>
        <v>0</v>
      </c>
      <c r="AW70" s="166">
        <f>+AW79-AU79+AW82-AU82</f>
        <v>0</v>
      </c>
      <c r="AX70" s="167">
        <f>AX93+AX96</f>
        <v>0</v>
      </c>
      <c r="AY70" s="166">
        <f>+AY79-AW79+AY82-AW82</f>
        <v>0</v>
      </c>
      <c r="AZ70" s="167">
        <f>AZ93+AZ96</f>
        <v>0</v>
      </c>
      <c r="BA70" s="166">
        <f>+BA79-AY79+BA82-AY82</f>
        <v>0</v>
      </c>
      <c r="BB70" s="167">
        <f>BB93+BB96</f>
        <v>0</v>
      </c>
      <c r="BC70" s="166">
        <f>+BC79-BA79+BC82-BA82</f>
        <v>0</v>
      </c>
      <c r="BD70" s="167">
        <f>BD93+BD96</f>
        <v>0</v>
      </c>
      <c r="BE70" s="166">
        <f>+BE79-BC79+BE82-BC82</f>
        <v>0</v>
      </c>
      <c r="BF70" s="167">
        <f>BF93+BF96</f>
        <v>0</v>
      </c>
      <c r="BG70" s="166">
        <f>+BG79-BE79+BG82-BE82</f>
        <v>0</v>
      </c>
      <c r="BH70" s="167">
        <f>BH93+BH96</f>
        <v>0</v>
      </c>
      <c r="BI70" s="166">
        <f>+BI79-BG79+BI82-BG82</f>
        <v>0</v>
      </c>
      <c r="BJ70" s="167">
        <f>BJ93+BJ96</f>
        <v>0</v>
      </c>
      <c r="BK70" s="166">
        <f>+BK79-BI79+BK82-BI82</f>
        <v>0</v>
      </c>
      <c r="BL70" s="167">
        <f>BL93+BL96</f>
        <v>0</v>
      </c>
      <c r="BM70" s="166">
        <f>+BM79-BK79+BM82-BK82</f>
        <v>0</v>
      </c>
      <c r="BN70" s="50"/>
      <c r="BO70" s="170" t="e">
        <f t="shared" si="95"/>
        <v>#VALUE!</v>
      </c>
      <c r="BP70" s="167">
        <f>BP93+BP96</f>
        <v>0</v>
      </c>
      <c r="BQ70" s="52"/>
    </row>
    <row r="71" spans="1:69" x14ac:dyDescent="0.35">
      <c r="A71" s="135" t="s">
        <v>90</v>
      </c>
      <c r="B71" s="133"/>
      <c r="C71" s="131"/>
      <c r="D71" s="189">
        <f>+D97+D100</f>
        <v>0</v>
      </c>
      <c r="E71" s="166" t="e">
        <f>+E83-C83+E86-C86</f>
        <v>#VALUE!</v>
      </c>
      <c r="F71" s="167">
        <f>+F97+F100</f>
        <v>0</v>
      </c>
      <c r="G71" s="166">
        <f>+G83-E83+G86-E86</f>
        <v>0</v>
      </c>
      <c r="H71" s="167">
        <f>+H97+H100</f>
        <v>0</v>
      </c>
      <c r="I71" s="166">
        <f>+I83-G83+I86-G86</f>
        <v>0</v>
      </c>
      <c r="J71" s="167">
        <f>+J97+J100</f>
        <v>0</v>
      </c>
      <c r="K71" s="166">
        <f>+K83-I83+K86-I86</f>
        <v>0</v>
      </c>
      <c r="L71" s="167">
        <f>+L97+L100</f>
        <v>0</v>
      </c>
      <c r="M71" s="166">
        <f>+M83-K83+M86-K86</f>
        <v>0</v>
      </c>
      <c r="N71" s="167">
        <f>+N97+N100</f>
        <v>0</v>
      </c>
      <c r="O71" s="166">
        <f>+O83-M83+O86-M86</f>
        <v>0</v>
      </c>
      <c r="P71" s="167">
        <f>+P97+P100</f>
        <v>0</v>
      </c>
      <c r="Q71" s="166">
        <f>+Q83-O83+Q86-O86</f>
        <v>0</v>
      </c>
      <c r="R71" s="167">
        <f>+R97+R100</f>
        <v>0</v>
      </c>
      <c r="S71" s="166">
        <f>+S83-Q83+S86-Q86</f>
        <v>0</v>
      </c>
      <c r="T71" s="167">
        <f>+T97+T100</f>
        <v>0</v>
      </c>
      <c r="U71" s="166">
        <f>+U83-S83+U86-S86</f>
        <v>0</v>
      </c>
      <c r="V71" s="167">
        <f>+V97+V100</f>
        <v>0</v>
      </c>
      <c r="W71" s="166">
        <f>+W83-U83+W86-U86</f>
        <v>0</v>
      </c>
      <c r="X71" s="167">
        <f>+X97+X100</f>
        <v>0</v>
      </c>
      <c r="Y71" s="166">
        <f>+Y83-W83+Y86-W86</f>
        <v>0</v>
      </c>
      <c r="Z71" s="167">
        <f>+Z97+Z100</f>
        <v>0</v>
      </c>
      <c r="AA71" s="166">
        <f>+AA83-Y83+AA86-Y86</f>
        <v>0</v>
      </c>
      <c r="AB71" s="167">
        <f>+AB97+AB100</f>
        <v>0</v>
      </c>
      <c r="AC71" s="166">
        <f>+AC83-AA83+AC86-AA86</f>
        <v>0</v>
      </c>
      <c r="AD71" s="167">
        <f>+AD97+AD100</f>
        <v>0</v>
      </c>
      <c r="AE71" s="166">
        <f>+AE83-AC83+AE86-AC86</f>
        <v>0</v>
      </c>
      <c r="AF71" s="167">
        <f>+AF97+AF100</f>
        <v>0</v>
      </c>
      <c r="AG71" s="166">
        <f>+AG83-AE83+AG86-AE86</f>
        <v>0</v>
      </c>
      <c r="AH71" s="167">
        <f>+AH97+AH100</f>
        <v>0</v>
      </c>
      <c r="AI71" s="166">
        <f>+AI83-AG83+AI86-AG86</f>
        <v>0</v>
      </c>
      <c r="AJ71" s="167">
        <f>+AJ97+AJ100</f>
        <v>0</v>
      </c>
      <c r="AK71" s="166">
        <f>+AK83-AI83+AK86-AI86</f>
        <v>0</v>
      </c>
      <c r="AL71" s="167">
        <f>+AL97+AL100</f>
        <v>0</v>
      </c>
      <c r="AM71" s="166">
        <f>+AM83-AK83+AM86-AK86</f>
        <v>0</v>
      </c>
      <c r="AN71" s="167">
        <f>+AN97+AN100</f>
        <v>0</v>
      </c>
      <c r="AO71" s="166">
        <f>+AO83-AM83+AO86-AM86</f>
        <v>0</v>
      </c>
      <c r="AP71" s="167">
        <f>+AP97+AP100</f>
        <v>0</v>
      </c>
      <c r="AQ71" s="166">
        <f>+AQ83-AO83+AQ86-AO86</f>
        <v>0</v>
      </c>
      <c r="AR71" s="167">
        <f>+AR97+AR100</f>
        <v>0</v>
      </c>
      <c r="AS71" s="166">
        <f>+AS83-AQ83+AS86-AQ86</f>
        <v>0</v>
      </c>
      <c r="AT71" s="167">
        <f>+AT97+AT100</f>
        <v>0</v>
      </c>
      <c r="AU71" s="166">
        <f>+AU83-AS83+AU86-AS86</f>
        <v>0</v>
      </c>
      <c r="AV71" s="167">
        <f>+AV97+AV100</f>
        <v>0</v>
      </c>
      <c r="AW71" s="166">
        <f>+AW83-AU83+AW86-AU86</f>
        <v>0</v>
      </c>
      <c r="AX71" s="167">
        <f>+AX97+AX100</f>
        <v>0</v>
      </c>
      <c r="AY71" s="166">
        <f>+AY83-AW83+AY86-AW86</f>
        <v>0</v>
      </c>
      <c r="AZ71" s="167">
        <f>+AZ97+AZ100</f>
        <v>0</v>
      </c>
      <c r="BA71" s="166">
        <f>+BA83-AY83+BA86-AY86</f>
        <v>0</v>
      </c>
      <c r="BB71" s="167">
        <f>+BB97+BB100</f>
        <v>0</v>
      </c>
      <c r="BC71" s="166">
        <f>+BC83-BA83+BC86-BA86</f>
        <v>0</v>
      </c>
      <c r="BD71" s="167">
        <f>+BD97+BD100</f>
        <v>0</v>
      </c>
      <c r="BE71" s="166">
        <f>+BE83-BC83+BE86-BC86</f>
        <v>0</v>
      </c>
      <c r="BF71" s="167">
        <f>+BF97+BF100</f>
        <v>0</v>
      </c>
      <c r="BG71" s="166">
        <f>+BG83-BE83+BG86-BE86</f>
        <v>0</v>
      </c>
      <c r="BH71" s="167">
        <f>+BH97+BH100</f>
        <v>0</v>
      </c>
      <c r="BI71" s="166">
        <f>+BI83-BG83+BI86-BG86</f>
        <v>0</v>
      </c>
      <c r="BJ71" s="167">
        <f>+BJ97+BJ100</f>
        <v>0</v>
      </c>
      <c r="BK71" s="166">
        <f>+BK83-BI83+BK86-BI86</f>
        <v>0</v>
      </c>
      <c r="BL71" s="167">
        <f>+BL97+BL100</f>
        <v>0</v>
      </c>
      <c r="BM71" s="166">
        <f>+BM83-BK83+BM86-BK86</f>
        <v>0</v>
      </c>
      <c r="BN71" s="50"/>
      <c r="BO71" s="170" t="e">
        <f t="shared" si="95"/>
        <v>#VALUE!</v>
      </c>
      <c r="BP71" s="167">
        <f>+BP97+BP100</f>
        <v>0</v>
      </c>
      <c r="BQ71" s="52"/>
    </row>
    <row r="72" spans="1:69" x14ac:dyDescent="0.35">
      <c r="A72" s="136" t="s">
        <v>91</v>
      </c>
      <c r="B72" s="133"/>
      <c r="C72" s="131"/>
      <c r="D72" s="189">
        <f>+D92+D95+D98+D101</f>
        <v>0</v>
      </c>
      <c r="E72" s="166" t="e">
        <f>+E78-C78+E81-C81+E84-C84+E87-C87</f>
        <v>#VALUE!</v>
      </c>
      <c r="F72" s="167">
        <f>+F92+F95+F98+F101</f>
        <v>0</v>
      </c>
      <c r="G72" s="166">
        <f>+G78-E78+G81-E81+G84-E84+G87-E87</f>
        <v>0</v>
      </c>
      <c r="H72" s="167">
        <f>+H92+H95+H98+H101</f>
        <v>0</v>
      </c>
      <c r="I72" s="166">
        <f>+I78-G78+I81-G81+I84-G84+I87-G87</f>
        <v>0</v>
      </c>
      <c r="J72" s="167">
        <f>+J92+J95+J98+J101</f>
        <v>0</v>
      </c>
      <c r="K72" s="166">
        <f>+K78-I78+K81-I81+K84-I84+K87-I87</f>
        <v>0</v>
      </c>
      <c r="L72" s="167">
        <f>+L92+L95+L98+L101</f>
        <v>0</v>
      </c>
      <c r="M72" s="166">
        <f>+M78-K78+M81-K81+M84-K84+M87-K87</f>
        <v>0</v>
      </c>
      <c r="N72" s="167">
        <f>+N92+N95+N98+N101</f>
        <v>0</v>
      </c>
      <c r="O72" s="166">
        <f>+O78-M78+O81-M81+O84-M84+O87-M87</f>
        <v>0</v>
      </c>
      <c r="P72" s="167">
        <f>+P92+P95+P98+P101</f>
        <v>0</v>
      </c>
      <c r="Q72" s="166">
        <f>+Q78-O78+Q81-O81+Q84-O84+Q87-O87</f>
        <v>0</v>
      </c>
      <c r="R72" s="167">
        <f>+R92+R95+R98+R101</f>
        <v>0</v>
      </c>
      <c r="S72" s="166">
        <f>+S78-Q78+S81-Q81+S84-Q84+S87-Q87</f>
        <v>0</v>
      </c>
      <c r="T72" s="167">
        <f>+T92+T95+T98+T101</f>
        <v>0</v>
      </c>
      <c r="U72" s="166">
        <f>+U78-S78+U81-S81+U84-S84+U87-S87</f>
        <v>0</v>
      </c>
      <c r="V72" s="167">
        <f>+V92+V95+V98+V101</f>
        <v>0</v>
      </c>
      <c r="W72" s="166">
        <f>+W78-U78+W81-U81+W84-U84+W87-U87</f>
        <v>0</v>
      </c>
      <c r="X72" s="167">
        <f>+X92+X95+X98+X101</f>
        <v>0</v>
      </c>
      <c r="Y72" s="166">
        <f>+Y78-W78+Y81-W81+Y84-W84+Y87-W87</f>
        <v>0</v>
      </c>
      <c r="Z72" s="167">
        <f>+Z92+Z95+Z98+Z101</f>
        <v>0</v>
      </c>
      <c r="AA72" s="166">
        <f>+AA78-Y78+AA81-Y81+AA84-Y84+AA87-Y87</f>
        <v>0</v>
      </c>
      <c r="AB72" s="167">
        <f>+AB92+AB95+AB98+AB101</f>
        <v>0</v>
      </c>
      <c r="AC72" s="166">
        <f>+AC78-AA78+AC81-AA81+AC84-AA84+AC87-AA87</f>
        <v>0</v>
      </c>
      <c r="AD72" s="167">
        <f>+AD92+AD95+AD98+AD101</f>
        <v>0</v>
      </c>
      <c r="AE72" s="166">
        <f>+AE78-AC78+AE81-AC81+AE84-AC84+AE87-AC87</f>
        <v>0</v>
      </c>
      <c r="AF72" s="167">
        <f>+AF92+AF95+AF98+AF101</f>
        <v>0</v>
      </c>
      <c r="AG72" s="166">
        <f>+AG78-AE78+AG81-AE81+AG84-AE84+AG87-AE87</f>
        <v>0</v>
      </c>
      <c r="AH72" s="167">
        <f>+AH92+AH95+AH98+AH101</f>
        <v>0</v>
      </c>
      <c r="AI72" s="166">
        <f>+AI78-AG78+AI81-AG81+AI84-AG84+AI87-AG87</f>
        <v>0</v>
      </c>
      <c r="AJ72" s="167">
        <f>+AJ92+AJ95+AJ98+AJ101</f>
        <v>0</v>
      </c>
      <c r="AK72" s="166">
        <f>+AK78-AI78+AK81-AI81+AK84-AI84+AK87-AI87</f>
        <v>0</v>
      </c>
      <c r="AL72" s="167">
        <f>+AL92+AL95+AL98+AL101</f>
        <v>0</v>
      </c>
      <c r="AM72" s="166">
        <f>+AM78-AK78+AM81-AK81+AM84-AK84+AM87-AK87</f>
        <v>0</v>
      </c>
      <c r="AN72" s="167">
        <f>+AN92+AN95+AN98+AN101</f>
        <v>0</v>
      </c>
      <c r="AO72" s="166">
        <f>+AO78-AM78+AO81-AM81+AO84-AM84+AO87-AM87</f>
        <v>0</v>
      </c>
      <c r="AP72" s="167">
        <f>+AP92+AP95+AP98+AP101</f>
        <v>0</v>
      </c>
      <c r="AQ72" s="166">
        <f>+AQ78-AO78+AQ81-AO81+AQ84-AO84+AQ87-AO87</f>
        <v>0</v>
      </c>
      <c r="AR72" s="167">
        <f>+AR92+AR95+AR98+AR101</f>
        <v>0</v>
      </c>
      <c r="AS72" s="166">
        <f>+AS78-AQ78+AS81-AQ81+AS84-AQ84+AS87-AQ87</f>
        <v>0</v>
      </c>
      <c r="AT72" s="167">
        <f>+AT92+AT95+AT98+AT101</f>
        <v>0</v>
      </c>
      <c r="AU72" s="166">
        <f>+AU78-AS78+AU81-AS81+AU84-AS84+AU87-AS87</f>
        <v>0</v>
      </c>
      <c r="AV72" s="167">
        <f>+AV92+AV95+AV98+AV101</f>
        <v>0</v>
      </c>
      <c r="AW72" s="166">
        <f>+AW78-AU78+AW81-AU81+AW84-AU84+AW87-AU87</f>
        <v>0</v>
      </c>
      <c r="AX72" s="167">
        <f>+AX92+AX95+AX98+AX101</f>
        <v>0</v>
      </c>
      <c r="AY72" s="166">
        <f>+AY78-AW78+AY81-AW81+AY84-AW84+AY87-AW87</f>
        <v>0</v>
      </c>
      <c r="AZ72" s="167">
        <f>+AZ92+AZ95+AZ98+AZ101</f>
        <v>0</v>
      </c>
      <c r="BA72" s="166">
        <f>+BA78-AY78+BA81-AY81+BA84-AY84+BA87-AY87</f>
        <v>0</v>
      </c>
      <c r="BB72" s="167">
        <f>+BB92+BB95+BB98+BB101</f>
        <v>0</v>
      </c>
      <c r="BC72" s="166">
        <f>+BC78-BA78+BC81-BA81+BC84-BA84+BC87-BA87</f>
        <v>0</v>
      </c>
      <c r="BD72" s="167">
        <f>+BD92+BD95+BD98+BD101</f>
        <v>0</v>
      </c>
      <c r="BE72" s="166">
        <f>+BE78-BC78+BE81-BC81+BE84-BC84+BE87-BC87</f>
        <v>0</v>
      </c>
      <c r="BF72" s="167">
        <f>+BF92+BF95+BF98+BF101</f>
        <v>0</v>
      </c>
      <c r="BG72" s="166">
        <f>+BG78-BE78+BG81-BE81+BG84-BE84+BG87-BE87</f>
        <v>0</v>
      </c>
      <c r="BH72" s="167">
        <f>+BH92+BH95+BH98+BH101</f>
        <v>0</v>
      </c>
      <c r="BI72" s="166">
        <f>+BI78-BG78+BI81-BG81+BI84-BG84+BI87-BG87</f>
        <v>0</v>
      </c>
      <c r="BJ72" s="167">
        <f>+BJ92+BJ95+BJ98+BJ101</f>
        <v>0</v>
      </c>
      <c r="BK72" s="166">
        <f>+BK78-BI78+BK81-BI81+BK84-BI84+BK87-BI87</f>
        <v>0</v>
      </c>
      <c r="BL72" s="167">
        <f>+BL92+BL95+BL98+BL101</f>
        <v>0</v>
      </c>
      <c r="BM72" s="166">
        <f>+BM78-BK78+BM81-BK81+BM84-BK84+BM87-BK87</f>
        <v>0</v>
      </c>
      <c r="BN72" s="50"/>
      <c r="BO72" s="170" t="e">
        <f t="shared" si="95"/>
        <v>#VALUE!</v>
      </c>
      <c r="BP72" s="167">
        <f>+BP92+BP95+BP98+BP101</f>
        <v>0</v>
      </c>
      <c r="BQ72" s="52"/>
    </row>
    <row r="73" spans="1:69" x14ac:dyDescent="0.35">
      <c r="A73" s="137"/>
      <c r="B73" s="138"/>
      <c r="C73" s="139"/>
      <c r="D73" s="189">
        <f t="shared" ref="D73:BM73" si="96">SUM(D68:D72)</f>
        <v>0</v>
      </c>
      <c r="E73" s="177" t="e">
        <f t="shared" si="96"/>
        <v>#VALUE!</v>
      </c>
      <c r="F73" s="167">
        <f t="shared" si="96"/>
        <v>0</v>
      </c>
      <c r="G73" s="177">
        <f t="shared" si="96"/>
        <v>0</v>
      </c>
      <c r="H73" s="167">
        <f t="shared" si="96"/>
        <v>0</v>
      </c>
      <c r="I73" s="177">
        <f t="shared" si="96"/>
        <v>0</v>
      </c>
      <c r="J73" s="167">
        <f t="shared" si="96"/>
        <v>0</v>
      </c>
      <c r="K73" s="177">
        <f t="shared" si="96"/>
        <v>0</v>
      </c>
      <c r="L73" s="167">
        <f t="shared" si="96"/>
        <v>0</v>
      </c>
      <c r="M73" s="177">
        <f t="shared" si="96"/>
        <v>0</v>
      </c>
      <c r="N73" s="167">
        <f t="shared" si="96"/>
        <v>0</v>
      </c>
      <c r="O73" s="177">
        <f t="shared" si="96"/>
        <v>0</v>
      </c>
      <c r="P73" s="167">
        <f t="shared" si="96"/>
        <v>0</v>
      </c>
      <c r="Q73" s="177">
        <f t="shared" si="96"/>
        <v>0</v>
      </c>
      <c r="R73" s="167">
        <f t="shared" si="96"/>
        <v>0</v>
      </c>
      <c r="S73" s="177">
        <f t="shared" si="96"/>
        <v>0</v>
      </c>
      <c r="T73" s="167">
        <f t="shared" si="96"/>
        <v>0</v>
      </c>
      <c r="U73" s="177">
        <f t="shared" si="96"/>
        <v>0</v>
      </c>
      <c r="V73" s="167">
        <f t="shared" si="96"/>
        <v>0</v>
      </c>
      <c r="W73" s="177">
        <f t="shared" si="96"/>
        <v>0</v>
      </c>
      <c r="X73" s="167">
        <f t="shared" si="96"/>
        <v>0</v>
      </c>
      <c r="Y73" s="177">
        <f t="shared" si="96"/>
        <v>0</v>
      </c>
      <c r="Z73" s="167">
        <f t="shared" si="96"/>
        <v>0</v>
      </c>
      <c r="AA73" s="177">
        <f t="shared" si="96"/>
        <v>0</v>
      </c>
      <c r="AB73" s="167">
        <f t="shared" si="96"/>
        <v>0</v>
      </c>
      <c r="AC73" s="177">
        <f t="shared" si="96"/>
        <v>0</v>
      </c>
      <c r="AD73" s="167">
        <f t="shared" si="96"/>
        <v>0</v>
      </c>
      <c r="AE73" s="177">
        <f t="shared" si="96"/>
        <v>0</v>
      </c>
      <c r="AF73" s="167">
        <f t="shared" si="96"/>
        <v>0</v>
      </c>
      <c r="AG73" s="177">
        <f t="shared" si="96"/>
        <v>0</v>
      </c>
      <c r="AH73" s="167">
        <f t="shared" si="96"/>
        <v>0</v>
      </c>
      <c r="AI73" s="177">
        <f t="shared" si="96"/>
        <v>0</v>
      </c>
      <c r="AJ73" s="167">
        <f t="shared" si="96"/>
        <v>0</v>
      </c>
      <c r="AK73" s="177">
        <f t="shared" si="96"/>
        <v>0</v>
      </c>
      <c r="AL73" s="167">
        <f t="shared" si="96"/>
        <v>0</v>
      </c>
      <c r="AM73" s="177">
        <f t="shared" si="96"/>
        <v>0</v>
      </c>
      <c r="AN73" s="167">
        <f t="shared" si="96"/>
        <v>0</v>
      </c>
      <c r="AO73" s="177">
        <f t="shared" si="96"/>
        <v>0</v>
      </c>
      <c r="AP73" s="167">
        <f t="shared" si="96"/>
        <v>0</v>
      </c>
      <c r="AQ73" s="177">
        <f t="shared" si="96"/>
        <v>0</v>
      </c>
      <c r="AR73" s="167">
        <f t="shared" si="96"/>
        <v>0</v>
      </c>
      <c r="AS73" s="177">
        <f t="shared" si="96"/>
        <v>0</v>
      </c>
      <c r="AT73" s="167">
        <f t="shared" si="96"/>
        <v>0</v>
      </c>
      <c r="AU73" s="177">
        <f t="shared" si="96"/>
        <v>0</v>
      </c>
      <c r="AV73" s="167">
        <f t="shared" si="96"/>
        <v>0</v>
      </c>
      <c r="AW73" s="177">
        <f t="shared" si="96"/>
        <v>0</v>
      </c>
      <c r="AX73" s="167">
        <f t="shared" si="96"/>
        <v>0</v>
      </c>
      <c r="AY73" s="177">
        <f t="shared" si="96"/>
        <v>0</v>
      </c>
      <c r="AZ73" s="167">
        <f t="shared" si="96"/>
        <v>0</v>
      </c>
      <c r="BA73" s="177">
        <f t="shared" si="96"/>
        <v>0</v>
      </c>
      <c r="BB73" s="167">
        <f t="shared" si="96"/>
        <v>0</v>
      </c>
      <c r="BC73" s="177">
        <f t="shared" si="96"/>
        <v>0</v>
      </c>
      <c r="BD73" s="167">
        <f t="shared" si="96"/>
        <v>0</v>
      </c>
      <c r="BE73" s="177">
        <f t="shared" si="96"/>
        <v>0</v>
      </c>
      <c r="BF73" s="167">
        <f t="shared" si="96"/>
        <v>0</v>
      </c>
      <c r="BG73" s="177">
        <f t="shared" si="96"/>
        <v>0</v>
      </c>
      <c r="BH73" s="167">
        <f t="shared" si="96"/>
        <v>0</v>
      </c>
      <c r="BI73" s="177">
        <f>SUM(BI68:BI72)</f>
        <v>0</v>
      </c>
      <c r="BJ73" s="167">
        <f t="shared" si="96"/>
        <v>0</v>
      </c>
      <c r="BK73" s="177">
        <f t="shared" si="96"/>
        <v>0</v>
      </c>
      <c r="BL73" s="167">
        <f t="shared" si="96"/>
        <v>0</v>
      </c>
      <c r="BM73" s="177">
        <f t="shared" si="96"/>
        <v>0</v>
      </c>
      <c r="BN73" s="92"/>
      <c r="BO73" s="170" t="e">
        <f t="shared" si="95"/>
        <v>#VALUE!</v>
      </c>
      <c r="BP73" s="167">
        <f t="shared" ref="BP73" si="97">SUM(BP68:BP72)</f>
        <v>0</v>
      </c>
      <c r="BQ73" s="93"/>
    </row>
    <row r="74" spans="1:69" x14ac:dyDescent="0.35">
      <c r="A74" s="53" t="s">
        <v>30</v>
      </c>
      <c r="B74" s="138"/>
      <c r="C74" s="210" t="str">
        <f>IF('December 2026 Log'!BM74="","",'December 2026 Log'!BM74)</f>
        <v/>
      </c>
      <c r="D74" s="47"/>
      <c r="E74" s="48"/>
      <c r="F74" s="49"/>
      <c r="G74" s="48"/>
      <c r="H74" s="49"/>
      <c r="I74" s="48"/>
      <c r="J74" s="49"/>
      <c r="K74" s="48"/>
      <c r="L74" s="49"/>
      <c r="M74" s="48"/>
      <c r="N74" s="49"/>
      <c r="O74" s="48"/>
      <c r="P74" s="49"/>
      <c r="Q74" s="48"/>
      <c r="R74" s="49"/>
      <c r="S74" s="48"/>
      <c r="T74" s="49"/>
      <c r="U74" s="48"/>
      <c r="V74" s="49"/>
      <c r="W74" s="48"/>
      <c r="X74" s="49"/>
      <c r="Y74" s="48"/>
      <c r="Z74" s="49"/>
      <c r="AA74" s="48"/>
      <c r="AB74" s="49"/>
      <c r="AC74" s="48"/>
      <c r="AD74" s="49"/>
      <c r="AE74" s="48"/>
      <c r="AF74" s="49"/>
      <c r="AG74" s="48"/>
      <c r="AH74" s="49"/>
      <c r="AI74" s="48"/>
      <c r="AJ74" s="49"/>
      <c r="AK74" s="48"/>
      <c r="AL74" s="49"/>
      <c r="AM74" s="48"/>
      <c r="AN74" s="49"/>
      <c r="AO74" s="48"/>
      <c r="AP74" s="49"/>
      <c r="AQ74" s="48"/>
      <c r="AR74" s="49"/>
      <c r="AS74" s="48"/>
      <c r="AT74" s="49"/>
      <c r="AU74" s="48"/>
      <c r="AV74" s="49"/>
      <c r="AW74" s="48"/>
      <c r="AX74" s="49"/>
      <c r="AY74" s="48"/>
      <c r="AZ74" s="49"/>
      <c r="BA74" s="48"/>
      <c r="BB74" s="49"/>
      <c r="BC74" s="48"/>
      <c r="BD74" s="49"/>
      <c r="BE74" s="48"/>
      <c r="BF74" s="49"/>
      <c r="BG74" s="48"/>
      <c r="BH74" s="49"/>
      <c r="BI74" s="48"/>
      <c r="BJ74" s="49"/>
      <c r="BK74" s="48"/>
      <c r="BL74" s="49"/>
      <c r="BM74" s="48"/>
      <c r="BN74" s="50"/>
      <c r="BO74" s="170" t="str">
        <f t="shared" si="95"/>
        <v/>
      </c>
      <c r="BP74" s="49"/>
      <c r="BQ74" s="178" t="str">
        <f>IF(BM74="","",BM74)</f>
        <v/>
      </c>
    </row>
    <row r="75" spans="1:69" x14ac:dyDescent="0.35">
      <c r="A75" s="98" t="s">
        <v>31</v>
      </c>
      <c r="B75" s="138"/>
      <c r="C75" s="211">
        <f>IF('December 2026 Log'!BM75="","",'December 2026 Log'!BM75)</f>
        <v>0</v>
      </c>
      <c r="D75" s="47"/>
      <c r="E75" s="177">
        <f>+E57-E74</f>
        <v>0</v>
      </c>
      <c r="F75" s="49"/>
      <c r="G75" s="177">
        <f>+G57-G74</f>
        <v>0</v>
      </c>
      <c r="H75" s="49"/>
      <c r="I75" s="177">
        <f>+I57-I74</f>
        <v>0</v>
      </c>
      <c r="J75" s="49"/>
      <c r="K75" s="177">
        <f>+K57-K74</f>
        <v>0</v>
      </c>
      <c r="L75" s="49"/>
      <c r="M75" s="177">
        <f>+M57-M74</f>
        <v>0</v>
      </c>
      <c r="N75" s="49"/>
      <c r="O75" s="177">
        <f>+O57-O74</f>
        <v>0</v>
      </c>
      <c r="P75" s="49"/>
      <c r="Q75" s="177">
        <f>+Q57-Q74</f>
        <v>0</v>
      </c>
      <c r="R75" s="49"/>
      <c r="S75" s="177">
        <f>+S57-S74</f>
        <v>0</v>
      </c>
      <c r="T75" s="49"/>
      <c r="U75" s="177">
        <f>+U57-U74</f>
        <v>0</v>
      </c>
      <c r="V75" s="49"/>
      <c r="W75" s="177">
        <f>+W57-W74</f>
        <v>0</v>
      </c>
      <c r="X75" s="49"/>
      <c r="Y75" s="177">
        <f>+Y57-Y74</f>
        <v>0</v>
      </c>
      <c r="Z75" s="49"/>
      <c r="AA75" s="177">
        <f>+AA57-AA74</f>
        <v>0</v>
      </c>
      <c r="AB75" s="49"/>
      <c r="AC75" s="177">
        <f>+AC57-AC74</f>
        <v>0</v>
      </c>
      <c r="AD75" s="49"/>
      <c r="AE75" s="177">
        <f>+AE57-AE74</f>
        <v>0</v>
      </c>
      <c r="AF75" s="49"/>
      <c r="AG75" s="177">
        <f>+AG57-AG74</f>
        <v>0</v>
      </c>
      <c r="AH75" s="49"/>
      <c r="AI75" s="177">
        <f>+AI57-AI74</f>
        <v>0</v>
      </c>
      <c r="AJ75" s="49"/>
      <c r="AK75" s="177">
        <f>+AK57-AK74</f>
        <v>0</v>
      </c>
      <c r="AL75" s="49"/>
      <c r="AM75" s="177">
        <f>+AM57-AM74</f>
        <v>0</v>
      </c>
      <c r="AN75" s="49"/>
      <c r="AO75" s="177">
        <f>+AO57-AO74</f>
        <v>0</v>
      </c>
      <c r="AP75" s="49"/>
      <c r="AQ75" s="177">
        <f>+AQ57-AQ74</f>
        <v>0</v>
      </c>
      <c r="AR75" s="49"/>
      <c r="AS75" s="177">
        <f>+AS57-AS74</f>
        <v>0</v>
      </c>
      <c r="AT75" s="49"/>
      <c r="AU75" s="177">
        <f>+AU57-AU74</f>
        <v>0</v>
      </c>
      <c r="AV75" s="49"/>
      <c r="AW75" s="177">
        <f>+AW57-AW74</f>
        <v>0</v>
      </c>
      <c r="AX75" s="49"/>
      <c r="AY75" s="177">
        <f>+AY57-AY74</f>
        <v>0</v>
      </c>
      <c r="AZ75" s="49"/>
      <c r="BA75" s="177">
        <f>+BA57-BA74</f>
        <v>0</v>
      </c>
      <c r="BB75" s="49"/>
      <c r="BC75" s="177">
        <f>+BC57-BC74</f>
        <v>0</v>
      </c>
      <c r="BD75" s="49"/>
      <c r="BE75" s="177">
        <f>+BE57-BE74</f>
        <v>0</v>
      </c>
      <c r="BF75" s="49"/>
      <c r="BG75" s="177">
        <f>+BG57-BG74</f>
        <v>0</v>
      </c>
      <c r="BH75" s="49"/>
      <c r="BI75" s="177">
        <f>+BI57-BI74</f>
        <v>0</v>
      </c>
      <c r="BJ75" s="49"/>
      <c r="BK75" s="177">
        <f>+BK57-BK74</f>
        <v>0</v>
      </c>
      <c r="BL75" s="49"/>
      <c r="BM75" s="177">
        <f>+BM57-BM74</f>
        <v>0</v>
      </c>
      <c r="BN75" s="92"/>
      <c r="BO75" s="170">
        <f t="shared" si="95"/>
        <v>0</v>
      </c>
      <c r="BP75" s="49"/>
      <c r="BQ75" s="179">
        <f>IF(BM75="","",BM75)</f>
        <v>0</v>
      </c>
    </row>
    <row r="76" spans="1:69" ht="28.9" customHeight="1" x14ac:dyDescent="0.35">
      <c r="A76" s="74" t="s">
        <v>92</v>
      </c>
      <c r="B76" s="75"/>
      <c r="C76" s="141"/>
      <c r="D76" s="102"/>
      <c r="E76" s="142"/>
      <c r="F76" s="104"/>
      <c r="G76" s="142"/>
      <c r="H76" s="104"/>
      <c r="I76" s="142"/>
      <c r="J76" s="104"/>
      <c r="K76" s="142"/>
      <c r="L76" s="104"/>
      <c r="M76" s="142"/>
      <c r="N76" s="104"/>
      <c r="O76" s="142"/>
      <c r="P76" s="104"/>
      <c r="Q76" s="142"/>
      <c r="R76" s="104"/>
      <c r="S76" s="142"/>
      <c r="T76" s="104"/>
      <c r="U76" s="142"/>
      <c r="V76" s="104"/>
      <c r="W76" s="142"/>
      <c r="X76" s="104"/>
      <c r="Y76" s="142"/>
      <c r="Z76" s="104"/>
      <c r="AA76" s="142"/>
      <c r="AB76" s="104"/>
      <c r="AC76" s="142"/>
      <c r="AD76" s="104"/>
      <c r="AE76" s="142"/>
      <c r="AF76" s="104"/>
      <c r="AG76" s="142"/>
      <c r="AH76" s="104"/>
      <c r="AI76" s="142"/>
      <c r="AJ76" s="104"/>
      <c r="AK76" s="142"/>
      <c r="AL76" s="104"/>
      <c r="AM76" s="142"/>
      <c r="AN76" s="104"/>
      <c r="AO76" s="142"/>
      <c r="AP76" s="104"/>
      <c r="AQ76" s="142"/>
      <c r="AR76" s="104"/>
      <c r="AS76" s="142"/>
      <c r="AT76" s="104"/>
      <c r="AU76" s="142"/>
      <c r="AV76" s="104"/>
      <c r="AW76" s="142"/>
      <c r="AX76" s="104"/>
      <c r="AY76" s="142"/>
      <c r="AZ76" s="104"/>
      <c r="BA76" s="142"/>
      <c r="BB76" s="104"/>
      <c r="BC76" s="142"/>
      <c r="BD76" s="104"/>
      <c r="BE76" s="142"/>
      <c r="BF76" s="104"/>
      <c r="BG76" s="142"/>
      <c r="BH76" s="104"/>
      <c r="BI76" s="142"/>
      <c r="BJ76" s="104"/>
      <c r="BK76" s="142"/>
      <c r="BL76" s="104"/>
      <c r="BM76" s="142"/>
      <c r="BN76" s="105"/>
      <c r="BO76" s="106"/>
      <c r="BP76" s="104"/>
      <c r="BQ76" s="107"/>
    </row>
    <row r="77" spans="1:69" x14ac:dyDescent="0.35">
      <c r="A77" s="132" t="s">
        <v>75</v>
      </c>
      <c r="B77" s="54" t="s">
        <v>65</v>
      </c>
      <c r="C77" s="174" t="str">
        <f>IF('December 2026 Log'!BM77="","",'December 2026 Log'!BM77)</f>
        <v/>
      </c>
      <c r="D77" s="189" t="e">
        <f t="shared" ref="D77:D104" si="98">+E77-C77</f>
        <v>#VALUE!</v>
      </c>
      <c r="E77" s="86"/>
      <c r="F77" s="167">
        <f t="shared" ref="F77:F104" si="99">+G77-E77</f>
        <v>0</v>
      </c>
      <c r="G77" s="86"/>
      <c r="H77" s="167">
        <f t="shared" ref="H77:H104" si="100">+I77-G77</f>
        <v>0</v>
      </c>
      <c r="I77" s="86"/>
      <c r="J77" s="167">
        <f t="shared" ref="J77:J104" si="101">+K77-I77</f>
        <v>0</v>
      </c>
      <c r="K77" s="86"/>
      <c r="L77" s="167">
        <f t="shared" ref="L77:L89" si="102">+M77-K77</f>
        <v>0</v>
      </c>
      <c r="M77" s="86"/>
      <c r="N77" s="167">
        <f t="shared" ref="N77:N89" si="103">+O77-M77</f>
        <v>0</v>
      </c>
      <c r="O77" s="86"/>
      <c r="P77" s="167">
        <f t="shared" ref="P77:P89" si="104">+Q77-O77</f>
        <v>0</v>
      </c>
      <c r="Q77" s="86"/>
      <c r="R77" s="167">
        <f t="shared" ref="R77:R89" si="105">+S77-Q77</f>
        <v>0</v>
      </c>
      <c r="S77" s="86"/>
      <c r="T77" s="167">
        <f t="shared" ref="T77:T89" si="106">+U77-S77</f>
        <v>0</v>
      </c>
      <c r="U77" s="86"/>
      <c r="V77" s="167">
        <f t="shared" ref="V77:V89" si="107">+W77-U77</f>
        <v>0</v>
      </c>
      <c r="W77" s="86"/>
      <c r="X77" s="167">
        <f t="shared" ref="X77:X89" si="108">+Y77-W77</f>
        <v>0</v>
      </c>
      <c r="Y77" s="86"/>
      <c r="Z77" s="167">
        <f t="shared" ref="Z77:Z89" si="109">+AA77-Y77</f>
        <v>0</v>
      </c>
      <c r="AA77" s="86"/>
      <c r="AB77" s="167">
        <f t="shared" ref="AB77:AB89" si="110">+AC77-AA77</f>
        <v>0</v>
      </c>
      <c r="AC77" s="86"/>
      <c r="AD77" s="167">
        <f t="shared" ref="AD77:AD89" si="111">+AE77-AC77</f>
        <v>0</v>
      </c>
      <c r="AE77" s="86"/>
      <c r="AF77" s="167">
        <f t="shared" ref="AF77:AF89" si="112">+AG77-AE77</f>
        <v>0</v>
      </c>
      <c r="AG77" s="86"/>
      <c r="AH77" s="167">
        <f t="shared" ref="AH77:AH89" si="113">+AI77-AG77</f>
        <v>0</v>
      </c>
      <c r="AI77" s="86"/>
      <c r="AJ77" s="167">
        <f t="shared" ref="AJ77:AJ89" si="114">+AK77-AI77</f>
        <v>0</v>
      </c>
      <c r="AK77" s="86"/>
      <c r="AL77" s="167">
        <f t="shared" ref="AL77:AL89" si="115">+AM77-AK77</f>
        <v>0</v>
      </c>
      <c r="AM77" s="86"/>
      <c r="AN77" s="167">
        <f t="shared" ref="AN77:AN89" si="116">+AO77-AM77</f>
        <v>0</v>
      </c>
      <c r="AO77" s="86"/>
      <c r="AP77" s="167">
        <f t="shared" ref="AP77:AP89" si="117">+AQ77-AO77</f>
        <v>0</v>
      </c>
      <c r="AQ77" s="86"/>
      <c r="AR77" s="167">
        <f t="shared" ref="AR77:AR89" si="118">+AS77-AQ77</f>
        <v>0</v>
      </c>
      <c r="AS77" s="86"/>
      <c r="AT77" s="167">
        <f t="shared" ref="AT77:AT89" si="119">+AU77-AS77</f>
        <v>0</v>
      </c>
      <c r="AU77" s="86"/>
      <c r="AV77" s="167">
        <f t="shared" ref="AV77:AV89" si="120">+AW77-AU77</f>
        <v>0</v>
      </c>
      <c r="AW77" s="86"/>
      <c r="AX77" s="167">
        <f t="shared" ref="AX77:AX89" si="121">+AY77-AW77</f>
        <v>0</v>
      </c>
      <c r="AY77" s="86"/>
      <c r="AZ77" s="167">
        <f t="shared" ref="AZ77:AZ89" si="122">+BA77-AY77</f>
        <v>0</v>
      </c>
      <c r="BA77" s="86"/>
      <c r="BB77" s="167">
        <f t="shared" ref="BB77:BB89" si="123">+BC77-BA77</f>
        <v>0</v>
      </c>
      <c r="BC77" s="86"/>
      <c r="BD77" s="167">
        <f t="shared" ref="BD77:BD89" si="124">+BE77-BC77</f>
        <v>0</v>
      </c>
      <c r="BE77" s="86"/>
      <c r="BF77" s="167">
        <f t="shared" ref="BF77:BF89" si="125">+BG77-BE77</f>
        <v>0</v>
      </c>
      <c r="BG77" s="86"/>
      <c r="BH77" s="167">
        <f t="shared" ref="BH77:BH89" si="126">+BI77-BG77</f>
        <v>0</v>
      </c>
      <c r="BI77" s="86"/>
      <c r="BJ77" s="167">
        <f t="shared" ref="BJ77:BJ89" si="127">+BK77-BI77</f>
        <v>0</v>
      </c>
      <c r="BK77" s="86"/>
      <c r="BL77" s="167">
        <f t="shared" ref="BL77:BL89" si="128">+BM77-BK77</f>
        <v>0</v>
      </c>
      <c r="BM77" s="86"/>
      <c r="BN77" s="50"/>
      <c r="BO77" s="170" t="e">
        <f t="shared" ref="BO77:BO88" si="129">IF(COUNT(D77,F77,H77,J77,L77,N77,P77,R77,T77,V77,X77,Z77,AB77,AD77,AF77,AH77,AJ77,AL77,AN77,AP77,AR77,AT77,AV77,AX77,AZ77,BB77,BD77,BF77,BH77,BJ77,BL77)=0,"",SUM(D77,F77,H77,J77,L77,N77,P77,R77,T77,V77,X77,Z77,AB77,AD77,AF77,AH77,AJ77,AL77,AN77,AP77,AR77,AT77,AV77,AX77,AZ77,BB77,BD77,BF77,BH77,BJ77,BL77))</f>
        <v>#VALUE!</v>
      </c>
      <c r="BP77" s="193" t="e">
        <f>+BQ77-BM77</f>
        <v>#VALUE!</v>
      </c>
      <c r="BQ77" s="212" t="str">
        <f t="shared" ref="BQ77:BQ88" si="130">IF(BM77="","",BM77)</f>
        <v/>
      </c>
    </row>
    <row r="78" spans="1:69" x14ac:dyDescent="0.35">
      <c r="A78" s="136" t="s">
        <v>76</v>
      </c>
      <c r="B78" s="54" t="s">
        <v>66</v>
      </c>
      <c r="C78" s="174" t="str">
        <f>IF('December 2026 Log'!BM78="","",'December 2026 Log'!BM78)</f>
        <v/>
      </c>
      <c r="D78" s="189" t="e">
        <f t="shared" si="98"/>
        <v>#VALUE!</v>
      </c>
      <c r="E78" s="86"/>
      <c r="F78" s="167">
        <f t="shared" si="99"/>
        <v>0</v>
      </c>
      <c r="G78" s="86"/>
      <c r="H78" s="167">
        <f t="shared" si="100"/>
        <v>0</v>
      </c>
      <c r="I78" s="86"/>
      <c r="J78" s="167">
        <f t="shared" si="101"/>
        <v>0</v>
      </c>
      <c r="K78" s="86"/>
      <c r="L78" s="167">
        <f t="shared" si="102"/>
        <v>0</v>
      </c>
      <c r="M78" s="86"/>
      <c r="N78" s="167">
        <f t="shared" si="103"/>
        <v>0</v>
      </c>
      <c r="O78" s="86"/>
      <c r="P78" s="167">
        <f t="shared" si="104"/>
        <v>0</v>
      </c>
      <c r="Q78" s="86"/>
      <c r="R78" s="167">
        <f t="shared" si="105"/>
        <v>0</v>
      </c>
      <c r="S78" s="86"/>
      <c r="T78" s="167">
        <f t="shared" si="106"/>
        <v>0</v>
      </c>
      <c r="U78" s="86"/>
      <c r="V78" s="167">
        <f t="shared" si="107"/>
        <v>0</v>
      </c>
      <c r="W78" s="86"/>
      <c r="X78" s="167">
        <f t="shared" si="108"/>
        <v>0</v>
      </c>
      <c r="Y78" s="86"/>
      <c r="Z78" s="167">
        <f t="shared" si="109"/>
        <v>0</v>
      </c>
      <c r="AA78" s="86"/>
      <c r="AB78" s="167">
        <f t="shared" si="110"/>
        <v>0</v>
      </c>
      <c r="AC78" s="86"/>
      <c r="AD78" s="167">
        <f t="shared" si="111"/>
        <v>0</v>
      </c>
      <c r="AE78" s="86"/>
      <c r="AF78" s="167">
        <f t="shared" si="112"/>
        <v>0</v>
      </c>
      <c r="AG78" s="86"/>
      <c r="AH78" s="167">
        <f t="shared" si="113"/>
        <v>0</v>
      </c>
      <c r="AI78" s="86"/>
      <c r="AJ78" s="167">
        <f t="shared" si="114"/>
        <v>0</v>
      </c>
      <c r="AK78" s="86"/>
      <c r="AL78" s="167">
        <f t="shared" si="115"/>
        <v>0</v>
      </c>
      <c r="AM78" s="86"/>
      <c r="AN78" s="167">
        <f t="shared" si="116"/>
        <v>0</v>
      </c>
      <c r="AO78" s="86"/>
      <c r="AP78" s="167">
        <f t="shared" si="117"/>
        <v>0</v>
      </c>
      <c r="AQ78" s="86"/>
      <c r="AR78" s="167">
        <f t="shared" si="118"/>
        <v>0</v>
      </c>
      <c r="AS78" s="86"/>
      <c r="AT78" s="167">
        <f t="shared" si="119"/>
        <v>0</v>
      </c>
      <c r="AU78" s="86"/>
      <c r="AV78" s="167">
        <f t="shared" si="120"/>
        <v>0</v>
      </c>
      <c r="AW78" s="86"/>
      <c r="AX78" s="167">
        <f t="shared" si="121"/>
        <v>0</v>
      </c>
      <c r="AY78" s="86"/>
      <c r="AZ78" s="167">
        <f t="shared" si="122"/>
        <v>0</v>
      </c>
      <c r="BA78" s="86"/>
      <c r="BB78" s="167">
        <f t="shared" si="123"/>
        <v>0</v>
      </c>
      <c r="BC78" s="86"/>
      <c r="BD78" s="167">
        <f t="shared" si="124"/>
        <v>0</v>
      </c>
      <c r="BE78" s="86"/>
      <c r="BF78" s="167">
        <f t="shared" si="125"/>
        <v>0</v>
      </c>
      <c r="BG78" s="86"/>
      <c r="BH78" s="167">
        <f t="shared" si="126"/>
        <v>0</v>
      </c>
      <c r="BI78" s="86"/>
      <c r="BJ78" s="167">
        <f t="shared" si="127"/>
        <v>0</v>
      </c>
      <c r="BK78" s="86"/>
      <c r="BL78" s="167">
        <f t="shared" si="128"/>
        <v>0</v>
      </c>
      <c r="BM78" s="86"/>
      <c r="BN78" s="50"/>
      <c r="BO78" s="170" t="e">
        <f t="shared" si="129"/>
        <v>#VALUE!</v>
      </c>
      <c r="BP78" s="167" t="e">
        <f t="shared" ref="BP78:BP89" si="131">+BQ78-BM78</f>
        <v>#VALUE!</v>
      </c>
      <c r="BQ78" s="178" t="str">
        <f t="shared" si="130"/>
        <v/>
      </c>
    </row>
    <row r="79" spans="1:69" x14ac:dyDescent="0.35">
      <c r="A79" s="134" t="s">
        <v>77</v>
      </c>
      <c r="B79" s="54" t="s">
        <v>67</v>
      </c>
      <c r="C79" s="174" t="str">
        <f>IF('December 2026 Log'!BM79="","",'December 2026 Log'!BM79)</f>
        <v/>
      </c>
      <c r="D79" s="189" t="e">
        <f t="shared" si="98"/>
        <v>#VALUE!</v>
      </c>
      <c r="E79" s="86"/>
      <c r="F79" s="167">
        <f t="shared" si="99"/>
        <v>0</v>
      </c>
      <c r="G79" s="86"/>
      <c r="H79" s="167">
        <f t="shared" si="100"/>
        <v>0</v>
      </c>
      <c r="I79" s="86"/>
      <c r="J79" s="167">
        <f t="shared" si="101"/>
        <v>0</v>
      </c>
      <c r="K79" s="86"/>
      <c r="L79" s="167">
        <f t="shared" si="102"/>
        <v>0</v>
      </c>
      <c r="M79" s="86"/>
      <c r="N79" s="167">
        <f t="shared" si="103"/>
        <v>0</v>
      </c>
      <c r="O79" s="86"/>
      <c r="P79" s="167">
        <f t="shared" si="104"/>
        <v>0</v>
      </c>
      <c r="Q79" s="86"/>
      <c r="R79" s="167">
        <f t="shared" si="105"/>
        <v>0</v>
      </c>
      <c r="S79" s="86"/>
      <c r="T79" s="167">
        <f t="shared" si="106"/>
        <v>0</v>
      </c>
      <c r="U79" s="86"/>
      <c r="V79" s="167">
        <f t="shared" si="107"/>
        <v>0</v>
      </c>
      <c r="W79" s="86"/>
      <c r="X79" s="167">
        <f t="shared" si="108"/>
        <v>0</v>
      </c>
      <c r="Y79" s="86"/>
      <c r="Z79" s="167">
        <f t="shared" si="109"/>
        <v>0</v>
      </c>
      <c r="AA79" s="86"/>
      <c r="AB79" s="167">
        <f t="shared" si="110"/>
        <v>0</v>
      </c>
      <c r="AC79" s="86"/>
      <c r="AD79" s="167">
        <f t="shared" si="111"/>
        <v>0</v>
      </c>
      <c r="AE79" s="86"/>
      <c r="AF79" s="167">
        <f t="shared" si="112"/>
        <v>0</v>
      </c>
      <c r="AG79" s="86"/>
      <c r="AH79" s="167">
        <f t="shared" si="113"/>
        <v>0</v>
      </c>
      <c r="AI79" s="86"/>
      <c r="AJ79" s="167">
        <f t="shared" si="114"/>
        <v>0</v>
      </c>
      <c r="AK79" s="86"/>
      <c r="AL79" s="167">
        <f t="shared" si="115"/>
        <v>0</v>
      </c>
      <c r="AM79" s="86"/>
      <c r="AN79" s="167">
        <f t="shared" si="116"/>
        <v>0</v>
      </c>
      <c r="AO79" s="86"/>
      <c r="AP79" s="167">
        <f t="shared" si="117"/>
        <v>0</v>
      </c>
      <c r="AQ79" s="86"/>
      <c r="AR79" s="167">
        <f t="shared" si="118"/>
        <v>0</v>
      </c>
      <c r="AS79" s="86"/>
      <c r="AT79" s="167">
        <f t="shared" si="119"/>
        <v>0</v>
      </c>
      <c r="AU79" s="86"/>
      <c r="AV79" s="167">
        <f t="shared" si="120"/>
        <v>0</v>
      </c>
      <c r="AW79" s="86"/>
      <c r="AX79" s="167">
        <f t="shared" si="121"/>
        <v>0</v>
      </c>
      <c r="AY79" s="86"/>
      <c r="AZ79" s="167">
        <f t="shared" si="122"/>
        <v>0</v>
      </c>
      <c r="BA79" s="86"/>
      <c r="BB79" s="167">
        <f t="shared" si="123"/>
        <v>0</v>
      </c>
      <c r="BC79" s="86"/>
      <c r="BD79" s="167">
        <f t="shared" si="124"/>
        <v>0</v>
      </c>
      <c r="BE79" s="86"/>
      <c r="BF79" s="167">
        <f t="shared" si="125"/>
        <v>0</v>
      </c>
      <c r="BG79" s="86"/>
      <c r="BH79" s="167">
        <f t="shared" si="126"/>
        <v>0</v>
      </c>
      <c r="BI79" s="86"/>
      <c r="BJ79" s="167">
        <f t="shared" si="127"/>
        <v>0</v>
      </c>
      <c r="BK79" s="86"/>
      <c r="BL79" s="167">
        <f t="shared" si="128"/>
        <v>0</v>
      </c>
      <c r="BM79" s="86"/>
      <c r="BN79" s="50"/>
      <c r="BO79" s="170" t="e">
        <f t="shared" si="129"/>
        <v>#VALUE!</v>
      </c>
      <c r="BP79" s="167" t="e">
        <f t="shared" si="131"/>
        <v>#VALUE!</v>
      </c>
      <c r="BQ79" s="178" t="str">
        <f t="shared" si="130"/>
        <v/>
      </c>
    </row>
    <row r="80" spans="1:69" x14ac:dyDescent="0.35">
      <c r="A80" s="132" t="s">
        <v>78</v>
      </c>
      <c r="B80" s="54" t="s">
        <v>65</v>
      </c>
      <c r="C80" s="174" t="str">
        <f>IF('December 2026 Log'!BM80="","",'December 2026 Log'!BM80)</f>
        <v/>
      </c>
      <c r="D80" s="189" t="e">
        <f t="shared" si="98"/>
        <v>#VALUE!</v>
      </c>
      <c r="E80" s="86"/>
      <c r="F80" s="167">
        <f t="shared" si="99"/>
        <v>0</v>
      </c>
      <c r="G80" s="86"/>
      <c r="H80" s="167">
        <f t="shared" si="100"/>
        <v>0</v>
      </c>
      <c r="I80" s="86"/>
      <c r="J80" s="167">
        <f t="shared" si="101"/>
        <v>0</v>
      </c>
      <c r="K80" s="86"/>
      <c r="L80" s="167">
        <f t="shared" si="102"/>
        <v>0</v>
      </c>
      <c r="M80" s="86"/>
      <c r="N80" s="167">
        <f t="shared" si="103"/>
        <v>0</v>
      </c>
      <c r="O80" s="86"/>
      <c r="P80" s="167">
        <f t="shared" si="104"/>
        <v>0</v>
      </c>
      <c r="Q80" s="86"/>
      <c r="R80" s="167">
        <f t="shared" si="105"/>
        <v>0</v>
      </c>
      <c r="S80" s="86"/>
      <c r="T80" s="167">
        <f t="shared" si="106"/>
        <v>0</v>
      </c>
      <c r="U80" s="86"/>
      <c r="V80" s="167">
        <f t="shared" si="107"/>
        <v>0</v>
      </c>
      <c r="W80" s="86"/>
      <c r="X80" s="167">
        <f t="shared" si="108"/>
        <v>0</v>
      </c>
      <c r="Y80" s="86"/>
      <c r="Z80" s="167">
        <f t="shared" si="109"/>
        <v>0</v>
      </c>
      <c r="AA80" s="86"/>
      <c r="AB80" s="167">
        <f t="shared" si="110"/>
        <v>0</v>
      </c>
      <c r="AC80" s="86"/>
      <c r="AD80" s="167">
        <f t="shared" si="111"/>
        <v>0</v>
      </c>
      <c r="AE80" s="86"/>
      <c r="AF80" s="167">
        <f t="shared" si="112"/>
        <v>0</v>
      </c>
      <c r="AG80" s="86"/>
      <c r="AH80" s="167">
        <f t="shared" si="113"/>
        <v>0</v>
      </c>
      <c r="AI80" s="86"/>
      <c r="AJ80" s="167">
        <f t="shared" si="114"/>
        <v>0</v>
      </c>
      <c r="AK80" s="86"/>
      <c r="AL80" s="167">
        <f t="shared" si="115"/>
        <v>0</v>
      </c>
      <c r="AM80" s="86"/>
      <c r="AN80" s="167">
        <f t="shared" si="116"/>
        <v>0</v>
      </c>
      <c r="AO80" s="86"/>
      <c r="AP80" s="167">
        <f t="shared" si="117"/>
        <v>0</v>
      </c>
      <c r="AQ80" s="86"/>
      <c r="AR80" s="167">
        <f t="shared" si="118"/>
        <v>0</v>
      </c>
      <c r="AS80" s="86"/>
      <c r="AT80" s="167">
        <f t="shared" si="119"/>
        <v>0</v>
      </c>
      <c r="AU80" s="86"/>
      <c r="AV80" s="167">
        <f t="shared" si="120"/>
        <v>0</v>
      </c>
      <c r="AW80" s="86"/>
      <c r="AX80" s="167">
        <f t="shared" si="121"/>
        <v>0</v>
      </c>
      <c r="AY80" s="86"/>
      <c r="AZ80" s="167">
        <f t="shared" si="122"/>
        <v>0</v>
      </c>
      <c r="BA80" s="86"/>
      <c r="BB80" s="167">
        <f t="shared" si="123"/>
        <v>0</v>
      </c>
      <c r="BC80" s="86"/>
      <c r="BD80" s="167">
        <f t="shared" si="124"/>
        <v>0</v>
      </c>
      <c r="BE80" s="86"/>
      <c r="BF80" s="167">
        <f t="shared" si="125"/>
        <v>0</v>
      </c>
      <c r="BG80" s="86"/>
      <c r="BH80" s="167">
        <f t="shared" si="126"/>
        <v>0</v>
      </c>
      <c r="BI80" s="86"/>
      <c r="BJ80" s="167">
        <f t="shared" si="127"/>
        <v>0</v>
      </c>
      <c r="BK80" s="86"/>
      <c r="BL80" s="167">
        <f t="shared" si="128"/>
        <v>0</v>
      </c>
      <c r="BM80" s="86"/>
      <c r="BN80" s="50"/>
      <c r="BO80" s="170" t="e">
        <f t="shared" si="129"/>
        <v>#VALUE!</v>
      </c>
      <c r="BP80" s="167" t="e">
        <f t="shared" si="131"/>
        <v>#VALUE!</v>
      </c>
      <c r="BQ80" s="178" t="str">
        <f t="shared" si="130"/>
        <v/>
      </c>
    </row>
    <row r="81" spans="1:69" x14ac:dyDescent="0.35">
      <c r="A81" s="136" t="s">
        <v>79</v>
      </c>
      <c r="B81" s="54" t="s">
        <v>66</v>
      </c>
      <c r="C81" s="174" t="str">
        <f>IF('December 2026 Log'!BM81="","",'December 2026 Log'!BM81)</f>
        <v/>
      </c>
      <c r="D81" s="189" t="e">
        <f t="shared" si="98"/>
        <v>#VALUE!</v>
      </c>
      <c r="E81" s="86"/>
      <c r="F81" s="167">
        <f t="shared" si="99"/>
        <v>0</v>
      </c>
      <c r="G81" s="86"/>
      <c r="H81" s="167">
        <f t="shared" si="100"/>
        <v>0</v>
      </c>
      <c r="I81" s="86"/>
      <c r="J81" s="167">
        <f t="shared" si="101"/>
        <v>0</v>
      </c>
      <c r="K81" s="86"/>
      <c r="L81" s="167">
        <f t="shared" si="102"/>
        <v>0</v>
      </c>
      <c r="M81" s="86"/>
      <c r="N81" s="167">
        <f t="shared" si="103"/>
        <v>0</v>
      </c>
      <c r="O81" s="86"/>
      <c r="P81" s="167">
        <f t="shared" si="104"/>
        <v>0</v>
      </c>
      <c r="Q81" s="86"/>
      <c r="R81" s="167">
        <f t="shared" si="105"/>
        <v>0</v>
      </c>
      <c r="S81" s="86"/>
      <c r="T81" s="167">
        <f t="shared" si="106"/>
        <v>0</v>
      </c>
      <c r="U81" s="86"/>
      <c r="V81" s="167">
        <f t="shared" si="107"/>
        <v>0</v>
      </c>
      <c r="W81" s="86"/>
      <c r="X81" s="167">
        <f t="shared" si="108"/>
        <v>0</v>
      </c>
      <c r="Y81" s="86"/>
      <c r="Z81" s="167">
        <f t="shared" si="109"/>
        <v>0</v>
      </c>
      <c r="AA81" s="86"/>
      <c r="AB81" s="167">
        <f t="shared" si="110"/>
        <v>0</v>
      </c>
      <c r="AC81" s="86"/>
      <c r="AD81" s="167">
        <f t="shared" si="111"/>
        <v>0</v>
      </c>
      <c r="AE81" s="86"/>
      <c r="AF81" s="167">
        <f t="shared" si="112"/>
        <v>0</v>
      </c>
      <c r="AG81" s="86"/>
      <c r="AH81" s="167">
        <f t="shared" si="113"/>
        <v>0</v>
      </c>
      <c r="AI81" s="86"/>
      <c r="AJ81" s="167">
        <f t="shared" si="114"/>
        <v>0</v>
      </c>
      <c r="AK81" s="86"/>
      <c r="AL81" s="167">
        <f t="shared" si="115"/>
        <v>0</v>
      </c>
      <c r="AM81" s="86"/>
      <c r="AN81" s="167">
        <f t="shared" si="116"/>
        <v>0</v>
      </c>
      <c r="AO81" s="86"/>
      <c r="AP81" s="167">
        <f t="shared" si="117"/>
        <v>0</v>
      </c>
      <c r="AQ81" s="86"/>
      <c r="AR81" s="167">
        <f t="shared" si="118"/>
        <v>0</v>
      </c>
      <c r="AS81" s="86"/>
      <c r="AT81" s="167">
        <f t="shared" si="119"/>
        <v>0</v>
      </c>
      <c r="AU81" s="86"/>
      <c r="AV81" s="167">
        <f t="shared" si="120"/>
        <v>0</v>
      </c>
      <c r="AW81" s="86"/>
      <c r="AX81" s="167">
        <f t="shared" si="121"/>
        <v>0</v>
      </c>
      <c r="AY81" s="86"/>
      <c r="AZ81" s="167">
        <f t="shared" si="122"/>
        <v>0</v>
      </c>
      <c r="BA81" s="86"/>
      <c r="BB81" s="167">
        <f t="shared" si="123"/>
        <v>0</v>
      </c>
      <c r="BC81" s="86"/>
      <c r="BD81" s="167">
        <f t="shared" si="124"/>
        <v>0</v>
      </c>
      <c r="BE81" s="86"/>
      <c r="BF81" s="167">
        <f t="shared" si="125"/>
        <v>0</v>
      </c>
      <c r="BG81" s="86"/>
      <c r="BH81" s="167">
        <f t="shared" si="126"/>
        <v>0</v>
      </c>
      <c r="BI81" s="86"/>
      <c r="BJ81" s="167">
        <f t="shared" si="127"/>
        <v>0</v>
      </c>
      <c r="BK81" s="86"/>
      <c r="BL81" s="167">
        <f t="shared" si="128"/>
        <v>0</v>
      </c>
      <c r="BM81" s="86"/>
      <c r="BN81" s="50"/>
      <c r="BO81" s="170" t="e">
        <f t="shared" si="129"/>
        <v>#VALUE!</v>
      </c>
      <c r="BP81" s="167" t="e">
        <f t="shared" si="131"/>
        <v>#VALUE!</v>
      </c>
      <c r="BQ81" s="178" t="str">
        <f t="shared" si="130"/>
        <v/>
      </c>
    </row>
    <row r="82" spans="1:69" x14ac:dyDescent="0.35">
      <c r="A82" s="134" t="s">
        <v>80</v>
      </c>
      <c r="B82" s="54" t="s">
        <v>67</v>
      </c>
      <c r="C82" s="174" t="str">
        <f>IF('December 2026 Log'!BM82="","",'December 2026 Log'!BM82)</f>
        <v/>
      </c>
      <c r="D82" s="189" t="e">
        <f t="shared" si="98"/>
        <v>#VALUE!</v>
      </c>
      <c r="E82" s="86"/>
      <c r="F82" s="167">
        <f t="shared" si="99"/>
        <v>0</v>
      </c>
      <c r="G82" s="86"/>
      <c r="H82" s="167">
        <f t="shared" si="100"/>
        <v>0</v>
      </c>
      <c r="I82" s="86"/>
      <c r="J82" s="167">
        <f t="shared" si="101"/>
        <v>0</v>
      </c>
      <c r="K82" s="86"/>
      <c r="L82" s="167">
        <f t="shared" si="102"/>
        <v>0</v>
      </c>
      <c r="M82" s="86"/>
      <c r="N82" s="167">
        <f t="shared" si="103"/>
        <v>0</v>
      </c>
      <c r="O82" s="86"/>
      <c r="P82" s="167">
        <f t="shared" si="104"/>
        <v>0</v>
      </c>
      <c r="Q82" s="86"/>
      <c r="R82" s="167">
        <f t="shared" si="105"/>
        <v>0</v>
      </c>
      <c r="S82" s="86"/>
      <c r="T82" s="167">
        <f t="shared" si="106"/>
        <v>0</v>
      </c>
      <c r="U82" s="86"/>
      <c r="V82" s="167">
        <f t="shared" si="107"/>
        <v>0</v>
      </c>
      <c r="W82" s="86"/>
      <c r="X82" s="167">
        <f t="shared" si="108"/>
        <v>0</v>
      </c>
      <c r="Y82" s="86"/>
      <c r="Z82" s="167">
        <f t="shared" si="109"/>
        <v>0</v>
      </c>
      <c r="AA82" s="86"/>
      <c r="AB82" s="167">
        <f t="shared" si="110"/>
        <v>0</v>
      </c>
      <c r="AC82" s="86"/>
      <c r="AD82" s="167">
        <f t="shared" si="111"/>
        <v>0</v>
      </c>
      <c r="AE82" s="86"/>
      <c r="AF82" s="167">
        <f t="shared" si="112"/>
        <v>0</v>
      </c>
      <c r="AG82" s="86"/>
      <c r="AH82" s="167">
        <f t="shared" si="113"/>
        <v>0</v>
      </c>
      <c r="AI82" s="86"/>
      <c r="AJ82" s="167">
        <f t="shared" si="114"/>
        <v>0</v>
      </c>
      <c r="AK82" s="86"/>
      <c r="AL82" s="167">
        <f t="shared" si="115"/>
        <v>0</v>
      </c>
      <c r="AM82" s="86"/>
      <c r="AN82" s="167">
        <f t="shared" si="116"/>
        <v>0</v>
      </c>
      <c r="AO82" s="86"/>
      <c r="AP82" s="167">
        <f t="shared" si="117"/>
        <v>0</v>
      </c>
      <c r="AQ82" s="86"/>
      <c r="AR82" s="167">
        <f t="shared" si="118"/>
        <v>0</v>
      </c>
      <c r="AS82" s="86"/>
      <c r="AT82" s="167">
        <f t="shared" si="119"/>
        <v>0</v>
      </c>
      <c r="AU82" s="86"/>
      <c r="AV82" s="167">
        <f t="shared" si="120"/>
        <v>0</v>
      </c>
      <c r="AW82" s="86"/>
      <c r="AX82" s="167">
        <f t="shared" si="121"/>
        <v>0</v>
      </c>
      <c r="AY82" s="86"/>
      <c r="AZ82" s="167">
        <f t="shared" si="122"/>
        <v>0</v>
      </c>
      <c r="BA82" s="86"/>
      <c r="BB82" s="167">
        <f t="shared" si="123"/>
        <v>0</v>
      </c>
      <c r="BC82" s="86"/>
      <c r="BD82" s="167">
        <f t="shared" si="124"/>
        <v>0</v>
      </c>
      <c r="BE82" s="86"/>
      <c r="BF82" s="167">
        <f t="shared" si="125"/>
        <v>0</v>
      </c>
      <c r="BG82" s="86"/>
      <c r="BH82" s="167">
        <f t="shared" si="126"/>
        <v>0</v>
      </c>
      <c r="BI82" s="86"/>
      <c r="BJ82" s="167">
        <f t="shared" si="127"/>
        <v>0</v>
      </c>
      <c r="BK82" s="86"/>
      <c r="BL82" s="167">
        <f t="shared" si="128"/>
        <v>0</v>
      </c>
      <c r="BM82" s="86"/>
      <c r="BN82" s="50"/>
      <c r="BO82" s="170" t="e">
        <f t="shared" si="129"/>
        <v>#VALUE!</v>
      </c>
      <c r="BP82" s="167" t="e">
        <f t="shared" si="131"/>
        <v>#VALUE!</v>
      </c>
      <c r="BQ82" s="178" t="str">
        <f t="shared" si="130"/>
        <v/>
      </c>
    </row>
    <row r="83" spans="1:69" x14ac:dyDescent="0.35">
      <c r="A83" s="135" t="s">
        <v>81</v>
      </c>
      <c r="B83" s="54" t="s">
        <v>67</v>
      </c>
      <c r="C83" s="174" t="str">
        <f>IF('December 2026 Log'!BM83="","",'December 2026 Log'!BM83)</f>
        <v/>
      </c>
      <c r="D83" s="189" t="e">
        <f t="shared" si="98"/>
        <v>#VALUE!</v>
      </c>
      <c r="E83" s="86"/>
      <c r="F83" s="167">
        <f t="shared" si="99"/>
        <v>0</v>
      </c>
      <c r="G83" s="86"/>
      <c r="H83" s="167">
        <f t="shared" si="100"/>
        <v>0</v>
      </c>
      <c r="I83" s="86"/>
      <c r="J83" s="167">
        <f t="shared" si="101"/>
        <v>0</v>
      </c>
      <c r="K83" s="86"/>
      <c r="L83" s="167">
        <f t="shared" si="102"/>
        <v>0</v>
      </c>
      <c r="M83" s="86"/>
      <c r="N83" s="167">
        <f t="shared" si="103"/>
        <v>0</v>
      </c>
      <c r="O83" s="86"/>
      <c r="P83" s="167">
        <f t="shared" si="104"/>
        <v>0</v>
      </c>
      <c r="Q83" s="86"/>
      <c r="R83" s="167">
        <f t="shared" si="105"/>
        <v>0</v>
      </c>
      <c r="S83" s="86"/>
      <c r="T83" s="167">
        <f t="shared" si="106"/>
        <v>0</v>
      </c>
      <c r="U83" s="86"/>
      <c r="V83" s="167">
        <f t="shared" si="107"/>
        <v>0</v>
      </c>
      <c r="W83" s="86"/>
      <c r="X83" s="167">
        <f t="shared" si="108"/>
        <v>0</v>
      </c>
      <c r="Y83" s="86"/>
      <c r="Z83" s="167">
        <f t="shared" si="109"/>
        <v>0</v>
      </c>
      <c r="AA83" s="86"/>
      <c r="AB83" s="167">
        <f t="shared" si="110"/>
        <v>0</v>
      </c>
      <c r="AC83" s="86"/>
      <c r="AD83" s="167">
        <f t="shared" si="111"/>
        <v>0</v>
      </c>
      <c r="AE83" s="86"/>
      <c r="AF83" s="167">
        <f t="shared" si="112"/>
        <v>0</v>
      </c>
      <c r="AG83" s="86"/>
      <c r="AH83" s="167">
        <f t="shared" si="113"/>
        <v>0</v>
      </c>
      <c r="AI83" s="86"/>
      <c r="AJ83" s="167">
        <f t="shared" si="114"/>
        <v>0</v>
      </c>
      <c r="AK83" s="86"/>
      <c r="AL83" s="167">
        <f t="shared" si="115"/>
        <v>0</v>
      </c>
      <c r="AM83" s="86"/>
      <c r="AN83" s="167">
        <f t="shared" si="116"/>
        <v>0</v>
      </c>
      <c r="AO83" s="86"/>
      <c r="AP83" s="167">
        <f t="shared" si="117"/>
        <v>0</v>
      </c>
      <c r="AQ83" s="86"/>
      <c r="AR83" s="167">
        <f t="shared" si="118"/>
        <v>0</v>
      </c>
      <c r="AS83" s="86"/>
      <c r="AT83" s="167">
        <f t="shared" si="119"/>
        <v>0</v>
      </c>
      <c r="AU83" s="86"/>
      <c r="AV83" s="167">
        <f t="shared" si="120"/>
        <v>0</v>
      </c>
      <c r="AW83" s="86"/>
      <c r="AX83" s="167">
        <f t="shared" si="121"/>
        <v>0</v>
      </c>
      <c r="AY83" s="86"/>
      <c r="AZ83" s="167">
        <f t="shared" si="122"/>
        <v>0</v>
      </c>
      <c r="BA83" s="86"/>
      <c r="BB83" s="167">
        <f t="shared" si="123"/>
        <v>0</v>
      </c>
      <c r="BC83" s="86"/>
      <c r="BD83" s="167">
        <f t="shared" si="124"/>
        <v>0</v>
      </c>
      <c r="BE83" s="86"/>
      <c r="BF83" s="167">
        <f t="shared" si="125"/>
        <v>0</v>
      </c>
      <c r="BG83" s="86"/>
      <c r="BH83" s="167">
        <f t="shared" si="126"/>
        <v>0</v>
      </c>
      <c r="BI83" s="86"/>
      <c r="BJ83" s="167">
        <f t="shared" si="127"/>
        <v>0</v>
      </c>
      <c r="BK83" s="86"/>
      <c r="BL83" s="167">
        <f t="shared" si="128"/>
        <v>0</v>
      </c>
      <c r="BM83" s="86"/>
      <c r="BN83" s="50"/>
      <c r="BO83" s="170" t="e">
        <f t="shared" si="129"/>
        <v>#VALUE!</v>
      </c>
      <c r="BP83" s="167" t="e">
        <f t="shared" si="131"/>
        <v>#VALUE!</v>
      </c>
      <c r="BQ83" s="178" t="str">
        <f t="shared" si="130"/>
        <v/>
      </c>
    </row>
    <row r="84" spans="1:69" x14ac:dyDescent="0.35">
      <c r="A84" s="136" t="s">
        <v>82</v>
      </c>
      <c r="B84" s="54" t="s">
        <v>66</v>
      </c>
      <c r="C84" s="174" t="str">
        <f>IF('December 2026 Log'!BM84="","",'December 2026 Log'!BM84)</f>
        <v/>
      </c>
      <c r="D84" s="189" t="e">
        <f t="shared" si="98"/>
        <v>#VALUE!</v>
      </c>
      <c r="E84" s="86"/>
      <c r="F84" s="167">
        <f t="shared" si="99"/>
        <v>0</v>
      </c>
      <c r="G84" s="86"/>
      <c r="H84" s="167">
        <f t="shared" si="100"/>
        <v>0</v>
      </c>
      <c r="I84" s="86"/>
      <c r="J84" s="167">
        <f t="shared" si="101"/>
        <v>0</v>
      </c>
      <c r="K84" s="86"/>
      <c r="L84" s="167">
        <f t="shared" si="102"/>
        <v>0</v>
      </c>
      <c r="M84" s="86"/>
      <c r="N84" s="167">
        <f t="shared" si="103"/>
        <v>0</v>
      </c>
      <c r="O84" s="86"/>
      <c r="P84" s="167">
        <f t="shared" si="104"/>
        <v>0</v>
      </c>
      <c r="Q84" s="86"/>
      <c r="R84" s="167">
        <f t="shared" si="105"/>
        <v>0</v>
      </c>
      <c r="S84" s="86"/>
      <c r="T84" s="167">
        <f t="shared" si="106"/>
        <v>0</v>
      </c>
      <c r="U84" s="86"/>
      <c r="V84" s="167">
        <f t="shared" si="107"/>
        <v>0</v>
      </c>
      <c r="W84" s="86"/>
      <c r="X84" s="167">
        <f t="shared" si="108"/>
        <v>0</v>
      </c>
      <c r="Y84" s="86"/>
      <c r="Z84" s="167">
        <f t="shared" si="109"/>
        <v>0</v>
      </c>
      <c r="AA84" s="86"/>
      <c r="AB84" s="167">
        <f t="shared" si="110"/>
        <v>0</v>
      </c>
      <c r="AC84" s="86"/>
      <c r="AD84" s="167">
        <f t="shared" si="111"/>
        <v>0</v>
      </c>
      <c r="AE84" s="86"/>
      <c r="AF84" s="167">
        <f t="shared" si="112"/>
        <v>0</v>
      </c>
      <c r="AG84" s="86"/>
      <c r="AH84" s="167">
        <f t="shared" si="113"/>
        <v>0</v>
      </c>
      <c r="AI84" s="86"/>
      <c r="AJ84" s="167">
        <f t="shared" si="114"/>
        <v>0</v>
      </c>
      <c r="AK84" s="86"/>
      <c r="AL84" s="167">
        <f t="shared" si="115"/>
        <v>0</v>
      </c>
      <c r="AM84" s="86"/>
      <c r="AN84" s="167">
        <f t="shared" si="116"/>
        <v>0</v>
      </c>
      <c r="AO84" s="86"/>
      <c r="AP84" s="167">
        <f t="shared" si="117"/>
        <v>0</v>
      </c>
      <c r="AQ84" s="86"/>
      <c r="AR84" s="167">
        <f t="shared" si="118"/>
        <v>0</v>
      </c>
      <c r="AS84" s="86"/>
      <c r="AT84" s="167">
        <f t="shared" si="119"/>
        <v>0</v>
      </c>
      <c r="AU84" s="86"/>
      <c r="AV84" s="167">
        <f t="shared" si="120"/>
        <v>0</v>
      </c>
      <c r="AW84" s="86"/>
      <c r="AX84" s="167">
        <f t="shared" si="121"/>
        <v>0</v>
      </c>
      <c r="AY84" s="86"/>
      <c r="AZ84" s="167">
        <f t="shared" si="122"/>
        <v>0</v>
      </c>
      <c r="BA84" s="86"/>
      <c r="BB84" s="167">
        <f t="shared" si="123"/>
        <v>0</v>
      </c>
      <c r="BC84" s="86"/>
      <c r="BD84" s="167">
        <f t="shared" si="124"/>
        <v>0</v>
      </c>
      <c r="BE84" s="86"/>
      <c r="BF84" s="167">
        <f t="shared" si="125"/>
        <v>0</v>
      </c>
      <c r="BG84" s="86"/>
      <c r="BH84" s="167">
        <f t="shared" si="126"/>
        <v>0</v>
      </c>
      <c r="BI84" s="86"/>
      <c r="BJ84" s="167">
        <f t="shared" si="127"/>
        <v>0</v>
      </c>
      <c r="BK84" s="86"/>
      <c r="BL84" s="167">
        <f t="shared" si="128"/>
        <v>0</v>
      </c>
      <c r="BM84" s="86"/>
      <c r="BN84" s="50"/>
      <c r="BO84" s="170" t="e">
        <f t="shared" si="129"/>
        <v>#VALUE!</v>
      </c>
      <c r="BP84" s="167" t="e">
        <f t="shared" si="131"/>
        <v>#VALUE!</v>
      </c>
      <c r="BQ84" s="178" t="str">
        <f t="shared" si="130"/>
        <v/>
      </c>
    </row>
    <row r="85" spans="1:69" x14ac:dyDescent="0.35">
      <c r="A85" s="44" t="s">
        <v>83</v>
      </c>
      <c r="B85" s="54" t="s">
        <v>65</v>
      </c>
      <c r="C85" s="174" t="str">
        <f>IF('December 2026 Log'!BM85="","",'December 2026 Log'!BM85)</f>
        <v/>
      </c>
      <c r="D85" s="189" t="e">
        <f t="shared" si="98"/>
        <v>#VALUE!</v>
      </c>
      <c r="E85" s="86"/>
      <c r="F85" s="167">
        <f t="shared" si="99"/>
        <v>0</v>
      </c>
      <c r="G85" s="86"/>
      <c r="H85" s="167">
        <f t="shared" si="100"/>
        <v>0</v>
      </c>
      <c r="I85" s="86"/>
      <c r="J85" s="167">
        <f t="shared" si="101"/>
        <v>0</v>
      </c>
      <c r="K85" s="86"/>
      <c r="L85" s="167">
        <f t="shared" si="102"/>
        <v>0</v>
      </c>
      <c r="M85" s="86"/>
      <c r="N85" s="167">
        <f t="shared" si="103"/>
        <v>0</v>
      </c>
      <c r="O85" s="86"/>
      <c r="P85" s="167">
        <f t="shared" si="104"/>
        <v>0</v>
      </c>
      <c r="Q85" s="86"/>
      <c r="R85" s="167">
        <f t="shared" si="105"/>
        <v>0</v>
      </c>
      <c r="S85" s="86"/>
      <c r="T85" s="167">
        <f t="shared" si="106"/>
        <v>0</v>
      </c>
      <c r="U85" s="86"/>
      <c r="V85" s="167">
        <f t="shared" si="107"/>
        <v>0</v>
      </c>
      <c r="W85" s="86"/>
      <c r="X85" s="167">
        <f t="shared" si="108"/>
        <v>0</v>
      </c>
      <c r="Y85" s="86"/>
      <c r="Z85" s="167">
        <f t="shared" si="109"/>
        <v>0</v>
      </c>
      <c r="AA85" s="86"/>
      <c r="AB85" s="167">
        <f t="shared" si="110"/>
        <v>0</v>
      </c>
      <c r="AC85" s="86"/>
      <c r="AD85" s="167">
        <f t="shared" si="111"/>
        <v>0</v>
      </c>
      <c r="AE85" s="86"/>
      <c r="AF85" s="167">
        <f t="shared" si="112"/>
        <v>0</v>
      </c>
      <c r="AG85" s="86"/>
      <c r="AH85" s="167">
        <f t="shared" si="113"/>
        <v>0</v>
      </c>
      <c r="AI85" s="86"/>
      <c r="AJ85" s="167">
        <f t="shared" si="114"/>
        <v>0</v>
      </c>
      <c r="AK85" s="86"/>
      <c r="AL85" s="167">
        <f t="shared" si="115"/>
        <v>0</v>
      </c>
      <c r="AM85" s="86"/>
      <c r="AN85" s="167">
        <f t="shared" si="116"/>
        <v>0</v>
      </c>
      <c r="AO85" s="86"/>
      <c r="AP85" s="167">
        <f t="shared" si="117"/>
        <v>0</v>
      </c>
      <c r="AQ85" s="86"/>
      <c r="AR85" s="167">
        <f t="shared" si="118"/>
        <v>0</v>
      </c>
      <c r="AS85" s="86"/>
      <c r="AT85" s="167">
        <f t="shared" si="119"/>
        <v>0</v>
      </c>
      <c r="AU85" s="86"/>
      <c r="AV85" s="167">
        <f t="shared" si="120"/>
        <v>0</v>
      </c>
      <c r="AW85" s="86"/>
      <c r="AX85" s="167">
        <f t="shared" si="121"/>
        <v>0</v>
      </c>
      <c r="AY85" s="86"/>
      <c r="AZ85" s="167">
        <f t="shared" si="122"/>
        <v>0</v>
      </c>
      <c r="BA85" s="86"/>
      <c r="BB85" s="167">
        <f t="shared" si="123"/>
        <v>0</v>
      </c>
      <c r="BC85" s="86"/>
      <c r="BD85" s="167">
        <f t="shared" si="124"/>
        <v>0</v>
      </c>
      <c r="BE85" s="86"/>
      <c r="BF85" s="167">
        <f t="shared" si="125"/>
        <v>0</v>
      </c>
      <c r="BG85" s="86"/>
      <c r="BH85" s="167">
        <f t="shared" si="126"/>
        <v>0</v>
      </c>
      <c r="BI85" s="86"/>
      <c r="BJ85" s="167">
        <f t="shared" si="127"/>
        <v>0</v>
      </c>
      <c r="BK85" s="86"/>
      <c r="BL85" s="167">
        <f t="shared" si="128"/>
        <v>0</v>
      </c>
      <c r="BM85" s="86"/>
      <c r="BN85" s="50"/>
      <c r="BO85" s="170" t="e">
        <f t="shared" si="129"/>
        <v>#VALUE!</v>
      </c>
      <c r="BP85" s="167" t="e">
        <f t="shared" si="131"/>
        <v>#VALUE!</v>
      </c>
      <c r="BQ85" s="178" t="str">
        <f t="shared" si="130"/>
        <v/>
      </c>
    </row>
    <row r="86" spans="1:69" x14ac:dyDescent="0.35">
      <c r="A86" s="135" t="s">
        <v>84</v>
      </c>
      <c r="B86" s="54" t="s">
        <v>67</v>
      </c>
      <c r="C86" s="174" t="str">
        <f>IF('December 2026 Log'!BM86="","",'December 2026 Log'!BM86)</f>
        <v/>
      </c>
      <c r="D86" s="189" t="e">
        <f t="shared" si="98"/>
        <v>#VALUE!</v>
      </c>
      <c r="E86" s="86"/>
      <c r="F86" s="167">
        <f t="shared" si="99"/>
        <v>0</v>
      </c>
      <c r="G86" s="86"/>
      <c r="H86" s="167">
        <f t="shared" si="100"/>
        <v>0</v>
      </c>
      <c r="I86" s="86"/>
      <c r="J86" s="167">
        <f t="shared" si="101"/>
        <v>0</v>
      </c>
      <c r="K86" s="86"/>
      <c r="L86" s="167">
        <f t="shared" si="102"/>
        <v>0</v>
      </c>
      <c r="M86" s="86"/>
      <c r="N86" s="167">
        <f t="shared" si="103"/>
        <v>0</v>
      </c>
      <c r="O86" s="86"/>
      <c r="P86" s="167">
        <f t="shared" si="104"/>
        <v>0</v>
      </c>
      <c r="Q86" s="86"/>
      <c r="R86" s="167">
        <f t="shared" si="105"/>
        <v>0</v>
      </c>
      <c r="S86" s="86"/>
      <c r="T86" s="167">
        <f t="shared" si="106"/>
        <v>0</v>
      </c>
      <c r="U86" s="86"/>
      <c r="V86" s="167">
        <f t="shared" si="107"/>
        <v>0</v>
      </c>
      <c r="W86" s="86"/>
      <c r="X86" s="167">
        <f t="shared" si="108"/>
        <v>0</v>
      </c>
      <c r="Y86" s="86"/>
      <c r="Z86" s="167">
        <f t="shared" si="109"/>
        <v>0</v>
      </c>
      <c r="AA86" s="86"/>
      <c r="AB86" s="167">
        <f t="shared" si="110"/>
        <v>0</v>
      </c>
      <c r="AC86" s="86"/>
      <c r="AD86" s="167">
        <f t="shared" si="111"/>
        <v>0</v>
      </c>
      <c r="AE86" s="86"/>
      <c r="AF86" s="167">
        <f t="shared" si="112"/>
        <v>0</v>
      </c>
      <c r="AG86" s="86"/>
      <c r="AH86" s="167">
        <f t="shared" si="113"/>
        <v>0</v>
      </c>
      <c r="AI86" s="86"/>
      <c r="AJ86" s="167">
        <f t="shared" si="114"/>
        <v>0</v>
      </c>
      <c r="AK86" s="86"/>
      <c r="AL86" s="167">
        <f t="shared" si="115"/>
        <v>0</v>
      </c>
      <c r="AM86" s="86"/>
      <c r="AN86" s="167">
        <f t="shared" si="116"/>
        <v>0</v>
      </c>
      <c r="AO86" s="86"/>
      <c r="AP86" s="167">
        <f t="shared" si="117"/>
        <v>0</v>
      </c>
      <c r="AQ86" s="86"/>
      <c r="AR86" s="167">
        <f t="shared" si="118"/>
        <v>0</v>
      </c>
      <c r="AS86" s="86"/>
      <c r="AT86" s="167">
        <f t="shared" si="119"/>
        <v>0</v>
      </c>
      <c r="AU86" s="86"/>
      <c r="AV86" s="167">
        <f t="shared" si="120"/>
        <v>0</v>
      </c>
      <c r="AW86" s="86"/>
      <c r="AX86" s="167">
        <f t="shared" si="121"/>
        <v>0</v>
      </c>
      <c r="AY86" s="86"/>
      <c r="AZ86" s="167">
        <f t="shared" si="122"/>
        <v>0</v>
      </c>
      <c r="BA86" s="86"/>
      <c r="BB86" s="167">
        <f t="shared" si="123"/>
        <v>0</v>
      </c>
      <c r="BC86" s="86"/>
      <c r="BD86" s="167">
        <f t="shared" si="124"/>
        <v>0</v>
      </c>
      <c r="BE86" s="86"/>
      <c r="BF86" s="167">
        <f t="shared" si="125"/>
        <v>0</v>
      </c>
      <c r="BG86" s="86"/>
      <c r="BH86" s="167">
        <f t="shared" si="126"/>
        <v>0</v>
      </c>
      <c r="BI86" s="86"/>
      <c r="BJ86" s="167">
        <f t="shared" si="127"/>
        <v>0</v>
      </c>
      <c r="BK86" s="86"/>
      <c r="BL86" s="167">
        <f t="shared" si="128"/>
        <v>0</v>
      </c>
      <c r="BM86" s="86"/>
      <c r="BN86" s="50"/>
      <c r="BO86" s="170" t="e">
        <f t="shared" si="129"/>
        <v>#VALUE!</v>
      </c>
      <c r="BP86" s="167" t="e">
        <f t="shared" si="131"/>
        <v>#VALUE!</v>
      </c>
      <c r="BQ86" s="178" t="str">
        <f t="shared" si="130"/>
        <v/>
      </c>
    </row>
    <row r="87" spans="1:69" x14ac:dyDescent="0.35">
      <c r="A87" s="136" t="s">
        <v>85</v>
      </c>
      <c r="B87" s="54" t="s">
        <v>66</v>
      </c>
      <c r="C87" s="174" t="str">
        <f>IF('December 2026 Log'!BM87="","",'December 2026 Log'!BM87)</f>
        <v/>
      </c>
      <c r="D87" s="189" t="e">
        <f t="shared" si="98"/>
        <v>#VALUE!</v>
      </c>
      <c r="E87" s="86"/>
      <c r="F87" s="167">
        <f t="shared" si="99"/>
        <v>0</v>
      </c>
      <c r="G87" s="86"/>
      <c r="H87" s="167">
        <f t="shared" si="100"/>
        <v>0</v>
      </c>
      <c r="I87" s="86"/>
      <c r="J87" s="167">
        <f t="shared" si="101"/>
        <v>0</v>
      </c>
      <c r="K87" s="86"/>
      <c r="L87" s="167">
        <f t="shared" si="102"/>
        <v>0</v>
      </c>
      <c r="M87" s="86"/>
      <c r="N87" s="167">
        <f t="shared" si="103"/>
        <v>0</v>
      </c>
      <c r="O87" s="86"/>
      <c r="P87" s="167">
        <f t="shared" si="104"/>
        <v>0</v>
      </c>
      <c r="Q87" s="86"/>
      <c r="R87" s="167">
        <f t="shared" si="105"/>
        <v>0</v>
      </c>
      <c r="S87" s="86"/>
      <c r="T87" s="167">
        <f t="shared" si="106"/>
        <v>0</v>
      </c>
      <c r="U87" s="86"/>
      <c r="V87" s="167">
        <f t="shared" si="107"/>
        <v>0</v>
      </c>
      <c r="W87" s="86"/>
      <c r="X87" s="167">
        <f t="shared" si="108"/>
        <v>0</v>
      </c>
      <c r="Y87" s="86"/>
      <c r="Z87" s="167">
        <f t="shared" si="109"/>
        <v>0</v>
      </c>
      <c r="AA87" s="86"/>
      <c r="AB87" s="167">
        <f t="shared" si="110"/>
        <v>0</v>
      </c>
      <c r="AC87" s="86"/>
      <c r="AD87" s="167">
        <f t="shared" si="111"/>
        <v>0</v>
      </c>
      <c r="AE87" s="86"/>
      <c r="AF87" s="167">
        <f t="shared" si="112"/>
        <v>0</v>
      </c>
      <c r="AG87" s="86"/>
      <c r="AH87" s="167">
        <f t="shared" si="113"/>
        <v>0</v>
      </c>
      <c r="AI87" s="86"/>
      <c r="AJ87" s="167">
        <f t="shared" si="114"/>
        <v>0</v>
      </c>
      <c r="AK87" s="86"/>
      <c r="AL87" s="167">
        <f t="shared" si="115"/>
        <v>0</v>
      </c>
      <c r="AM87" s="86"/>
      <c r="AN87" s="167">
        <f t="shared" si="116"/>
        <v>0</v>
      </c>
      <c r="AO87" s="86"/>
      <c r="AP87" s="167">
        <f t="shared" si="117"/>
        <v>0</v>
      </c>
      <c r="AQ87" s="86"/>
      <c r="AR87" s="167">
        <f t="shared" si="118"/>
        <v>0</v>
      </c>
      <c r="AS87" s="86"/>
      <c r="AT87" s="167">
        <f t="shared" si="119"/>
        <v>0</v>
      </c>
      <c r="AU87" s="86"/>
      <c r="AV87" s="167">
        <f t="shared" si="120"/>
        <v>0</v>
      </c>
      <c r="AW87" s="86"/>
      <c r="AX87" s="167">
        <f t="shared" si="121"/>
        <v>0</v>
      </c>
      <c r="AY87" s="86"/>
      <c r="AZ87" s="167">
        <f t="shared" si="122"/>
        <v>0</v>
      </c>
      <c r="BA87" s="86"/>
      <c r="BB87" s="167">
        <f t="shared" si="123"/>
        <v>0</v>
      </c>
      <c r="BC87" s="86"/>
      <c r="BD87" s="167">
        <f t="shared" si="124"/>
        <v>0</v>
      </c>
      <c r="BE87" s="86"/>
      <c r="BF87" s="167">
        <f t="shared" si="125"/>
        <v>0</v>
      </c>
      <c r="BG87" s="86"/>
      <c r="BH87" s="167">
        <f t="shared" si="126"/>
        <v>0</v>
      </c>
      <c r="BI87" s="86"/>
      <c r="BJ87" s="167">
        <f t="shared" si="127"/>
        <v>0</v>
      </c>
      <c r="BK87" s="86"/>
      <c r="BL87" s="167">
        <f t="shared" si="128"/>
        <v>0</v>
      </c>
      <c r="BM87" s="86"/>
      <c r="BN87" s="50"/>
      <c r="BO87" s="170" t="e">
        <f t="shared" si="129"/>
        <v>#VALUE!</v>
      </c>
      <c r="BP87" s="167" t="e">
        <f t="shared" si="131"/>
        <v>#VALUE!</v>
      </c>
      <c r="BQ87" s="178" t="str">
        <f t="shared" si="130"/>
        <v/>
      </c>
    </row>
    <row r="88" spans="1:69" x14ac:dyDescent="0.35">
      <c r="A88" s="44" t="s">
        <v>86</v>
      </c>
      <c r="B88" s="54" t="s">
        <v>65</v>
      </c>
      <c r="C88" s="174" t="str">
        <f>IF('December 2026 Log'!BM88="","",'December 2026 Log'!BM88)</f>
        <v/>
      </c>
      <c r="D88" s="189" t="e">
        <f t="shared" si="98"/>
        <v>#VALUE!</v>
      </c>
      <c r="E88" s="86"/>
      <c r="F88" s="167">
        <f t="shared" si="99"/>
        <v>0</v>
      </c>
      <c r="G88" s="86"/>
      <c r="H88" s="167">
        <f t="shared" si="100"/>
        <v>0</v>
      </c>
      <c r="I88" s="86"/>
      <c r="J88" s="167">
        <f t="shared" si="101"/>
        <v>0</v>
      </c>
      <c r="K88" s="86"/>
      <c r="L88" s="167">
        <f t="shared" si="102"/>
        <v>0</v>
      </c>
      <c r="M88" s="86"/>
      <c r="N88" s="167">
        <f t="shared" si="103"/>
        <v>0</v>
      </c>
      <c r="O88" s="86"/>
      <c r="P88" s="167">
        <f t="shared" si="104"/>
        <v>0</v>
      </c>
      <c r="Q88" s="86"/>
      <c r="R88" s="167">
        <f t="shared" si="105"/>
        <v>0</v>
      </c>
      <c r="S88" s="86"/>
      <c r="T88" s="167">
        <f t="shared" si="106"/>
        <v>0</v>
      </c>
      <c r="U88" s="86"/>
      <c r="V88" s="167">
        <f t="shared" si="107"/>
        <v>0</v>
      </c>
      <c r="W88" s="86"/>
      <c r="X88" s="167">
        <f t="shared" si="108"/>
        <v>0</v>
      </c>
      <c r="Y88" s="86"/>
      <c r="Z88" s="167">
        <f t="shared" si="109"/>
        <v>0</v>
      </c>
      <c r="AA88" s="86"/>
      <c r="AB88" s="167">
        <f t="shared" si="110"/>
        <v>0</v>
      </c>
      <c r="AC88" s="86"/>
      <c r="AD88" s="167">
        <f t="shared" si="111"/>
        <v>0</v>
      </c>
      <c r="AE88" s="86"/>
      <c r="AF88" s="167">
        <f t="shared" si="112"/>
        <v>0</v>
      </c>
      <c r="AG88" s="86"/>
      <c r="AH88" s="167">
        <f t="shared" si="113"/>
        <v>0</v>
      </c>
      <c r="AI88" s="86"/>
      <c r="AJ88" s="167">
        <f t="shared" si="114"/>
        <v>0</v>
      </c>
      <c r="AK88" s="86"/>
      <c r="AL88" s="167">
        <f t="shared" si="115"/>
        <v>0</v>
      </c>
      <c r="AM88" s="86"/>
      <c r="AN88" s="167">
        <f t="shared" si="116"/>
        <v>0</v>
      </c>
      <c r="AO88" s="86"/>
      <c r="AP88" s="167">
        <f t="shared" si="117"/>
        <v>0</v>
      </c>
      <c r="AQ88" s="86"/>
      <c r="AR88" s="167">
        <f t="shared" si="118"/>
        <v>0</v>
      </c>
      <c r="AS88" s="86"/>
      <c r="AT88" s="167">
        <f t="shared" si="119"/>
        <v>0</v>
      </c>
      <c r="AU88" s="86"/>
      <c r="AV88" s="167">
        <f t="shared" si="120"/>
        <v>0</v>
      </c>
      <c r="AW88" s="86"/>
      <c r="AX88" s="167">
        <f t="shared" si="121"/>
        <v>0</v>
      </c>
      <c r="AY88" s="86"/>
      <c r="AZ88" s="167">
        <f t="shared" si="122"/>
        <v>0</v>
      </c>
      <c r="BA88" s="86"/>
      <c r="BB88" s="167">
        <f t="shared" si="123"/>
        <v>0</v>
      </c>
      <c r="BC88" s="86"/>
      <c r="BD88" s="167">
        <f t="shared" si="124"/>
        <v>0</v>
      </c>
      <c r="BE88" s="86"/>
      <c r="BF88" s="167">
        <f t="shared" si="125"/>
        <v>0</v>
      </c>
      <c r="BG88" s="86"/>
      <c r="BH88" s="167">
        <f t="shared" si="126"/>
        <v>0</v>
      </c>
      <c r="BI88" s="86"/>
      <c r="BJ88" s="167">
        <f t="shared" si="127"/>
        <v>0</v>
      </c>
      <c r="BK88" s="86"/>
      <c r="BL88" s="167">
        <f t="shared" si="128"/>
        <v>0</v>
      </c>
      <c r="BM88" s="86"/>
      <c r="BN88" s="50"/>
      <c r="BO88" s="170" t="e">
        <f t="shared" si="129"/>
        <v>#VALUE!</v>
      </c>
      <c r="BP88" s="167" t="e">
        <f t="shared" si="131"/>
        <v>#VALUE!</v>
      </c>
      <c r="BQ88" s="178" t="str">
        <f t="shared" si="130"/>
        <v/>
      </c>
    </row>
    <row r="89" spans="1:69" x14ac:dyDescent="0.35">
      <c r="A89" s="53"/>
      <c r="B89" s="54"/>
      <c r="C89" s="144"/>
      <c r="D89" s="192">
        <f t="shared" si="98"/>
        <v>0</v>
      </c>
      <c r="E89" s="145"/>
      <c r="F89" s="173">
        <f t="shared" si="99"/>
        <v>0</v>
      </c>
      <c r="G89" s="145"/>
      <c r="H89" s="173">
        <f t="shared" si="100"/>
        <v>0</v>
      </c>
      <c r="I89" s="145"/>
      <c r="J89" s="173">
        <f t="shared" si="101"/>
        <v>0</v>
      </c>
      <c r="K89" s="145"/>
      <c r="L89" s="173">
        <f t="shared" si="102"/>
        <v>0</v>
      </c>
      <c r="M89" s="145"/>
      <c r="N89" s="173">
        <f t="shared" si="103"/>
        <v>0</v>
      </c>
      <c r="O89" s="145"/>
      <c r="P89" s="173">
        <f t="shared" si="104"/>
        <v>0</v>
      </c>
      <c r="Q89" s="145"/>
      <c r="R89" s="173">
        <f t="shared" si="105"/>
        <v>0</v>
      </c>
      <c r="S89" s="145"/>
      <c r="T89" s="173">
        <f t="shared" si="106"/>
        <v>0</v>
      </c>
      <c r="U89" s="145"/>
      <c r="V89" s="173">
        <f t="shared" si="107"/>
        <v>0</v>
      </c>
      <c r="W89" s="145"/>
      <c r="X89" s="173">
        <f t="shared" si="108"/>
        <v>0</v>
      </c>
      <c r="Y89" s="145"/>
      <c r="Z89" s="173">
        <f t="shared" si="109"/>
        <v>0</v>
      </c>
      <c r="AA89" s="145"/>
      <c r="AB89" s="173">
        <f t="shared" si="110"/>
        <v>0</v>
      </c>
      <c r="AC89" s="145"/>
      <c r="AD89" s="173">
        <f t="shared" si="111"/>
        <v>0</v>
      </c>
      <c r="AE89" s="145"/>
      <c r="AF89" s="173">
        <f t="shared" si="112"/>
        <v>0</v>
      </c>
      <c r="AG89" s="145"/>
      <c r="AH89" s="173">
        <f t="shared" si="113"/>
        <v>0</v>
      </c>
      <c r="AI89" s="145"/>
      <c r="AJ89" s="173">
        <f t="shared" si="114"/>
        <v>0</v>
      </c>
      <c r="AK89" s="145"/>
      <c r="AL89" s="173">
        <f t="shared" si="115"/>
        <v>0</v>
      </c>
      <c r="AM89" s="145"/>
      <c r="AN89" s="173">
        <f t="shared" si="116"/>
        <v>0</v>
      </c>
      <c r="AO89" s="145"/>
      <c r="AP89" s="173">
        <f t="shared" si="117"/>
        <v>0</v>
      </c>
      <c r="AQ89" s="145"/>
      <c r="AR89" s="173">
        <f t="shared" si="118"/>
        <v>0</v>
      </c>
      <c r="AS89" s="145"/>
      <c r="AT89" s="173">
        <f t="shared" si="119"/>
        <v>0</v>
      </c>
      <c r="AU89" s="145"/>
      <c r="AV89" s="173">
        <f t="shared" si="120"/>
        <v>0</v>
      </c>
      <c r="AW89" s="145"/>
      <c r="AX89" s="173">
        <f t="shared" si="121"/>
        <v>0</v>
      </c>
      <c r="AY89" s="145"/>
      <c r="AZ89" s="173">
        <f t="shared" si="122"/>
        <v>0</v>
      </c>
      <c r="BA89" s="145"/>
      <c r="BB89" s="173">
        <f t="shared" si="123"/>
        <v>0</v>
      </c>
      <c r="BC89" s="145"/>
      <c r="BD89" s="173">
        <f t="shared" si="124"/>
        <v>0</v>
      </c>
      <c r="BE89" s="145"/>
      <c r="BF89" s="173">
        <f t="shared" si="125"/>
        <v>0</v>
      </c>
      <c r="BG89" s="145"/>
      <c r="BH89" s="173">
        <f t="shared" si="126"/>
        <v>0</v>
      </c>
      <c r="BI89" s="145"/>
      <c r="BJ89" s="173">
        <f t="shared" si="127"/>
        <v>0</v>
      </c>
      <c r="BK89" s="145"/>
      <c r="BL89" s="173">
        <f t="shared" si="128"/>
        <v>0</v>
      </c>
      <c r="BM89" s="145"/>
      <c r="BN89" s="50"/>
      <c r="BO89" s="51"/>
      <c r="BP89" s="173">
        <f t="shared" si="131"/>
        <v>0</v>
      </c>
      <c r="BQ89" s="88"/>
    </row>
    <row r="90" spans="1:69" x14ac:dyDescent="0.35">
      <c r="A90" s="74" t="s">
        <v>93</v>
      </c>
      <c r="B90" s="75"/>
      <c r="C90" s="141"/>
      <c r="D90" s="102"/>
      <c r="E90" s="142"/>
      <c r="F90" s="104"/>
      <c r="G90" s="142"/>
      <c r="H90" s="104"/>
      <c r="I90" s="142"/>
      <c r="J90" s="104"/>
      <c r="K90" s="142"/>
      <c r="L90" s="104"/>
      <c r="M90" s="142"/>
      <c r="N90" s="104"/>
      <c r="O90" s="142"/>
      <c r="P90" s="104"/>
      <c r="Q90" s="142"/>
      <c r="R90" s="104"/>
      <c r="S90" s="142"/>
      <c r="T90" s="104"/>
      <c r="U90" s="142"/>
      <c r="V90" s="104"/>
      <c r="W90" s="142"/>
      <c r="X90" s="104"/>
      <c r="Y90" s="142"/>
      <c r="Z90" s="104"/>
      <c r="AA90" s="142"/>
      <c r="AB90" s="104"/>
      <c r="AC90" s="142"/>
      <c r="AD90" s="104"/>
      <c r="AE90" s="142"/>
      <c r="AF90" s="104"/>
      <c r="AG90" s="142"/>
      <c r="AH90" s="104"/>
      <c r="AI90" s="142"/>
      <c r="AJ90" s="104"/>
      <c r="AK90" s="142"/>
      <c r="AL90" s="104"/>
      <c r="AM90" s="142"/>
      <c r="AN90" s="104"/>
      <c r="AO90" s="142"/>
      <c r="AP90" s="104"/>
      <c r="AQ90" s="142"/>
      <c r="AR90" s="104"/>
      <c r="AS90" s="142"/>
      <c r="AT90" s="104"/>
      <c r="AU90" s="142"/>
      <c r="AV90" s="104"/>
      <c r="AW90" s="142"/>
      <c r="AX90" s="104"/>
      <c r="AY90" s="142"/>
      <c r="AZ90" s="104"/>
      <c r="BA90" s="142"/>
      <c r="BB90" s="104"/>
      <c r="BC90" s="142"/>
      <c r="BD90" s="104"/>
      <c r="BE90" s="142"/>
      <c r="BF90" s="104"/>
      <c r="BG90" s="142"/>
      <c r="BH90" s="104"/>
      <c r="BI90" s="142"/>
      <c r="BJ90" s="104"/>
      <c r="BK90" s="142"/>
      <c r="BL90" s="104"/>
      <c r="BM90" s="142"/>
      <c r="BN90" s="105"/>
      <c r="BO90" s="106"/>
      <c r="BP90" s="104"/>
      <c r="BQ90" s="107"/>
    </row>
    <row r="91" spans="1:69" x14ac:dyDescent="0.35">
      <c r="A91" s="132" t="s">
        <v>75</v>
      </c>
      <c r="B91" s="54" t="s">
        <v>65</v>
      </c>
      <c r="C91" s="144"/>
      <c r="D91" s="146"/>
      <c r="E91" s="166" t="e">
        <f>+D91-D77</f>
        <v>#VALUE!</v>
      </c>
      <c r="F91" s="147"/>
      <c r="G91" s="166">
        <f>+F91-F77</f>
        <v>0</v>
      </c>
      <c r="H91" s="147"/>
      <c r="I91" s="166">
        <f>+H91-H77</f>
        <v>0</v>
      </c>
      <c r="J91" s="147"/>
      <c r="K91" s="166">
        <f>+J91-J77</f>
        <v>0</v>
      </c>
      <c r="L91" s="147"/>
      <c r="M91" s="166">
        <f>+L91-L77</f>
        <v>0</v>
      </c>
      <c r="N91" s="147"/>
      <c r="O91" s="166">
        <f>+N91-N77</f>
        <v>0</v>
      </c>
      <c r="P91" s="147"/>
      <c r="Q91" s="166">
        <f>+P91-P77</f>
        <v>0</v>
      </c>
      <c r="R91" s="147"/>
      <c r="S91" s="166">
        <f>+R91-R77</f>
        <v>0</v>
      </c>
      <c r="T91" s="147"/>
      <c r="U91" s="166">
        <f>+T91-T77</f>
        <v>0</v>
      </c>
      <c r="V91" s="147"/>
      <c r="W91" s="166">
        <f>+V91-V77</f>
        <v>0</v>
      </c>
      <c r="X91" s="147"/>
      <c r="Y91" s="166">
        <f>+X91-X77</f>
        <v>0</v>
      </c>
      <c r="Z91" s="147"/>
      <c r="AA91" s="166">
        <f>+Z91-Z77</f>
        <v>0</v>
      </c>
      <c r="AB91" s="147"/>
      <c r="AC91" s="166">
        <f>+AB91-AB77</f>
        <v>0</v>
      </c>
      <c r="AD91" s="147"/>
      <c r="AE91" s="166">
        <f>+AD91-AD77</f>
        <v>0</v>
      </c>
      <c r="AF91" s="147"/>
      <c r="AG91" s="166">
        <f>+AF91-AF77</f>
        <v>0</v>
      </c>
      <c r="AH91" s="147"/>
      <c r="AI91" s="166">
        <f>+AH91-AH77</f>
        <v>0</v>
      </c>
      <c r="AJ91" s="147"/>
      <c r="AK91" s="166">
        <f>+AJ91-AJ77</f>
        <v>0</v>
      </c>
      <c r="AL91" s="147"/>
      <c r="AM91" s="166">
        <f>+AL91-AL77</f>
        <v>0</v>
      </c>
      <c r="AN91" s="147"/>
      <c r="AO91" s="166">
        <f>+AN91-AN77</f>
        <v>0</v>
      </c>
      <c r="AP91" s="147"/>
      <c r="AQ91" s="166">
        <f>+AP91-AP77</f>
        <v>0</v>
      </c>
      <c r="AR91" s="147"/>
      <c r="AS91" s="166">
        <f>+AR91-AR77</f>
        <v>0</v>
      </c>
      <c r="AT91" s="147"/>
      <c r="AU91" s="166">
        <f>+AT91-AT77</f>
        <v>0</v>
      </c>
      <c r="AV91" s="147"/>
      <c r="AW91" s="166">
        <f>+AV91-AV77</f>
        <v>0</v>
      </c>
      <c r="AX91" s="147"/>
      <c r="AY91" s="166">
        <f>+AX91-AX77</f>
        <v>0</v>
      </c>
      <c r="AZ91" s="147"/>
      <c r="BA91" s="166">
        <f>+AZ91-AZ77</f>
        <v>0</v>
      </c>
      <c r="BB91" s="147"/>
      <c r="BC91" s="166">
        <f>+BB91-BB77</f>
        <v>0</v>
      </c>
      <c r="BD91" s="147"/>
      <c r="BE91" s="166">
        <f>+BD91-BD77</f>
        <v>0</v>
      </c>
      <c r="BF91" s="147"/>
      <c r="BG91" s="166">
        <f>+BF91-BF77</f>
        <v>0</v>
      </c>
      <c r="BH91" s="147"/>
      <c r="BI91" s="166">
        <f>+BH91-BH77</f>
        <v>0</v>
      </c>
      <c r="BJ91" s="147"/>
      <c r="BK91" s="166">
        <f>+BJ91-BJ77</f>
        <v>0</v>
      </c>
      <c r="BL91" s="147"/>
      <c r="BM91" s="166">
        <f>+BL91-BL77</f>
        <v>0</v>
      </c>
      <c r="BN91" s="50"/>
      <c r="BO91" s="170" t="e">
        <f t="shared" ref="BO91:BO103" si="132">IF(COUNT(E91,G91,I91,K91,M91,O91,Q91,S91,U91,W91,Y91,AA91,AC91,AE91,AG91,AI91,AK91,AM91,AO91,AQ91,AS91,AU91,AW91,AY91,BA91,BC91,BE91,BG91,BI91,BK91,BM91)=0,"",SUM(E91,G91,I91,K91,M91,O91,Q91,S91,U91,W91,Y91,AA91,AC91,AE91,AG91,AI91,AK91,AM91,AO91,AQ91,AS91,AU91,AW91,AY91,BA91,BC91,BE91,BG91,BI91,BK91,BM91))</f>
        <v>#VALUE!</v>
      </c>
      <c r="BP91" s="87"/>
      <c r="BQ91" s="52"/>
    </row>
    <row r="92" spans="1:69" x14ac:dyDescent="0.35">
      <c r="A92" s="136"/>
      <c r="B92" s="54" t="s">
        <v>66</v>
      </c>
      <c r="C92" s="144"/>
      <c r="D92" s="146"/>
      <c r="E92" s="166" t="e">
        <f t="shared" ref="E92:K102" si="133">+D92-D78</f>
        <v>#VALUE!</v>
      </c>
      <c r="F92" s="147"/>
      <c r="G92" s="166">
        <f t="shared" si="133"/>
        <v>0</v>
      </c>
      <c r="H92" s="147"/>
      <c r="I92" s="166">
        <f t="shared" si="133"/>
        <v>0</v>
      </c>
      <c r="J92" s="147"/>
      <c r="K92" s="166">
        <f t="shared" si="133"/>
        <v>0</v>
      </c>
      <c r="L92" s="147"/>
      <c r="M92" s="166">
        <f t="shared" ref="M92:M102" si="134">+L92-L78</f>
        <v>0</v>
      </c>
      <c r="N92" s="147"/>
      <c r="O92" s="166">
        <f t="shared" ref="O92:O102" si="135">+N92-N78</f>
        <v>0</v>
      </c>
      <c r="P92" s="147"/>
      <c r="Q92" s="166">
        <f t="shared" ref="Q92:Q102" si="136">+P92-P78</f>
        <v>0</v>
      </c>
      <c r="R92" s="147"/>
      <c r="S92" s="166">
        <f t="shared" ref="S92:S102" si="137">+R92-R78</f>
        <v>0</v>
      </c>
      <c r="T92" s="147"/>
      <c r="U92" s="166">
        <f t="shared" ref="U92:U102" si="138">+T92-T78</f>
        <v>0</v>
      </c>
      <c r="V92" s="147"/>
      <c r="W92" s="166">
        <f t="shared" ref="W92:W102" si="139">+V92-V78</f>
        <v>0</v>
      </c>
      <c r="X92" s="147"/>
      <c r="Y92" s="166">
        <f t="shared" ref="Y92:Y102" si="140">+X92-X78</f>
        <v>0</v>
      </c>
      <c r="Z92" s="147"/>
      <c r="AA92" s="166">
        <f t="shared" ref="AA92:AA102" si="141">+Z92-Z78</f>
        <v>0</v>
      </c>
      <c r="AB92" s="147"/>
      <c r="AC92" s="166">
        <f t="shared" ref="AC92:AC102" si="142">+AB92-AB78</f>
        <v>0</v>
      </c>
      <c r="AD92" s="147"/>
      <c r="AE92" s="166">
        <f t="shared" ref="AE92:AE102" si="143">+AD92-AD78</f>
        <v>0</v>
      </c>
      <c r="AF92" s="147"/>
      <c r="AG92" s="166">
        <f t="shared" ref="AG92:AG102" si="144">+AF92-AF78</f>
        <v>0</v>
      </c>
      <c r="AH92" s="147"/>
      <c r="AI92" s="166">
        <f t="shared" ref="AI92:AI102" si="145">+AH92-AH78</f>
        <v>0</v>
      </c>
      <c r="AJ92" s="147"/>
      <c r="AK92" s="166">
        <f t="shared" ref="AK92:AK102" si="146">+AJ92-AJ78</f>
        <v>0</v>
      </c>
      <c r="AL92" s="147"/>
      <c r="AM92" s="166">
        <f t="shared" ref="AM92:AM102" si="147">+AL92-AL78</f>
        <v>0</v>
      </c>
      <c r="AN92" s="147"/>
      <c r="AO92" s="166">
        <f t="shared" ref="AO92:AO102" si="148">+AN92-AN78</f>
        <v>0</v>
      </c>
      <c r="AP92" s="147"/>
      <c r="AQ92" s="166">
        <f t="shared" ref="AQ92:AQ102" si="149">+AP92-AP78</f>
        <v>0</v>
      </c>
      <c r="AR92" s="147"/>
      <c r="AS92" s="166">
        <f t="shared" ref="AS92:AS102" si="150">+AR92-AR78</f>
        <v>0</v>
      </c>
      <c r="AT92" s="147"/>
      <c r="AU92" s="166">
        <f t="shared" ref="AU92:AU102" si="151">+AT92-AT78</f>
        <v>0</v>
      </c>
      <c r="AV92" s="147"/>
      <c r="AW92" s="166">
        <f t="shared" ref="AW92:AW102" si="152">+AV92-AV78</f>
        <v>0</v>
      </c>
      <c r="AX92" s="147"/>
      <c r="AY92" s="166">
        <f t="shared" ref="AY92:AY102" si="153">+AX92-AX78</f>
        <v>0</v>
      </c>
      <c r="AZ92" s="147"/>
      <c r="BA92" s="166">
        <f t="shared" ref="BA92:BA102" si="154">+AZ92-AZ78</f>
        <v>0</v>
      </c>
      <c r="BB92" s="147"/>
      <c r="BC92" s="166">
        <f t="shared" ref="BC92:BC102" si="155">+BB92-BB78</f>
        <v>0</v>
      </c>
      <c r="BD92" s="147"/>
      <c r="BE92" s="166">
        <f t="shared" ref="BE92:BE102" si="156">+BD92-BD78</f>
        <v>0</v>
      </c>
      <c r="BF92" s="147"/>
      <c r="BG92" s="166">
        <f t="shared" ref="BG92:BG102" si="157">+BF92-BF78</f>
        <v>0</v>
      </c>
      <c r="BH92" s="147"/>
      <c r="BI92" s="166">
        <f t="shared" ref="BI92:BI102" si="158">+BH92-BH78</f>
        <v>0</v>
      </c>
      <c r="BJ92" s="147"/>
      <c r="BK92" s="166">
        <f t="shared" ref="BK92:BK102" si="159">+BJ92-BJ78</f>
        <v>0</v>
      </c>
      <c r="BL92" s="147"/>
      <c r="BM92" s="166">
        <f t="shared" ref="BM92:BM102" si="160">+BL92-BL78</f>
        <v>0</v>
      </c>
      <c r="BN92" s="50"/>
      <c r="BO92" s="170" t="e">
        <f t="shared" si="132"/>
        <v>#VALUE!</v>
      </c>
      <c r="BP92" s="87"/>
      <c r="BQ92" s="52"/>
    </row>
    <row r="93" spans="1:69" x14ac:dyDescent="0.35">
      <c r="A93" s="134" t="s">
        <v>77</v>
      </c>
      <c r="B93" s="54" t="s">
        <v>67</v>
      </c>
      <c r="C93" s="144"/>
      <c r="D93" s="146"/>
      <c r="E93" s="166" t="e">
        <f t="shared" si="133"/>
        <v>#VALUE!</v>
      </c>
      <c r="F93" s="147"/>
      <c r="G93" s="166">
        <f t="shared" si="133"/>
        <v>0</v>
      </c>
      <c r="H93" s="147"/>
      <c r="I93" s="166">
        <f t="shared" si="133"/>
        <v>0</v>
      </c>
      <c r="J93" s="147"/>
      <c r="K93" s="166">
        <f t="shared" si="133"/>
        <v>0</v>
      </c>
      <c r="L93" s="147"/>
      <c r="M93" s="166">
        <f t="shared" si="134"/>
        <v>0</v>
      </c>
      <c r="N93" s="147"/>
      <c r="O93" s="166">
        <f t="shared" si="135"/>
        <v>0</v>
      </c>
      <c r="P93" s="147"/>
      <c r="Q93" s="166">
        <f t="shared" si="136"/>
        <v>0</v>
      </c>
      <c r="R93" s="147"/>
      <c r="S93" s="166">
        <f t="shared" si="137"/>
        <v>0</v>
      </c>
      <c r="T93" s="147"/>
      <c r="U93" s="166">
        <f t="shared" si="138"/>
        <v>0</v>
      </c>
      <c r="V93" s="147"/>
      <c r="W93" s="166">
        <f t="shared" si="139"/>
        <v>0</v>
      </c>
      <c r="X93" s="147"/>
      <c r="Y93" s="166">
        <f t="shared" si="140"/>
        <v>0</v>
      </c>
      <c r="Z93" s="147"/>
      <c r="AA93" s="166">
        <f t="shared" si="141"/>
        <v>0</v>
      </c>
      <c r="AB93" s="147"/>
      <c r="AC93" s="166">
        <f t="shared" si="142"/>
        <v>0</v>
      </c>
      <c r="AD93" s="147"/>
      <c r="AE93" s="166">
        <f t="shared" si="143"/>
        <v>0</v>
      </c>
      <c r="AF93" s="147"/>
      <c r="AG93" s="166">
        <f t="shared" si="144"/>
        <v>0</v>
      </c>
      <c r="AH93" s="147"/>
      <c r="AI93" s="166">
        <f t="shared" si="145"/>
        <v>0</v>
      </c>
      <c r="AJ93" s="147"/>
      <c r="AK93" s="166">
        <f t="shared" si="146"/>
        <v>0</v>
      </c>
      <c r="AL93" s="147"/>
      <c r="AM93" s="166">
        <f t="shared" si="147"/>
        <v>0</v>
      </c>
      <c r="AN93" s="147"/>
      <c r="AO93" s="48"/>
      <c r="AP93" s="147"/>
      <c r="AQ93" s="166">
        <f t="shared" si="149"/>
        <v>0</v>
      </c>
      <c r="AR93" s="147"/>
      <c r="AS93" s="166">
        <f t="shared" si="150"/>
        <v>0</v>
      </c>
      <c r="AT93" s="147"/>
      <c r="AU93" s="166">
        <f t="shared" si="151"/>
        <v>0</v>
      </c>
      <c r="AV93" s="147"/>
      <c r="AW93" s="166">
        <f t="shared" si="152"/>
        <v>0</v>
      </c>
      <c r="AX93" s="147"/>
      <c r="AY93" s="166">
        <f t="shared" si="153"/>
        <v>0</v>
      </c>
      <c r="AZ93" s="147"/>
      <c r="BA93" s="166">
        <f t="shared" si="154"/>
        <v>0</v>
      </c>
      <c r="BB93" s="147"/>
      <c r="BC93" s="166">
        <f t="shared" si="155"/>
        <v>0</v>
      </c>
      <c r="BD93" s="147"/>
      <c r="BE93" s="166">
        <f t="shared" si="156"/>
        <v>0</v>
      </c>
      <c r="BF93" s="147"/>
      <c r="BG93" s="166">
        <f t="shared" si="157"/>
        <v>0</v>
      </c>
      <c r="BH93" s="147"/>
      <c r="BI93" s="166">
        <f t="shared" si="158"/>
        <v>0</v>
      </c>
      <c r="BJ93" s="147"/>
      <c r="BK93" s="166">
        <f t="shared" si="159"/>
        <v>0</v>
      </c>
      <c r="BL93" s="147"/>
      <c r="BM93" s="166">
        <f t="shared" si="160"/>
        <v>0</v>
      </c>
      <c r="BN93" s="50"/>
      <c r="BO93" s="170" t="e">
        <f t="shared" si="132"/>
        <v>#VALUE!</v>
      </c>
      <c r="BP93" s="87"/>
      <c r="BQ93" s="52"/>
    </row>
    <row r="94" spans="1:69" x14ac:dyDescent="0.35">
      <c r="A94" s="132" t="s">
        <v>78</v>
      </c>
      <c r="B94" s="54" t="s">
        <v>65</v>
      </c>
      <c r="C94" s="144"/>
      <c r="D94" s="146"/>
      <c r="E94" s="166" t="e">
        <f t="shared" si="133"/>
        <v>#VALUE!</v>
      </c>
      <c r="F94" s="147"/>
      <c r="G94" s="166">
        <f t="shared" si="133"/>
        <v>0</v>
      </c>
      <c r="H94" s="147"/>
      <c r="I94" s="166">
        <f t="shared" si="133"/>
        <v>0</v>
      </c>
      <c r="J94" s="147"/>
      <c r="K94" s="166">
        <f t="shared" si="133"/>
        <v>0</v>
      </c>
      <c r="L94" s="147"/>
      <c r="M94" s="166">
        <f t="shared" si="134"/>
        <v>0</v>
      </c>
      <c r="N94" s="147"/>
      <c r="O94" s="166">
        <f t="shared" si="135"/>
        <v>0</v>
      </c>
      <c r="P94" s="147"/>
      <c r="Q94" s="166">
        <f t="shared" si="136"/>
        <v>0</v>
      </c>
      <c r="R94" s="147"/>
      <c r="S94" s="166">
        <f t="shared" si="137"/>
        <v>0</v>
      </c>
      <c r="T94" s="147"/>
      <c r="U94" s="166">
        <f t="shared" si="138"/>
        <v>0</v>
      </c>
      <c r="V94" s="147"/>
      <c r="W94" s="166">
        <f t="shared" si="139"/>
        <v>0</v>
      </c>
      <c r="X94" s="147"/>
      <c r="Y94" s="166">
        <f t="shared" si="140"/>
        <v>0</v>
      </c>
      <c r="Z94" s="147"/>
      <c r="AA94" s="166">
        <f t="shared" si="141"/>
        <v>0</v>
      </c>
      <c r="AB94" s="147"/>
      <c r="AC94" s="166">
        <f t="shared" si="142"/>
        <v>0</v>
      </c>
      <c r="AD94" s="147"/>
      <c r="AE94" s="166">
        <f t="shared" si="143"/>
        <v>0</v>
      </c>
      <c r="AF94" s="147"/>
      <c r="AG94" s="166">
        <f t="shared" si="144"/>
        <v>0</v>
      </c>
      <c r="AH94" s="147"/>
      <c r="AI94" s="166">
        <f t="shared" si="145"/>
        <v>0</v>
      </c>
      <c r="AJ94" s="147"/>
      <c r="AK94" s="166">
        <f t="shared" si="146"/>
        <v>0</v>
      </c>
      <c r="AL94" s="147"/>
      <c r="AM94" s="166">
        <f t="shared" si="147"/>
        <v>0</v>
      </c>
      <c r="AN94" s="147"/>
      <c r="AO94" s="166">
        <f t="shared" si="148"/>
        <v>0</v>
      </c>
      <c r="AP94" s="147"/>
      <c r="AQ94" s="166">
        <f t="shared" si="149"/>
        <v>0</v>
      </c>
      <c r="AR94" s="147"/>
      <c r="AS94" s="166">
        <f t="shared" si="150"/>
        <v>0</v>
      </c>
      <c r="AT94" s="147"/>
      <c r="AU94" s="166">
        <f t="shared" si="151"/>
        <v>0</v>
      </c>
      <c r="AV94" s="147"/>
      <c r="AW94" s="166">
        <f t="shared" si="152"/>
        <v>0</v>
      </c>
      <c r="AX94" s="147"/>
      <c r="AY94" s="166">
        <f t="shared" si="153"/>
        <v>0</v>
      </c>
      <c r="AZ94" s="147"/>
      <c r="BA94" s="166">
        <f t="shared" si="154"/>
        <v>0</v>
      </c>
      <c r="BB94" s="147"/>
      <c r="BC94" s="166">
        <f t="shared" si="155"/>
        <v>0</v>
      </c>
      <c r="BD94" s="147"/>
      <c r="BE94" s="166">
        <f t="shared" si="156"/>
        <v>0</v>
      </c>
      <c r="BF94" s="147"/>
      <c r="BG94" s="166">
        <f t="shared" si="157"/>
        <v>0</v>
      </c>
      <c r="BH94" s="147"/>
      <c r="BI94" s="166">
        <f t="shared" si="158"/>
        <v>0</v>
      </c>
      <c r="BJ94" s="147"/>
      <c r="BK94" s="166">
        <f t="shared" si="159"/>
        <v>0</v>
      </c>
      <c r="BL94" s="147"/>
      <c r="BM94" s="166">
        <f t="shared" si="160"/>
        <v>0</v>
      </c>
      <c r="BN94" s="50"/>
      <c r="BO94" s="170" t="e">
        <f t="shared" si="132"/>
        <v>#VALUE!</v>
      </c>
      <c r="BP94" s="87"/>
      <c r="BQ94" s="52"/>
    </row>
    <row r="95" spans="1:69" x14ac:dyDescent="0.35">
      <c r="A95" s="136"/>
      <c r="B95" s="54" t="s">
        <v>66</v>
      </c>
      <c r="C95" s="144"/>
      <c r="D95" s="146"/>
      <c r="E95" s="166" t="e">
        <f t="shared" si="133"/>
        <v>#VALUE!</v>
      </c>
      <c r="F95" s="147"/>
      <c r="G95" s="166">
        <f t="shared" si="133"/>
        <v>0</v>
      </c>
      <c r="H95" s="147"/>
      <c r="I95" s="166">
        <f t="shared" si="133"/>
        <v>0</v>
      </c>
      <c r="J95" s="147"/>
      <c r="K95" s="166">
        <f t="shared" si="133"/>
        <v>0</v>
      </c>
      <c r="L95" s="147"/>
      <c r="M95" s="166">
        <f t="shared" si="134"/>
        <v>0</v>
      </c>
      <c r="N95" s="147"/>
      <c r="O95" s="166">
        <f t="shared" si="135"/>
        <v>0</v>
      </c>
      <c r="P95" s="147"/>
      <c r="Q95" s="166">
        <f t="shared" si="136"/>
        <v>0</v>
      </c>
      <c r="R95" s="147"/>
      <c r="S95" s="166">
        <f t="shared" si="137"/>
        <v>0</v>
      </c>
      <c r="T95" s="147"/>
      <c r="U95" s="166">
        <f t="shared" si="138"/>
        <v>0</v>
      </c>
      <c r="V95" s="147"/>
      <c r="W95" s="166">
        <f t="shared" si="139"/>
        <v>0</v>
      </c>
      <c r="X95" s="147"/>
      <c r="Y95" s="166">
        <f t="shared" si="140"/>
        <v>0</v>
      </c>
      <c r="Z95" s="147"/>
      <c r="AA95" s="166">
        <f t="shared" si="141"/>
        <v>0</v>
      </c>
      <c r="AB95" s="147"/>
      <c r="AC95" s="166">
        <f t="shared" si="142"/>
        <v>0</v>
      </c>
      <c r="AD95" s="147"/>
      <c r="AE95" s="166">
        <f t="shared" si="143"/>
        <v>0</v>
      </c>
      <c r="AF95" s="147"/>
      <c r="AG95" s="166">
        <f t="shared" si="144"/>
        <v>0</v>
      </c>
      <c r="AH95" s="147"/>
      <c r="AI95" s="166">
        <f t="shared" si="145"/>
        <v>0</v>
      </c>
      <c r="AJ95" s="147"/>
      <c r="AK95" s="166">
        <f t="shared" si="146"/>
        <v>0</v>
      </c>
      <c r="AL95" s="147"/>
      <c r="AM95" s="166">
        <f t="shared" si="147"/>
        <v>0</v>
      </c>
      <c r="AN95" s="147"/>
      <c r="AO95" s="166">
        <f t="shared" si="148"/>
        <v>0</v>
      </c>
      <c r="AP95" s="147"/>
      <c r="AQ95" s="166">
        <f t="shared" si="149"/>
        <v>0</v>
      </c>
      <c r="AR95" s="147"/>
      <c r="AS95" s="166">
        <f t="shared" si="150"/>
        <v>0</v>
      </c>
      <c r="AT95" s="147"/>
      <c r="AU95" s="166">
        <f t="shared" si="151"/>
        <v>0</v>
      </c>
      <c r="AV95" s="147"/>
      <c r="AW95" s="166">
        <f t="shared" si="152"/>
        <v>0</v>
      </c>
      <c r="AX95" s="147"/>
      <c r="AY95" s="166">
        <f t="shared" si="153"/>
        <v>0</v>
      </c>
      <c r="AZ95" s="147"/>
      <c r="BA95" s="166">
        <f t="shared" si="154"/>
        <v>0</v>
      </c>
      <c r="BB95" s="147"/>
      <c r="BC95" s="166">
        <f t="shared" si="155"/>
        <v>0</v>
      </c>
      <c r="BD95" s="147"/>
      <c r="BE95" s="166">
        <f t="shared" si="156"/>
        <v>0</v>
      </c>
      <c r="BF95" s="147"/>
      <c r="BG95" s="166">
        <f t="shared" si="157"/>
        <v>0</v>
      </c>
      <c r="BH95" s="147"/>
      <c r="BI95" s="166">
        <f t="shared" si="158"/>
        <v>0</v>
      </c>
      <c r="BJ95" s="147"/>
      <c r="BK95" s="166">
        <f t="shared" si="159"/>
        <v>0</v>
      </c>
      <c r="BL95" s="147"/>
      <c r="BM95" s="166">
        <f t="shared" si="160"/>
        <v>0</v>
      </c>
      <c r="BN95" s="50"/>
      <c r="BO95" s="170" t="e">
        <f t="shared" si="132"/>
        <v>#VALUE!</v>
      </c>
      <c r="BP95" s="87"/>
      <c r="BQ95" s="52"/>
    </row>
    <row r="96" spans="1:69" x14ac:dyDescent="0.35">
      <c r="A96" s="134" t="s">
        <v>80</v>
      </c>
      <c r="B96" s="54" t="s">
        <v>67</v>
      </c>
      <c r="C96" s="144"/>
      <c r="D96" s="146"/>
      <c r="E96" s="166" t="e">
        <f t="shared" si="133"/>
        <v>#VALUE!</v>
      </c>
      <c r="F96" s="147"/>
      <c r="G96" s="166">
        <f t="shared" si="133"/>
        <v>0</v>
      </c>
      <c r="H96" s="147"/>
      <c r="I96" s="166">
        <f t="shared" si="133"/>
        <v>0</v>
      </c>
      <c r="J96" s="147"/>
      <c r="K96" s="166">
        <f t="shared" si="133"/>
        <v>0</v>
      </c>
      <c r="L96" s="147"/>
      <c r="M96" s="166">
        <f t="shared" si="134"/>
        <v>0</v>
      </c>
      <c r="N96" s="147"/>
      <c r="O96" s="166">
        <f t="shared" si="135"/>
        <v>0</v>
      </c>
      <c r="P96" s="147"/>
      <c r="Q96" s="166">
        <f t="shared" si="136"/>
        <v>0</v>
      </c>
      <c r="R96" s="147"/>
      <c r="S96" s="166">
        <f t="shared" si="137"/>
        <v>0</v>
      </c>
      <c r="T96" s="147"/>
      <c r="U96" s="166">
        <f t="shared" si="138"/>
        <v>0</v>
      </c>
      <c r="V96" s="147"/>
      <c r="W96" s="166">
        <f t="shared" si="139"/>
        <v>0</v>
      </c>
      <c r="X96" s="147"/>
      <c r="Y96" s="166">
        <f t="shared" si="140"/>
        <v>0</v>
      </c>
      <c r="Z96" s="147"/>
      <c r="AA96" s="166">
        <f t="shared" si="141"/>
        <v>0</v>
      </c>
      <c r="AB96" s="147"/>
      <c r="AC96" s="166">
        <f t="shared" si="142"/>
        <v>0</v>
      </c>
      <c r="AD96" s="147"/>
      <c r="AE96" s="166">
        <f t="shared" si="143"/>
        <v>0</v>
      </c>
      <c r="AF96" s="147"/>
      <c r="AG96" s="166">
        <f t="shared" si="144"/>
        <v>0</v>
      </c>
      <c r="AH96" s="147"/>
      <c r="AI96" s="166">
        <f t="shared" si="145"/>
        <v>0</v>
      </c>
      <c r="AJ96" s="147"/>
      <c r="AK96" s="166">
        <f t="shared" si="146"/>
        <v>0</v>
      </c>
      <c r="AL96" s="147"/>
      <c r="AM96" s="166">
        <f t="shared" si="147"/>
        <v>0</v>
      </c>
      <c r="AN96" s="147"/>
      <c r="AO96" s="166">
        <f t="shared" si="148"/>
        <v>0</v>
      </c>
      <c r="AP96" s="147"/>
      <c r="AQ96" s="166">
        <f t="shared" si="149"/>
        <v>0</v>
      </c>
      <c r="AR96" s="147"/>
      <c r="AS96" s="166">
        <f t="shared" si="150"/>
        <v>0</v>
      </c>
      <c r="AT96" s="147"/>
      <c r="AU96" s="166">
        <f t="shared" si="151"/>
        <v>0</v>
      </c>
      <c r="AV96" s="147"/>
      <c r="AW96" s="166">
        <f t="shared" si="152"/>
        <v>0</v>
      </c>
      <c r="AX96" s="147"/>
      <c r="AY96" s="166">
        <f t="shared" si="153"/>
        <v>0</v>
      </c>
      <c r="AZ96" s="147"/>
      <c r="BA96" s="166">
        <f t="shared" si="154"/>
        <v>0</v>
      </c>
      <c r="BB96" s="147"/>
      <c r="BC96" s="166">
        <f t="shared" si="155"/>
        <v>0</v>
      </c>
      <c r="BD96" s="147"/>
      <c r="BE96" s="166">
        <f t="shared" si="156"/>
        <v>0</v>
      </c>
      <c r="BF96" s="147"/>
      <c r="BG96" s="166">
        <f t="shared" si="157"/>
        <v>0</v>
      </c>
      <c r="BH96" s="147"/>
      <c r="BI96" s="166">
        <f t="shared" si="158"/>
        <v>0</v>
      </c>
      <c r="BJ96" s="147"/>
      <c r="BK96" s="166">
        <f t="shared" si="159"/>
        <v>0</v>
      </c>
      <c r="BL96" s="147"/>
      <c r="BM96" s="166">
        <f t="shared" si="160"/>
        <v>0</v>
      </c>
      <c r="BN96" s="50"/>
      <c r="BO96" s="170" t="e">
        <f t="shared" si="132"/>
        <v>#VALUE!</v>
      </c>
      <c r="BP96" s="87"/>
      <c r="BQ96" s="52"/>
    </row>
    <row r="97" spans="1:76" x14ac:dyDescent="0.35">
      <c r="A97" s="135"/>
      <c r="B97" s="54" t="s">
        <v>67</v>
      </c>
      <c r="C97" s="144"/>
      <c r="D97" s="146"/>
      <c r="E97" s="166" t="e">
        <f t="shared" si="133"/>
        <v>#VALUE!</v>
      </c>
      <c r="F97" s="147"/>
      <c r="G97" s="166">
        <f t="shared" si="133"/>
        <v>0</v>
      </c>
      <c r="H97" s="147"/>
      <c r="I97" s="166">
        <f t="shared" si="133"/>
        <v>0</v>
      </c>
      <c r="J97" s="147"/>
      <c r="K97" s="166">
        <f t="shared" si="133"/>
        <v>0</v>
      </c>
      <c r="L97" s="147"/>
      <c r="M97" s="166">
        <f t="shared" si="134"/>
        <v>0</v>
      </c>
      <c r="N97" s="147"/>
      <c r="O97" s="166">
        <f t="shared" si="135"/>
        <v>0</v>
      </c>
      <c r="P97" s="147"/>
      <c r="Q97" s="166">
        <f t="shared" si="136"/>
        <v>0</v>
      </c>
      <c r="R97" s="147"/>
      <c r="S97" s="166">
        <f t="shared" si="137"/>
        <v>0</v>
      </c>
      <c r="T97" s="147"/>
      <c r="U97" s="166">
        <f t="shared" si="138"/>
        <v>0</v>
      </c>
      <c r="V97" s="147"/>
      <c r="W97" s="166">
        <f t="shared" si="139"/>
        <v>0</v>
      </c>
      <c r="X97" s="147"/>
      <c r="Y97" s="166">
        <f t="shared" si="140"/>
        <v>0</v>
      </c>
      <c r="Z97" s="147"/>
      <c r="AA97" s="166">
        <f t="shared" si="141"/>
        <v>0</v>
      </c>
      <c r="AB97" s="147"/>
      <c r="AC97" s="166">
        <f t="shared" si="142"/>
        <v>0</v>
      </c>
      <c r="AD97" s="147"/>
      <c r="AE97" s="166">
        <f t="shared" si="143"/>
        <v>0</v>
      </c>
      <c r="AF97" s="147"/>
      <c r="AG97" s="166">
        <f t="shared" si="144"/>
        <v>0</v>
      </c>
      <c r="AH97" s="147"/>
      <c r="AI97" s="166">
        <f t="shared" si="145"/>
        <v>0</v>
      </c>
      <c r="AJ97" s="147"/>
      <c r="AK97" s="166">
        <f t="shared" si="146"/>
        <v>0</v>
      </c>
      <c r="AL97" s="147"/>
      <c r="AM97" s="166">
        <f t="shared" si="147"/>
        <v>0</v>
      </c>
      <c r="AN97" s="147"/>
      <c r="AO97" s="166">
        <f t="shared" si="148"/>
        <v>0</v>
      </c>
      <c r="AP97" s="147"/>
      <c r="AQ97" s="166">
        <f t="shared" si="149"/>
        <v>0</v>
      </c>
      <c r="AR97" s="147"/>
      <c r="AS97" s="166">
        <f t="shared" si="150"/>
        <v>0</v>
      </c>
      <c r="AT97" s="147"/>
      <c r="AU97" s="166">
        <f t="shared" si="151"/>
        <v>0</v>
      </c>
      <c r="AV97" s="147"/>
      <c r="AW97" s="166">
        <f t="shared" si="152"/>
        <v>0</v>
      </c>
      <c r="AX97" s="147"/>
      <c r="AY97" s="166">
        <f t="shared" si="153"/>
        <v>0</v>
      </c>
      <c r="AZ97" s="147"/>
      <c r="BA97" s="166">
        <f t="shared" si="154"/>
        <v>0</v>
      </c>
      <c r="BB97" s="147"/>
      <c r="BC97" s="166">
        <f t="shared" si="155"/>
        <v>0</v>
      </c>
      <c r="BD97" s="147"/>
      <c r="BE97" s="166">
        <f t="shared" si="156"/>
        <v>0</v>
      </c>
      <c r="BF97" s="147"/>
      <c r="BG97" s="166">
        <f t="shared" si="157"/>
        <v>0</v>
      </c>
      <c r="BH97" s="147"/>
      <c r="BI97" s="166">
        <f t="shared" si="158"/>
        <v>0</v>
      </c>
      <c r="BJ97" s="147"/>
      <c r="BK97" s="166">
        <f t="shared" si="159"/>
        <v>0</v>
      </c>
      <c r="BL97" s="147"/>
      <c r="BM97" s="166">
        <f t="shared" si="160"/>
        <v>0</v>
      </c>
      <c r="BN97" s="50"/>
      <c r="BO97" s="170" t="e">
        <f t="shared" si="132"/>
        <v>#VALUE!</v>
      </c>
      <c r="BP97" s="87"/>
      <c r="BQ97" s="52"/>
    </row>
    <row r="98" spans="1:76" x14ac:dyDescent="0.35">
      <c r="A98" s="136" t="s">
        <v>82</v>
      </c>
      <c r="B98" s="54" t="s">
        <v>66</v>
      </c>
      <c r="C98" s="144"/>
      <c r="D98" s="146"/>
      <c r="E98" s="166" t="e">
        <f t="shared" si="133"/>
        <v>#VALUE!</v>
      </c>
      <c r="F98" s="147"/>
      <c r="G98" s="166">
        <f t="shared" si="133"/>
        <v>0</v>
      </c>
      <c r="H98" s="147"/>
      <c r="I98" s="166">
        <f t="shared" si="133"/>
        <v>0</v>
      </c>
      <c r="J98" s="147"/>
      <c r="K98" s="166">
        <f t="shared" si="133"/>
        <v>0</v>
      </c>
      <c r="L98" s="147"/>
      <c r="M98" s="166">
        <f t="shared" si="134"/>
        <v>0</v>
      </c>
      <c r="N98" s="147"/>
      <c r="O98" s="166">
        <f t="shared" si="135"/>
        <v>0</v>
      </c>
      <c r="P98" s="147"/>
      <c r="Q98" s="166">
        <f t="shared" si="136"/>
        <v>0</v>
      </c>
      <c r="R98" s="147"/>
      <c r="S98" s="166">
        <f t="shared" si="137"/>
        <v>0</v>
      </c>
      <c r="T98" s="147"/>
      <c r="U98" s="166">
        <f t="shared" si="138"/>
        <v>0</v>
      </c>
      <c r="V98" s="147"/>
      <c r="W98" s="166">
        <f t="shared" si="139"/>
        <v>0</v>
      </c>
      <c r="X98" s="147"/>
      <c r="Y98" s="166">
        <f t="shared" si="140"/>
        <v>0</v>
      </c>
      <c r="Z98" s="147"/>
      <c r="AA98" s="166">
        <f t="shared" si="141"/>
        <v>0</v>
      </c>
      <c r="AB98" s="147"/>
      <c r="AC98" s="166">
        <f t="shared" si="142"/>
        <v>0</v>
      </c>
      <c r="AD98" s="147"/>
      <c r="AE98" s="166">
        <f t="shared" si="143"/>
        <v>0</v>
      </c>
      <c r="AF98" s="147"/>
      <c r="AG98" s="166">
        <f t="shared" si="144"/>
        <v>0</v>
      </c>
      <c r="AH98" s="147"/>
      <c r="AI98" s="166">
        <f t="shared" si="145"/>
        <v>0</v>
      </c>
      <c r="AJ98" s="147"/>
      <c r="AK98" s="166">
        <f t="shared" si="146"/>
        <v>0</v>
      </c>
      <c r="AL98" s="147"/>
      <c r="AM98" s="166">
        <f t="shared" si="147"/>
        <v>0</v>
      </c>
      <c r="AN98" s="147"/>
      <c r="AO98" s="166">
        <f t="shared" si="148"/>
        <v>0</v>
      </c>
      <c r="AP98" s="147"/>
      <c r="AQ98" s="166">
        <f t="shared" si="149"/>
        <v>0</v>
      </c>
      <c r="AR98" s="147"/>
      <c r="AS98" s="166">
        <f t="shared" si="150"/>
        <v>0</v>
      </c>
      <c r="AT98" s="147"/>
      <c r="AU98" s="166">
        <f t="shared" si="151"/>
        <v>0</v>
      </c>
      <c r="AV98" s="147"/>
      <c r="AW98" s="166">
        <f t="shared" si="152"/>
        <v>0</v>
      </c>
      <c r="AX98" s="147"/>
      <c r="AY98" s="166">
        <f t="shared" si="153"/>
        <v>0</v>
      </c>
      <c r="AZ98" s="147"/>
      <c r="BA98" s="166">
        <f t="shared" si="154"/>
        <v>0</v>
      </c>
      <c r="BB98" s="147"/>
      <c r="BC98" s="166">
        <f t="shared" si="155"/>
        <v>0</v>
      </c>
      <c r="BD98" s="147"/>
      <c r="BE98" s="166">
        <f t="shared" si="156"/>
        <v>0</v>
      </c>
      <c r="BF98" s="147"/>
      <c r="BG98" s="166">
        <f t="shared" si="157"/>
        <v>0</v>
      </c>
      <c r="BH98" s="147"/>
      <c r="BI98" s="166">
        <f t="shared" si="158"/>
        <v>0</v>
      </c>
      <c r="BJ98" s="147"/>
      <c r="BK98" s="166">
        <f t="shared" si="159"/>
        <v>0</v>
      </c>
      <c r="BL98" s="147"/>
      <c r="BM98" s="166">
        <f t="shared" si="160"/>
        <v>0</v>
      </c>
      <c r="BN98" s="50"/>
      <c r="BO98" s="170" t="e">
        <f t="shared" si="132"/>
        <v>#VALUE!</v>
      </c>
      <c r="BP98" s="87"/>
      <c r="BQ98" s="52"/>
    </row>
    <row r="99" spans="1:76" x14ac:dyDescent="0.35">
      <c r="A99" s="44"/>
      <c r="B99" s="54" t="s">
        <v>65</v>
      </c>
      <c r="C99" s="144"/>
      <c r="D99" s="146"/>
      <c r="E99" s="166" t="e">
        <f t="shared" si="133"/>
        <v>#VALUE!</v>
      </c>
      <c r="F99" s="147"/>
      <c r="G99" s="166">
        <f t="shared" si="133"/>
        <v>0</v>
      </c>
      <c r="H99" s="147"/>
      <c r="I99" s="166">
        <f t="shared" si="133"/>
        <v>0</v>
      </c>
      <c r="J99" s="147"/>
      <c r="K99" s="166">
        <f t="shared" si="133"/>
        <v>0</v>
      </c>
      <c r="L99" s="147"/>
      <c r="M99" s="166">
        <f t="shared" si="134"/>
        <v>0</v>
      </c>
      <c r="N99" s="147"/>
      <c r="O99" s="166">
        <f t="shared" si="135"/>
        <v>0</v>
      </c>
      <c r="P99" s="147"/>
      <c r="Q99" s="166">
        <f t="shared" si="136"/>
        <v>0</v>
      </c>
      <c r="R99" s="147"/>
      <c r="S99" s="166">
        <f t="shared" si="137"/>
        <v>0</v>
      </c>
      <c r="T99" s="147"/>
      <c r="U99" s="166">
        <f t="shared" si="138"/>
        <v>0</v>
      </c>
      <c r="V99" s="147"/>
      <c r="W99" s="166">
        <f t="shared" si="139"/>
        <v>0</v>
      </c>
      <c r="X99" s="147"/>
      <c r="Y99" s="166">
        <f t="shared" si="140"/>
        <v>0</v>
      </c>
      <c r="Z99" s="147"/>
      <c r="AA99" s="166">
        <f t="shared" si="141"/>
        <v>0</v>
      </c>
      <c r="AB99" s="147"/>
      <c r="AC99" s="166">
        <f t="shared" si="142"/>
        <v>0</v>
      </c>
      <c r="AD99" s="147"/>
      <c r="AE99" s="166">
        <f t="shared" si="143"/>
        <v>0</v>
      </c>
      <c r="AF99" s="147"/>
      <c r="AG99" s="166">
        <f t="shared" si="144"/>
        <v>0</v>
      </c>
      <c r="AH99" s="147"/>
      <c r="AI99" s="166">
        <f t="shared" si="145"/>
        <v>0</v>
      </c>
      <c r="AJ99" s="147"/>
      <c r="AK99" s="166">
        <f t="shared" si="146"/>
        <v>0</v>
      </c>
      <c r="AL99" s="147"/>
      <c r="AM99" s="166">
        <f t="shared" si="147"/>
        <v>0</v>
      </c>
      <c r="AN99" s="147"/>
      <c r="AO99" s="166">
        <f t="shared" si="148"/>
        <v>0</v>
      </c>
      <c r="AP99" s="147"/>
      <c r="AQ99" s="166">
        <f t="shared" si="149"/>
        <v>0</v>
      </c>
      <c r="AR99" s="147"/>
      <c r="AS99" s="166">
        <f t="shared" si="150"/>
        <v>0</v>
      </c>
      <c r="AT99" s="147"/>
      <c r="AU99" s="166">
        <f t="shared" si="151"/>
        <v>0</v>
      </c>
      <c r="AV99" s="147"/>
      <c r="AW99" s="166">
        <f t="shared" si="152"/>
        <v>0</v>
      </c>
      <c r="AX99" s="147"/>
      <c r="AY99" s="166">
        <f t="shared" si="153"/>
        <v>0</v>
      </c>
      <c r="AZ99" s="147"/>
      <c r="BA99" s="166">
        <f t="shared" si="154"/>
        <v>0</v>
      </c>
      <c r="BB99" s="147"/>
      <c r="BC99" s="166">
        <f t="shared" si="155"/>
        <v>0</v>
      </c>
      <c r="BD99" s="147"/>
      <c r="BE99" s="166">
        <f t="shared" si="156"/>
        <v>0</v>
      </c>
      <c r="BF99" s="147"/>
      <c r="BG99" s="166">
        <f t="shared" si="157"/>
        <v>0</v>
      </c>
      <c r="BH99" s="147"/>
      <c r="BI99" s="166">
        <f t="shared" si="158"/>
        <v>0</v>
      </c>
      <c r="BJ99" s="147"/>
      <c r="BK99" s="166">
        <f t="shared" si="159"/>
        <v>0</v>
      </c>
      <c r="BL99" s="147"/>
      <c r="BM99" s="166">
        <f t="shared" si="160"/>
        <v>0</v>
      </c>
      <c r="BN99" s="50"/>
      <c r="BO99" s="170" t="e">
        <f t="shared" si="132"/>
        <v>#VALUE!</v>
      </c>
      <c r="BP99" s="87"/>
      <c r="BQ99" s="52"/>
    </row>
    <row r="100" spans="1:76" x14ac:dyDescent="0.35">
      <c r="A100" s="135" t="s">
        <v>84</v>
      </c>
      <c r="B100" s="54" t="s">
        <v>67</v>
      </c>
      <c r="C100" s="144"/>
      <c r="D100" s="146"/>
      <c r="E100" s="166" t="e">
        <f t="shared" si="133"/>
        <v>#VALUE!</v>
      </c>
      <c r="F100" s="147"/>
      <c r="G100" s="166">
        <f t="shared" si="133"/>
        <v>0</v>
      </c>
      <c r="H100" s="147"/>
      <c r="I100" s="166">
        <f t="shared" si="133"/>
        <v>0</v>
      </c>
      <c r="J100" s="147"/>
      <c r="K100" s="166">
        <f t="shared" si="133"/>
        <v>0</v>
      </c>
      <c r="L100" s="147"/>
      <c r="M100" s="166">
        <f t="shared" si="134"/>
        <v>0</v>
      </c>
      <c r="N100" s="147"/>
      <c r="O100" s="166">
        <f t="shared" si="135"/>
        <v>0</v>
      </c>
      <c r="P100" s="147"/>
      <c r="Q100" s="166">
        <f t="shared" si="136"/>
        <v>0</v>
      </c>
      <c r="R100" s="147"/>
      <c r="S100" s="166">
        <f t="shared" si="137"/>
        <v>0</v>
      </c>
      <c r="T100" s="147"/>
      <c r="U100" s="166">
        <f t="shared" si="138"/>
        <v>0</v>
      </c>
      <c r="V100" s="147"/>
      <c r="W100" s="166">
        <f t="shared" si="139"/>
        <v>0</v>
      </c>
      <c r="X100" s="147"/>
      <c r="Y100" s="166">
        <f t="shared" si="140"/>
        <v>0</v>
      </c>
      <c r="Z100" s="147"/>
      <c r="AA100" s="166">
        <f t="shared" si="141"/>
        <v>0</v>
      </c>
      <c r="AB100" s="147"/>
      <c r="AC100" s="166">
        <f t="shared" si="142"/>
        <v>0</v>
      </c>
      <c r="AD100" s="147"/>
      <c r="AE100" s="166">
        <f t="shared" si="143"/>
        <v>0</v>
      </c>
      <c r="AF100" s="147"/>
      <c r="AG100" s="166">
        <f t="shared" si="144"/>
        <v>0</v>
      </c>
      <c r="AH100" s="147"/>
      <c r="AI100" s="166">
        <f t="shared" si="145"/>
        <v>0</v>
      </c>
      <c r="AJ100" s="147"/>
      <c r="AK100" s="166">
        <f t="shared" si="146"/>
        <v>0</v>
      </c>
      <c r="AL100" s="147"/>
      <c r="AM100" s="166">
        <f t="shared" si="147"/>
        <v>0</v>
      </c>
      <c r="AN100" s="147"/>
      <c r="AO100" s="166">
        <f t="shared" si="148"/>
        <v>0</v>
      </c>
      <c r="AP100" s="147"/>
      <c r="AQ100" s="166">
        <f t="shared" si="149"/>
        <v>0</v>
      </c>
      <c r="AR100" s="147"/>
      <c r="AS100" s="166">
        <f t="shared" si="150"/>
        <v>0</v>
      </c>
      <c r="AT100" s="147"/>
      <c r="AU100" s="166">
        <f t="shared" si="151"/>
        <v>0</v>
      </c>
      <c r="AV100" s="147"/>
      <c r="AW100" s="166">
        <f t="shared" si="152"/>
        <v>0</v>
      </c>
      <c r="AX100" s="147"/>
      <c r="AY100" s="166">
        <f t="shared" si="153"/>
        <v>0</v>
      </c>
      <c r="AZ100" s="147"/>
      <c r="BA100" s="166">
        <f t="shared" si="154"/>
        <v>0</v>
      </c>
      <c r="BB100" s="147"/>
      <c r="BC100" s="166">
        <f t="shared" si="155"/>
        <v>0</v>
      </c>
      <c r="BD100" s="147"/>
      <c r="BE100" s="166">
        <f t="shared" si="156"/>
        <v>0</v>
      </c>
      <c r="BF100" s="147"/>
      <c r="BG100" s="166">
        <f t="shared" si="157"/>
        <v>0</v>
      </c>
      <c r="BH100" s="147"/>
      <c r="BI100" s="166">
        <f t="shared" si="158"/>
        <v>0</v>
      </c>
      <c r="BJ100" s="147"/>
      <c r="BK100" s="166">
        <f t="shared" si="159"/>
        <v>0</v>
      </c>
      <c r="BL100" s="147"/>
      <c r="BM100" s="166">
        <f t="shared" si="160"/>
        <v>0</v>
      </c>
      <c r="BN100" s="50"/>
      <c r="BO100" s="170" t="e">
        <f t="shared" si="132"/>
        <v>#VALUE!</v>
      </c>
      <c r="BP100" s="87"/>
      <c r="BQ100" s="52"/>
    </row>
    <row r="101" spans="1:76" x14ac:dyDescent="0.35">
      <c r="A101" s="136" t="s">
        <v>85</v>
      </c>
      <c r="B101" s="54" t="s">
        <v>66</v>
      </c>
      <c r="C101" s="144"/>
      <c r="D101" s="146"/>
      <c r="E101" s="166" t="e">
        <f t="shared" si="133"/>
        <v>#VALUE!</v>
      </c>
      <c r="F101" s="147"/>
      <c r="G101" s="166">
        <f t="shared" si="133"/>
        <v>0</v>
      </c>
      <c r="H101" s="147"/>
      <c r="I101" s="166">
        <f t="shared" si="133"/>
        <v>0</v>
      </c>
      <c r="J101" s="147"/>
      <c r="K101" s="166">
        <f t="shared" si="133"/>
        <v>0</v>
      </c>
      <c r="L101" s="147"/>
      <c r="M101" s="166">
        <f t="shared" si="134"/>
        <v>0</v>
      </c>
      <c r="N101" s="147"/>
      <c r="O101" s="166">
        <f t="shared" si="135"/>
        <v>0</v>
      </c>
      <c r="P101" s="147"/>
      <c r="Q101" s="166">
        <f t="shared" si="136"/>
        <v>0</v>
      </c>
      <c r="R101" s="147"/>
      <c r="S101" s="166">
        <f t="shared" si="137"/>
        <v>0</v>
      </c>
      <c r="T101" s="147"/>
      <c r="U101" s="166">
        <f t="shared" si="138"/>
        <v>0</v>
      </c>
      <c r="V101" s="147"/>
      <c r="W101" s="166">
        <f t="shared" si="139"/>
        <v>0</v>
      </c>
      <c r="X101" s="147"/>
      <c r="Y101" s="166">
        <f t="shared" si="140"/>
        <v>0</v>
      </c>
      <c r="Z101" s="147"/>
      <c r="AA101" s="166">
        <f t="shared" si="141"/>
        <v>0</v>
      </c>
      <c r="AB101" s="147"/>
      <c r="AC101" s="166">
        <f t="shared" si="142"/>
        <v>0</v>
      </c>
      <c r="AD101" s="147"/>
      <c r="AE101" s="166">
        <f t="shared" si="143"/>
        <v>0</v>
      </c>
      <c r="AF101" s="147"/>
      <c r="AG101" s="166">
        <f t="shared" si="144"/>
        <v>0</v>
      </c>
      <c r="AH101" s="147"/>
      <c r="AI101" s="166">
        <f t="shared" si="145"/>
        <v>0</v>
      </c>
      <c r="AJ101" s="147"/>
      <c r="AK101" s="166">
        <f t="shared" si="146"/>
        <v>0</v>
      </c>
      <c r="AL101" s="147"/>
      <c r="AM101" s="166">
        <f t="shared" si="147"/>
        <v>0</v>
      </c>
      <c r="AN101" s="147"/>
      <c r="AO101" s="166">
        <f t="shared" si="148"/>
        <v>0</v>
      </c>
      <c r="AP101" s="147"/>
      <c r="AQ101" s="166">
        <f t="shared" si="149"/>
        <v>0</v>
      </c>
      <c r="AR101" s="147"/>
      <c r="AS101" s="166">
        <f t="shared" si="150"/>
        <v>0</v>
      </c>
      <c r="AT101" s="147"/>
      <c r="AU101" s="166">
        <f t="shared" si="151"/>
        <v>0</v>
      </c>
      <c r="AV101" s="147"/>
      <c r="AW101" s="166">
        <f t="shared" si="152"/>
        <v>0</v>
      </c>
      <c r="AX101" s="147"/>
      <c r="AY101" s="166">
        <f t="shared" si="153"/>
        <v>0</v>
      </c>
      <c r="AZ101" s="147"/>
      <c r="BA101" s="166">
        <f t="shared" si="154"/>
        <v>0</v>
      </c>
      <c r="BB101" s="147"/>
      <c r="BC101" s="166">
        <f t="shared" si="155"/>
        <v>0</v>
      </c>
      <c r="BD101" s="147"/>
      <c r="BE101" s="166">
        <f t="shared" si="156"/>
        <v>0</v>
      </c>
      <c r="BF101" s="147"/>
      <c r="BG101" s="166">
        <f t="shared" si="157"/>
        <v>0</v>
      </c>
      <c r="BH101" s="147"/>
      <c r="BI101" s="166">
        <f t="shared" si="158"/>
        <v>0</v>
      </c>
      <c r="BJ101" s="147"/>
      <c r="BK101" s="166">
        <f t="shared" si="159"/>
        <v>0</v>
      </c>
      <c r="BL101" s="147"/>
      <c r="BM101" s="166">
        <f t="shared" si="160"/>
        <v>0</v>
      </c>
      <c r="BN101" s="50"/>
      <c r="BO101" s="170" t="e">
        <f t="shared" si="132"/>
        <v>#VALUE!</v>
      </c>
      <c r="BP101" s="87"/>
      <c r="BQ101" s="52"/>
    </row>
    <row r="102" spans="1:76" x14ac:dyDescent="0.35">
      <c r="A102" s="44" t="s">
        <v>86</v>
      </c>
      <c r="B102" s="54" t="s">
        <v>65</v>
      </c>
      <c r="C102" s="144"/>
      <c r="D102" s="146"/>
      <c r="E102" s="166" t="e">
        <f t="shared" si="133"/>
        <v>#VALUE!</v>
      </c>
      <c r="F102" s="147"/>
      <c r="G102" s="166">
        <f t="shared" si="133"/>
        <v>0</v>
      </c>
      <c r="H102" s="147"/>
      <c r="I102" s="166">
        <f t="shared" si="133"/>
        <v>0</v>
      </c>
      <c r="J102" s="147"/>
      <c r="K102" s="166">
        <f t="shared" si="133"/>
        <v>0</v>
      </c>
      <c r="L102" s="147"/>
      <c r="M102" s="166">
        <f t="shared" si="134"/>
        <v>0</v>
      </c>
      <c r="N102" s="147"/>
      <c r="O102" s="166">
        <f t="shared" si="135"/>
        <v>0</v>
      </c>
      <c r="P102" s="147"/>
      <c r="Q102" s="166">
        <f t="shared" si="136"/>
        <v>0</v>
      </c>
      <c r="R102" s="147"/>
      <c r="S102" s="166">
        <f t="shared" si="137"/>
        <v>0</v>
      </c>
      <c r="T102" s="147"/>
      <c r="U102" s="166">
        <f t="shared" si="138"/>
        <v>0</v>
      </c>
      <c r="V102" s="147"/>
      <c r="W102" s="166">
        <f t="shared" si="139"/>
        <v>0</v>
      </c>
      <c r="X102" s="147"/>
      <c r="Y102" s="166">
        <f t="shared" si="140"/>
        <v>0</v>
      </c>
      <c r="Z102" s="147"/>
      <c r="AA102" s="166">
        <f t="shared" si="141"/>
        <v>0</v>
      </c>
      <c r="AB102" s="147"/>
      <c r="AC102" s="166">
        <f t="shared" si="142"/>
        <v>0</v>
      </c>
      <c r="AD102" s="147"/>
      <c r="AE102" s="166">
        <f t="shared" si="143"/>
        <v>0</v>
      </c>
      <c r="AF102" s="147"/>
      <c r="AG102" s="166">
        <f t="shared" si="144"/>
        <v>0</v>
      </c>
      <c r="AH102" s="147"/>
      <c r="AI102" s="166">
        <f t="shared" si="145"/>
        <v>0</v>
      </c>
      <c r="AJ102" s="147"/>
      <c r="AK102" s="166">
        <f t="shared" si="146"/>
        <v>0</v>
      </c>
      <c r="AL102" s="147"/>
      <c r="AM102" s="166">
        <f t="shared" si="147"/>
        <v>0</v>
      </c>
      <c r="AN102" s="147"/>
      <c r="AO102" s="166">
        <f t="shared" si="148"/>
        <v>0</v>
      </c>
      <c r="AP102" s="147"/>
      <c r="AQ102" s="166">
        <f t="shared" si="149"/>
        <v>0</v>
      </c>
      <c r="AR102" s="147"/>
      <c r="AS102" s="166">
        <f t="shared" si="150"/>
        <v>0</v>
      </c>
      <c r="AT102" s="147"/>
      <c r="AU102" s="166">
        <f t="shared" si="151"/>
        <v>0</v>
      </c>
      <c r="AV102" s="147"/>
      <c r="AW102" s="166">
        <f t="shared" si="152"/>
        <v>0</v>
      </c>
      <c r="AX102" s="147"/>
      <c r="AY102" s="166">
        <f t="shared" si="153"/>
        <v>0</v>
      </c>
      <c r="AZ102" s="147"/>
      <c r="BA102" s="166">
        <f t="shared" si="154"/>
        <v>0</v>
      </c>
      <c r="BB102" s="147"/>
      <c r="BC102" s="166">
        <f t="shared" si="155"/>
        <v>0</v>
      </c>
      <c r="BD102" s="147"/>
      <c r="BE102" s="166">
        <f t="shared" si="156"/>
        <v>0</v>
      </c>
      <c r="BF102" s="147"/>
      <c r="BG102" s="166">
        <f t="shared" si="157"/>
        <v>0</v>
      </c>
      <c r="BH102" s="147"/>
      <c r="BI102" s="166">
        <f t="shared" si="158"/>
        <v>0</v>
      </c>
      <c r="BJ102" s="147"/>
      <c r="BK102" s="166">
        <f t="shared" si="159"/>
        <v>0</v>
      </c>
      <c r="BL102" s="147"/>
      <c r="BM102" s="166">
        <f t="shared" si="160"/>
        <v>0</v>
      </c>
      <c r="BN102" s="50"/>
      <c r="BO102" s="170" t="e">
        <f t="shared" si="132"/>
        <v>#VALUE!</v>
      </c>
      <c r="BP102" s="87"/>
      <c r="BQ102" s="52"/>
    </row>
    <row r="103" spans="1:76" x14ac:dyDescent="0.35">
      <c r="A103" s="53"/>
      <c r="B103" s="54"/>
      <c r="C103" s="144"/>
      <c r="D103" s="189">
        <f>SUM(D91:D102)</f>
        <v>0</v>
      </c>
      <c r="E103" s="166" t="e">
        <f t="shared" ref="E103:BP103" si="161">SUM(E91:E102)</f>
        <v>#VALUE!</v>
      </c>
      <c r="F103" s="167">
        <f t="shared" si="161"/>
        <v>0</v>
      </c>
      <c r="G103" s="166">
        <f t="shared" si="161"/>
        <v>0</v>
      </c>
      <c r="H103" s="167">
        <f t="shared" si="161"/>
        <v>0</v>
      </c>
      <c r="I103" s="166">
        <f t="shared" si="161"/>
        <v>0</v>
      </c>
      <c r="J103" s="167">
        <f t="shared" si="161"/>
        <v>0</v>
      </c>
      <c r="K103" s="166">
        <f t="shared" si="161"/>
        <v>0</v>
      </c>
      <c r="L103" s="167">
        <f t="shared" si="161"/>
        <v>0</v>
      </c>
      <c r="M103" s="166">
        <f t="shared" si="161"/>
        <v>0</v>
      </c>
      <c r="N103" s="167">
        <f t="shared" si="161"/>
        <v>0</v>
      </c>
      <c r="O103" s="166">
        <f t="shared" si="161"/>
        <v>0</v>
      </c>
      <c r="P103" s="167">
        <f t="shared" si="161"/>
        <v>0</v>
      </c>
      <c r="Q103" s="166">
        <f t="shared" si="161"/>
        <v>0</v>
      </c>
      <c r="R103" s="167">
        <f t="shared" si="161"/>
        <v>0</v>
      </c>
      <c r="S103" s="166">
        <f t="shared" si="161"/>
        <v>0</v>
      </c>
      <c r="T103" s="167">
        <f t="shared" si="161"/>
        <v>0</v>
      </c>
      <c r="U103" s="166">
        <f t="shared" si="161"/>
        <v>0</v>
      </c>
      <c r="V103" s="167">
        <f t="shared" si="161"/>
        <v>0</v>
      </c>
      <c r="W103" s="166">
        <f t="shared" si="161"/>
        <v>0</v>
      </c>
      <c r="X103" s="167">
        <f t="shared" si="161"/>
        <v>0</v>
      </c>
      <c r="Y103" s="166">
        <f t="shared" si="161"/>
        <v>0</v>
      </c>
      <c r="Z103" s="167">
        <f t="shared" si="161"/>
        <v>0</v>
      </c>
      <c r="AA103" s="166">
        <f t="shared" si="161"/>
        <v>0</v>
      </c>
      <c r="AB103" s="167">
        <f t="shared" si="161"/>
        <v>0</v>
      </c>
      <c r="AC103" s="166">
        <f t="shared" si="161"/>
        <v>0</v>
      </c>
      <c r="AD103" s="167">
        <f t="shared" si="161"/>
        <v>0</v>
      </c>
      <c r="AE103" s="166">
        <f t="shared" si="161"/>
        <v>0</v>
      </c>
      <c r="AF103" s="167">
        <f t="shared" si="161"/>
        <v>0</v>
      </c>
      <c r="AG103" s="166">
        <f t="shared" si="161"/>
        <v>0</v>
      </c>
      <c r="AH103" s="167">
        <f t="shared" si="161"/>
        <v>0</v>
      </c>
      <c r="AI103" s="166">
        <f t="shared" si="161"/>
        <v>0</v>
      </c>
      <c r="AJ103" s="167">
        <f t="shared" si="161"/>
        <v>0</v>
      </c>
      <c r="AK103" s="166">
        <f t="shared" si="161"/>
        <v>0</v>
      </c>
      <c r="AL103" s="167">
        <f t="shared" si="161"/>
        <v>0</v>
      </c>
      <c r="AM103" s="166">
        <f t="shared" si="161"/>
        <v>0</v>
      </c>
      <c r="AN103" s="167">
        <f t="shared" si="161"/>
        <v>0</v>
      </c>
      <c r="AO103" s="166">
        <f t="shared" si="161"/>
        <v>0</v>
      </c>
      <c r="AP103" s="167">
        <f t="shared" si="161"/>
        <v>0</v>
      </c>
      <c r="AQ103" s="194">
        <f t="shared" si="161"/>
        <v>0</v>
      </c>
      <c r="AR103" s="167">
        <f t="shared" si="161"/>
        <v>0</v>
      </c>
      <c r="AS103" s="166">
        <f t="shared" si="161"/>
        <v>0</v>
      </c>
      <c r="AT103" s="167">
        <f t="shared" si="161"/>
        <v>0</v>
      </c>
      <c r="AU103" s="166">
        <f t="shared" si="161"/>
        <v>0</v>
      </c>
      <c r="AV103" s="167">
        <f t="shared" si="161"/>
        <v>0</v>
      </c>
      <c r="AW103" s="166">
        <f t="shared" si="161"/>
        <v>0</v>
      </c>
      <c r="AX103" s="167">
        <f t="shared" si="161"/>
        <v>0</v>
      </c>
      <c r="AY103" s="166">
        <f t="shared" si="161"/>
        <v>0</v>
      </c>
      <c r="AZ103" s="167">
        <f t="shared" si="161"/>
        <v>0</v>
      </c>
      <c r="BA103" s="166">
        <f t="shared" si="161"/>
        <v>0</v>
      </c>
      <c r="BB103" s="167">
        <f t="shared" si="161"/>
        <v>0</v>
      </c>
      <c r="BC103" s="166">
        <f t="shared" si="161"/>
        <v>0</v>
      </c>
      <c r="BD103" s="167">
        <f t="shared" si="161"/>
        <v>0</v>
      </c>
      <c r="BE103" s="166">
        <f t="shared" si="161"/>
        <v>0</v>
      </c>
      <c r="BF103" s="167">
        <f t="shared" si="161"/>
        <v>0</v>
      </c>
      <c r="BG103" s="166">
        <f t="shared" si="161"/>
        <v>0</v>
      </c>
      <c r="BH103" s="167">
        <f t="shared" si="161"/>
        <v>0</v>
      </c>
      <c r="BI103" s="166">
        <f t="shared" si="161"/>
        <v>0</v>
      </c>
      <c r="BJ103" s="167">
        <f t="shared" si="161"/>
        <v>0</v>
      </c>
      <c r="BK103" s="166">
        <f t="shared" si="161"/>
        <v>0</v>
      </c>
      <c r="BL103" s="167">
        <f t="shared" si="161"/>
        <v>0</v>
      </c>
      <c r="BM103" s="166">
        <f t="shared" si="161"/>
        <v>0</v>
      </c>
      <c r="BN103" s="50"/>
      <c r="BO103" s="170" t="e">
        <f t="shared" si="132"/>
        <v>#VALUE!</v>
      </c>
      <c r="BP103" s="173">
        <f t="shared" si="161"/>
        <v>0</v>
      </c>
      <c r="BQ103" s="52"/>
    </row>
    <row r="104" spans="1:76" x14ac:dyDescent="0.35">
      <c r="A104" s="53"/>
      <c r="B104" s="54"/>
      <c r="C104" s="144"/>
      <c r="D104" s="189">
        <f t="shared" si="98"/>
        <v>0</v>
      </c>
      <c r="E104" s="48"/>
      <c r="F104" s="167">
        <f t="shared" si="99"/>
        <v>0</v>
      </c>
      <c r="G104" s="48"/>
      <c r="H104" s="167">
        <f t="shared" si="100"/>
        <v>0</v>
      </c>
      <c r="I104" s="48"/>
      <c r="J104" s="167">
        <f t="shared" si="101"/>
        <v>0</v>
      </c>
      <c r="K104" s="48"/>
      <c r="L104" s="167">
        <f t="shared" ref="L104" si="162">+M104-K104</f>
        <v>0</v>
      </c>
      <c r="M104" s="48"/>
      <c r="N104" s="167">
        <f t="shared" ref="N104" si="163">+O104-M104</f>
        <v>0</v>
      </c>
      <c r="O104" s="48"/>
      <c r="P104" s="167">
        <f t="shared" ref="P104" si="164">+Q104-O104</f>
        <v>0</v>
      </c>
      <c r="Q104" s="48"/>
      <c r="R104" s="167">
        <f t="shared" ref="R104" si="165">+S104-Q104</f>
        <v>0</v>
      </c>
      <c r="S104" s="48"/>
      <c r="T104" s="167">
        <f t="shared" ref="T104" si="166">+U104-S104</f>
        <v>0</v>
      </c>
      <c r="U104" s="48"/>
      <c r="V104" s="167">
        <f t="shared" ref="V104" si="167">+W104-U104</f>
        <v>0</v>
      </c>
      <c r="W104" s="48"/>
      <c r="X104" s="167">
        <f t="shared" ref="X104" si="168">+Y104-W104</f>
        <v>0</v>
      </c>
      <c r="Y104" s="48"/>
      <c r="Z104" s="167">
        <f t="shared" ref="Z104" si="169">+AA104-Y104</f>
        <v>0</v>
      </c>
      <c r="AA104" s="48"/>
      <c r="AB104" s="167">
        <f t="shared" ref="AB104" si="170">+AC104-AA104</f>
        <v>0</v>
      </c>
      <c r="AC104" s="48"/>
      <c r="AD104" s="167">
        <f t="shared" ref="AD104" si="171">+AE104-AC104</f>
        <v>0</v>
      </c>
      <c r="AE104" s="48"/>
      <c r="AF104" s="167">
        <f t="shared" ref="AF104" si="172">+AG104-AE104</f>
        <v>0</v>
      </c>
      <c r="AG104" s="48"/>
      <c r="AH104" s="167">
        <f t="shared" ref="AH104" si="173">+AI104-AG104</f>
        <v>0</v>
      </c>
      <c r="AI104" s="48"/>
      <c r="AJ104" s="167">
        <f t="shared" ref="AJ104" si="174">+AK104-AI104</f>
        <v>0</v>
      </c>
      <c r="AK104" s="48"/>
      <c r="AL104" s="167">
        <f t="shared" ref="AL104" si="175">+AM104-AK104</f>
        <v>0</v>
      </c>
      <c r="AM104" s="48"/>
      <c r="AN104" s="167">
        <f t="shared" ref="AN104" si="176">+AO104-AM104</f>
        <v>0</v>
      </c>
      <c r="AO104" s="48"/>
      <c r="AP104" s="167">
        <f t="shared" ref="AP104" si="177">+AQ104-AO104</f>
        <v>0</v>
      </c>
      <c r="AQ104" s="48"/>
      <c r="AR104" s="167">
        <f t="shared" ref="AR104" si="178">+AS104-AQ104</f>
        <v>0</v>
      </c>
      <c r="AS104" s="48"/>
      <c r="AT104" s="167">
        <f t="shared" ref="AT104" si="179">+AU104-AS104</f>
        <v>0</v>
      </c>
      <c r="AU104" s="48"/>
      <c r="AV104" s="167">
        <f t="shared" ref="AV104" si="180">+AW104-AU104</f>
        <v>0</v>
      </c>
      <c r="AW104" s="48"/>
      <c r="AX104" s="167">
        <f t="shared" ref="AX104" si="181">+AY104-AW104</f>
        <v>0</v>
      </c>
      <c r="AY104" s="48"/>
      <c r="AZ104" s="167">
        <f t="shared" ref="AZ104" si="182">+BA104-AY104</f>
        <v>0</v>
      </c>
      <c r="BA104" s="48"/>
      <c r="BB104" s="167">
        <f t="shared" ref="BB104" si="183">+BC104-BA104</f>
        <v>0</v>
      </c>
      <c r="BC104" s="48"/>
      <c r="BD104" s="167">
        <f t="shared" ref="BD104" si="184">+BE104-BC104</f>
        <v>0</v>
      </c>
      <c r="BE104" s="48"/>
      <c r="BF104" s="167">
        <f t="shared" ref="BF104" si="185">+BG104-BE104</f>
        <v>0</v>
      </c>
      <c r="BG104" s="48"/>
      <c r="BH104" s="167">
        <f t="shared" ref="BH104" si="186">+BI104-BG104</f>
        <v>0</v>
      </c>
      <c r="BI104" s="48"/>
      <c r="BJ104" s="167">
        <f t="shared" ref="BJ104" si="187">+BK104-BI104</f>
        <v>0</v>
      </c>
      <c r="BK104" s="48"/>
      <c r="BL104" s="167">
        <f t="shared" ref="BL104" si="188">+BM104-BK104</f>
        <v>0</v>
      </c>
      <c r="BM104" s="48"/>
      <c r="BN104" s="50"/>
      <c r="BO104" s="51"/>
      <c r="BP104" s="173">
        <f t="shared" ref="BP104" si="189">+BQ104-BM104</f>
        <v>0</v>
      </c>
      <c r="BQ104" s="52"/>
    </row>
    <row r="105" spans="1:76" x14ac:dyDescent="0.35">
      <c r="A105" s="74"/>
      <c r="B105" s="75"/>
      <c r="C105" s="76"/>
      <c r="D105" s="77"/>
      <c r="E105" s="148"/>
      <c r="F105" s="79"/>
      <c r="G105" s="148"/>
      <c r="H105" s="79"/>
      <c r="I105" s="148"/>
      <c r="J105" s="79"/>
      <c r="K105" s="148"/>
      <c r="L105" s="79"/>
      <c r="M105" s="148"/>
      <c r="N105" s="79"/>
      <c r="O105" s="148"/>
      <c r="P105" s="79"/>
      <c r="Q105" s="148"/>
      <c r="R105" s="79"/>
      <c r="S105" s="148"/>
      <c r="T105" s="79"/>
      <c r="U105" s="148"/>
      <c r="V105" s="79"/>
      <c r="W105" s="148"/>
      <c r="X105" s="79"/>
      <c r="Y105" s="148"/>
      <c r="Z105" s="79"/>
      <c r="AA105" s="148"/>
      <c r="AB105" s="79"/>
      <c r="AC105" s="148"/>
      <c r="AD105" s="79"/>
      <c r="AE105" s="148"/>
      <c r="AF105" s="79"/>
      <c r="AG105" s="148"/>
      <c r="AH105" s="79"/>
      <c r="AI105" s="148"/>
      <c r="AJ105" s="79"/>
      <c r="AK105" s="148"/>
      <c r="AL105" s="79"/>
      <c r="AM105" s="148"/>
      <c r="AN105" s="79"/>
      <c r="AO105" s="148"/>
      <c r="AP105" s="79"/>
      <c r="AQ105" s="148"/>
      <c r="AR105" s="79"/>
      <c r="AS105" s="148"/>
      <c r="AT105" s="79"/>
      <c r="AU105" s="148"/>
      <c r="AV105" s="79"/>
      <c r="AW105" s="148"/>
      <c r="AX105" s="79"/>
      <c r="AY105" s="148"/>
      <c r="AZ105" s="79"/>
      <c r="BA105" s="148"/>
      <c r="BB105" s="79"/>
      <c r="BC105" s="148"/>
      <c r="BD105" s="79"/>
      <c r="BE105" s="148"/>
      <c r="BF105" s="79"/>
      <c r="BG105" s="148"/>
      <c r="BH105" s="79"/>
      <c r="BI105" s="148"/>
      <c r="BJ105" s="79"/>
      <c r="BK105" s="148"/>
      <c r="BL105" s="79"/>
      <c r="BM105" s="148"/>
      <c r="BN105" s="80"/>
      <c r="BO105" s="81"/>
      <c r="BP105" s="79"/>
      <c r="BQ105" s="82"/>
    </row>
    <row r="106" spans="1:76" x14ac:dyDescent="0.35">
      <c r="A106" s="53" t="s">
        <v>32</v>
      </c>
      <c r="B106" s="54"/>
      <c r="C106" s="67"/>
      <c r="D106" s="68"/>
      <c r="E106" s="69"/>
      <c r="F106" s="70"/>
      <c r="G106" s="69"/>
      <c r="H106" s="70"/>
      <c r="I106" s="69"/>
      <c r="J106" s="70"/>
      <c r="K106" s="69"/>
      <c r="L106" s="70"/>
      <c r="M106" s="69"/>
      <c r="N106" s="70"/>
      <c r="O106" s="69"/>
      <c r="P106" s="70"/>
      <c r="Q106" s="69"/>
      <c r="R106" s="70"/>
      <c r="S106" s="69"/>
      <c r="T106" s="70"/>
      <c r="U106" s="69"/>
      <c r="V106" s="70"/>
      <c r="W106" s="69"/>
      <c r="X106" s="70"/>
      <c r="Y106" s="69"/>
      <c r="Z106" s="70"/>
      <c r="AA106" s="69"/>
      <c r="AB106" s="70"/>
      <c r="AC106" s="69"/>
      <c r="AD106" s="70"/>
      <c r="AE106" s="69"/>
      <c r="AF106" s="70"/>
      <c r="AG106" s="69"/>
      <c r="AH106" s="70"/>
      <c r="AI106" s="69"/>
      <c r="AJ106" s="70"/>
      <c r="AK106" s="69"/>
      <c r="AL106" s="70"/>
      <c r="AM106" s="69"/>
      <c r="AN106" s="70"/>
      <c r="AO106" s="69"/>
      <c r="AP106" s="70"/>
      <c r="AQ106" s="69"/>
      <c r="AR106" s="70"/>
      <c r="AS106" s="69"/>
      <c r="AT106" s="70"/>
      <c r="AU106" s="69"/>
      <c r="AV106" s="70"/>
      <c r="AW106" s="69"/>
      <c r="AX106" s="70"/>
      <c r="AY106" s="69"/>
      <c r="AZ106" s="70"/>
      <c r="BA106" s="69"/>
      <c r="BB106" s="70"/>
      <c r="BC106" s="69"/>
      <c r="BD106" s="70"/>
      <c r="BE106" s="69"/>
      <c r="BF106" s="70"/>
      <c r="BG106" s="69"/>
      <c r="BH106" s="70"/>
      <c r="BI106" s="69"/>
      <c r="BJ106" s="70"/>
      <c r="BK106" s="69"/>
      <c r="BL106" s="70"/>
      <c r="BM106" s="69"/>
      <c r="BN106" s="71"/>
      <c r="BO106" s="182" t="str">
        <f t="shared" ref="BO106:BO120" si="190">IF(COUNT(E106,G106,I106,K106,M106,O106,Q106,S106,U106,W106,Y106,AA106,AC106,AE106,AG106,AI106,AK106,AM106,AO106,AQ106,AS106,AU106,AW106,AY106,BA106,BC106,BE106,BG106,BI106,BK106,BM106)=0,"",SUM(E106,G106,I106,K106,M106,O106,Q106,S106,U106,W106,Y106,AA106,AC106,AE106,AG106,AI106,AK106,AM106,AO106,AQ106,AS106,AU106,AW106,AY106,BA106,BC106,BE106,BG106,BI106,BK106,BM106))</f>
        <v/>
      </c>
      <c r="BP106" s="70"/>
      <c r="BQ106" s="73"/>
    </row>
    <row r="107" spans="1:76" x14ac:dyDescent="0.35">
      <c r="A107" s="53" t="s">
        <v>33</v>
      </c>
      <c r="B107" s="54"/>
      <c r="C107" s="67"/>
      <c r="D107" s="68"/>
      <c r="E107" s="69"/>
      <c r="F107" s="70"/>
      <c r="G107" s="69"/>
      <c r="H107" s="70"/>
      <c r="I107" s="69"/>
      <c r="J107" s="70"/>
      <c r="K107" s="69"/>
      <c r="L107" s="70"/>
      <c r="M107" s="69"/>
      <c r="N107" s="70"/>
      <c r="O107" s="69"/>
      <c r="P107" s="70"/>
      <c r="Q107" s="69"/>
      <c r="R107" s="70"/>
      <c r="S107" s="69"/>
      <c r="T107" s="70"/>
      <c r="U107" s="69"/>
      <c r="V107" s="70"/>
      <c r="W107" s="69"/>
      <c r="X107" s="70"/>
      <c r="Y107" s="69"/>
      <c r="Z107" s="70"/>
      <c r="AA107" s="69"/>
      <c r="AB107" s="70"/>
      <c r="AC107" s="69"/>
      <c r="AD107" s="70"/>
      <c r="AE107" s="69"/>
      <c r="AF107" s="70"/>
      <c r="AG107" s="69"/>
      <c r="AH107" s="70"/>
      <c r="AI107" s="69"/>
      <c r="AJ107" s="70"/>
      <c r="AK107" s="69"/>
      <c r="AL107" s="70"/>
      <c r="AM107" s="69"/>
      <c r="AN107" s="70"/>
      <c r="AO107" s="69"/>
      <c r="AP107" s="70"/>
      <c r="AQ107" s="69"/>
      <c r="AR107" s="70"/>
      <c r="AS107" s="69"/>
      <c r="AT107" s="70"/>
      <c r="AU107" s="69"/>
      <c r="AV107" s="70"/>
      <c r="AW107" s="69"/>
      <c r="AX107" s="70"/>
      <c r="AY107" s="69"/>
      <c r="AZ107" s="70"/>
      <c r="BA107" s="69"/>
      <c r="BB107" s="70"/>
      <c r="BC107" s="69"/>
      <c r="BD107" s="70"/>
      <c r="BE107" s="69"/>
      <c r="BF107" s="70"/>
      <c r="BG107" s="69"/>
      <c r="BH107" s="70"/>
      <c r="BI107" s="69"/>
      <c r="BJ107" s="70"/>
      <c r="BK107" s="69"/>
      <c r="BL107" s="70"/>
      <c r="BM107" s="69"/>
      <c r="BN107" s="71"/>
      <c r="BO107" s="182" t="str">
        <f t="shared" si="190"/>
        <v/>
      </c>
      <c r="BP107" s="70"/>
      <c r="BQ107" s="73"/>
    </row>
    <row r="108" spans="1:76" x14ac:dyDescent="0.35">
      <c r="A108" s="53" t="s">
        <v>33</v>
      </c>
      <c r="B108" s="54"/>
      <c r="C108" s="67"/>
      <c r="D108" s="68"/>
      <c r="E108" s="69"/>
      <c r="F108" s="70"/>
      <c r="G108" s="69"/>
      <c r="H108" s="70"/>
      <c r="I108" s="69"/>
      <c r="J108" s="70"/>
      <c r="K108" s="69"/>
      <c r="L108" s="70"/>
      <c r="M108" s="69"/>
      <c r="N108" s="70"/>
      <c r="O108" s="69"/>
      <c r="P108" s="70"/>
      <c r="Q108" s="69"/>
      <c r="R108" s="70"/>
      <c r="S108" s="69"/>
      <c r="T108" s="70"/>
      <c r="U108" s="69"/>
      <c r="V108" s="70"/>
      <c r="W108" s="69"/>
      <c r="X108" s="70"/>
      <c r="Y108" s="69"/>
      <c r="Z108" s="70"/>
      <c r="AA108" s="69"/>
      <c r="AB108" s="70"/>
      <c r="AC108" s="69"/>
      <c r="AD108" s="70"/>
      <c r="AE108" s="69"/>
      <c r="AF108" s="70"/>
      <c r="AG108" s="69"/>
      <c r="AH108" s="70"/>
      <c r="AI108" s="69"/>
      <c r="AJ108" s="70"/>
      <c r="AK108" s="69"/>
      <c r="AL108" s="70"/>
      <c r="AM108" s="69"/>
      <c r="AN108" s="70"/>
      <c r="AO108" s="69"/>
      <c r="AP108" s="70"/>
      <c r="AQ108" s="69"/>
      <c r="AR108" s="70"/>
      <c r="AS108" s="69"/>
      <c r="AT108" s="70"/>
      <c r="AU108" s="69"/>
      <c r="AV108" s="70"/>
      <c r="AW108" s="69"/>
      <c r="AX108" s="70"/>
      <c r="AY108" s="69"/>
      <c r="AZ108" s="70"/>
      <c r="BA108" s="69"/>
      <c r="BB108" s="70"/>
      <c r="BC108" s="69"/>
      <c r="BD108" s="70"/>
      <c r="BE108" s="69"/>
      <c r="BF108" s="70"/>
      <c r="BG108" s="69"/>
      <c r="BH108" s="70"/>
      <c r="BI108" s="69"/>
      <c r="BJ108" s="70"/>
      <c r="BK108" s="69"/>
      <c r="BL108" s="70"/>
      <c r="BM108" s="69"/>
      <c r="BN108" s="71"/>
      <c r="BO108" s="182" t="str">
        <f t="shared" si="190"/>
        <v/>
      </c>
      <c r="BP108" s="70"/>
      <c r="BQ108" s="73"/>
    </row>
    <row r="109" spans="1:76" x14ac:dyDescent="0.35">
      <c r="A109" s="53" t="s">
        <v>34</v>
      </c>
      <c r="B109" s="54"/>
      <c r="C109" s="67"/>
      <c r="D109" s="68"/>
      <c r="E109" s="69"/>
      <c r="F109" s="70"/>
      <c r="G109" s="69"/>
      <c r="H109" s="70"/>
      <c r="I109" s="69"/>
      <c r="J109" s="70"/>
      <c r="K109" s="69"/>
      <c r="L109" s="70"/>
      <c r="M109" s="69"/>
      <c r="N109" s="70"/>
      <c r="O109" s="69"/>
      <c r="P109" s="70"/>
      <c r="Q109" s="69"/>
      <c r="R109" s="70"/>
      <c r="S109" s="69"/>
      <c r="T109" s="70"/>
      <c r="U109" s="69"/>
      <c r="V109" s="70"/>
      <c r="W109" s="69"/>
      <c r="X109" s="70"/>
      <c r="Y109" s="69"/>
      <c r="Z109" s="70"/>
      <c r="AA109" s="69"/>
      <c r="AB109" s="70"/>
      <c r="AC109" s="69"/>
      <c r="AD109" s="70"/>
      <c r="AE109" s="69"/>
      <c r="AF109" s="70"/>
      <c r="AG109" s="69"/>
      <c r="AH109" s="70"/>
      <c r="AI109" s="69"/>
      <c r="AJ109" s="70"/>
      <c r="AK109" s="69"/>
      <c r="AL109" s="70"/>
      <c r="AM109" s="69"/>
      <c r="AN109" s="70"/>
      <c r="AO109" s="69"/>
      <c r="AP109" s="70"/>
      <c r="AQ109" s="69"/>
      <c r="AR109" s="70"/>
      <c r="AS109" s="69"/>
      <c r="AT109" s="70"/>
      <c r="AU109" s="69"/>
      <c r="AV109" s="70"/>
      <c r="AW109" s="69"/>
      <c r="AX109" s="70"/>
      <c r="AY109" s="69"/>
      <c r="AZ109" s="70"/>
      <c r="BA109" s="69"/>
      <c r="BB109" s="70"/>
      <c r="BC109" s="69"/>
      <c r="BD109" s="70"/>
      <c r="BE109" s="69"/>
      <c r="BF109" s="70"/>
      <c r="BG109" s="69"/>
      <c r="BH109" s="70"/>
      <c r="BI109" s="69"/>
      <c r="BJ109" s="70"/>
      <c r="BK109" s="69"/>
      <c r="BL109" s="70"/>
      <c r="BM109" s="69"/>
      <c r="BN109" s="71"/>
      <c r="BO109" s="182" t="str">
        <f t="shared" si="190"/>
        <v/>
      </c>
      <c r="BP109" s="70"/>
      <c r="BQ109" s="73"/>
    </row>
    <row r="110" spans="1:76" x14ac:dyDescent="0.35">
      <c r="A110" s="53" t="s">
        <v>34</v>
      </c>
      <c r="B110" s="54"/>
      <c r="C110" s="67"/>
      <c r="D110" s="68"/>
      <c r="E110" s="69"/>
      <c r="F110" s="70"/>
      <c r="G110" s="69"/>
      <c r="H110" s="70"/>
      <c r="I110" s="69"/>
      <c r="J110" s="70"/>
      <c r="K110" s="69"/>
      <c r="L110" s="70"/>
      <c r="M110" s="69"/>
      <c r="N110" s="70"/>
      <c r="O110" s="69"/>
      <c r="P110" s="70"/>
      <c r="Q110" s="69"/>
      <c r="R110" s="70"/>
      <c r="S110" s="69"/>
      <c r="T110" s="70"/>
      <c r="U110" s="69"/>
      <c r="V110" s="70"/>
      <c r="W110" s="69"/>
      <c r="X110" s="70"/>
      <c r="Y110" s="69"/>
      <c r="Z110" s="70"/>
      <c r="AA110" s="69"/>
      <c r="AB110" s="70"/>
      <c r="AC110" s="69"/>
      <c r="AD110" s="70"/>
      <c r="AE110" s="69"/>
      <c r="AF110" s="70"/>
      <c r="AG110" s="69"/>
      <c r="AH110" s="70"/>
      <c r="AI110" s="69"/>
      <c r="AJ110" s="70"/>
      <c r="AK110" s="69"/>
      <c r="AL110" s="70"/>
      <c r="AM110" s="69"/>
      <c r="AN110" s="70"/>
      <c r="AO110" s="69"/>
      <c r="AP110" s="70"/>
      <c r="AQ110" s="69"/>
      <c r="AR110" s="70"/>
      <c r="AS110" s="69"/>
      <c r="AT110" s="70"/>
      <c r="AU110" s="69"/>
      <c r="AV110" s="70"/>
      <c r="AW110" s="69"/>
      <c r="AX110" s="70"/>
      <c r="AY110" s="69"/>
      <c r="AZ110" s="70"/>
      <c r="BA110" s="69"/>
      <c r="BB110" s="70"/>
      <c r="BC110" s="69"/>
      <c r="BD110" s="70"/>
      <c r="BE110" s="69"/>
      <c r="BF110" s="70"/>
      <c r="BG110" s="69"/>
      <c r="BH110" s="70"/>
      <c r="BI110" s="69"/>
      <c r="BJ110" s="70"/>
      <c r="BK110" s="69"/>
      <c r="BL110" s="70"/>
      <c r="BM110" s="69"/>
      <c r="BN110" s="71"/>
      <c r="BO110" s="182" t="str">
        <f t="shared" si="190"/>
        <v/>
      </c>
      <c r="BP110" s="70"/>
      <c r="BQ110" s="73"/>
    </row>
    <row r="111" spans="1:76" s="6" customFormat="1" x14ac:dyDescent="0.35">
      <c r="A111" s="149" t="s">
        <v>71</v>
      </c>
      <c r="B111" s="150"/>
      <c r="C111" s="67"/>
      <c r="D111" s="151"/>
      <c r="E111" s="69"/>
      <c r="F111" s="152"/>
      <c r="G111" s="69"/>
      <c r="H111" s="152"/>
      <c r="I111" s="69"/>
      <c r="J111" s="152"/>
      <c r="K111" s="69"/>
      <c r="L111" s="152"/>
      <c r="M111" s="69"/>
      <c r="N111" s="152"/>
      <c r="O111" s="69"/>
      <c r="P111" s="152"/>
      <c r="Q111" s="69"/>
      <c r="R111" s="152"/>
      <c r="S111" s="69"/>
      <c r="T111" s="152"/>
      <c r="U111" s="69"/>
      <c r="V111" s="152"/>
      <c r="W111" s="69"/>
      <c r="X111" s="152"/>
      <c r="Y111" s="69"/>
      <c r="Z111" s="152"/>
      <c r="AA111" s="69"/>
      <c r="AB111" s="152"/>
      <c r="AC111" s="69"/>
      <c r="AD111" s="152"/>
      <c r="AE111" s="69"/>
      <c r="AF111" s="152"/>
      <c r="AG111" s="69"/>
      <c r="AH111" s="152"/>
      <c r="AI111" s="69"/>
      <c r="AJ111" s="152"/>
      <c r="AK111" s="69"/>
      <c r="AL111" s="152"/>
      <c r="AM111" s="69"/>
      <c r="AN111" s="152"/>
      <c r="AO111" s="69"/>
      <c r="AP111" s="152"/>
      <c r="AQ111" s="69"/>
      <c r="AR111" s="152"/>
      <c r="AS111" s="69"/>
      <c r="AT111" s="152"/>
      <c r="AU111" s="69"/>
      <c r="AV111" s="152"/>
      <c r="AW111" s="69"/>
      <c r="AX111" s="152"/>
      <c r="AY111" s="69"/>
      <c r="AZ111" s="152"/>
      <c r="BA111" s="69"/>
      <c r="BB111" s="152"/>
      <c r="BC111" s="69"/>
      <c r="BD111" s="152"/>
      <c r="BE111" s="69"/>
      <c r="BF111" s="152"/>
      <c r="BG111" s="69"/>
      <c r="BH111" s="152"/>
      <c r="BI111" s="69"/>
      <c r="BJ111" s="152"/>
      <c r="BK111" s="69"/>
      <c r="BL111" s="152"/>
      <c r="BM111" s="69"/>
      <c r="BN111" s="71"/>
      <c r="BO111" s="182" t="str">
        <f t="shared" si="190"/>
        <v/>
      </c>
      <c r="BP111" s="152"/>
      <c r="BQ111" s="73"/>
      <c r="BR111"/>
      <c r="BS111"/>
      <c r="BT111"/>
      <c r="BU111"/>
      <c r="BV111"/>
      <c r="BW111"/>
      <c r="BX111"/>
    </row>
    <row r="112" spans="1:76" x14ac:dyDescent="0.35">
      <c r="A112" s="53" t="s">
        <v>72</v>
      </c>
      <c r="B112" s="54"/>
      <c r="C112" s="67"/>
      <c r="D112" s="68"/>
      <c r="E112" s="69"/>
      <c r="F112" s="70"/>
      <c r="G112" s="69"/>
      <c r="H112" s="70"/>
      <c r="I112" s="69"/>
      <c r="J112" s="70"/>
      <c r="K112" s="69"/>
      <c r="L112" s="70"/>
      <c r="M112" s="69"/>
      <c r="N112" s="70"/>
      <c r="O112" s="69"/>
      <c r="P112" s="70"/>
      <c r="Q112" s="69"/>
      <c r="R112" s="70"/>
      <c r="S112" s="69"/>
      <c r="T112" s="70"/>
      <c r="U112" s="69"/>
      <c r="V112" s="70"/>
      <c r="W112" s="69"/>
      <c r="X112" s="70"/>
      <c r="Y112" s="69"/>
      <c r="Z112" s="70"/>
      <c r="AA112" s="69"/>
      <c r="AB112" s="70"/>
      <c r="AC112" s="69"/>
      <c r="AD112" s="70"/>
      <c r="AE112" s="69"/>
      <c r="AF112" s="70"/>
      <c r="AG112" s="69"/>
      <c r="AH112" s="70"/>
      <c r="AI112" s="69"/>
      <c r="AJ112" s="70"/>
      <c r="AK112" s="69"/>
      <c r="AL112" s="70"/>
      <c r="AM112" s="69"/>
      <c r="AN112" s="70"/>
      <c r="AO112" s="69"/>
      <c r="AP112" s="70"/>
      <c r="AQ112" s="69"/>
      <c r="AR112" s="70"/>
      <c r="AS112" s="69"/>
      <c r="AT112" s="70"/>
      <c r="AU112" s="69"/>
      <c r="AV112" s="70"/>
      <c r="AW112" s="69"/>
      <c r="AX112" s="70"/>
      <c r="AY112" s="69"/>
      <c r="AZ112" s="70"/>
      <c r="BA112" s="69"/>
      <c r="BB112" s="70"/>
      <c r="BC112" s="69"/>
      <c r="BD112" s="70"/>
      <c r="BE112" s="69"/>
      <c r="BF112" s="70"/>
      <c r="BG112" s="69"/>
      <c r="BH112" s="70"/>
      <c r="BI112" s="69"/>
      <c r="BJ112" s="70"/>
      <c r="BK112" s="69"/>
      <c r="BL112" s="70"/>
      <c r="BM112" s="69"/>
      <c r="BN112" s="71"/>
      <c r="BO112" s="182" t="str">
        <f t="shared" si="190"/>
        <v/>
      </c>
      <c r="BP112" s="70"/>
      <c r="BQ112" s="73"/>
    </row>
    <row r="113" spans="1:69" x14ac:dyDescent="0.35">
      <c r="A113" s="53" t="s">
        <v>73</v>
      </c>
      <c r="B113" s="54"/>
      <c r="C113" s="67"/>
      <c r="D113" s="68"/>
      <c r="E113" s="69"/>
      <c r="F113" s="70"/>
      <c r="G113" s="69"/>
      <c r="H113" s="70"/>
      <c r="I113" s="69"/>
      <c r="J113" s="70"/>
      <c r="K113" s="69"/>
      <c r="L113" s="70"/>
      <c r="M113" s="69"/>
      <c r="N113" s="70"/>
      <c r="O113" s="69"/>
      <c r="P113" s="70"/>
      <c r="Q113" s="69"/>
      <c r="R113" s="70"/>
      <c r="S113" s="69"/>
      <c r="T113" s="70"/>
      <c r="U113" s="69"/>
      <c r="V113" s="70"/>
      <c r="W113" s="69"/>
      <c r="X113" s="70"/>
      <c r="Y113" s="69"/>
      <c r="Z113" s="70"/>
      <c r="AA113" s="69"/>
      <c r="AB113" s="70"/>
      <c r="AC113" s="69"/>
      <c r="AD113" s="70"/>
      <c r="AE113" s="69"/>
      <c r="AF113" s="70"/>
      <c r="AG113" s="69"/>
      <c r="AH113" s="70"/>
      <c r="AI113" s="69"/>
      <c r="AJ113" s="70"/>
      <c r="AK113" s="69"/>
      <c r="AL113" s="70"/>
      <c r="AM113" s="69"/>
      <c r="AN113" s="70"/>
      <c r="AO113" s="69"/>
      <c r="AP113" s="70"/>
      <c r="AQ113" s="69"/>
      <c r="AR113" s="70"/>
      <c r="AS113" s="69"/>
      <c r="AT113" s="70"/>
      <c r="AU113" s="69"/>
      <c r="AV113" s="70"/>
      <c r="AW113" s="69"/>
      <c r="AX113" s="70"/>
      <c r="AY113" s="69"/>
      <c r="AZ113" s="70"/>
      <c r="BA113" s="69"/>
      <c r="BB113" s="70"/>
      <c r="BC113" s="69"/>
      <c r="BD113" s="70"/>
      <c r="BE113" s="69"/>
      <c r="BF113" s="70"/>
      <c r="BG113" s="69"/>
      <c r="BH113" s="70"/>
      <c r="BI113" s="69"/>
      <c r="BJ113" s="70"/>
      <c r="BK113" s="69"/>
      <c r="BL113" s="70"/>
      <c r="BM113" s="69"/>
      <c r="BN113" s="71"/>
      <c r="BO113" s="182" t="str">
        <f t="shared" si="190"/>
        <v/>
      </c>
      <c r="BP113" s="70"/>
      <c r="BQ113" s="73"/>
    </row>
    <row r="114" spans="1:69" x14ac:dyDescent="0.35">
      <c r="A114" s="53" t="s">
        <v>70</v>
      </c>
      <c r="B114" s="54"/>
      <c r="C114" s="67"/>
      <c r="D114" s="68"/>
      <c r="E114" s="69"/>
      <c r="F114" s="70"/>
      <c r="G114" s="69"/>
      <c r="H114" s="70"/>
      <c r="I114" s="69"/>
      <c r="J114" s="70"/>
      <c r="K114" s="69"/>
      <c r="L114" s="70"/>
      <c r="M114" s="69"/>
      <c r="N114" s="70"/>
      <c r="O114" s="69"/>
      <c r="P114" s="70"/>
      <c r="Q114" s="69"/>
      <c r="R114" s="70"/>
      <c r="S114" s="69"/>
      <c r="T114" s="70"/>
      <c r="U114" s="69"/>
      <c r="V114" s="70"/>
      <c r="W114" s="69"/>
      <c r="X114" s="70"/>
      <c r="Y114" s="69"/>
      <c r="Z114" s="70"/>
      <c r="AA114" s="69"/>
      <c r="AB114" s="70"/>
      <c r="AC114" s="69"/>
      <c r="AD114" s="70"/>
      <c r="AE114" s="69"/>
      <c r="AF114" s="70"/>
      <c r="AG114" s="69"/>
      <c r="AH114" s="70"/>
      <c r="AI114" s="69"/>
      <c r="AJ114" s="70"/>
      <c r="AK114" s="69"/>
      <c r="AL114" s="70"/>
      <c r="AM114" s="69"/>
      <c r="AN114" s="70"/>
      <c r="AO114" s="69"/>
      <c r="AP114" s="70"/>
      <c r="AQ114" s="69"/>
      <c r="AR114" s="70"/>
      <c r="AS114" s="69"/>
      <c r="AT114" s="70"/>
      <c r="AU114" s="69"/>
      <c r="AV114" s="70"/>
      <c r="AW114" s="69"/>
      <c r="AX114" s="70"/>
      <c r="AY114" s="69"/>
      <c r="AZ114" s="70"/>
      <c r="BA114" s="69"/>
      <c r="BB114" s="70"/>
      <c r="BC114" s="69"/>
      <c r="BD114" s="70"/>
      <c r="BE114" s="69"/>
      <c r="BF114" s="70"/>
      <c r="BG114" s="69"/>
      <c r="BH114" s="70"/>
      <c r="BI114" s="69"/>
      <c r="BJ114" s="70"/>
      <c r="BK114" s="69"/>
      <c r="BL114" s="70"/>
      <c r="BM114" s="69"/>
      <c r="BN114" s="71"/>
      <c r="BO114" s="182" t="str">
        <f t="shared" si="190"/>
        <v/>
      </c>
      <c r="BP114" s="70"/>
      <c r="BQ114" s="73"/>
    </row>
    <row r="115" spans="1:69" x14ac:dyDescent="0.35">
      <c r="A115" s="53" t="s">
        <v>27</v>
      </c>
      <c r="B115" s="54"/>
      <c r="C115" s="67"/>
      <c r="D115" s="68"/>
      <c r="E115" s="69"/>
      <c r="F115" s="70"/>
      <c r="G115" s="69"/>
      <c r="H115" s="70"/>
      <c r="I115" s="69"/>
      <c r="J115" s="70"/>
      <c r="K115" s="69"/>
      <c r="L115" s="70"/>
      <c r="M115" s="69"/>
      <c r="N115" s="70"/>
      <c r="O115" s="69"/>
      <c r="P115" s="70"/>
      <c r="Q115" s="69"/>
      <c r="R115" s="70"/>
      <c r="S115" s="69"/>
      <c r="T115" s="70"/>
      <c r="U115" s="69"/>
      <c r="V115" s="70"/>
      <c r="W115" s="69"/>
      <c r="X115" s="70"/>
      <c r="Y115" s="69"/>
      <c r="Z115" s="70"/>
      <c r="AA115" s="69"/>
      <c r="AB115" s="70"/>
      <c r="AC115" s="69"/>
      <c r="AD115" s="70"/>
      <c r="AE115" s="69"/>
      <c r="AF115" s="70"/>
      <c r="AG115" s="69"/>
      <c r="AH115" s="70"/>
      <c r="AI115" s="69"/>
      <c r="AJ115" s="70"/>
      <c r="AK115" s="69"/>
      <c r="AL115" s="70"/>
      <c r="AM115" s="69"/>
      <c r="AN115" s="70"/>
      <c r="AO115" s="69"/>
      <c r="AP115" s="70"/>
      <c r="AQ115" s="69"/>
      <c r="AR115" s="70"/>
      <c r="AS115" s="69"/>
      <c r="AT115" s="70"/>
      <c r="AU115" s="69"/>
      <c r="AV115" s="70"/>
      <c r="AW115" s="69"/>
      <c r="AX115" s="70"/>
      <c r="AY115" s="69"/>
      <c r="AZ115" s="70"/>
      <c r="BA115" s="69"/>
      <c r="BB115" s="70"/>
      <c r="BC115" s="69"/>
      <c r="BD115" s="70"/>
      <c r="BE115" s="69"/>
      <c r="BF115" s="70"/>
      <c r="BG115" s="69"/>
      <c r="BH115" s="70"/>
      <c r="BI115" s="69"/>
      <c r="BJ115" s="70"/>
      <c r="BK115" s="69"/>
      <c r="BL115" s="70"/>
      <c r="BM115" s="69"/>
      <c r="BN115" s="71"/>
      <c r="BO115" s="182" t="str">
        <f t="shared" si="190"/>
        <v/>
      </c>
      <c r="BP115" s="70"/>
      <c r="BQ115" s="73"/>
    </row>
    <row r="116" spans="1:69" x14ac:dyDescent="0.35">
      <c r="A116" s="53" t="s">
        <v>28</v>
      </c>
      <c r="B116" s="54"/>
      <c r="C116" s="67"/>
      <c r="D116" s="68"/>
      <c r="E116" s="69"/>
      <c r="F116" s="70"/>
      <c r="G116" s="69"/>
      <c r="H116" s="70"/>
      <c r="I116" s="69"/>
      <c r="J116" s="70"/>
      <c r="K116" s="69"/>
      <c r="L116" s="70"/>
      <c r="M116" s="69"/>
      <c r="N116" s="70"/>
      <c r="O116" s="69"/>
      <c r="P116" s="70"/>
      <c r="Q116" s="69"/>
      <c r="R116" s="70"/>
      <c r="S116" s="69"/>
      <c r="T116" s="70"/>
      <c r="U116" s="69"/>
      <c r="V116" s="70"/>
      <c r="W116" s="69"/>
      <c r="X116" s="70"/>
      <c r="Y116" s="69"/>
      <c r="Z116" s="70"/>
      <c r="AA116" s="69"/>
      <c r="AB116" s="70"/>
      <c r="AC116" s="69"/>
      <c r="AD116" s="70"/>
      <c r="AE116" s="69"/>
      <c r="AF116" s="70"/>
      <c r="AG116" s="69"/>
      <c r="AH116" s="70"/>
      <c r="AI116" s="69"/>
      <c r="AJ116" s="70"/>
      <c r="AK116" s="69"/>
      <c r="AL116" s="70"/>
      <c r="AM116" s="69"/>
      <c r="AN116" s="70"/>
      <c r="AO116" s="69"/>
      <c r="AP116" s="70"/>
      <c r="AQ116" s="69"/>
      <c r="AR116" s="70"/>
      <c r="AS116" s="69"/>
      <c r="AT116" s="70"/>
      <c r="AU116" s="69"/>
      <c r="AV116" s="70"/>
      <c r="AW116" s="69"/>
      <c r="AX116" s="70"/>
      <c r="AY116" s="69"/>
      <c r="AZ116" s="70"/>
      <c r="BA116" s="69"/>
      <c r="BB116" s="70"/>
      <c r="BC116" s="69"/>
      <c r="BD116" s="70"/>
      <c r="BE116" s="69"/>
      <c r="BF116" s="70"/>
      <c r="BG116" s="69"/>
      <c r="BH116" s="70"/>
      <c r="BI116" s="69"/>
      <c r="BJ116" s="70"/>
      <c r="BK116" s="69"/>
      <c r="BL116" s="70"/>
      <c r="BM116" s="69"/>
      <c r="BN116" s="71"/>
      <c r="BO116" s="182" t="str">
        <f t="shared" si="190"/>
        <v/>
      </c>
      <c r="BP116" s="70"/>
      <c r="BQ116" s="73"/>
    </row>
    <row r="117" spans="1:69" x14ac:dyDescent="0.35">
      <c r="A117" s="53" t="s">
        <v>29</v>
      </c>
      <c r="B117" s="54"/>
      <c r="C117" s="67"/>
      <c r="D117" s="68"/>
      <c r="E117" s="69"/>
      <c r="F117" s="70"/>
      <c r="G117" s="69"/>
      <c r="H117" s="70"/>
      <c r="I117" s="69"/>
      <c r="J117" s="70"/>
      <c r="K117" s="69"/>
      <c r="L117" s="70"/>
      <c r="M117" s="69"/>
      <c r="N117" s="70"/>
      <c r="O117" s="69"/>
      <c r="P117" s="70"/>
      <c r="Q117" s="69"/>
      <c r="R117" s="70"/>
      <c r="S117" s="69"/>
      <c r="T117" s="70"/>
      <c r="U117" s="69"/>
      <c r="V117" s="70"/>
      <c r="W117" s="69"/>
      <c r="X117" s="70"/>
      <c r="Y117" s="69"/>
      <c r="Z117" s="70"/>
      <c r="AA117" s="69"/>
      <c r="AB117" s="70"/>
      <c r="AC117" s="69"/>
      <c r="AD117" s="70"/>
      <c r="AE117" s="69"/>
      <c r="AF117" s="70"/>
      <c r="AG117" s="69"/>
      <c r="AH117" s="70"/>
      <c r="AI117" s="69"/>
      <c r="AJ117" s="70"/>
      <c r="AK117" s="69"/>
      <c r="AL117" s="70"/>
      <c r="AM117" s="69"/>
      <c r="AN117" s="70"/>
      <c r="AO117" s="69"/>
      <c r="AP117" s="70"/>
      <c r="AQ117" s="69"/>
      <c r="AR117" s="70"/>
      <c r="AS117" s="69"/>
      <c r="AT117" s="70"/>
      <c r="AU117" s="69"/>
      <c r="AV117" s="70"/>
      <c r="AW117" s="69"/>
      <c r="AX117" s="70"/>
      <c r="AY117" s="69"/>
      <c r="AZ117" s="70"/>
      <c r="BA117" s="69"/>
      <c r="BB117" s="70"/>
      <c r="BC117" s="69"/>
      <c r="BD117" s="70"/>
      <c r="BE117" s="69"/>
      <c r="BF117" s="70"/>
      <c r="BG117" s="69"/>
      <c r="BH117" s="70"/>
      <c r="BI117" s="69"/>
      <c r="BJ117" s="70"/>
      <c r="BK117" s="69"/>
      <c r="BL117" s="70"/>
      <c r="BM117" s="69"/>
      <c r="BN117" s="71"/>
      <c r="BO117" s="182" t="str">
        <f t="shared" si="190"/>
        <v/>
      </c>
      <c r="BP117" s="70"/>
      <c r="BQ117" s="73"/>
    </row>
    <row r="118" spans="1:69" x14ac:dyDescent="0.35">
      <c r="A118" s="74"/>
      <c r="B118" s="75"/>
      <c r="C118" s="153"/>
      <c r="D118" s="77"/>
      <c r="E118" s="78"/>
      <c r="F118" s="79"/>
      <c r="G118" s="78"/>
      <c r="H118" s="79"/>
      <c r="I118" s="78"/>
      <c r="J118" s="79"/>
      <c r="K118" s="78"/>
      <c r="L118" s="79"/>
      <c r="M118" s="78"/>
      <c r="N118" s="79"/>
      <c r="O118" s="78"/>
      <c r="P118" s="79"/>
      <c r="Q118" s="78"/>
      <c r="R118" s="79"/>
      <c r="S118" s="78"/>
      <c r="T118" s="79"/>
      <c r="U118" s="78"/>
      <c r="V118" s="79"/>
      <c r="W118" s="78"/>
      <c r="X118" s="79"/>
      <c r="Y118" s="78"/>
      <c r="Z118" s="79"/>
      <c r="AA118" s="78"/>
      <c r="AB118" s="79"/>
      <c r="AC118" s="78"/>
      <c r="AD118" s="79"/>
      <c r="AE118" s="78"/>
      <c r="AF118" s="79"/>
      <c r="AG118" s="78"/>
      <c r="AH118" s="79"/>
      <c r="AI118" s="78"/>
      <c r="AJ118" s="79"/>
      <c r="AK118" s="78"/>
      <c r="AL118" s="79"/>
      <c r="AM118" s="78"/>
      <c r="AN118" s="79"/>
      <c r="AO118" s="78"/>
      <c r="AP118" s="79"/>
      <c r="AQ118" s="78"/>
      <c r="AR118" s="79"/>
      <c r="AS118" s="78"/>
      <c r="AT118" s="79"/>
      <c r="AU118" s="78"/>
      <c r="AV118" s="79"/>
      <c r="AW118" s="78"/>
      <c r="AX118" s="79"/>
      <c r="AY118" s="78"/>
      <c r="AZ118" s="79"/>
      <c r="BA118" s="78"/>
      <c r="BB118" s="79"/>
      <c r="BC118" s="78"/>
      <c r="BD118" s="79"/>
      <c r="BE118" s="78"/>
      <c r="BF118" s="79"/>
      <c r="BG118" s="78"/>
      <c r="BH118" s="79"/>
      <c r="BI118" s="78"/>
      <c r="BJ118" s="79"/>
      <c r="BK118" s="78"/>
      <c r="BL118" s="79"/>
      <c r="BM118" s="78"/>
      <c r="BN118" s="80"/>
      <c r="BO118" s="195" t="str">
        <f t="shared" si="190"/>
        <v/>
      </c>
      <c r="BP118" s="79"/>
      <c r="BQ118" s="82"/>
    </row>
    <row r="119" spans="1:69" x14ac:dyDescent="0.35">
      <c r="A119" s="53" t="s">
        <v>55</v>
      </c>
      <c r="B119" s="54"/>
      <c r="C119" s="67"/>
      <c r="D119" s="68"/>
      <c r="E119" s="69"/>
      <c r="F119" s="70"/>
      <c r="G119" s="69"/>
      <c r="H119" s="70"/>
      <c r="I119" s="69"/>
      <c r="J119" s="70"/>
      <c r="K119" s="69"/>
      <c r="L119" s="70"/>
      <c r="M119" s="69"/>
      <c r="N119" s="70"/>
      <c r="O119" s="69"/>
      <c r="P119" s="70"/>
      <c r="Q119" s="69"/>
      <c r="R119" s="70"/>
      <c r="S119" s="69"/>
      <c r="T119" s="70"/>
      <c r="U119" s="69"/>
      <c r="V119" s="70"/>
      <c r="W119" s="69"/>
      <c r="X119" s="70"/>
      <c r="Y119" s="69"/>
      <c r="Z119" s="70"/>
      <c r="AA119" s="69"/>
      <c r="AB119" s="70"/>
      <c r="AC119" s="69"/>
      <c r="AD119" s="70"/>
      <c r="AE119" s="69"/>
      <c r="AF119" s="70"/>
      <c r="AG119" s="69"/>
      <c r="AH119" s="70"/>
      <c r="AI119" s="69"/>
      <c r="AJ119" s="70"/>
      <c r="AK119" s="69"/>
      <c r="AL119" s="70"/>
      <c r="AM119" s="69"/>
      <c r="AN119" s="70"/>
      <c r="AO119" s="69"/>
      <c r="AP119" s="70"/>
      <c r="AQ119" s="69"/>
      <c r="AR119" s="70"/>
      <c r="AS119" s="69"/>
      <c r="AT119" s="70"/>
      <c r="AU119" s="69"/>
      <c r="AV119" s="70"/>
      <c r="AW119" s="69"/>
      <c r="AX119" s="70"/>
      <c r="AY119" s="69"/>
      <c r="AZ119" s="70"/>
      <c r="BA119" s="69"/>
      <c r="BB119" s="70"/>
      <c r="BC119" s="69"/>
      <c r="BD119" s="70"/>
      <c r="BE119" s="69"/>
      <c r="BF119" s="70"/>
      <c r="BG119" s="69"/>
      <c r="BH119" s="70"/>
      <c r="BI119" s="69"/>
      <c r="BJ119" s="70"/>
      <c r="BK119" s="69"/>
      <c r="BL119" s="70"/>
      <c r="BM119" s="69"/>
      <c r="BN119" s="71"/>
      <c r="BO119" s="182" t="str">
        <f t="shared" si="190"/>
        <v/>
      </c>
      <c r="BP119" s="70"/>
      <c r="BQ119" s="73"/>
    </row>
    <row r="120" spans="1:69" ht="15" thickBot="1" x14ac:dyDescent="0.4">
      <c r="A120" s="154" t="s">
        <v>56</v>
      </c>
      <c r="B120" s="155"/>
      <c r="C120" s="156"/>
      <c r="D120" s="157"/>
      <c r="E120" s="158"/>
      <c r="F120" s="159"/>
      <c r="G120" s="158"/>
      <c r="H120" s="159"/>
      <c r="I120" s="158"/>
      <c r="J120" s="159"/>
      <c r="K120" s="158"/>
      <c r="L120" s="159"/>
      <c r="M120" s="158"/>
      <c r="N120" s="159"/>
      <c r="O120" s="158"/>
      <c r="P120" s="159"/>
      <c r="Q120" s="158"/>
      <c r="R120" s="159"/>
      <c r="S120" s="158"/>
      <c r="T120" s="159"/>
      <c r="U120" s="158"/>
      <c r="V120" s="159"/>
      <c r="W120" s="158"/>
      <c r="X120" s="159"/>
      <c r="Y120" s="158"/>
      <c r="Z120" s="159"/>
      <c r="AA120" s="158"/>
      <c r="AB120" s="159"/>
      <c r="AC120" s="158"/>
      <c r="AD120" s="159"/>
      <c r="AE120" s="158"/>
      <c r="AF120" s="159"/>
      <c r="AG120" s="158"/>
      <c r="AH120" s="159"/>
      <c r="AI120" s="158"/>
      <c r="AJ120" s="159"/>
      <c r="AK120" s="158"/>
      <c r="AL120" s="159"/>
      <c r="AM120" s="158"/>
      <c r="AN120" s="159"/>
      <c r="AO120" s="158"/>
      <c r="AP120" s="159"/>
      <c r="AQ120" s="158"/>
      <c r="AR120" s="159"/>
      <c r="AS120" s="158"/>
      <c r="AT120" s="159"/>
      <c r="AU120" s="158"/>
      <c r="AV120" s="159"/>
      <c r="AW120" s="158"/>
      <c r="AX120" s="159"/>
      <c r="AY120" s="158"/>
      <c r="AZ120" s="159"/>
      <c r="BA120" s="158"/>
      <c r="BB120" s="159"/>
      <c r="BC120" s="158"/>
      <c r="BD120" s="159"/>
      <c r="BE120" s="158"/>
      <c r="BF120" s="159"/>
      <c r="BG120" s="158"/>
      <c r="BH120" s="159"/>
      <c r="BI120" s="158"/>
      <c r="BJ120" s="159"/>
      <c r="BK120" s="158"/>
      <c r="BL120" s="159"/>
      <c r="BM120" s="158"/>
      <c r="BN120" s="160"/>
      <c r="BO120" s="196" t="str">
        <f t="shared" si="190"/>
        <v/>
      </c>
      <c r="BP120" s="159"/>
      <c r="BQ120" s="161"/>
    </row>
    <row r="121" spans="1:69" x14ac:dyDescent="0.35">
      <c r="AT121"/>
      <c r="AU121"/>
      <c r="AW121"/>
      <c r="BA121"/>
    </row>
    <row r="122" spans="1:69" x14ac:dyDescent="0.35">
      <c r="AT122"/>
      <c r="AU122"/>
      <c r="AW122"/>
      <c r="BA122"/>
    </row>
    <row r="123" spans="1:69" x14ac:dyDescent="0.35">
      <c r="AT123"/>
      <c r="AU123"/>
      <c r="AW123"/>
      <c r="BA123"/>
    </row>
    <row r="124" spans="1:69" x14ac:dyDescent="0.35">
      <c r="AT124"/>
      <c r="AU124"/>
      <c r="AW124"/>
      <c r="BA124"/>
    </row>
    <row r="125" spans="1:69" x14ac:dyDescent="0.35">
      <c r="AT125"/>
      <c r="AU125"/>
      <c r="AW125"/>
      <c r="BA125"/>
    </row>
    <row r="126" spans="1:69" x14ac:dyDescent="0.35">
      <c r="AT126"/>
      <c r="AU126"/>
      <c r="AW126"/>
      <c r="BA126"/>
    </row>
    <row r="127" spans="1:69" x14ac:dyDescent="0.35">
      <c r="AT127"/>
      <c r="AU127"/>
      <c r="AW127"/>
      <c r="BA127"/>
    </row>
    <row r="128" spans="1:69" x14ac:dyDescent="0.35">
      <c r="AT128"/>
      <c r="AU128"/>
      <c r="AW128"/>
      <c r="BA128"/>
    </row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</sheetData>
  <sheetProtection sheet="1" objects="1" scenarios="1"/>
  <mergeCells count="100">
    <mergeCell ref="AD5:AE5"/>
    <mergeCell ref="A1:BQ1"/>
    <mergeCell ref="A2:BQ2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BB5:BC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P5:BQ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BD5:BE5"/>
    <mergeCell ref="BF5:BG5"/>
    <mergeCell ref="BH5:BI5"/>
    <mergeCell ref="BJ5:BK5"/>
    <mergeCell ref="BL5:BM5"/>
    <mergeCell ref="BN5:BO5"/>
    <mergeCell ref="AR6:AS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BP6:BQ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Z12:AA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AX12:AY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BL12:BM12"/>
    <mergeCell ref="BP12:BQ12"/>
    <mergeCell ref="AZ12:BA12"/>
    <mergeCell ref="BB12:BC12"/>
    <mergeCell ref="BD12:BE12"/>
    <mergeCell ref="BF12:BG12"/>
    <mergeCell ref="BH12:BI12"/>
    <mergeCell ref="BJ12:BK12"/>
  </mergeCells>
  <conditionalFormatting sqref="D77:BL88">
    <cfRule type="cellIs" dxfId="79" priority="9" operator="lessThan">
      <formula>0</formula>
    </cfRule>
  </conditionalFormatting>
  <conditionalFormatting sqref="D7:BM11 BP7:BQ104 BO7:BO120">
    <cfRule type="cellIs" dxfId="78" priority="1" operator="lessThan">
      <formula>0</formula>
    </cfRule>
  </conditionalFormatting>
  <conditionalFormatting sqref="D22:BM22">
    <cfRule type="cellIs" dxfId="77" priority="2" operator="lessThan">
      <formula>0</formula>
    </cfRule>
  </conditionalFormatting>
  <conditionalFormatting sqref="D30:BM31">
    <cfRule type="cellIs" dxfId="76" priority="3" operator="lessThan">
      <formula>0</formula>
    </cfRule>
  </conditionalFormatting>
  <conditionalFormatting sqref="D42:BM42">
    <cfRule type="cellIs" dxfId="75" priority="4" operator="lessThan">
      <formula>0</formula>
    </cfRule>
  </conditionalFormatting>
  <conditionalFormatting sqref="D49:BM50">
    <cfRule type="cellIs" dxfId="74" priority="5" operator="lessThan">
      <formula>0</formula>
    </cfRule>
  </conditionalFormatting>
  <conditionalFormatting sqref="D54:BM54">
    <cfRule type="cellIs" dxfId="73" priority="6" operator="lessThan">
      <formula>0</formula>
    </cfRule>
  </conditionalFormatting>
  <conditionalFormatting sqref="D57:BM59">
    <cfRule type="cellIs" dxfId="72" priority="7" operator="lessThan">
      <formula>0</formula>
    </cfRule>
  </conditionalFormatting>
  <conditionalFormatting sqref="D61:BM75">
    <cfRule type="cellIs" dxfId="71" priority="8" operator="lessThan">
      <formula>0</formula>
    </cfRule>
  </conditionalFormatting>
  <conditionalFormatting sqref="E91:BM104">
    <cfRule type="cellIs" dxfId="70" priority="10" operator="lessThan">
      <formula>0</formula>
    </cfRule>
  </conditionalFormatting>
  <pageMargins left="0.25" right="0.25" top="0.75" bottom="0.75" header="0.3" footer="0.3"/>
  <pageSetup scale="1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2738-2099-459E-954B-2CE2DF537364}">
  <sheetPr>
    <pageSetUpPr fitToPage="1"/>
  </sheetPr>
  <dimension ref="A1:BX134"/>
  <sheetViews>
    <sheetView zoomScaleNormal="100" workbookViewId="0">
      <pane xSplit="1" ySplit="12" topLeftCell="B13" activePane="bottomRight" state="frozen"/>
      <selection pane="topRight" activeCell="B1" sqref="B1"/>
      <selection pane="bottomLeft" activeCell="A9" sqref="A9"/>
      <selection pane="bottomRight" activeCell="A13" sqref="A13:XFD13"/>
    </sheetView>
  </sheetViews>
  <sheetFormatPr defaultRowHeight="14.5" x14ac:dyDescent="0.35"/>
  <cols>
    <col min="1" max="1" width="28.54296875" customWidth="1"/>
    <col min="2" max="2" width="15.26953125" customWidth="1"/>
    <col min="3" max="3" width="18.1796875" customWidth="1"/>
    <col min="4" max="45" width="11.81640625" customWidth="1"/>
    <col min="46" max="47" width="11.81640625" style="3" customWidth="1"/>
    <col min="48" max="48" width="11.81640625" customWidth="1"/>
    <col min="49" max="49" width="11.81640625" style="3" customWidth="1"/>
    <col min="50" max="52" width="11.81640625" customWidth="1"/>
    <col min="53" max="53" width="11.81640625" style="3" customWidth="1"/>
    <col min="54" max="65" width="11.81640625" customWidth="1"/>
    <col min="66" max="69" width="15.54296875" customWidth="1"/>
    <col min="70" max="70" width="12.7265625" customWidth="1"/>
    <col min="71" max="71" width="11.1796875" bestFit="1" customWidth="1"/>
    <col min="72" max="72" width="14.81640625" customWidth="1"/>
    <col min="73" max="73" width="8.81640625" customWidth="1"/>
    <col min="74" max="74" width="11.26953125" customWidth="1"/>
    <col min="75" max="75" width="9.26953125" bestFit="1" customWidth="1"/>
    <col min="76" max="76" width="13.453125" customWidth="1"/>
  </cols>
  <sheetData>
    <row r="1" spans="1:76" ht="48" customHeight="1" x14ac:dyDescent="0.35">
      <c r="A1" s="241" t="str">
        <f>"TEXAN FILLING STATION — "&amp;UPPER(TEXT(B3,"MMMM YYYY"))&amp;" DAILY CONTROL"</f>
        <v>TEXAN FILLING STATION — FEBRUARY 2027 DAILY CONTROL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  <c r="BL1" s="233"/>
      <c r="BM1" s="233"/>
      <c r="BN1" s="233"/>
      <c r="BO1" s="233"/>
      <c r="BP1" s="233"/>
      <c r="BQ1" s="233"/>
    </row>
    <row r="2" spans="1:76" ht="24" customHeight="1" x14ac:dyDescent="0.35">
      <c r="A2" s="234" t="s">
        <v>108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  <c r="BP2" s="234"/>
      <c r="BQ2" s="234"/>
    </row>
    <row r="3" spans="1:76" x14ac:dyDescent="0.35">
      <c r="A3" s="26" t="s">
        <v>109</v>
      </c>
      <c r="B3" s="27">
        <v>46419</v>
      </c>
      <c r="C3" s="28" t="s">
        <v>110</v>
      </c>
      <c r="D3" s="28" t="s">
        <v>111</v>
      </c>
      <c r="E3" s="29" t="s">
        <v>112</v>
      </c>
      <c r="F3" s="30" t="s">
        <v>113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2"/>
      <c r="AU3" s="32"/>
      <c r="AV3" s="31"/>
      <c r="AW3" s="32"/>
      <c r="AX3" s="31"/>
      <c r="AY3" s="31"/>
      <c r="AZ3" s="31"/>
      <c r="BA3" s="32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</row>
    <row r="4" spans="1:76" ht="15" thickBot="1" x14ac:dyDescent="0.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2"/>
      <c r="AU4" s="32"/>
      <c r="AV4" s="31"/>
      <c r="AW4" s="32"/>
      <c r="AX4" s="31"/>
      <c r="AY4" s="31"/>
      <c r="AZ4" s="31"/>
      <c r="BA4" s="32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</row>
    <row r="5" spans="1:76" ht="16.149999999999999" customHeight="1" x14ac:dyDescent="0.35">
      <c r="A5" s="164">
        <f>68*0.1</f>
        <v>6.8000000000000007</v>
      </c>
      <c r="B5" s="33"/>
      <c r="C5" s="34" t="s">
        <v>116</v>
      </c>
      <c r="D5" s="235" t="str">
        <f>IF(D6="","",UPPER(TEXT(D6,"dddd")))</f>
        <v>MONDAY</v>
      </c>
      <c r="E5" s="229"/>
      <c r="F5" s="228" t="str">
        <f>IF(F6="","",UPPER(TEXT(F6,"dddd")))</f>
        <v>TUESDAY</v>
      </c>
      <c r="G5" s="229"/>
      <c r="H5" s="228" t="str">
        <f>IF(H6="","",UPPER(TEXT(H6,"dddd")))</f>
        <v>WEDNESDAY</v>
      </c>
      <c r="I5" s="229"/>
      <c r="J5" s="228" t="str">
        <f>IF(J6="","",UPPER(TEXT(J6,"dddd")))</f>
        <v>THURSDAY</v>
      </c>
      <c r="K5" s="229"/>
      <c r="L5" s="228" t="str">
        <f>IF(L6="","",UPPER(TEXT(L6,"dddd")))</f>
        <v>FRIDAY</v>
      </c>
      <c r="M5" s="229"/>
      <c r="N5" s="228" t="str">
        <f>IF(N6="","",UPPER(TEXT(N6,"dddd")))</f>
        <v>SATURDAY</v>
      </c>
      <c r="O5" s="229"/>
      <c r="P5" s="228" t="str">
        <f>IF(P6="","",UPPER(TEXT(P6,"dddd")))</f>
        <v>SUNDAY</v>
      </c>
      <c r="Q5" s="229"/>
      <c r="R5" s="228" t="str">
        <f>IF(R6="","",UPPER(TEXT(R6,"dddd")))</f>
        <v>MONDAY</v>
      </c>
      <c r="S5" s="229"/>
      <c r="T5" s="228" t="str">
        <f>IF(T6="","",UPPER(TEXT(T6,"dddd")))</f>
        <v>TUESDAY</v>
      </c>
      <c r="U5" s="229"/>
      <c r="V5" s="228" t="str">
        <f>IF(V6="","",UPPER(TEXT(V6,"dddd")))</f>
        <v>WEDNESDAY</v>
      </c>
      <c r="W5" s="229"/>
      <c r="X5" s="228" t="str">
        <f>IF(X6="","",UPPER(TEXT(X6,"dddd")))</f>
        <v>THURSDAY</v>
      </c>
      <c r="Y5" s="229"/>
      <c r="Z5" s="228" t="str">
        <f>IF(Z6="","",UPPER(TEXT(Z6,"dddd")))</f>
        <v>FRIDAY</v>
      </c>
      <c r="AA5" s="229"/>
      <c r="AB5" s="228" t="str">
        <f>IF(AB6="","",UPPER(TEXT(AB6,"dddd")))</f>
        <v>SATURDAY</v>
      </c>
      <c r="AC5" s="229"/>
      <c r="AD5" s="228" t="str">
        <f>IF(AD6="","",UPPER(TEXT(AD6,"dddd")))</f>
        <v>SUNDAY</v>
      </c>
      <c r="AE5" s="229"/>
      <c r="AF5" s="228" t="str">
        <f>IF(AF6="","",UPPER(TEXT(AF6,"dddd")))</f>
        <v>MONDAY</v>
      </c>
      <c r="AG5" s="229"/>
      <c r="AH5" s="228" t="str">
        <f>IF(AH6="","",UPPER(TEXT(AH6,"dddd")))</f>
        <v>TUESDAY</v>
      </c>
      <c r="AI5" s="229"/>
      <c r="AJ5" s="228" t="str">
        <f>IF(AJ6="","",UPPER(TEXT(AJ6,"dddd")))</f>
        <v>WEDNESDAY</v>
      </c>
      <c r="AK5" s="229"/>
      <c r="AL5" s="228" t="str">
        <f>IF(AL6="","",UPPER(TEXT(AL6,"dddd")))</f>
        <v>THURSDAY</v>
      </c>
      <c r="AM5" s="229"/>
      <c r="AN5" s="228" t="str">
        <f>IF(AN6="","",UPPER(TEXT(AN6,"dddd")))</f>
        <v>FRIDAY</v>
      </c>
      <c r="AO5" s="229"/>
      <c r="AP5" s="228" t="str">
        <f>IF(AP6="","",UPPER(TEXT(AP6,"dddd")))</f>
        <v>SATURDAY</v>
      </c>
      <c r="AQ5" s="229"/>
      <c r="AR5" s="228" t="str">
        <f>IF(AR6="","",UPPER(TEXT(AR6,"dddd")))</f>
        <v>SUNDAY</v>
      </c>
      <c r="AS5" s="229"/>
      <c r="AT5" s="228" t="str">
        <f>IF(AT6="","",UPPER(TEXT(AT6,"dddd")))</f>
        <v>MONDAY</v>
      </c>
      <c r="AU5" s="229"/>
      <c r="AV5" s="228" t="str">
        <f>IF(AV6="","",UPPER(TEXT(AV6,"dddd")))</f>
        <v>TUESDAY</v>
      </c>
      <c r="AW5" s="229"/>
      <c r="AX5" s="228" t="str">
        <f>IF(AX6="","",UPPER(TEXT(AX6,"dddd")))</f>
        <v>WEDNESDAY</v>
      </c>
      <c r="AY5" s="229"/>
      <c r="AZ5" s="228" t="str">
        <f>IF(AZ6="","",UPPER(TEXT(AZ6,"dddd")))</f>
        <v>THURSDAY</v>
      </c>
      <c r="BA5" s="229"/>
      <c r="BB5" s="228" t="str">
        <f>IF(BB6="","",UPPER(TEXT(BB6,"dddd")))</f>
        <v>FRIDAY</v>
      </c>
      <c r="BC5" s="229"/>
      <c r="BD5" s="228" t="str">
        <f>IF(BD6="","",UPPER(TEXT(BD6,"dddd")))</f>
        <v>SATURDAY</v>
      </c>
      <c r="BE5" s="229"/>
      <c r="BF5" s="228" t="str">
        <f>IF(BF6="","",UPPER(TEXT(BF6,"dddd")))</f>
        <v>SUNDAY</v>
      </c>
      <c r="BG5" s="229"/>
      <c r="BH5" s="228" t="str">
        <f>IF(BH6="","",UPPER(TEXT(BH6,"dddd")))</f>
        <v/>
      </c>
      <c r="BI5" s="229"/>
      <c r="BJ5" s="228" t="str">
        <f>IF(BJ6="","",UPPER(TEXT(BJ6,"dddd")))</f>
        <v/>
      </c>
      <c r="BK5" s="229"/>
      <c r="BL5" s="228" t="str">
        <f>IF(BL6="","",UPPER(TEXT(BL6,"dddd")))</f>
        <v/>
      </c>
      <c r="BM5" s="229"/>
      <c r="BN5" s="230" t="s">
        <v>114</v>
      </c>
      <c r="BO5" s="231"/>
      <c r="BP5" s="225" t="s">
        <v>118</v>
      </c>
      <c r="BQ5" s="226"/>
    </row>
    <row r="6" spans="1:76" x14ac:dyDescent="0.35">
      <c r="A6" s="35"/>
      <c r="B6" s="36"/>
      <c r="C6" s="37" t="s">
        <v>117</v>
      </c>
      <c r="D6" s="227">
        <f>IF($B$3="","",IF(MONTH($B$3+0)=MONTH($B$3),$B$3+0,""))</f>
        <v>46419</v>
      </c>
      <c r="E6" s="222"/>
      <c r="F6" s="220">
        <f>IF($B$3="","",IF(MONTH($B$3+1)=MONTH($B$3),$B$3+1,""))</f>
        <v>46420</v>
      </c>
      <c r="G6" s="222"/>
      <c r="H6" s="220">
        <f>IF($B$3="","",IF(MONTH($B$3+2)=MONTH($B$3),$B$3+2,""))</f>
        <v>46421</v>
      </c>
      <c r="I6" s="222"/>
      <c r="J6" s="220">
        <f>IF($B$3="","",IF(MONTH($B$3+3)=MONTH($B$3),$B$3+3,""))</f>
        <v>46422</v>
      </c>
      <c r="K6" s="222"/>
      <c r="L6" s="220">
        <f>IF($B$3="","",IF(MONTH($B$3+4)=MONTH($B$3),$B$3+4,""))</f>
        <v>46423</v>
      </c>
      <c r="M6" s="222"/>
      <c r="N6" s="220">
        <f>IF($B$3="","",IF(MONTH($B$3+5)=MONTH($B$3),$B$3+5,""))</f>
        <v>46424</v>
      </c>
      <c r="O6" s="222"/>
      <c r="P6" s="220">
        <f>IF($B$3="","",IF(MONTH($B$3+6)=MONTH($B$3),$B$3+6,""))</f>
        <v>46425</v>
      </c>
      <c r="Q6" s="222"/>
      <c r="R6" s="220">
        <f>IF($B$3="","",IF(MONTH($B$3+7)=MONTH($B$3),$B$3+7,""))</f>
        <v>46426</v>
      </c>
      <c r="S6" s="222"/>
      <c r="T6" s="220">
        <f>IF($B$3="","",IF(MONTH($B$3+8)=MONTH($B$3),$B$3+8,""))</f>
        <v>46427</v>
      </c>
      <c r="U6" s="222"/>
      <c r="V6" s="220">
        <f>IF($B$3="","",IF(MONTH($B$3+9)=MONTH($B$3),$B$3+9,""))</f>
        <v>46428</v>
      </c>
      <c r="W6" s="222"/>
      <c r="X6" s="220">
        <f>IF($B$3="","",IF(MONTH($B$3+10)=MONTH($B$3),$B$3+10,""))</f>
        <v>46429</v>
      </c>
      <c r="Y6" s="222"/>
      <c r="Z6" s="220">
        <f>IF($B$3="","",IF(MONTH($B$3+11)=MONTH($B$3),$B$3+11,""))</f>
        <v>46430</v>
      </c>
      <c r="AA6" s="222"/>
      <c r="AB6" s="220">
        <f>IF($B$3="","",IF(MONTH($B$3+12)=MONTH($B$3),$B$3+12,""))</f>
        <v>46431</v>
      </c>
      <c r="AC6" s="222"/>
      <c r="AD6" s="220">
        <f>IF($B$3="","",IF(MONTH($B$3+13)=MONTH($B$3),$B$3+13,""))</f>
        <v>46432</v>
      </c>
      <c r="AE6" s="222"/>
      <c r="AF6" s="220">
        <f>IF($B$3="","",IF(MONTH($B$3+14)=MONTH($B$3),$B$3+14,""))</f>
        <v>46433</v>
      </c>
      <c r="AG6" s="222"/>
      <c r="AH6" s="220">
        <f>IF($B$3="","",IF(MONTH($B$3+15)=MONTH($B$3),$B$3+15,""))</f>
        <v>46434</v>
      </c>
      <c r="AI6" s="222"/>
      <c r="AJ6" s="220">
        <f>IF($B$3="","",IF(MONTH($B$3+16)=MONTH($B$3),$B$3+16,""))</f>
        <v>46435</v>
      </c>
      <c r="AK6" s="222"/>
      <c r="AL6" s="220">
        <f>IF($B$3="","",IF(MONTH($B$3+17)=MONTH($B$3),$B$3+17,""))</f>
        <v>46436</v>
      </c>
      <c r="AM6" s="222"/>
      <c r="AN6" s="220">
        <f>IF($B$3="","",IF(MONTH($B$3+18)=MONTH($B$3),$B$3+18,""))</f>
        <v>46437</v>
      </c>
      <c r="AO6" s="222"/>
      <c r="AP6" s="220">
        <f>IF($B$3="","",IF(MONTH($B$3+19)=MONTH($B$3),$B$3+19,""))</f>
        <v>46438</v>
      </c>
      <c r="AQ6" s="222"/>
      <c r="AR6" s="220">
        <f>IF($B$3="","",IF(MONTH($B$3+20)=MONTH($B$3),$B$3+20,""))</f>
        <v>46439</v>
      </c>
      <c r="AS6" s="222"/>
      <c r="AT6" s="220">
        <f>IF($B$3="","",IF(MONTH($B$3+21)=MONTH($B$3),$B$3+21,""))</f>
        <v>46440</v>
      </c>
      <c r="AU6" s="222"/>
      <c r="AV6" s="220">
        <f>IF($B$3="","",IF(MONTH($B$3+22)=MONTH($B$3),$B$3+22,""))</f>
        <v>46441</v>
      </c>
      <c r="AW6" s="222"/>
      <c r="AX6" s="220">
        <f>IF($B$3="","",IF(MONTH($B$3+23)=MONTH($B$3),$B$3+23,""))</f>
        <v>46442</v>
      </c>
      <c r="AY6" s="222"/>
      <c r="AZ6" s="220">
        <f>IF($B$3="","",IF(MONTH($B$3+24)=MONTH($B$3),$B$3+24,""))</f>
        <v>46443</v>
      </c>
      <c r="BA6" s="222"/>
      <c r="BB6" s="220">
        <f>IF($B$3="","",IF(MONTH($B$3+25)=MONTH($B$3),$B$3+25,""))</f>
        <v>46444</v>
      </c>
      <c r="BC6" s="222"/>
      <c r="BD6" s="220">
        <f>IF($B$3="","",IF(MONTH($B$3+26)=MONTH($B$3),$B$3+26,""))</f>
        <v>46445</v>
      </c>
      <c r="BE6" s="222"/>
      <c r="BF6" s="220">
        <f>IF($B$3="","",IF(MONTH($B$3+27)=MONTH($B$3),$B$3+27,""))</f>
        <v>46446</v>
      </c>
      <c r="BG6" s="222"/>
      <c r="BH6" s="220" t="str">
        <f>IF($B$3="","",IF(MONTH($B$3+28)=MONTH($B$3),$B$3+28,""))</f>
        <v/>
      </c>
      <c r="BI6" s="222"/>
      <c r="BJ6" s="220" t="str">
        <f>IF($B$3="","",IF(MONTH($B$3+29)=MONTH($B$3),$B$3+29,""))</f>
        <v/>
      </c>
      <c r="BK6" s="222"/>
      <c r="BL6" s="220" t="str">
        <f>IF($B$3="","",IF(MONTH($B$3+30)=MONTH($B$3),$B$3+30,""))</f>
        <v/>
      </c>
      <c r="BM6" s="222"/>
      <c r="BN6" s="223" t="s">
        <v>115</v>
      </c>
      <c r="BO6" s="224"/>
      <c r="BP6" s="220">
        <f>IF($B$3="","",EOMONTH($B$3,0)+1)</f>
        <v>46447</v>
      </c>
      <c r="BQ6" s="221"/>
    </row>
    <row r="7" spans="1:76" x14ac:dyDescent="0.35">
      <c r="A7" s="38" t="s">
        <v>20</v>
      </c>
      <c r="B7" s="39"/>
      <c r="C7" s="40"/>
      <c r="D7" s="41"/>
      <c r="E7" s="165">
        <f>E59</f>
        <v>0</v>
      </c>
      <c r="F7" s="42"/>
      <c r="G7" s="165">
        <f>G59</f>
        <v>0</v>
      </c>
      <c r="H7" s="42"/>
      <c r="I7" s="165">
        <f>I59</f>
        <v>0</v>
      </c>
      <c r="J7" s="42"/>
      <c r="K7" s="165">
        <f>K59</f>
        <v>0</v>
      </c>
      <c r="L7" s="42"/>
      <c r="M7" s="165">
        <f>M59</f>
        <v>0</v>
      </c>
      <c r="N7" s="42"/>
      <c r="O7" s="165">
        <f>O59</f>
        <v>0</v>
      </c>
      <c r="P7" s="42"/>
      <c r="Q7" s="165">
        <f>Q59</f>
        <v>0</v>
      </c>
      <c r="R7" s="42"/>
      <c r="S7" s="165">
        <f>S59</f>
        <v>0</v>
      </c>
      <c r="T7" s="42"/>
      <c r="U7" s="165">
        <f>U59</f>
        <v>0</v>
      </c>
      <c r="V7" s="42"/>
      <c r="W7" s="165">
        <f>W59</f>
        <v>0</v>
      </c>
      <c r="X7" s="42"/>
      <c r="Y7" s="165">
        <f>Y59</f>
        <v>0</v>
      </c>
      <c r="Z7" s="42"/>
      <c r="AA7" s="165">
        <f>AA59</f>
        <v>0</v>
      </c>
      <c r="AB7" s="42"/>
      <c r="AC7" s="165">
        <f>AC59</f>
        <v>0</v>
      </c>
      <c r="AD7" s="42"/>
      <c r="AE7" s="165">
        <f>AE59</f>
        <v>0</v>
      </c>
      <c r="AF7" s="42"/>
      <c r="AG7" s="165">
        <f>AG59</f>
        <v>0</v>
      </c>
      <c r="AH7" s="42"/>
      <c r="AI7" s="165">
        <f>AI59</f>
        <v>0</v>
      </c>
      <c r="AJ7" s="42"/>
      <c r="AK7" s="165">
        <f>AK59</f>
        <v>0</v>
      </c>
      <c r="AL7" s="42"/>
      <c r="AM7" s="165">
        <f>AM59</f>
        <v>0</v>
      </c>
      <c r="AN7" s="42"/>
      <c r="AO7" s="165">
        <f>AO59</f>
        <v>0</v>
      </c>
      <c r="AP7" s="42"/>
      <c r="AQ7" s="165">
        <f>AQ59</f>
        <v>0</v>
      </c>
      <c r="AR7" s="42"/>
      <c r="AS7" s="165">
        <f>AS59</f>
        <v>0</v>
      </c>
      <c r="AT7" s="42"/>
      <c r="AU7" s="165">
        <f>AU59</f>
        <v>0</v>
      </c>
      <c r="AV7" s="42"/>
      <c r="AW7" s="165">
        <f>AW59</f>
        <v>0</v>
      </c>
      <c r="AX7" s="42"/>
      <c r="AY7" s="165">
        <f>AY59</f>
        <v>0</v>
      </c>
      <c r="AZ7" s="42"/>
      <c r="BA7" s="165">
        <f>BA59</f>
        <v>0</v>
      </c>
      <c r="BB7" s="42"/>
      <c r="BC7" s="165">
        <f>BC59</f>
        <v>0</v>
      </c>
      <c r="BD7" s="42"/>
      <c r="BE7" s="165">
        <f>BE59</f>
        <v>0</v>
      </c>
      <c r="BF7" s="42"/>
      <c r="BG7" s="165">
        <f>BG59</f>
        <v>0</v>
      </c>
      <c r="BH7" s="42"/>
      <c r="BI7" s="165">
        <f>BI59</f>
        <v>0</v>
      </c>
      <c r="BJ7" s="42"/>
      <c r="BK7" s="165">
        <f>BK59</f>
        <v>0</v>
      </c>
      <c r="BL7" s="42"/>
      <c r="BM7" s="165">
        <f>BM59</f>
        <v>0</v>
      </c>
      <c r="BN7" s="43"/>
      <c r="BO7" s="169">
        <f>IF(COUNT(E7,G7,I7,K7,M7,O7,Q7,S7,U7,W7,Y7,AA7,AC7,AE7,AG7,AI7,AK7,AM7,AO7,AQ7,AS7,AU7,AW7,AY7,BA7,BC7,BE7,BG7,BI7,BK7,BM7)=0,"",SUM(E7,G7,I7,K7,M7,O7,Q7,S7,U7,W7,Y7,AA7,AC7,AE7,AG7,AI7,AK7,AM7,AO7,AQ7,AS7,AU7,AW7,AY7,BA7,BC7,BE7,BG7,BI7,BK7,BM7))</f>
        <v>0</v>
      </c>
      <c r="BP7" s="42"/>
      <c r="BQ7" s="171">
        <f>BQ59</f>
        <v>0</v>
      </c>
    </row>
    <row r="8" spans="1:76" x14ac:dyDescent="0.35">
      <c r="A8" s="38" t="s">
        <v>49</v>
      </c>
      <c r="B8" s="39"/>
      <c r="C8" s="40"/>
      <c r="D8" s="41"/>
      <c r="E8" s="165">
        <f>E58</f>
        <v>0</v>
      </c>
      <c r="F8" s="42"/>
      <c r="G8" s="165">
        <f>G58</f>
        <v>0</v>
      </c>
      <c r="H8" s="42"/>
      <c r="I8" s="165">
        <f>I58</f>
        <v>0</v>
      </c>
      <c r="J8" s="42"/>
      <c r="K8" s="165">
        <f>K58</f>
        <v>0</v>
      </c>
      <c r="L8" s="42"/>
      <c r="M8" s="165">
        <f>M58</f>
        <v>0</v>
      </c>
      <c r="N8" s="42"/>
      <c r="O8" s="165">
        <f>O58</f>
        <v>0</v>
      </c>
      <c r="P8" s="42"/>
      <c r="Q8" s="165">
        <f>Q58</f>
        <v>0</v>
      </c>
      <c r="R8" s="42"/>
      <c r="S8" s="165">
        <f>S58</f>
        <v>0</v>
      </c>
      <c r="T8" s="42"/>
      <c r="U8" s="165">
        <f>U58</f>
        <v>0</v>
      </c>
      <c r="V8" s="42"/>
      <c r="W8" s="165">
        <f>W58</f>
        <v>0</v>
      </c>
      <c r="X8" s="42"/>
      <c r="Y8" s="165">
        <f>Y58</f>
        <v>0</v>
      </c>
      <c r="Z8" s="42"/>
      <c r="AA8" s="165">
        <f>AA58</f>
        <v>0</v>
      </c>
      <c r="AB8" s="42"/>
      <c r="AC8" s="165">
        <f>AC58</f>
        <v>0</v>
      </c>
      <c r="AD8" s="42"/>
      <c r="AE8" s="165">
        <f>AE58</f>
        <v>0</v>
      </c>
      <c r="AF8" s="42"/>
      <c r="AG8" s="165">
        <f>AG58</f>
        <v>0</v>
      </c>
      <c r="AH8" s="42"/>
      <c r="AI8" s="165">
        <f>AI58</f>
        <v>0</v>
      </c>
      <c r="AJ8" s="42"/>
      <c r="AK8" s="165">
        <f>AK58</f>
        <v>0</v>
      </c>
      <c r="AL8" s="42"/>
      <c r="AM8" s="165">
        <f>AM58</f>
        <v>0</v>
      </c>
      <c r="AN8" s="42"/>
      <c r="AO8" s="165">
        <f>AO58</f>
        <v>0</v>
      </c>
      <c r="AP8" s="42"/>
      <c r="AQ8" s="165">
        <f>AQ58</f>
        <v>0</v>
      </c>
      <c r="AR8" s="42"/>
      <c r="AS8" s="165">
        <f>AS58</f>
        <v>0</v>
      </c>
      <c r="AT8" s="42"/>
      <c r="AU8" s="168">
        <f>AU58</f>
        <v>0</v>
      </c>
      <c r="AV8" s="42"/>
      <c r="AW8" s="165">
        <f>AW58</f>
        <v>0</v>
      </c>
      <c r="AX8" s="42"/>
      <c r="AY8" s="165">
        <f>AY58</f>
        <v>0</v>
      </c>
      <c r="AZ8" s="42"/>
      <c r="BA8" s="165">
        <f>BA58</f>
        <v>0</v>
      </c>
      <c r="BB8" s="42"/>
      <c r="BC8" s="165">
        <f>BC58</f>
        <v>0</v>
      </c>
      <c r="BD8" s="42"/>
      <c r="BE8" s="165">
        <f>BE58</f>
        <v>0</v>
      </c>
      <c r="BF8" s="42"/>
      <c r="BG8" s="165">
        <f>BG58</f>
        <v>0</v>
      </c>
      <c r="BH8" s="42"/>
      <c r="BI8" s="165">
        <f>BI58</f>
        <v>0</v>
      </c>
      <c r="BJ8" s="42"/>
      <c r="BK8" s="165">
        <f>BK58</f>
        <v>0</v>
      </c>
      <c r="BL8" s="42"/>
      <c r="BM8" s="165">
        <f>BM58</f>
        <v>0</v>
      </c>
      <c r="BN8" s="43"/>
      <c r="BO8" s="169">
        <f>IF(COUNT(E8,G8,I8,K8,M8,O8,Q8,S8,U8,W8,Y8,AA8,AC8,AE8,AG8,AI8,AK8,AM8,AO8,AQ8,AS8,AU8,AW8,AY8,BA8,BC8,BE8,BG8,BI8,BK8,BM8)=0,"",SUM(E8,G8,I8,K8,M8,O8,Q8,S8,U8,W8,Y8,AA8,AC8,AE8,AG8,AI8,AK8,AM8,AO8,AQ8,AS8,AU8,AW8,AY8,BA8,BC8,BE8,BG8,BI8,BK8,BM8))</f>
        <v>0</v>
      </c>
      <c r="BP8" s="42"/>
      <c r="BQ8" s="171">
        <f>BQ58</f>
        <v>0</v>
      </c>
    </row>
    <row r="9" spans="1:76" x14ac:dyDescent="0.35">
      <c r="A9" s="38" t="s">
        <v>50</v>
      </c>
      <c r="B9" s="39"/>
      <c r="C9" s="40"/>
      <c r="D9" s="41"/>
      <c r="E9" s="165" t="e">
        <f>E61</f>
        <v>#VALUE!</v>
      </c>
      <c r="F9" s="42"/>
      <c r="G9" s="165">
        <f>G61</f>
        <v>0</v>
      </c>
      <c r="H9" s="42"/>
      <c r="I9" s="165">
        <f>I61</f>
        <v>0</v>
      </c>
      <c r="J9" s="42"/>
      <c r="K9" s="165">
        <f>K61</f>
        <v>0</v>
      </c>
      <c r="L9" s="42"/>
      <c r="M9" s="165">
        <f>M61</f>
        <v>0</v>
      </c>
      <c r="N9" s="42"/>
      <c r="O9" s="165">
        <f>O61</f>
        <v>0</v>
      </c>
      <c r="P9" s="42"/>
      <c r="Q9" s="165">
        <f>Q61</f>
        <v>0</v>
      </c>
      <c r="R9" s="42"/>
      <c r="S9" s="165">
        <f>S61</f>
        <v>0</v>
      </c>
      <c r="T9" s="42"/>
      <c r="U9" s="165">
        <f>U61</f>
        <v>0</v>
      </c>
      <c r="V9" s="42"/>
      <c r="W9" s="165">
        <f>W61</f>
        <v>0</v>
      </c>
      <c r="X9" s="42"/>
      <c r="Y9" s="165">
        <f>Y61</f>
        <v>0</v>
      </c>
      <c r="Z9" s="42"/>
      <c r="AA9" s="165">
        <f>AA61</f>
        <v>0</v>
      </c>
      <c r="AB9" s="42"/>
      <c r="AC9" s="165">
        <f>AC61</f>
        <v>0</v>
      </c>
      <c r="AD9" s="42"/>
      <c r="AE9" s="165">
        <f>AE61</f>
        <v>0</v>
      </c>
      <c r="AF9" s="42"/>
      <c r="AG9" s="165">
        <f>AG61</f>
        <v>0</v>
      </c>
      <c r="AH9" s="42"/>
      <c r="AI9" s="165">
        <f>AI61</f>
        <v>0</v>
      </c>
      <c r="AJ9" s="42"/>
      <c r="AK9" s="165">
        <f>AK61</f>
        <v>0</v>
      </c>
      <c r="AL9" s="42"/>
      <c r="AM9" s="165">
        <f>AM61</f>
        <v>0</v>
      </c>
      <c r="AN9" s="42"/>
      <c r="AO9" s="165">
        <f>AO61</f>
        <v>0</v>
      </c>
      <c r="AP9" s="42"/>
      <c r="AQ9" s="165">
        <f>AQ61</f>
        <v>0</v>
      </c>
      <c r="AR9" s="42"/>
      <c r="AS9" s="165">
        <f>AS61</f>
        <v>0</v>
      </c>
      <c r="AT9" s="42"/>
      <c r="AU9" s="165">
        <f>AU61</f>
        <v>0</v>
      </c>
      <c r="AV9" s="42"/>
      <c r="AW9" s="165">
        <f>AW61</f>
        <v>0</v>
      </c>
      <c r="AX9" s="42"/>
      <c r="AY9" s="165">
        <f>AY61</f>
        <v>0</v>
      </c>
      <c r="AZ9" s="42"/>
      <c r="BA9" s="165">
        <f>BA61</f>
        <v>0</v>
      </c>
      <c r="BB9" s="42"/>
      <c r="BC9" s="165">
        <f>BC61</f>
        <v>0</v>
      </c>
      <c r="BD9" s="42"/>
      <c r="BE9" s="165">
        <f>BE61</f>
        <v>0</v>
      </c>
      <c r="BF9" s="42"/>
      <c r="BG9" s="165">
        <f>BG61</f>
        <v>0</v>
      </c>
      <c r="BH9" s="42"/>
      <c r="BI9" s="165">
        <f>BI61</f>
        <v>0</v>
      </c>
      <c r="BJ9" s="42"/>
      <c r="BK9" s="165">
        <f>BK61</f>
        <v>0</v>
      </c>
      <c r="BL9" s="42"/>
      <c r="BM9" s="165">
        <f>BM61</f>
        <v>0</v>
      </c>
      <c r="BN9" s="43"/>
      <c r="BO9" s="169" t="e">
        <f>IF(COUNT(E9,G9,I9,K9,M9,O9,Q9,S9,U9,W9,Y9,AA9,AC9,AE9,AG9,AI9,AK9,AM9,AO9,AQ9,AS9,AU9,AW9,AY9,BA9,BC9,BE9,BG9,BI9,BK9,BM9)=0,"",SUM(E9,G9,I9,K9,M9,O9,Q9,S9,U9,W9,Y9,AA9,AC9,AE9,AG9,AI9,AK9,AM9,AO9,AQ9,AS9,AU9,AW9,AY9,BA9,BC9,BE9,BG9,BI9,BK9,BM9))</f>
        <v>#VALUE!</v>
      </c>
      <c r="BP9" s="42"/>
      <c r="BQ9" s="171">
        <f>BQ61</f>
        <v>0</v>
      </c>
    </row>
    <row r="10" spans="1:76" s="2" customFormat="1" x14ac:dyDescent="0.35">
      <c r="A10" s="44" t="s">
        <v>47</v>
      </c>
      <c r="B10" s="45"/>
      <c r="C10" s="46">
        <v>1413.73</v>
      </c>
      <c r="D10" s="47"/>
      <c r="E10" s="166" t="e">
        <f>E73</f>
        <v>#VALUE!</v>
      </c>
      <c r="F10" s="49"/>
      <c r="G10" s="166">
        <f t="shared" ref="G10:BQ10" si="0">G73</f>
        <v>0</v>
      </c>
      <c r="H10" s="49"/>
      <c r="I10" s="166">
        <f t="shared" si="0"/>
        <v>0</v>
      </c>
      <c r="J10" s="49"/>
      <c r="K10" s="166">
        <f t="shared" si="0"/>
        <v>0</v>
      </c>
      <c r="L10" s="49"/>
      <c r="M10" s="166">
        <f t="shared" si="0"/>
        <v>0</v>
      </c>
      <c r="N10" s="49"/>
      <c r="O10" s="166">
        <f t="shared" si="0"/>
        <v>0</v>
      </c>
      <c r="P10" s="49"/>
      <c r="Q10" s="166">
        <f t="shared" si="0"/>
        <v>0</v>
      </c>
      <c r="R10" s="49"/>
      <c r="S10" s="166">
        <f t="shared" si="0"/>
        <v>0</v>
      </c>
      <c r="T10" s="49"/>
      <c r="U10" s="166">
        <f t="shared" si="0"/>
        <v>0</v>
      </c>
      <c r="V10" s="49"/>
      <c r="W10" s="166">
        <f t="shared" si="0"/>
        <v>0</v>
      </c>
      <c r="X10" s="49"/>
      <c r="Y10" s="166">
        <f t="shared" si="0"/>
        <v>0</v>
      </c>
      <c r="Z10" s="49"/>
      <c r="AA10" s="166">
        <f t="shared" si="0"/>
        <v>0</v>
      </c>
      <c r="AB10" s="49"/>
      <c r="AC10" s="166">
        <f t="shared" si="0"/>
        <v>0</v>
      </c>
      <c r="AD10" s="49"/>
      <c r="AE10" s="166">
        <f t="shared" si="0"/>
        <v>0</v>
      </c>
      <c r="AF10" s="49"/>
      <c r="AG10" s="166">
        <f t="shared" si="0"/>
        <v>0</v>
      </c>
      <c r="AH10" s="49"/>
      <c r="AI10" s="166">
        <f t="shared" si="0"/>
        <v>0</v>
      </c>
      <c r="AJ10" s="49"/>
      <c r="AK10" s="166">
        <f t="shared" si="0"/>
        <v>0</v>
      </c>
      <c r="AL10" s="49"/>
      <c r="AM10" s="166">
        <f t="shared" si="0"/>
        <v>0</v>
      </c>
      <c r="AN10" s="49"/>
      <c r="AO10" s="166">
        <f t="shared" si="0"/>
        <v>0</v>
      </c>
      <c r="AP10" s="49"/>
      <c r="AQ10" s="166">
        <f t="shared" si="0"/>
        <v>0</v>
      </c>
      <c r="AR10" s="49"/>
      <c r="AS10" s="166">
        <f t="shared" si="0"/>
        <v>0</v>
      </c>
      <c r="AT10" s="49"/>
      <c r="AU10" s="166">
        <f t="shared" si="0"/>
        <v>0</v>
      </c>
      <c r="AV10" s="49"/>
      <c r="AW10" s="166">
        <f t="shared" si="0"/>
        <v>0</v>
      </c>
      <c r="AX10" s="49"/>
      <c r="AY10" s="166">
        <f t="shared" si="0"/>
        <v>0</v>
      </c>
      <c r="AZ10" s="49"/>
      <c r="BA10" s="166">
        <f t="shared" si="0"/>
        <v>0</v>
      </c>
      <c r="BB10" s="49"/>
      <c r="BC10" s="166">
        <f t="shared" si="0"/>
        <v>0</v>
      </c>
      <c r="BD10" s="49"/>
      <c r="BE10" s="166">
        <f t="shared" si="0"/>
        <v>0</v>
      </c>
      <c r="BF10" s="49"/>
      <c r="BG10" s="166">
        <f t="shared" si="0"/>
        <v>0</v>
      </c>
      <c r="BH10" s="49"/>
      <c r="BI10" s="166">
        <f t="shared" si="0"/>
        <v>0</v>
      </c>
      <c r="BJ10" s="49"/>
      <c r="BK10" s="166">
        <f t="shared" si="0"/>
        <v>0</v>
      </c>
      <c r="BL10" s="49"/>
      <c r="BM10" s="166">
        <f t="shared" si="0"/>
        <v>0</v>
      </c>
      <c r="BN10" s="50"/>
      <c r="BO10" s="170" t="e">
        <f>IF(COUNT(E10,G10,I10,K10,M10,O10,Q10,S10,U10,W10,Y10,AA10,AC10,AE10,AG10,AI10,AK10,AM10,AO10,AQ10,AS10,AU10,AW10,AY10,BA10,BC10,BE10,BG10,BI10,BK10,BM10)=0,"",SUM(E10,G10,I10,K10,M10,O10,Q10,S10,U10,W10,Y10,AA10,AC10,AE10,AG10,AI10,AK10,AM10,AO10,AQ10,AS10,AU10,AW10,AY10,BA10,BC10,BE10,BG10,BI10,BK10,BM10))</f>
        <v>#VALUE!</v>
      </c>
      <c r="BP10" s="49"/>
      <c r="BQ10" s="172">
        <f t="shared" si="0"/>
        <v>0</v>
      </c>
      <c r="BR10"/>
      <c r="BS10"/>
      <c r="BT10"/>
      <c r="BU10"/>
      <c r="BV10"/>
      <c r="BW10"/>
      <c r="BX10"/>
    </row>
    <row r="11" spans="1:76" s="2" customFormat="1" x14ac:dyDescent="0.35">
      <c r="A11" s="44" t="s">
        <v>48</v>
      </c>
      <c r="B11" s="45"/>
      <c r="C11" s="46">
        <v>5252.8</v>
      </c>
      <c r="D11" s="47"/>
      <c r="E11" s="166">
        <f>E75+E56</f>
        <v>0</v>
      </c>
      <c r="F11" s="49"/>
      <c r="G11" s="166">
        <f>G75+G56</f>
        <v>0</v>
      </c>
      <c r="H11" s="49"/>
      <c r="I11" s="166">
        <f>I75+I56</f>
        <v>0</v>
      </c>
      <c r="J11" s="49"/>
      <c r="K11" s="166">
        <f>K75+K56</f>
        <v>0</v>
      </c>
      <c r="L11" s="49"/>
      <c r="M11" s="166">
        <f>M75+M56</f>
        <v>0</v>
      </c>
      <c r="N11" s="49"/>
      <c r="O11" s="166">
        <f>O75+O56</f>
        <v>0</v>
      </c>
      <c r="P11" s="49"/>
      <c r="Q11" s="166">
        <f>Q75+Q56</f>
        <v>0</v>
      </c>
      <c r="R11" s="49"/>
      <c r="S11" s="166">
        <f>S75+S56</f>
        <v>0</v>
      </c>
      <c r="T11" s="49"/>
      <c r="U11" s="166">
        <f>U75+U56</f>
        <v>0</v>
      </c>
      <c r="V11" s="49"/>
      <c r="W11" s="166">
        <f>W75+W56</f>
        <v>0</v>
      </c>
      <c r="X11" s="167">
        <f t="shared" ref="X11:AL11" si="1">X75</f>
        <v>0</v>
      </c>
      <c r="Y11" s="166">
        <f>Y75+Y56</f>
        <v>0</v>
      </c>
      <c r="Z11" s="167">
        <f t="shared" si="1"/>
        <v>0</v>
      </c>
      <c r="AA11" s="166">
        <f>AA75+AA56</f>
        <v>0</v>
      </c>
      <c r="AB11" s="167">
        <f t="shared" si="1"/>
        <v>0</v>
      </c>
      <c r="AC11" s="166">
        <f>AC75+AC56</f>
        <v>0</v>
      </c>
      <c r="AD11" s="167">
        <f t="shared" si="1"/>
        <v>0</v>
      </c>
      <c r="AE11" s="166">
        <f>AE75+AE56</f>
        <v>0</v>
      </c>
      <c r="AF11" s="167">
        <f t="shared" si="1"/>
        <v>0</v>
      </c>
      <c r="AG11" s="166">
        <f>AG75+AG56</f>
        <v>0</v>
      </c>
      <c r="AH11" s="167">
        <f t="shared" si="1"/>
        <v>0</v>
      </c>
      <c r="AI11" s="166">
        <f>AI75+AI56</f>
        <v>0</v>
      </c>
      <c r="AJ11" s="167">
        <f t="shared" si="1"/>
        <v>0</v>
      </c>
      <c r="AK11" s="166">
        <f>AK75+AK56</f>
        <v>0</v>
      </c>
      <c r="AL11" s="167">
        <f t="shared" si="1"/>
        <v>0</v>
      </c>
      <c r="AM11" s="166">
        <f>AM75+AM56</f>
        <v>0</v>
      </c>
      <c r="AN11" s="49"/>
      <c r="AO11" s="166">
        <f>AO75+AO56</f>
        <v>0</v>
      </c>
      <c r="AP11" s="49"/>
      <c r="AQ11" s="166">
        <f>AQ75+AQ56</f>
        <v>0</v>
      </c>
      <c r="AR11" s="49"/>
      <c r="AS11" s="166">
        <f>AS75+AS56</f>
        <v>0</v>
      </c>
      <c r="AT11" s="49"/>
      <c r="AU11" s="166">
        <f>AU75+AU56</f>
        <v>0</v>
      </c>
      <c r="AV11" s="49"/>
      <c r="AW11" s="166">
        <f>AW75+AW56</f>
        <v>0</v>
      </c>
      <c r="AX11" s="49"/>
      <c r="AY11" s="166">
        <f>AY75+AY56</f>
        <v>0</v>
      </c>
      <c r="AZ11" s="49"/>
      <c r="BA11" s="166">
        <f>BA75+BA56</f>
        <v>0</v>
      </c>
      <c r="BB11" s="49"/>
      <c r="BC11" s="166">
        <f>BC75+BC56</f>
        <v>0</v>
      </c>
      <c r="BD11" s="49"/>
      <c r="BE11" s="166">
        <f>BE75+BE56</f>
        <v>0</v>
      </c>
      <c r="BF11" s="49"/>
      <c r="BG11" s="166">
        <f>BG75+BG56</f>
        <v>0</v>
      </c>
      <c r="BH11" s="49"/>
      <c r="BI11" s="166">
        <f>BI75+BI56</f>
        <v>0</v>
      </c>
      <c r="BJ11" s="49"/>
      <c r="BK11" s="166">
        <f>BK75+BK56</f>
        <v>0</v>
      </c>
      <c r="BL11" s="49"/>
      <c r="BM11" s="166">
        <f>BM75+BM56</f>
        <v>0</v>
      </c>
      <c r="BN11" s="50"/>
      <c r="BO11" s="170">
        <f>IF(COUNT(E11,G11,I11,K11,M11,O11,Q11,S11,U11,W11,Y11,AA11,AC11,AE11,AG11,AI11,AK11,AM11,AO11,AQ11,AS11,AU11,AW11,AY11,BA11,BC11,BE11,BG11,BI11,BK11,BM11)=0,"",SUM(E11,G11,I11,K11,M11,O11,Q11,S11,U11,W11,Y11,AA11,AC11,AE11,AG11,AI11,AK11,AM11,AO11,AQ11,AS11,AU11,AW11,AY11,BA11,BC11,BE11,BG11,BI11,BK11,BM11))</f>
        <v>0</v>
      </c>
      <c r="BP11" s="49"/>
      <c r="BQ11" s="172" t="e">
        <f>BQ75+BQ56</f>
        <v>#VALUE!</v>
      </c>
      <c r="BR11"/>
      <c r="BS11"/>
      <c r="BT11"/>
      <c r="BU11"/>
      <c r="BV11"/>
      <c r="BW11"/>
      <c r="BX11"/>
    </row>
    <row r="12" spans="1:76" ht="13.5" customHeight="1" x14ac:dyDescent="0.35">
      <c r="A12" s="53"/>
      <c r="B12" s="54"/>
      <c r="C12" s="55"/>
      <c r="D12" s="219"/>
      <c r="E12" s="217"/>
      <c r="F12" s="216"/>
      <c r="G12" s="217"/>
      <c r="H12" s="216"/>
      <c r="I12" s="217"/>
      <c r="J12" s="216"/>
      <c r="K12" s="217"/>
      <c r="L12" s="216"/>
      <c r="M12" s="217"/>
      <c r="N12" s="216"/>
      <c r="O12" s="217"/>
      <c r="P12" s="216"/>
      <c r="Q12" s="217"/>
      <c r="R12" s="216"/>
      <c r="S12" s="217"/>
      <c r="T12" s="216"/>
      <c r="U12" s="217"/>
      <c r="V12" s="216"/>
      <c r="W12" s="217"/>
      <c r="X12" s="216"/>
      <c r="Y12" s="217"/>
      <c r="Z12" s="216"/>
      <c r="AA12" s="217"/>
      <c r="AB12" s="216"/>
      <c r="AC12" s="217"/>
      <c r="AD12" s="216"/>
      <c r="AE12" s="217"/>
      <c r="AF12" s="216"/>
      <c r="AG12" s="217"/>
      <c r="AH12" s="216"/>
      <c r="AI12" s="217"/>
      <c r="AJ12" s="216"/>
      <c r="AK12" s="217"/>
      <c r="AL12" s="216"/>
      <c r="AM12" s="217"/>
      <c r="AN12" s="216"/>
      <c r="AO12" s="217"/>
      <c r="AP12" s="216"/>
      <c r="AQ12" s="217"/>
      <c r="AR12" s="216"/>
      <c r="AS12" s="217"/>
      <c r="AT12" s="216"/>
      <c r="AU12" s="217"/>
      <c r="AV12" s="216"/>
      <c r="AW12" s="217"/>
      <c r="AX12" s="216"/>
      <c r="AY12" s="217"/>
      <c r="AZ12" s="216"/>
      <c r="BA12" s="217"/>
      <c r="BB12" s="216"/>
      <c r="BC12" s="217"/>
      <c r="BD12" s="216"/>
      <c r="BE12" s="217"/>
      <c r="BF12" s="216"/>
      <c r="BG12" s="217"/>
      <c r="BH12" s="216"/>
      <c r="BI12" s="217"/>
      <c r="BJ12" s="216"/>
      <c r="BK12" s="217"/>
      <c r="BL12" s="216"/>
      <c r="BM12" s="217"/>
      <c r="BN12" s="56"/>
      <c r="BO12" s="57"/>
      <c r="BP12" s="216"/>
      <c r="BQ12" s="218"/>
    </row>
    <row r="13" spans="1:76" x14ac:dyDescent="0.35">
      <c r="A13" s="58" t="s">
        <v>39</v>
      </c>
      <c r="B13" s="59"/>
      <c r="C13" s="205" t="str">
        <f>IF('January 2027 Log'!BM13="","",'January 2027 Log'!BM13)</f>
        <v/>
      </c>
      <c r="D13" s="61" t="s">
        <v>52</v>
      </c>
      <c r="E13" s="62"/>
      <c r="F13" s="63" t="s">
        <v>52</v>
      </c>
      <c r="G13" s="62"/>
      <c r="H13" s="63" t="s">
        <v>52</v>
      </c>
      <c r="I13" s="62"/>
      <c r="J13" s="63" t="s">
        <v>52</v>
      </c>
      <c r="K13" s="62"/>
      <c r="L13" s="63" t="s">
        <v>52</v>
      </c>
      <c r="M13" s="62"/>
      <c r="N13" s="63" t="s">
        <v>52</v>
      </c>
      <c r="O13" s="62"/>
      <c r="P13" s="63" t="s">
        <v>52</v>
      </c>
      <c r="Q13" s="62"/>
      <c r="R13" s="63" t="s">
        <v>52</v>
      </c>
      <c r="S13" s="62"/>
      <c r="T13" s="63" t="s">
        <v>52</v>
      </c>
      <c r="U13" s="62"/>
      <c r="V13" s="63" t="s">
        <v>52</v>
      </c>
      <c r="W13" s="62"/>
      <c r="X13" s="63" t="s">
        <v>52</v>
      </c>
      <c r="Y13" s="62"/>
      <c r="Z13" s="63" t="s">
        <v>52</v>
      </c>
      <c r="AA13" s="62"/>
      <c r="AB13" s="63" t="s">
        <v>52</v>
      </c>
      <c r="AC13" s="62"/>
      <c r="AD13" s="63" t="s">
        <v>52</v>
      </c>
      <c r="AE13" s="62"/>
      <c r="AF13" s="63" t="s">
        <v>52</v>
      </c>
      <c r="AG13" s="62"/>
      <c r="AH13" s="63" t="s">
        <v>52</v>
      </c>
      <c r="AI13" s="62"/>
      <c r="AJ13" s="63" t="s">
        <v>52</v>
      </c>
      <c r="AK13" s="62"/>
      <c r="AL13" s="63" t="s">
        <v>52</v>
      </c>
      <c r="AM13" s="62"/>
      <c r="AN13" s="63" t="s">
        <v>52</v>
      </c>
      <c r="AO13" s="62"/>
      <c r="AP13" s="63" t="s">
        <v>52</v>
      </c>
      <c r="AQ13" s="62"/>
      <c r="AR13" s="63" t="s">
        <v>52</v>
      </c>
      <c r="AS13" s="62"/>
      <c r="AT13" s="63" t="s">
        <v>52</v>
      </c>
      <c r="AU13" s="62"/>
      <c r="AV13" s="63" t="s">
        <v>52</v>
      </c>
      <c r="AW13" s="62"/>
      <c r="AX13" s="63" t="s">
        <v>52</v>
      </c>
      <c r="AY13" s="62"/>
      <c r="AZ13" s="63" t="s">
        <v>52</v>
      </c>
      <c r="BA13" s="62"/>
      <c r="BB13" s="63" t="s">
        <v>52</v>
      </c>
      <c r="BC13" s="62"/>
      <c r="BD13" s="63" t="s">
        <v>52</v>
      </c>
      <c r="BE13" s="62"/>
      <c r="BF13" s="63" t="s">
        <v>52</v>
      </c>
      <c r="BG13" s="62"/>
      <c r="BH13" s="63"/>
      <c r="BI13" s="62"/>
      <c r="BJ13" s="63"/>
      <c r="BK13" s="62"/>
      <c r="BL13" s="63"/>
      <c r="BM13" s="62"/>
      <c r="BN13" s="64"/>
      <c r="BO13" s="65"/>
      <c r="BP13" s="63" t="s">
        <v>52</v>
      </c>
      <c r="BQ13" s="207" t="str">
        <f>IF(BG13="","",BG13)</f>
        <v/>
      </c>
    </row>
    <row r="14" spans="1:76" x14ac:dyDescent="0.35">
      <c r="A14" s="53" t="s">
        <v>40</v>
      </c>
      <c r="B14" s="59"/>
      <c r="C14" s="206" t="str">
        <f>IF('January 2027 Log'!BM14="","",'January 2027 Log'!BM14)</f>
        <v/>
      </c>
      <c r="D14" s="68" t="s">
        <v>40</v>
      </c>
      <c r="E14" s="69"/>
      <c r="F14" s="70" t="s">
        <v>40</v>
      </c>
      <c r="G14" s="69"/>
      <c r="H14" s="70" t="s">
        <v>40</v>
      </c>
      <c r="I14" s="69"/>
      <c r="J14" s="70" t="s">
        <v>40</v>
      </c>
      <c r="K14" s="69"/>
      <c r="L14" s="70" t="s">
        <v>40</v>
      </c>
      <c r="M14" s="69"/>
      <c r="N14" s="70" t="s">
        <v>40</v>
      </c>
      <c r="O14" s="69"/>
      <c r="P14" s="70" t="s">
        <v>40</v>
      </c>
      <c r="Q14" s="69"/>
      <c r="R14" s="70" t="s">
        <v>40</v>
      </c>
      <c r="S14" s="69"/>
      <c r="T14" s="70" t="s">
        <v>40</v>
      </c>
      <c r="U14" s="69"/>
      <c r="V14" s="70" t="s">
        <v>40</v>
      </c>
      <c r="W14" s="69"/>
      <c r="X14" s="70" t="s">
        <v>40</v>
      </c>
      <c r="Y14" s="69"/>
      <c r="Z14" s="70" t="s">
        <v>40</v>
      </c>
      <c r="AA14" s="69"/>
      <c r="AB14" s="70" t="s">
        <v>40</v>
      </c>
      <c r="AC14" s="69"/>
      <c r="AD14" s="70" t="s">
        <v>40</v>
      </c>
      <c r="AE14" s="69"/>
      <c r="AF14" s="70" t="s">
        <v>40</v>
      </c>
      <c r="AG14" s="69"/>
      <c r="AH14" s="70" t="s">
        <v>40</v>
      </c>
      <c r="AI14" s="69"/>
      <c r="AJ14" s="70" t="s">
        <v>40</v>
      </c>
      <c r="AK14" s="69"/>
      <c r="AL14" s="70" t="s">
        <v>40</v>
      </c>
      <c r="AM14" s="69"/>
      <c r="AN14" s="70" t="s">
        <v>40</v>
      </c>
      <c r="AO14" s="69"/>
      <c r="AP14" s="70" t="s">
        <v>40</v>
      </c>
      <c r="AQ14" s="69"/>
      <c r="AR14" s="70" t="s">
        <v>40</v>
      </c>
      <c r="AS14" s="69"/>
      <c r="AT14" s="70" t="s">
        <v>40</v>
      </c>
      <c r="AU14" s="69"/>
      <c r="AV14" s="70" t="s">
        <v>40</v>
      </c>
      <c r="AW14" s="69"/>
      <c r="AX14" s="70" t="s">
        <v>40</v>
      </c>
      <c r="AY14" s="69"/>
      <c r="AZ14" s="70" t="s">
        <v>40</v>
      </c>
      <c r="BA14" s="69"/>
      <c r="BB14" s="70" t="s">
        <v>40</v>
      </c>
      <c r="BC14" s="69"/>
      <c r="BD14" s="70" t="s">
        <v>40</v>
      </c>
      <c r="BE14" s="69"/>
      <c r="BF14" s="70" t="s">
        <v>40</v>
      </c>
      <c r="BG14" s="69"/>
      <c r="BH14" s="70"/>
      <c r="BI14" s="69"/>
      <c r="BJ14" s="70"/>
      <c r="BK14" s="69"/>
      <c r="BL14" s="70"/>
      <c r="BM14" s="69"/>
      <c r="BN14" s="71"/>
      <c r="BO14" s="72"/>
      <c r="BP14" s="70" t="s">
        <v>40</v>
      </c>
      <c r="BQ14" s="208" t="str">
        <f>IF(BG14="","",BG14)</f>
        <v/>
      </c>
    </row>
    <row r="15" spans="1:76" x14ac:dyDescent="0.35">
      <c r="A15" s="53" t="s">
        <v>38</v>
      </c>
      <c r="B15" s="54"/>
      <c r="C15" s="206" t="str">
        <f>IF('January 2027 Log'!BM15="","",'January 2027 Log'!BM15)</f>
        <v/>
      </c>
      <c r="D15" s="68" t="s">
        <v>53</v>
      </c>
      <c r="E15" s="69"/>
      <c r="F15" s="70" t="s">
        <v>53</v>
      </c>
      <c r="G15" s="69"/>
      <c r="H15" s="70" t="s">
        <v>53</v>
      </c>
      <c r="I15" s="69"/>
      <c r="J15" s="70" t="s">
        <v>53</v>
      </c>
      <c r="K15" s="69"/>
      <c r="L15" s="70" t="s">
        <v>53</v>
      </c>
      <c r="M15" s="69"/>
      <c r="N15" s="70" t="s">
        <v>53</v>
      </c>
      <c r="O15" s="69"/>
      <c r="P15" s="70" t="s">
        <v>53</v>
      </c>
      <c r="Q15" s="69"/>
      <c r="R15" s="70" t="s">
        <v>53</v>
      </c>
      <c r="S15" s="69"/>
      <c r="T15" s="70" t="s">
        <v>53</v>
      </c>
      <c r="U15" s="69"/>
      <c r="V15" s="70" t="s">
        <v>53</v>
      </c>
      <c r="W15" s="69"/>
      <c r="X15" s="70" t="s">
        <v>53</v>
      </c>
      <c r="Y15" s="69"/>
      <c r="Z15" s="70" t="s">
        <v>53</v>
      </c>
      <c r="AA15" s="69"/>
      <c r="AB15" s="70" t="s">
        <v>53</v>
      </c>
      <c r="AC15" s="69"/>
      <c r="AD15" s="70" t="s">
        <v>53</v>
      </c>
      <c r="AE15" s="69"/>
      <c r="AF15" s="70" t="s">
        <v>53</v>
      </c>
      <c r="AG15" s="69"/>
      <c r="AH15" s="70" t="s">
        <v>53</v>
      </c>
      <c r="AI15" s="69"/>
      <c r="AJ15" s="70" t="s">
        <v>53</v>
      </c>
      <c r="AK15" s="69"/>
      <c r="AL15" s="70" t="s">
        <v>53</v>
      </c>
      <c r="AM15" s="69"/>
      <c r="AN15" s="70" t="s">
        <v>53</v>
      </c>
      <c r="AO15" s="69"/>
      <c r="AP15" s="70" t="s">
        <v>53</v>
      </c>
      <c r="AQ15" s="69"/>
      <c r="AR15" s="70" t="s">
        <v>53</v>
      </c>
      <c r="AS15" s="69"/>
      <c r="AT15" s="70" t="s">
        <v>53</v>
      </c>
      <c r="AU15" s="69"/>
      <c r="AV15" s="70" t="s">
        <v>53</v>
      </c>
      <c r="AW15" s="69"/>
      <c r="AX15" s="70" t="s">
        <v>53</v>
      </c>
      <c r="AY15" s="69"/>
      <c r="AZ15" s="70" t="s">
        <v>53</v>
      </c>
      <c r="BA15" s="69"/>
      <c r="BB15" s="70" t="s">
        <v>53</v>
      </c>
      <c r="BC15" s="69"/>
      <c r="BD15" s="70" t="s">
        <v>53</v>
      </c>
      <c r="BE15" s="69"/>
      <c r="BF15" s="70" t="s">
        <v>53</v>
      </c>
      <c r="BG15" s="69"/>
      <c r="BH15" s="70"/>
      <c r="BI15" s="69"/>
      <c r="BJ15" s="70"/>
      <c r="BK15" s="69"/>
      <c r="BL15" s="70"/>
      <c r="BM15" s="69"/>
      <c r="BN15" s="71"/>
      <c r="BO15" s="72"/>
      <c r="BP15" s="70" t="s">
        <v>53</v>
      </c>
      <c r="BQ15" s="208" t="str">
        <f>IF(BG15="","",BG15)</f>
        <v/>
      </c>
    </row>
    <row r="16" spans="1:76" x14ac:dyDescent="0.35">
      <c r="A16" s="74" t="s">
        <v>51</v>
      </c>
      <c r="B16" s="75"/>
      <c r="C16" s="76"/>
      <c r="D16" s="77"/>
      <c r="E16" s="78"/>
      <c r="F16" s="79"/>
      <c r="G16" s="78"/>
      <c r="H16" s="79"/>
      <c r="I16" s="78"/>
      <c r="J16" s="79"/>
      <c r="K16" s="78"/>
      <c r="L16" s="79"/>
      <c r="M16" s="78"/>
      <c r="N16" s="79"/>
      <c r="O16" s="78"/>
      <c r="P16" s="79"/>
      <c r="Q16" s="78"/>
      <c r="R16" s="79"/>
      <c r="S16" s="78"/>
      <c r="T16" s="79"/>
      <c r="U16" s="78"/>
      <c r="V16" s="79"/>
      <c r="W16" s="78"/>
      <c r="X16" s="79"/>
      <c r="Y16" s="78"/>
      <c r="Z16" s="79"/>
      <c r="AA16" s="78"/>
      <c r="AB16" s="79"/>
      <c r="AC16" s="78"/>
      <c r="AD16" s="79"/>
      <c r="AE16" s="78"/>
      <c r="AF16" s="79"/>
      <c r="AG16" s="78"/>
      <c r="AH16" s="79"/>
      <c r="AI16" s="78"/>
      <c r="AJ16" s="79"/>
      <c r="AK16" s="78"/>
      <c r="AL16" s="79"/>
      <c r="AM16" s="78"/>
      <c r="AN16" s="79"/>
      <c r="AO16" s="78"/>
      <c r="AP16" s="79"/>
      <c r="AQ16" s="78"/>
      <c r="AR16" s="79"/>
      <c r="AS16" s="78"/>
      <c r="AT16" s="79"/>
      <c r="AU16" s="78"/>
      <c r="AV16" s="79"/>
      <c r="AW16" s="78"/>
      <c r="AX16" s="79"/>
      <c r="AY16" s="78"/>
      <c r="AZ16" s="79"/>
      <c r="BA16" s="78"/>
      <c r="BB16" s="79"/>
      <c r="BC16" s="78"/>
      <c r="BD16" s="79"/>
      <c r="BE16" s="78"/>
      <c r="BF16" s="79"/>
      <c r="BG16" s="78"/>
      <c r="BH16" s="79"/>
      <c r="BI16" s="78"/>
      <c r="BJ16" s="79"/>
      <c r="BK16" s="78"/>
      <c r="BL16" s="79"/>
      <c r="BM16" s="78"/>
      <c r="BN16" s="80"/>
      <c r="BO16" s="81"/>
      <c r="BP16" s="79"/>
      <c r="BQ16" s="82"/>
    </row>
    <row r="17" spans="1:76" x14ac:dyDescent="0.35">
      <c r="A17" s="53" t="s">
        <v>45</v>
      </c>
      <c r="B17" s="54"/>
      <c r="C17" s="206" t="str">
        <f>IF('January 2027 Log'!BM17="","",'January 2027 Log'!BM17)</f>
        <v/>
      </c>
      <c r="D17" s="68"/>
      <c r="E17" s="69"/>
      <c r="F17" s="70"/>
      <c r="G17" s="69"/>
      <c r="H17" s="70"/>
      <c r="I17" s="69"/>
      <c r="J17" s="70"/>
      <c r="K17" s="69"/>
      <c r="L17" s="70"/>
      <c r="M17" s="69"/>
      <c r="N17" s="70"/>
      <c r="O17" s="69"/>
      <c r="P17" s="70"/>
      <c r="Q17" s="69"/>
      <c r="R17" s="70"/>
      <c r="S17" s="69"/>
      <c r="T17" s="70"/>
      <c r="U17" s="69"/>
      <c r="V17" s="70"/>
      <c r="W17" s="69"/>
      <c r="X17" s="70"/>
      <c r="Y17" s="69"/>
      <c r="Z17" s="70"/>
      <c r="AA17" s="69"/>
      <c r="AB17" s="70"/>
      <c r="AC17" s="69"/>
      <c r="AD17" s="70"/>
      <c r="AE17" s="69"/>
      <c r="AF17" s="70"/>
      <c r="AG17" s="69"/>
      <c r="AH17" s="70"/>
      <c r="AI17" s="69"/>
      <c r="AJ17" s="70"/>
      <c r="AK17" s="69"/>
      <c r="AL17" s="70"/>
      <c r="AM17" s="69"/>
      <c r="AN17" s="70"/>
      <c r="AO17" s="69"/>
      <c r="AP17" s="70"/>
      <c r="AQ17" s="69"/>
      <c r="AR17" s="70"/>
      <c r="AS17" s="69"/>
      <c r="AT17" s="70"/>
      <c r="AU17" s="69"/>
      <c r="AV17" s="70"/>
      <c r="AW17" s="69"/>
      <c r="AX17" s="70"/>
      <c r="AY17" s="69"/>
      <c r="AZ17" s="70"/>
      <c r="BA17" s="69"/>
      <c r="BB17" s="70"/>
      <c r="BC17" s="69"/>
      <c r="BD17" s="70"/>
      <c r="BE17" s="69"/>
      <c r="BF17" s="70"/>
      <c r="BG17" s="69"/>
      <c r="BH17" s="70"/>
      <c r="BI17" s="69"/>
      <c r="BJ17" s="70"/>
      <c r="BK17" s="69"/>
      <c r="BL17" s="70"/>
      <c r="BM17" s="69"/>
      <c r="BN17" s="71"/>
      <c r="BO17" s="182" t="str">
        <f t="shared" ref="BO17:BO59" si="2">IF(COUNT(E17,G17,I17,K17,M17,O17,Q17,S17,U17,W17,Y17,AA17,AC17,AE17,AG17,AI17,AK17,AM17,AO17,AQ17,AS17,AU17,AW17,AY17,BA17,BC17,BE17,BG17,BI17,BK17,BM17)=0,"",SUM(E17,G17,I17,K17,M17,O17,Q17,S17,U17,W17,Y17,AA17,AC17,AE17,AG17,AI17,AK17,AM17,AO17,AQ17,AS17,AU17,AW17,AY17,BA17,BC17,BE17,BG17,BI17,BK17,BM17))</f>
        <v/>
      </c>
      <c r="BP17" s="70"/>
      <c r="BQ17" s="208" t="str">
        <f>IF(BG17="","",BG17)</f>
        <v/>
      </c>
    </row>
    <row r="18" spans="1:76" x14ac:dyDescent="0.35">
      <c r="A18" s="53" t="s">
        <v>46</v>
      </c>
      <c r="B18" s="54"/>
      <c r="C18" s="67"/>
      <c r="D18" s="68"/>
      <c r="E18" s="69"/>
      <c r="F18" s="70"/>
      <c r="G18" s="69"/>
      <c r="H18" s="70"/>
      <c r="I18" s="69"/>
      <c r="J18" s="70"/>
      <c r="K18" s="69"/>
      <c r="L18" s="70"/>
      <c r="M18" s="69"/>
      <c r="N18" s="70"/>
      <c r="O18" s="69"/>
      <c r="P18" s="70"/>
      <c r="Q18" s="69"/>
      <c r="R18" s="70"/>
      <c r="S18" s="69"/>
      <c r="T18" s="70"/>
      <c r="U18" s="69"/>
      <c r="V18" s="70"/>
      <c r="W18" s="69"/>
      <c r="X18" s="70"/>
      <c r="Y18" s="69"/>
      <c r="Z18" s="70"/>
      <c r="AA18" s="69"/>
      <c r="AB18" s="70"/>
      <c r="AC18" s="69"/>
      <c r="AD18" s="70"/>
      <c r="AE18" s="69"/>
      <c r="AF18" s="70"/>
      <c r="AG18" s="69"/>
      <c r="AH18" s="70"/>
      <c r="AI18" s="69"/>
      <c r="AJ18" s="70"/>
      <c r="AK18" s="69"/>
      <c r="AL18" s="70"/>
      <c r="AM18" s="69"/>
      <c r="AN18" s="70"/>
      <c r="AO18" s="69"/>
      <c r="AP18" s="70"/>
      <c r="AQ18" s="69"/>
      <c r="AR18" s="70"/>
      <c r="AS18" s="69"/>
      <c r="AT18" s="70"/>
      <c r="AU18" s="69"/>
      <c r="AV18" s="70"/>
      <c r="AW18" s="69"/>
      <c r="AX18" s="70"/>
      <c r="AY18" s="69"/>
      <c r="AZ18" s="70"/>
      <c r="BA18" s="69"/>
      <c r="BB18" s="70"/>
      <c r="BC18" s="69"/>
      <c r="BD18" s="70"/>
      <c r="BE18" s="69"/>
      <c r="BF18" s="70"/>
      <c r="BG18" s="69"/>
      <c r="BH18" s="70"/>
      <c r="BI18" s="69"/>
      <c r="BJ18" s="70"/>
      <c r="BK18" s="69"/>
      <c r="BL18" s="70"/>
      <c r="BM18" s="69"/>
      <c r="BN18" s="71"/>
      <c r="BO18" s="182" t="str">
        <f t="shared" si="2"/>
        <v/>
      </c>
      <c r="BP18" s="70"/>
      <c r="BQ18" s="73"/>
    </row>
    <row r="19" spans="1:76" x14ac:dyDescent="0.35">
      <c r="A19" s="53" t="s">
        <v>69</v>
      </c>
      <c r="B19" s="54"/>
      <c r="C19" s="67"/>
      <c r="D19" s="68"/>
      <c r="E19" s="69"/>
      <c r="F19" s="70"/>
      <c r="G19" s="69"/>
      <c r="H19" s="70"/>
      <c r="I19" s="69"/>
      <c r="J19" s="70"/>
      <c r="K19" s="69"/>
      <c r="L19" s="70"/>
      <c r="M19" s="69"/>
      <c r="N19" s="70"/>
      <c r="O19" s="69"/>
      <c r="P19" s="70"/>
      <c r="Q19" s="69"/>
      <c r="R19" s="70"/>
      <c r="S19" s="69"/>
      <c r="T19" s="70"/>
      <c r="U19" s="69"/>
      <c r="V19" s="70"/>
      <c r="W19" s="69"/>
      <c r="X19" s="70"/>
      <c r="Y19" s="69"/>
      <c r="Z19" s="70"/>
      <c r="AA19" s="69"/>
      <c r="AB19" s="70"/>
      <c r="AC19" s="69"/>
      <c r="AD19" s="70"/>
      <c r="AE19" s="69"/>
      <c r="AF19" s="70"/>
      <c r="AG19" s="69"/>
      <c r="AH19" s="70"/>
      <c r="AI19" s="69"/>
      <c r="AJ19" s="70"/>
      <c r="AK19" s="69"/>
      <c r="AL19" s="70"/>
      <c r="AM19" s="69"/>
      <c r="AN19" s="70"/>
      <c r="AO19" s="69"/>
      <c r="AP19" s="70"/>
      <c r="AQ19" s="69"/>
      <c r="AR19" s="70"/>
      <c r="AS19" s="69"/>
      <c r="AT19" s="70"/>
      <c r="AU19" s="69"/>
      <c r="AV19" s="70"/>
      <c r="AW19" s="69"/>
      <c r="AX19" s="70"/>
      <c r="AY19" s="69"/>
      <c r="AZ19" s="70"/>
      <c r="BA19" s="69"/>
      <c r="BB19" s="70"/>
      <c r="BC19" s="69"/>
      <c r="BD19" s="70"/>
      <c r="BE19" s="69"/>
      <c r="BF19" s="70"/>
      <c r="BG19" s="69"/>
      <c r="BH19" s="70"/>
      <c r="BI19" s="69"/>
      <c r="BJ19" s="70"/>
      <c r="BK19" s="69"/>
      <c r="BL19" s="70"/>
      <c r="BM19" s="69"/>
      <c r="BN19" s="71"/>
      <c r="BO19" s="182" t="str">
        <f t="shared" si="2"/>
        <v/>
      </c>
      <c r="BP19" s="70"/>
      <c r="BQ19" s="73"/>
    </row>
    <row r="20" spans="1:76" x14ac:dyDescent="0.35">
      <c r="A20" s="83" t="s">
        <v>0</v>
      </c>
      <c r="B20" s="54"/>
      <c r="C20" s="84"/>
      <c r="D20" s="85"/>
      <c r="E20" s="86"/>
      <c r="F20" s="87"/>
      <c r="G20" s="86"/>
      <c r="H20" s="87"/>
      <c r="I20" s="86"/>
      <c r="J20" s="87"/>
      <c r="K20" s="86"/>
      <c r="L20" s="87"/>
      <c r="M20" s="86"/>
      <c r="N20" s="87"/>
      <c r="O20" s="86"/>
      <c r="P20" s="87"/>
      <c r="Q20" s="86"/>
      <c r="R20" s="87"/>
      <c r="S20" s="86"/>
      <c r="T20" s="87"/>
      <c r="U20" s="86"/>
      <c r="V20" s="87"/>
      <c r="W20" s="86"/>
      <c r="X20" s="87"/>
      <c r="Y20" s="86"/>
      <c r="Z20" s="87"/>
      <c r="AA20" s="86"/>
      <c r="AB20" s="87"/>
      <c r="AC20" s="86"/>
      <c r="AD20" s="87"/>
      <c r="AE20" s="86"/>
      <c r="AF20" s="87"/>
      <c r="AG20" s="86"/>
      <c r="AH20" s="87"/>
      <c r="AI20" s="86"/>
      <c r="AJ20" s="87"/>
      <c r="AK20" s="86"/>
      <c r="AL20" s="87"/>
      <c r="AM20" s="86"/>
      <c r="AN20" s="87"/>
      <c r="AO20" s="86"/>
      <c r="AP20" s="87"/>
      <c r="AQ20" s="86"/>
      <c r="AR20" s="87"/>
      <c r="AS20" s="86"/>
      <c r="AT20" s="87"/>
      <c r="AU20" s="86"/>
      <c r="AV20" s="87"/>
      <c r="AW20" s="86"/>
      <c r="AX20" s="87"/>
      <c r="AY20" s="86"/>
      <c r="AZ20" s="87"/>
      <c r="BA20" s="86"/>
      <c r="BB20" s="87"/>
      <c r="BC20" s="86"/>
      <c r="BD20" s="87"/>
      <c r="BE20" s="86"/>
      <c r="BF20" s="87"/>
      <c r="BG20" s="86"/>
      <c r="BH20" s="87"/>
      <c r="BI20" s="86"/>
      <c r="BJ20" s="87"/>
      <c r="BK20" s="86"/>
      <c r="BL20" s="87"/>
      <c r="BM20" s="86"/>
      <c r="BN20" s="50"/>
      <c r="BO20" s="170" t="str">
        <f t="shared" si="2"/>
        <v/>
      </c>
      <c r="BP20" s="87"/>
      <c r="BQ20" s="88"/>
    </row>
    <row r="21" spans="1:76" x14ac:dyDescent="0.35">
      <c r="A21" s="83" t="s">
        <v>1</v>
      </c>
      <c r="B21" s="54"/>
      <c r="C21" s="174" t="str">
        <f>IF('January 2027 Log'!BM21="","",'January 2027 Log'!BM21)</f>
        <v/>
      </c>
      <c r="D21" s="85"/>
      <c r="E21" s="86"/>
      <c r="F21" s="87"/>
      <c r="G21" s="86"/>
      <c r="H21" s="87"/>
      <c r="I21" s="86"/>
      <c r="J21" s="87"/>
      <c r="K21" s="86"/>
      <c r="L21" s="87"/>
      <c r="M21" s="86"/>
      <c r="N21" s="87"/>
      <c r="O21" s="86"/>
      <c r="P21" s="87"/>
      <c r="Q21" s="86"/>
      <c r="R21" s="87"/>
      <c r="S21" s="86"/>
      <c r="T21" s="87"/>
      <c r="U21" s="86"/>
      <c r="V21" s="87"/>
      <c r="W21" s="86"/>
      <c r="X21" s="87"/>
      <c r="Y21" s="86"/>
      <c r="Z21" s="87"/>
      <c r="AA21" s="86"/>
      <c r="AB21" s="87"/>
      <c r="AC21" s="86"/>
      <c r="AD21" s="87"/>
      <c r="AE21" s="86"/>
      <c r="AF21" s="87"/>
      <c r="AG21" s="86"/>
      <c r="AH21" s="87"/>
      <c r="AI21" s="86"/>
      <c r="AJ21" s="87"/>
      <c r="AK21" s="86"/>
      <c r="AL21" s="87"/>
      <c r="AM21" s="86"/>
      <c r="AN21" s="87"/>
      <c r="AO21" s="86"/>
      <c r="AP21" s="87"/>
      <c r="AQ21" s="86"/>
      <c r="AR21" s="87"/>
      <c r="AS21" s="86"/>
      <c r="AT21" s="87"/>
      <c r="AU21" s="86"/>
      <c r="AV21" s="87"/>
      <c r="AW21" s="86"/>
      <c r="AX21" s="87"/>
      <c r="AY21" s="86"/>
      <c r="AZ21" s="87"/>
      <c r="BA21" s="86"/>
      <c r="BB21" s="87"/>
      <c r="BC21" s="86"/>
      <c r="BD21" s="87"/>
      <c r="BE21" s="86"/>
      <c r="BF21" s="87"/>
      <c r="BG21" s="86"/>
      <c r="BH21" s="87"/>
      <c r="BI21" s="86"/>
      <c r="BJ21" s="87"/>
      <c r="BK21" s="86"/>
      <c r="BL21" s="87"/>
      <c r="BM21" s="86"/>
      <c r="BN21" s="50"/>
      <c r="BO21" s="170" t="str">
        <f t="shared" si="2"/>
        <v/>
      </c>
      <c r="BP21" s="87"/>
      <c r="BQ21" s="178" t="str">
        <f>IF(BG21="","",BG21)</f>
        <v/>
      </c>
    </row>
    <row r="22" spans="1:76" s="1" customFormat="1" ht="15" thickBot="1" x14ac:dyDescent="0.4">
      <c r="A22" s="89" t="s">
        <v>41</v>
      </c>
      <c r="B22" s="90"/>
      <c r="C22" s="175">
        <f>IF('January 2027 Log'!BM22="","",'January 2027 Log'!BM22)</f>
        <v>0</v>
      </c>
      <c r="D22" s="47"/>
      <c r="E22" s="177">
        <f t="shared" ref="E22" si="3">SUM(E20:E21)</f>
        <v>0</v>
      </c>
      <c r="F22" s="49"/>
      <c r="G22" s="177">
        <f t="shared" ref="G22" si="4">SUM(G20:G21)</f>
        <v>0</v>
      </c>
      <c r="H22" s="49"/>
      <c r="I22" s="177">
        <f t="shared" ref="I22" si="5">SUM(I20:I21)</f>
        <v>0</v>
      </c>
      <c r="J22" s="49"/>
      <c r="K22" s="177">
        <f t="shared" ref="K22" si="6">SUM(K20:K21)</f>
        <v>0</v>
      </c>
      <c r="L22" s="49"/>
      <c r="M22" s="177">
        <f t="shared" ref="M22" si="7">SUM(M20:M21)</f>
        <v>0</v>
      </c>
      <c r="N22" s="49"/>
      <c r="O22" s="177">
        <f t="shared" ref="O22" si="8">SUM(O20:O21)</f>
        <v>0</v>
      </c>
      <c r="P22" s="49"/>
      <c r="Q22" s="177">
        <f t="shared" ref="Q22" si="9">SUM(Q20:Q21)</f>
        <v>0</v>
      </c>
      <c r="R22" s="49"/>
      <c r="S22" s="177">
        <f t="shared" ref="S22" si="10">SUM(S20:S21)</f>
        <v>0</v>
      </c>
      <c r="T22" s="49"/>
      <c r="U22" s="177">
        <f t="shared" ref="U22" si="11">SUM(U20:U21)</f>
        <v>0</v>
      </c>
      <c r="V22" s="49"/>
      <c r="W22" s="177">
        <f t="shared" ref="W22" si="12">SUM(W20:W21)</f>
        <v>0</v>
      </c>
      <c r="X22" s="49"/>
      <c r="Y22" s="177">
        <f t="shared" ref="Y22" si="13">SUM(Y20:Y21)</f>
        <v>0</v>
      </c>
      <c r="Z22" s="49"/>
      <c r="AA22" s="177">
        <f t="shared" ref="AA22" si="14">SUM(AA20:AA21)</f>
        <v>0</v>
      </c>
      <c r="AB22" s="49"/>
      <c r="AC22" s="177">
        <f t="shared" ref="AC22" si="15">SUM(AC20:AC21)</f>
        <v>0</v>
      </c>
      <c r="AD22" s="49"/>
      <c r="AE22" s="177">
        <f t="shared" ref="AE22" si="16">SUM(AE20:AE21)</f>
        <v>0</v>
      </c>
      <c r="AF22" s="49"/>
      <c r="AG22" s="177">
        <f t="shared" ref="AG22" si="17">SUM(AG20:AG21)</f>
        <v>0</v>
      </c>
      <c r="AH22" s="49"/>
      <c r="AI22" s="177">
        <f t="shared" ref="AI22" si="18">SUM(AI20:AI21)</f>
        <v>0</v>
      </c>
      <c r="AJ22" s="49"/>
      <c r="AK22" s="177">
        <f t="shared" ref="AK22" si="19">SUM(AK20:AK21)</f>
        <v>0</v>
      </c>
      <c r="AL22" s="49"/>
      <c r="AM22" s="177">
        <f t="shared" ref="AM22" si="20">SUM(AM20:AM21)</f>
        <v>0</v>
      </c>
      <c r="AN22" s="49"/>
      <c r="AO22" s="177">
        <f t="shared" ref="AO22" si="21">SUM(AO20:AO21)</f>
        <v>0</v>
      </c>
      <c r="AP22" s="49"/>
      <c r="AQ22" s="177">
        <f t="shared" ref="AQ22" si="22">SUM(AQ20:AQ21)</f>
        <v>0</v>
      </c>
      <c r="AR22" s="49"/>
      <c r="AS22" s="177">
        <f t="shared" ref="AS22" si="23">SUM(AS20:AS21)</f>
        <v>0</v>
      </c>
      <c r="AT22" s="49"/>
      <c r="AU22" s="177">
        <f t="shared" ref="AU22" si="24">SUM(AU20:AU21)</f>
        <v>0</v>
      </c>
      <c r="AV22" s="49"/>
      <c r="AW22" s="177">
        <f t="shared" ref="AW22" si="25">SUM(AW20:AW21)</f>
        <v>0</v>
      </c>
      <c r="AX22" s="49"/>
      <c r="AY22" s="177">
        <f t="shared" ref="AY22" si="26">SUM(AY20:AY21)</f>
        <v>0</v>
      </c>
      <c r="AZ22" s="49"/>
      <c r="BA22" s="177">
        <f t="shared" ref="BA22" si="27">SUM(BA20:BA21)</f>
        <v>0</v>
      </c>
      <c r="BB22" s="49"/>
      <c r="BC22" s="177">
        <f t="shared" ref="BC22" si="28">SUM(BC20:BC21)</f>
        <v>0</v>
      </c>
      <c r="BD22" s="49"/>
      <c r="BE22" s="177">
        <f t="shared" ref="BE22" si="29">SUM(BE20:BE21)</f>
        <v>0</v>
      </c>
      <c r="BF22" s="49"/>
      <c r="BG22" s="177">
        <f t="shared" ref="BG22" si="30">SUM(BG20:BG21)</f>
        <v>0</v>
      </c>
      <c r="BH22" s="49"/>
      <c r="BI22" s="91"/>
      <c r="BJ22" s="49"/>
      <c r="BK22" s="91"/>
      <c r="BL22" s="49"/>
      <c r="BM22" s="91"/>
      <c r="BN22" s="92"/>
      <c r="BO22" s="170">
        <f t="shared" si="2"/>
        <v>0</v>
      </c>
      <c r="BP22" s="49"/>
      <c r="BQ22" s="179">
        <f>IF(BG22="","",BG22)</f>
        <v>0</v>
      </c>
      <c r="BR22"/>
      <c r="BS22"/>
      <c r="BT22"/>
      <c r="BU22"/>
      <c r="BV22"/>
      <c r="BW22"/>
      <c r="BX22"/>
    </row>
    <row r="23" spans="1:76" ht="15" hidden="1" thickBot="1" x14ac:dyDescent="0.4">
      <c r="A23" s="83" t="s">
        <v>2</v>
      </c>
      <c r="B23" s="54"/>
      <c r="C23" s="84"/>
      <c r="D23" s="85"/>
      <c r="E23" s="86"/>
      <c r="F23" s="87"/>
      <c r="G23" s="86"/>
      <c r="H23" s="87"/>
      <c r="I23" s="86"/>
      <c r="J23" s="87"/>
      <c r="K23" s="86"/>
      <c r="L23" s="87"/>
      <c r="M23" s="86"/>
      <c r="N23" s="87"/>
      <c r="O23" s="86"/>
      <c r="P23" s="87"/>
      <c r="Q23" s="86"/>
      <c r="R23" s="87"/>
      <c r="S23" s="86"/>
      <c r="T23" s="87"/>
      <c r="U23" s="86"/>
      <c r="V23" s="87"/>
      <c r="W23" s="86"/>
      <c r="X23" s="87"/>
      <c r="Y23" s="86"/>
      <c r="Z23" s="87"/>
      <c r="AA23" s="86"/>
      <c r="AB23" s="87"/>
      <c r="AC23" s="86"/>
      <c r="AD23" s="87"/>
      <c r="AE23" s="86"/>
      <c r="AF23" s="87"/>
      <c r="AG23" s="86"/>
      <c r="AH23" s="87"/>
      <c r="AI23" s="86"/>
      <c r="AJ23" s="87"/>
      <c r="AK23" s="86"/>
      <c r="AL23" s="87"/>
      <c r="AM23" s="86"/>
      <c r="AN23" s="87"/>
      <c r="AO23" s="86"/>
      <c r="AP23" s="87"/>
      <c r="AQ23" s="86"/>
      <c r="AR23" s="87"/>
      <c r="AS23" s="86"/>
      <c r="AT23" s="87"/>
      <c r="AU23" s="86"/>
      <c r="AV23" s="87"/>
      <c r="AW23" s="86"/>
      <c r="AX23" s="87"/>
      <c r="AY23" s="86"/>
      <c r="AZ23" s="87"/>
      <c r="BA23" s="86"/>
      <c r="BB23" s="87"/>
      <c r="BC23" s="86"/>
      <c r="BD23" s="87"/>
      <c r="BE23" s="86"/>
      <c r="BF23" s="87"/>
      <c r="BG23" s="86"/>
      <c r="BH23" s="87"/>
      <c r="BI23" s="86"/>
      <c r="BJ23" s="87"/>
      <c r="BK23" s="86"/>
      <c r="BL23" s="87"/>
      <c r="BM23" s="86"/>
      <c r="BN23" s="50"/>
      <c r="BO23" s="170" t="str">
        <f t="shared" si="2"/>
        <v/>
      </c>
      <c r="BP23" s="87"/>
      <c r="BQ23" s="88"/>
    </row>
    <row r="24" spans="1:76" ht="15" hidden="1" thickBot="1" x14ac:dyDescent="0.4">
      <c r="A24" s="83" t="s">
        <v>3</v>
      </c>
      <c r="B24" s="54"/>
      <c r="C24" s="84"/>
      <c r="D24" s="85"/>
      <c r="E24" s="86"/>
      <c r="F24" s="87"/>
      <c r="G24" s="86"/>
      <c r="H24" s="87"/>
      <c r="I24" s="86"/>
      <c r="J24" s="87"/>
      <c r="K24" s="86"/>
      <c r="L24" s="87"/>
      <c r="M24" s="86"/>
      <c r="N24" s="87"/>
      <c r="O24" s="86"/>
      <c r="P24" s="87"/>
      <c r="Q24" s="86"/>
      <c r="R24" s="87"/>
      <c r="S24" s="86"/>
      <c r="T24" s="87"/>
      <c r="U24" s="86"/>
      <c r="V24" s="87"/>
      <c r="W24" s="86"/>
      <c r="X24" s="87"/>
      <c r="Y24" s="86"/>
      <c r="Z24" s="87"/>
      <c r="AA24" s="86"/>
      <c r="AB24" s="87"/>
      <c r="AC24" s="86"/>
      <c r="AD24" s="87"/>
      <c r="AE24" s="86"/>
      <c r="AF24" s="87"/>
      <c r="AG24" s="86"/>
      <c r="AH24" s="87"/>
      <c r="AI24" s="86"/>
      <c r="AJ24" s="87"/>
      <c r="AK24" s="86"/>
      <c r="AL24" s="87"/>
      <c r="AM24" s="86"/>
      <c r="AN24" s="87"/>
      <c r="AO24" s="86"/>
      <c r="AP24" s="87"/>
      <c r="AQ24" s="86"/>
      <c r="AR24" s="87"/>
      <c r="AS24" s="86"/>
      <c r="AT24" s="87"/>
      <c r="AU24" s="86"/>
      <c r="AV24" s="87"/>
      <c r="AW24" s="86"/>
      <c r="AX24" s="87"/>
      <c r="AY24" s="86"/>
      <c r="AZ24" s="87"/>
      <c r="BA24" s="86"/>
      <c r="BB24" s="87"/>
      <c r="BC24" s="86"/>
      <c r="BD24" s="87"/>
      <c r="BE24" s="86"/>
      <c r="BF24" s="87"/>
      <c r="BG24" s="86"/>
      <c r="BH24" s="87"/>
      <c r="BI24" s="86"/>
      <c r="BJ24" s="87"/>
      <c r="BK24" s="86"/>
      <c r="BL24" s="87"/>
      <c r="BM24" s="86"/>
      <c r="BN24" s="50"/>
      <c r="BO24" s="170" t="str">
        <f t="shared" si="2"/>
        <v/>
      </c>
      <c r="BP24" s="87"/>
      <c r="BQ24" s="88"/>
    </row>
    <row r="25" spans="1:76" s="7" customFormat="1" x14ac:dyDescent="0.35">
      <c r="A25" s="83" t="s">
        <v>37</v>
      </c>
      <c r="B25" s="54"/>
      <c r="C25" s="174" t="str">
        <f>IF('January 2027 Log'!BM25="","",'January 2027 Log'!BM25)</f>
        <v/>
      </c>
      <c r="D25" s="85"/>
      <c r="E25" s="86"/>
      <c r="F25" s="87"/>
      <c r="G25" s="86"/>
      <c r="H25" s="87"/>
      <c r="I25" s="86"/>
      <c r="J25" s="87"/>
      <c r="K25" s="86"/>
      <c r="L25" s="87"/>
      <c r="M25" s="86"/>
      <c r="N25" s="87"/>
      <c r="O25" s="86"/>
      <c r="P25" s="87"/>
      <c r="Q25" s="86"/>
      <c r="R25" s="87"/>
      <c r="S25" s="86"/>
      <c r="T25" s="87"/>
      <c r="U25" s="86"/>
      <c r="V25" s="87"/>
      <c r="W25" s="86"/>
      <c r="X25" s="87"/>
      <c r="Y25" s="86"/>
      <c r="Z25" s="87"/>
      <c r="AA25" s="86"/>
      <c r="AB25" s="87"/>
      <c r="AC25" s="86"/>
      <c r="AD25" s="87"/>
      <c r="AE25" s="86"/>
      <c r="AF25" s="87"/>
      <c r="AG25" s="86"/>
      <c r="AH25" s="87"/>
      <c r="AI25" s="86"/>
      <c r="AJ25" s="87"/>
      <c r="AK25" s="86"/>
      <c r="AL25" s="87"/>
      <c r="AM25" s="86"/>
      <c r="AN25" s="87"/>
      <c r="AO25" s="86"/>
      <c r="AP25" s="87"/>
      <c r="AQ25" s="86"/>
      <c r="AR25" s="87"/>
      <c r="AS25" s="86"/>
      <c r="AT25" s="87"/>
      <c r="AU25" s="86"/>
      <c r="AV25" s="87"/>
      <c r="AW25" s="86"/>
      <c r="AX25" s="87"/>
      <c r="AY25" s="86"/>
      <c r="AZ25" s="87"/>
      <c r="BA25" s="86"/>
      <c r="BB25" s="87"/>
      <c r="BC25" s="86"/>
      <c r="BD25" s="87"/>
      <c r="BE25" s="86"/>
      <c r="BF25" s="87"/>
      <c r="BG25" s="86"/>
      <c r="BH25" s="87"/>
      <c r="BI25" s="86"/>
      <c r="BJ25" s="87"/>
      <c r="BK25" s="86"/>
      <c r="BL25" s="87"/>
      <c r="BM25" s="86"/>
      <c r="BN25" s="50"/>
      <c r="BO25" s="170" t="str">
        <f t="shared" si="2"/>
        <v/>
      </c>
      <c r="BP25" s="87"/>
      <c r="BQ25" s="178" t="str">
        <f>IF(BG25="","",BG25)</f>
        <v/>
      </c>
      <c r="BR25"/>
      <c r="BS25"/>
      <c r="BT25"/>
      <c r="BU25"/>
      <c r="BV25"/>
      <c r="BW25"/>
      <c r="BX25"/>
    </row>
    <row r="26" spans="1:76" ht="15" thickBot="1" x14ac:dyDescent="0.4">
      <c r="A26" s="94" t="s">
        <v>4</v>
      </c>
      <c r="B26" s="95"/>
      <c r="C26" s="174" t="str">
        <f>IF('January 2027 Log'!BM26="","",'January 2027 Log'!BM26)</f>
        <v/>
      </c>
      <c r="D26" s="96"/>
      <c r="E26" s="86"/>
      <c r="F26" s="97"/>
      <c r="G26" s="86"/>
      <c r="H26" s="97"/>
      <c r="I26" s="86"/>
      <c r="J26" s="97"/>
      <c r="K26" s="86"/>
      <c r="L26" s="97"/>
      <c r="M26" s="86"/>
      <c r="N26" s="97"/>
      <c r="O26" s="86"/>
      <c r="P26" s="97"/>
      <c r="Q26" s="86"/>
      <c r="R26" s="97"/>
      <c r="S26" s="86"/>
      <c r="T26" s="97"/>
      <c r="U26" s="86"/>
      <c r="V26" s="97"/>
      <c r="W26" s="86"/>
      <c r="X26" s="97"/>
      <c r="Y26" s="86"/>
      <c r="Z26" s="97"/>
      <c r="AA26" s="86"/>
      <c r="AB26" s="97"/>
      <c r="AC26" s="86"/>
      <c r="AD26" s="97"/>
      <c r="AE26" s="86"/>
      <c r="AF26" s="97"/>
      <c r="AG26" s="86"/>
      <c r="AH26" s="97"/>
      <c r="AI26" s="86"/>
      <c r="AJ26" s="97"/>
      <c r="AK26" s="86"/>
      <c r="AL26" s="97"/>
      <c r="AM26" s="86"/>
      <c r="AN26" s="97"/>
      <c r="AO26" s="86"/>
      <c r="AP26" s="97"/>
      <c r="AQ26" s="86"/>
      <c r="AR26" s="97"/>
      <c r="AS26" s="86"/>
      <c r="AT26" s="97"/>
      <c r="AU26" s="86"/>
      <c r="AV26" s="97"/>
      <c r="AW26" s="86"/>
      <c r="AX26" s="97"/>
      <c r="AY26" s="86"/>
      <c r="AZ26" s="97"/>
      <c r="BA26" s="86"/>
      <c r="BB26" s="97"/>
      <c r="BC26" s="86"/>
      <c r="BD26" s="97"/>
      <c r="BE26" s="86"/>
      <c r="BF26" s="97"/>
      <c r="BG26" s="86"/>
      <c r="BH26" s="97"/>
      <c r="BI26" s="86"/>
      <c r="BJ26" s="97"/>
      <c r="BK26" s="86"/>
      <c r="BL26" s="97"/>
      <c r="BM26" s="86"/>
      <c r="BN26" s="50"/>
      <c r="BO26" s="170" t="str">
        <f t="shared" si="2"/>
        <v/>
      </c>
      <c r="BP26" s="97"/>
      <c r="BQ26" s="178" t="str">
        <f>IF(BG26="","",BG26)</f>
        <v/>
      </c>
    </row>
    <row r="27" spans="1:76" s="7" customFormat="1" x14ac:dyDescent="0.35">
      <c r="A27" s="53" t="s">
        <v>21</v>
      </c>
      <c r="B27" s="54"/>
      <c r="C27" s="174" t="str">
        <f>IF('January 2027 Log'!BM27="","",'January 2027 Log'!BM27)</f>
        <v/>
      </c>
      <c r="D27" s="85"/>
      <c r="E27" s="86"/>
      <c r="F27" s="87"/>
      <c r="G27" s="86"/>
      <c r="H27" s="87"/>
      <c r="I27" s="86"/>
      <c r="J27" s="87"/>
      <c r="K27" s="86"/>
      <c r="L27" s="87"/>
      <c r="M27" s="86"/>
      <c r="N27" s="87"/>
      <c r="O27" s="86"/>
      <c r="P27" s="87"/>
      <c r="Q27" s="86"/>
      <c r="R27" s="87"/>
      <c r="S27" s="86"/>
      <c r="T27" s="87"/>
      <c r="U27" s="86"/>
      <c r="V27" s="87"/>
      <c r="W27" s="86"/>
      <c r="X27" s="87"/>
      <c r="Y27" s="86"/>
      <c r="Z27" s="87"/>
      <c r="AA27" s="86"/>
      <c r="AB27" s="87"/>
      <c r="AC27" s="86"/>
      <c r="AD27" s="87"/>
      <c r="AE27" s="86"/>
      <c r="AF27" s="87"/>
      <c r="AG27" s="86"/>
      <c r="AH27" s="87"/>
      <c r="AI27" s="86"/>
      <c r="AJ27" s="87"/>
      <c r="AK27" s="86"/>
      <c r="AL27" s="87"/>
      <c r="AM27" s="86"/>
      <c r="AN27" s="87"/>
      <c r="AO27" s="86"/>
      <c r="AP27" s="87"/>
      <c r="AQ27" s="86"/>
      <c r="AR27" s="87"/>
      <c r="AS27" s="86"/>
      <c r="AT27" s="87"/>
      <c r="AU27" s="86"/>
      <c r="AV27" s="87"/>
      <c r="AW27" s="86"/>
      <c r="AX27" s="87"/>
      <c r="AY27" s="86"/>
      <c r="AZ27" s="87"/>
      <c r="BA27" s="86"/>
      <c r="BB27" s="87"/>
      <c r="BC27" s="86"/>
      <c r="BD27" s="87"/>
      <c r="BE27" s="86"/>
      <c r="BF27" s="87"/>
      <c r="BG27" s="86"/>
      <c r="BH27" s="87"/>
      <c r="BI27" s="86"/>
      <c r="BJ27" s="87"/>
      <c r="BK27" s="86"/>
      <c r="BL27" s="87"/>
      <c r="BM27" s="86"/>
      <c r="BN27" s="50"/>
      <c r="BO27" s="170" t="str">
        <f t="shared" si="2"/>
        <v/>
      </c>
      <c r="BP27" s="87"/>
      <c r="BQ27" s="178" t="str">
        <f>IF(BG27="","",BG27)</f>
        <v/>
      </c>
      <c r="BR27"/>
      <c r="BS27"/>
      <c r="BT27"/>
      <c r="BU27"/>
      <c r="BV27"/>
      <c r="BW27"/>
      <c r="BX27"/>
    </row>
    <row r="28" spans="1:76" x14ac:dyDescent="0.35">
      <c r="A28" s="53" t="s">
        <v>22</v>
      </c>
      <c r="B28" s="54"/>
      <c r="C28" s="174" t="str">
        <f>IF('January 2027 Log'!BM28="","",'January 2027 Log'!BM28)</f>
        <v/>
      </c>
      <c r="D28" s="85"/>
      <c r="E28" s="86"/>
      <c r="F28" s="87"/>
      <c r="G28" s="86"/>
      <c r="H28" s="87"/>
      <c r="I28" s="86"/>
      <c r="J28" s="87"/>
      <c r="K28" s="86"/>
      <c r="L28" s="87"/>
      <c r="M28" s="86"/>
      <c r="N28" s="87"/>
      <c r="O28" s="86"/>
      <c r="P28" s="87"/>
      <c r="Q28" s="86"/>
      <c r="R28" s="87"/>
      <c r="S28" s="86"/>
      <c r="T28" s="87"/>
      <c r="U28" s="86"/>
      <c r="V28" s="87"/>
      <c r="W28" s="86"/>
      <c r="X28" s="87"/>
      <c r="Y28" s="86"/>
      <c r="Z28" s="87"/>
      <c r="AA28" s="86"/>
      <c r="AB28" s="87"/>
      <c r="AC28" s="86"/>
      <c r="AD28" s="87"/>
      <c r="AE28" s="86"/>
      <c r="AF28" s="87"/>
      <c r="AG28" s="86"/>
      <c r="AH28" s="87"/>
      <c r="AI28" s="86"/>
      <c r="AJ28" s="87"/>
      <c r="AK28" s="86"/>
      <c r="AL28" s="87"/>
      <c r="AM28" s="86"/>
      <c r="AN28" s="87"/>
      <c r="AO28" s="86"/>
      <c r="AP28" s="87"/>
      <c r="AQ28" s="86"/>
      <c r="AR28" s="87"/>
      <c r="AS28" s="86"/>
      <c r="AT28" s="87"/>
      <c r="AU28" s="86"/>
      <c r="AV28" s="87"/>
      <c r="AW28" s="86"/>
      <c r="AX28" s="87"/>
      <c r="AY28" s="86"/>
      <c r="AZ28" s="87"/>
      <c r="BA28" s="86"/>
      <c r="BB28" s="87"/>
      <c r="BC28" s="86"/>
      <c r="BD28" s="87"/>
      <c r="BE28" s="86"/>
      <c r="BF28" s="87"/>
      <c r="BG28" s="86"/>
      <c r="BH28" s="87"/>
      <c r="BI28" s="86"/>
      <c r="BJ28" s="87"/>
      <c r="BK28" s="86"/>
      <c r="BL28" s="87"/>
      <c r="BM28" s="86"/>
      <c r="BN28" s="50"/>
      <c r="BO28" s="170" t="str">
        <f t="shared" si="2"/>
        <v/>
      </c>
      <c r="BP28" s="87"/>
      <c r="BQ28" s="178" t="str">
        <f>IF(BG28="","",BG28)</f>
        <v/>
      </c>
    </row>
    <row r="29" spans="1:76" s="4" customFormat="1" ht="15" thickBot="1" x14ac:dyDescent="0.4">
      <c r="A29" s="53" t="s">
        <v>23</v>
      </c>
      <c r="B29" s="54"/>
      <c r="C29" s="84"/>
      <c r="D29" s="85"/>
      <c r="E29" s="86"/>
      <c r="F29" s="87"/>
      <c r="G29" s="86"/>
      <c r="H29" s="87"/>
      <c r="I29" s="86"/>
      <c r="J29" s="87"/>
      <c r="K29" s="86"/>
      <c r="L29" s="87"/>
      <c r="M29" s="86"/>
      <c r="N29" s="87"/>
      <c r="O29" s="86"/>
      <c r="P29" s="87"/>
      <c r="Q29" s="86"/>
      <c r="R29" s="87"/>
      <c r="S29" s="86"/>
      <c r="T29" s="87"/>
      <c r="U29" s="86"/>
      <c r="V29" s="87"/>
      <c r="W29" s="86"/>
      <c r="X29" s="87"/>
      <c r="Y29" s="86"/>
      <c r="Z29" s="87"/>
      <c r="AA29" s="86"/>
      <c r="AB29" s="87"/>
      <c r="AC29" s="86"/>
      <c r="AD29" s="87"/>
      <c r="AE29" s="86"/>
      <c r="AF29" s="87"/>
      <c r="AG29" s="86"/>
      <c r="AH29" s="87"/>
      <c r="AI29" s="86"/>
      <c r="AJ29" s="87"/>
      <c r="AK29" s="86"/>
      <c r="AL29" s="87"/>
      <c r="AM29" s="86"/>
      <c r="AN29" s="87"/>
      <c r="AO29" s="86"/>
      <c r="AP29" s="87"/>
      <c r="AQ29" s="86"/>
      <c r="AR29" s="87"/>
      <c r="AS29" s="86"/>
      <c r="AT29" s="87"/>
      <c r="AU29" s="86"/>
      <c r="AV29" s="87"/>
      <c r="AW29" s="86"/>
      <c r="AX29" s="87"/>
      <c r="AY29" s="86"/>
      <c r="AZ29" s="87"/>
      <c r="BA29" s="86"/>
      <c r="BB29" s="87"/>
      <c r="BC29" s="86"/>
      <c r="BD29" s="87"/>
      <c r="BE29" s="86"/>
      <c r="BF29" s="87"/>
      <c r="BG29" s="86"/>
      <c r="BH29" s="87"/>
      <c r="BI29" s="86"/>
      <c r="BJ29" s="87"/>
      <c r="BK29" s="86"/>
      <c r="BL29" s="87"/>
      <c r="BM29" s="86"/>
      <c r="BN29" s="50"/>
      <c r="BO29" s="170" t="str">
        <f t="shared" si="2"/>
        <v/>
      </c>
      <c r="BP29" s="87"/>
      <c r="BQ29" s="88"/>
      <c r="BR29"/>
      <c r="BS29"/>
      <c r="BT29"/>
      <c r="BU29"/>
      <c r="BV29"/>
      <c r="BW29"/>
      <c r="BX29"/>
    </row>
    <row r="30" spans="1:76" s="5" customFormat="1" ht="15" thickBot="1" x14ac:dyDescent="0.4">
      <c r="A30" s="98"/>
      <c r="B30" s="90"/>
      <c r="C30" s="84"/>
      <c r="D30" s="47"/>
      <c r="E30" s="180" t="e">
        <f>E28-(C28-E25+E29)</f>
        <v>#VALUE!</v>
      </c>
      <c r="F30" s="49"/>
      <c r="G30" s="166">
        <f>G28-(E28-G25+G29)</f>
        <v>0</v>
      </c>
      <c r="H30" s="49"/>
      <c r="I30" s="166">
        <f>I28-(G28-I25+I29)</f>
        <v>0</v>
      </c>
      <c r="J30" s="49"/>
      <c r="K30" s="180">
        <f>K28-(I28-K25+K29)</f>
        <v>0</v>
      </c>
      <c r="L30" s="49"/>
      <c r="M30" s="166">
        <f>M28-(K28-M25+M29)</f>
        <v>0</v>
      </c>
      <c r="N30" s="49"/>
      <c r="O30" s="166">
        <f>O28-(M28-O25+O29)</f>
        <v>0</v>
      </c>
      <c r="P30" s="49"/>
      <c r="Q30" s="166">
        <f>Q28-(O28-Q25+Q29)</f>
        <v>0</v>
      </c>
      <c r="R30" s="49"/>
      <c r="S30" s="166">
        <f>S28-(Q28-S25+S29)</f>
        <v>0</v>
      </c>
      <c r="T30" s="49"/>
      <c r="U30" s="166">
        <f>U28-(S28-U25+U29)</f>
        <v>0</v>
      </c>
      <c r="V30" s="49"/>
      <c r="W30" s="166">
        <f>W28-(U28-W25+W29)</f>
        <v>0</v>
      </c>
      <c r="X30" s="49"/>
      <c r="Y30" s="166">
        <f>Y28-(W28-Y25+Y29)</f>
        <v>0</v>
      </c>
      <c r="Z30" s="49"/>
      <c r="AA30" s="166">
        <f>AA28-(Y28-AA25+AA29)</f>
        <v>0</v>
      </c>
      <c r="AB30" s="49"/>
      <c r="AC30" s="166">
        <f>AC28-(AA28-AC25+AC29)</f>
        <v>0</v>
      </c>
      <c r="AD30" s="49"/>
      <c r="AE30" s="166">
        <f>AE28-(AC28-AE25+AE29)</f>
        <v>0</v>
      </c>
      <c r="AF30" s="49"/>
      <c r="AG30" s="166">
        <f>AG28-(AE28-AG25+AG29)</f>
        <v>0</v>
      </c>
      <c r="AH30" s="49"/>
      <c r="AI30" s="166">
        <f>AI28-(AG28-AI25+AI29)</f>
        <v>0</v>
      </c>
      <c r="AJ30" s="49"/>
      <c r="AK30" s="166">
        <f>AK28-(AI28-AK25+AK29)</f>
        <v>0</v>
      </c>
      <c r="AL30" s="49"/>
      <c r="AM30" s="166">
        <f>AM28-(AK28-AM25+AM29)</f>
        <v>0</v>
      </c>
      <c r="AN30" s="49"/>
      <c r="AO30" s="166">
        <f>AO28-(AM28-AO25+AO29)</f>
        <v>0</v>
      </c>
      <c r="AP30" s="49"/>
      <c r="AQ30" s="166">
        <f>AQ28-(AO28-AQ25+AQ29)</f>
        <v>0</v>
      </c>
      <c r="AR30" s="49"/>
      <c r="AS30" s="166">
        <f>AS28-(AQ28-AS25+AS29)</f>
        <v>0</v>
      </c>
      <c r="AT30" s="49"/>
      <c r="AU30" s="166">
        <f>AU28-(AS28-AU25+AU29)</f>
        <v>0</v>
      </c>
      <c r="AV30" s="49"/>
      <c r="AW30" s="166">
        <f>AW28-(AU28-AW25+AW29)</f>
        <v>0</v>
      </c>
      <c r="AX30" s="49"/>
      <c r="AY30" s="166">
        <f>AY28-(AW28-AY25+AY29)</f>
        <v>0</v>
      </c>
      <c r="AZ30" s="49"/>
      <c r="BA30" s="166">
        <f>BA28-(AY28-BA25+BA29)</f>
        <v>0</v>
      </c>
      <c r="BB30" s="49"/>
      <c r="BC30" s="166">
        <f>BC28-(BA28-BC25+BC29)</f>
        <v>0</v>
      </c>
      <c r="BD30" s="49"/>
      <c r="BE30" s="166">
        <f>BE28-(BC28-BE25+BE29)</f>
        <v>0</v>
      </c>
      <c r="BF30" s="49"/>
      <c r="BG30" s="166">
        <f>BG28-(BE28-BG25+BG29)</f>
        <v>0</v>
      </c>
      <c r="BH30" s="49"/>
      <c r="BI30" s="48"/>
      <c r="BJ30" s="49"/>
      <c r="BK30" s="48"/>
      <c r="BL30" s="49"/>
      <c r="BM30" s="48"/>
      <c r="BN30" s="50"/>
      <c r="BO30" s="170" t="e">
        <f t="shared" si="2"/>
        <v>#VALUE!</v>
      </c>
      <c r="BP30" s="49"/>
      <c r="BQ30" s="52"/>
      <c r="BR30"/>
      <c r="BS30"/>
      <c r="BT30"/>
      <c r="BU30"/>
      <c r="BV30"/>
      <c r="BW30"/>
      <c r="BX30"/>
    </row>
    <row r="31" spans="1:76" s="5" customFormat="1" ht="15" thickBot="1" x14ac:dyDescent="0.4">
      <c r="A31" s="98"/>
      <c r="B31" s="90"/>
      <c r="C31" s="84"/>
      <c r="D31" s="47"/>
      <c r="E31" s="166" t="str">
        <f>IF(E25=0,"",E30/E25*100)</f>
        <v/>
      </c>
      <c r="F31" s="49"/>
      <c r="G31" s="166" t="str">
        <f>IF(G25=0,"",G30/G25*100)</f>
        <v/>
      </c>
      <c r="H31" s="49"/>
      <c r="I31" s="166" t="str">
        <f>IF(I25=0,"",I30/I25*100)</f>
        <v/>
      </c>
      <c r="J31" s="49"/>
      <c r="K31" s="166" t="str">
        <f>IF(K25=0,"",K30/K25*100)</f>
        <v/>
      </c>
      <c r="L31" s="49"/>
      <c r="M31" s="166" t="str">
        <f>IF(M25=0,"",M30/M25*100)</f>
        <v/>
      </c>
      <c r="N31" s="49"/>
      <c r="O31" s="166" t="str">
        <f>IF(O25=0,"",O30/O25*100)</f>
        <v/>
      </c>
      <c r="P31" s="49"/>
      <c r="Q31" s="166" t="str">
        <f>IF(Q25=0,"",Q30/Q25*100)</f>
        <v/>
      </c>
      <c r="R31" s="49"/>
      <c r="S31" s="166" t="str">
        <f>IF(S25=0,"",S30/S25*100)</f>
        <v/>
      </c>
      <c r="T31" s="49"/>
      <c r="U31" s="166" t="str">
        <f>IF(U25=0,"",U30/U25*100)</f>
        <v/>
      </c>
      <c r="V31" s="49"/>
      <c r="W31" s="166" t="str">
        <f>IF(W25=0,"",W30/W25*100)</f>
        <v/>
      </c>
      <c r="X31" s="49"/>
      <c r="Y31" s="166" t="str">
        <f>IF(Y25=0,"",Y30/Y25*100)</f>
        <v/>
      </c>
      <c r="Z31" s="49"/>
      <c r="AA31" s="166" t="str">
        <f>IF(AA25=0,"",AA30/AA25*100)</f>
        <v/>
      </c>
      <c r="AB31" s="49"/>
      <c r="AC31" s="166" t="str">
        <f>IF(AC25=0,"",AC30/AC25*100)</f>
        <v/>
      </c>
      <c r="AD31" s="49"/>
      <c r="AE31" s="166" t="str">
        <f>IF(AE25=0,"",AE30/AE25*100)</f>
        <v/>
      </c>
      <c r="AF31" s="49"/>
      <c r="AG31" s="166" t="str">
        <f>IF(AG25=0,"",AG30/AG25*100)</f>
        <v/>
      </c>
      <c r="AH31" s="49"/>
      <c r="AI31" s="166" t="str">
        <f>IF(AI25=0,"",AI30/AI25*100)</f>
        <v/>
      </c>
      <c r="AJ31" s="49"/>
      <c r="AK31" s="166" t="str">
        <f>IF(AK25=0,"",AK30/AK25*100)</f>
        <v/>
      </c>
      <c r="AL31" s="49"/>
      <c r="AM31" s="166" t="str">
        <f>IF(AM25=0,"",AM30/AM25*100)</f>
        <v/>
      </c>
      <c r="AN31" s="49"/>
      <c r="AO31" s="166" t="str">
        <f>IF(AO25=0,"",AO30/AO25*100)</f>
        <v/>
      </c>
      <c r="AP31" s="49"/>
      <c r="AQ31" s="166" t="str">
        <f>IF(AQ25=0,"",AQ30/AQ25*100)</f>
        <v/>
      </c>
      <c r="AR31" s="49"/>
      <c r="AS31" s="166" t="str">
        <f>IF(AS25=0,"",AS30/AS25*100)</f>
        <v/>
      </c>
      <c r="AT31" s="49"/>
      <c r="AU31" s="166" t="str">
        <f>IF(AU25=0,"",AU30/AU25*100)</f>
        <v/>
      </c>
      <c r="AV31" s="49"/>
      <c r="AW31" s="166" t="str">
        <f>IF(AW25=0,"",AW30/AW25*100)</f>
        <v/>
      </c>
      <c r="AX31" s="49"/>
      <c r="AY31" s="166" t="str">
        <f>IF(AY25=0,"",AY30/AY25*100)</f>
        <v/>
      </c>
      <c r="AZ31" s="49"/>
      <c r="BA31" s="166" t="str">
        <f>IF(BA25=0,"",BA30/BA25*100)</f>
        <v/>
      </c>
      <c r="BB31" s="49"/>
      <c r="BC31" s="166" t="str">
        <f>IF(BC25=0,"",BC30/BC25*100)</f>
        <v/>
      </c>
      <c r="BD31" s="49"/>
      <c r="BE31" s="166" t="str">
        <f>IF(BE25=0,"",BE30/BE25*100)</f>
        <v/>
      </c>
      <c r="BF31" s="49"/>
      <c r="BG31" s="166" t="str">
        <f>IF(BG25=0,"",BG30/BG25*100)</f>
        <v/>
      </c>
      <c r="BH31" s="49"/>
      <c r="BI31" s="48"/>
      <c r="BJ31" s="49"/>
      <c r="BK31" s="48"/>
      <c r="BL31" s="49"/>
      <c r="BM31" s="48"/>
      <c r="BN31" s="50"/>
      <c r="BO31" s="170" t="str">
        <f t="shared" si="2"/>
        <v/>
      </c>
      <c r="BP31" s="49"/>
      <c r="BQ31" s="52"/>
      <c r="BR31"/>
      <c r="BS31"/>
      <c r="BT31"/>
      <c r="BU31"/>
      <c r="BV31"/>
      <c r="BW31"/>
      <c r="BX31"/>
    </row>
    <row r="32" spans="1:76" x14ac:dyDescent="0.35">
      <c r="A32" s="83" t="s">
        <v>5</v>
      </c>
      <c r="B32" s="54"/>
      <c r="C32" s="174" t="str">
        <f>IF('January 2027 Log'!BM32="","",'January 2027 Log'!BM32)</f>
        <v/>
      </c>
      <c r="D32" s="85"/>
      <c r="E32" s="86"/>
      <c r="F32" s="87"/>
      <c r="G32" s="86"/>
      <c r="H32" s="87"/>
      <c r="I32" s="86"/>
      <c r="J32" s="87"/>
      <c r="K32" s="86"/>
      <c r="L32" s="87"/>
      <c r="M32" s="86"/>
      <c r="N32" s="87"/>
      <c r="O32" s="86"/>
      <c r="P32" s="87"/>
      <c r="Q32" s="86"/>
      <c r="R32" s="87"/>
      <c r="S32" s="86"/>
      <c r="T32" s="87"/>
      <c r="U32" s="86"/>
      <c r="V32" s="87"/>
      <c r="W32" s="86"/>
      <c r="X32" s="87"/>
      <c r="Y32" s="86"/>
      <c r="Z32" s="87"/>
      <c r="AA32" s="86"/>
      <c r="AB32" s="87"/>
      <c r="AC32" s="86"/>
      <c r="AD32" s="87"/>
      <c r="AE32" s="86"/>
      <c r="AF32" s="87"/>
      <c r="AG32" s="86"/>
      <c r="AH32" s="87"/>
      <c r="AI32" s="86"/>
      <c r="AJ32" s="87"/>
      <c r="AK32" s="86"/>
      <c r="AL32" s="87"/>
      <c r="AM32" s="86"/>
      <c r="AN32" s="87"/>
      <c r="AO32" s="86"/>
      <c r="AP32" s="87"/>
      <c r="AQ32" s="86"/>
      <c r="AR32" s="87"/>
      <c r="AS32" s="86"/>
      <c r="AT32" s="87"/>
      <c r="AU32" s="86"/>
      <c r="AV32" s="87"/>
      <c r="AW32" s="86"/>
      <c r="AX32" s="87"/>
      <c r="AY32" s="86"/>
      <c r="AZ32" s="87"/>
      <c r="BA32" s="86"/>
      <c r="BB32" s="87"/>
      <c r="BC32" s="86"/>
      <c r="BD32" s="87"/>
      <c r="BE32" s="86"/>
      <c r="BF32" s="87"/>
      <c r="BG32" s="86"/>
      <c r="BH32" s="87"/>
      <c r="BI32" s="86"/>
      <c r="BJ32" s="87"/>
      <c r="BK32" s="86"/>
      <c r="BL32" s="87"/>
      <c r="BM32" s="86"/>
      <c r="BN32" s="50"/>
      <c r="BO32" s="170" t="str">
        <f t="shared" si="2"/>
        <v/>
      </c>
      <c r="BP32" s="87"/>
      <c r="BQ32" s="178" t="str">
        <f>IF(BG32="","",BG32)</f>
        <v/>
      </c>
    </row>
    <row r="33" spans="1:76" x14ac:dyDescent="0.35">
      <c r="A33" s="83" t="s">
        <v>6</v>
      </c>
      <c r="B33" s="54"/>
      <c r="C33" s="174" t="str">
        <f>IF('January 2027 Log'!BM33="","",'January 2027 Log'!BM33)</f>
        <v/>
      </c>
      <c r="D33" s="85"/>
      <c r="E33" s="86"/>
      <c r="F33" s="87"/>
      <c r="G33" s="86"/>
      <c r="H33" s="87"/>
      <c r="I33" s="86"/>
      <c r="J33" s="87"/>
      <c r="K33" s="86"/>
      <c r="L33" s="87"/>
      <c r="M33" s="86"/>
      <c r="N33" s="87"/>
      <c r="O33" s="86"/>
      <c r="P33" s="87"/>
      <c r="Q33" s="86"/>
      <c r="R33" s="87"/>
      <c r="S33" s="86"/>
      <c r="T33" s="87"/>
      <c r="U33" s="86"/>
      <c r="V33" s="87"/>
      <c r="W33" s="86"/>
      <c r="X33" s="87"/>
      <c r="Y33" s="86"/>
      <c r="Z33" s="87"/>
      <c r="AA33" s="86"/>
      <c r="AB33" s="87"/>
      <c r="AC33" s="86"/>
      <c r="AD33" s="87"/>
      <c r="AE33" s="86"/>
      <c r="AF33" s="87"/>
      <c r="AG33" s="86"/>
      <c r="AH33" s="87"/>
      <c r="AI33" s="86"/>
      <c r="AJ33" s="87"/>
      <c r="AK33" s="86"/>
      <c r="AL33" s="87"/>
      <c r="AM33" s="86"/>
      <c r="AN33" s="87"/>
      <c r="AO33" s="86"/>
      <c r="AP33" s="87"/>
      <c r="AQ33" s="86"/>
      <c r="AR33" s="87"/>
      <c r="AS33" s="86"/>
      <c r="AT33" s="87"/>
      <c r="AU33" s="86"/>
      <c r="AV33" s="87"/>
      <c r="AW33" s="86"/>
      <c r="AX33" s="87"/>
      <c r="AY33" s="86"/>
      <c r="AZ33" s="87"/>
      <c r="BA33" s="86"/>
      <c r="BB33" s="87"/>
      <c r="BC33" s="86"/>
      <c r="BD33" s="87"/>
      <c r="BE33" s="86"/>
      <c r="BF33" s="87"/>
      <c r="BG33" s="86"/>
      <c r="BH33" s="87"/>
      <c r="BI33" s="86"/>
      <c r="BJ33" s="87"/>
      <c r="BK33" s="86"/>
      <c r="BL33" s="87"/>
      <c r="BM33" s="86"/>
      <c r="BN33" s="50"/>
      <c r="BO33" s="170" t="str">
        <f t="shared" si="2"/>
        <v/>
      </c>
      <c r="BP33" s="87"/>
      <c r="BQ33" s="178" t="str">
        <f>IF(BG33="","",BG33)</f>
        <v/>
      </c>
    </row>
    <row r="34" spans="1:76" x14ac:dyDescent="0.35">
      <c r="A34" s="83" t="s">
        <v>7</v>
      </c>
      <c r="B34" s="54"/>
      <c r="C34" s="174" t="str">
        <f>IF('January 2027 Log'!BM34="","",'January 2027 Log'!BM34)</f>
        <v/>
      </c>
      <c r="D34" s="85"/>
      <c r="E34" s="86"/>
      <c r="F34" s="87"/>
      <c r="G34" s="86"/>
      <c r="H34" s="87"/>
      <c r="I34" s="86"/>
      <c r="J34" s="87"/>
      <c r="K34" s="86"/>
      <c r="L34" s="87"/>
      <c r="M34" s="86"/>
      <c r="N34" s="87"/>
      <c r="O34" s="86"/>
      <c r="P34" s="87"/>
      <c r="Q34" s="86"/>
      <c r="R34" s="87"/>
      <c r="S34" s="86"/>
      <c r="T34" s="87"/>
      <c r="U34" s="86"/>
      <c r="V34" s="87"/>
      <c r="W34" s="86"/>
      <c r="X34" s="87"/>
      <c r="Y34" s="86"/>
      <c r="Z34" s="87"/>
      <c r="AA34" s="86"/>
      <c r="AB34" s="87"/>
      <c r="AC34" s="86"/>
      <c r="AD34" s="87"/>
      <c r="AE34" s="86"/>
      <c r="AF34" s="87"/>
      <c r="AG34" s="86"/>
      <c r="AH34" s="87"/>
      <c r="AI34" s="86"/>
      <c r="AJ34" s="87"/>
      <c r="AK34" s="86"/>
      <c r="AL34" s="87"/>
      <c r="AM34" s="86"/>
      <c r="AN34" s="87"/>
      <c r="AO34" s="86"/>
      <c r="AP34" s="87"/>
      <c r="AQ34" s="86"/>
      <c r="AR34" s="87"/>
      <c r="AS34" s="86"/>
      <c r="AT34" s="99"/>
      <c r="AU34" s="86"/>
      <c r="AV34" s="87"/>
      <c r="AW34" s="86"/>
      <c r="AX34" s="87"/>
      <c r="AY34" s="86"/>
      <c r="AZ34" s="87"/>
      <c r="BA34" s="86"/>
      <c r="BB34" s="87"/>
      <c r="BC34" s="86"/>
      <c r="BD34" s="87"/>
      <c r="BE34" s="86"/>
      <c r="BF34" s="87"/>
      <c r="BG34" s="86"/>
      <c r="BH34" s="87"/>
      <c r="BI34" s="86"/>
      <c r="BJ34" s="87"/>
      <c r="BK34" s="86"/>
      <c r="BL34" s="87"/>
      <c r="BM34" s="86"/>
      <c r="BN34" s="50"/>
      <c r="BO34" s="170" t="str">
        <f t="shared" si="2"/>
        <v/>
      </c>
      <c r="BP34" s="87"/>
      <c r="BQ34" s="178" t="str">
        <f>IF(BG34="","",BG34)</f>
        <v/>
      </c>
    </row>
    <row r="35" spans="1:76" x14ac:dyDescent="0.35">
      <c r="A35" s="100"/>
      <c r="B35" s="75"/>
      <c r="C35" s="101"/>
      <c r="D35" s="102"/>
      <c r="E35" s="103"/>
      <c r="F35" s="104"/>
      <c r="G35" s="103"/>
      <c r="H35" s="104"/>
      <c r="I35" s="103"/>
      <c r="J35" s="104"/>
      <c r="K35" s="103"/>
      <c r="L35" s="104"/>
      <c r="M35" s="103"/>
      <c r="N35" s="104"/>
      <c r="O35" s="103"/>
      <c r="P35" s="104"/>
      <c r="Q35" s="103"/>
      <c r="R35" s="104"/>
      <c r="S35" s="103"/>
      <c r="T35" s="104"/>
      <c r="U35" s="103"/>
      <c r="V35" s="104"/>
      <c r="W35" s="103"/>
      <c r="X35" s="104"/>
      <c r="Y35" s="103"/>
      <c r="Z35" s="104"/>
      <c r="AA35" s="103"/>
      <c r="AB35" s="104"/>
      <c r="AC35" s="103"/>
      <c r="AD35" s="104"/>
      <c r="AE35" s="103"/>
      <c r="AF35" s="104"/>
      <c r="AG35" s="103"/>
      <c r="AH35" s="104"/>
      <c r="AI35" s="103"/>
      <c r="AJ35" s="104"/>
      <c r="AK35" s="103"/>
      <c r="AL35" s="104"/>
      <c r="AM35" s="103"/>
      <c r="AN35" s="104"/>
      <c r="AO35" s="103"/>
      <c r="AP35" s="104"/>
      <c r="AQ35" s="103"/>
      <c r="AR35" s="104"/>
      <c r="AS35" s="103"/>
      <c r="AT35" s="104"/>
      <c r="AU35" s="103"/>
      <c r="AV35" s="104"/>
      <c r="AW35" s="103"/>
      <c r="AX35" s="104"/>
      <c r="AY35" s="103"/>
      <c r="AZ35" s="104"/>
      <c r="BA35" s="103"/>
      <c r="BB35" s="104"/>
      <c r="BC35" s="103"/>
      <c r="BD35" s="104"/>
      <c r="BE35" s="103"/>
      <c r="BF35" s="104"/>
      <c r="BG35" s="103"/>
      <c r="BH35" s="104"/>
      <c r="BI35" s="103"/>
      <c r="BJ35" s="104"/>
      <c r="BK35" s="103"/>
      <c r="BL35" s="104"/>
      <c r="BM35" s="103"/>
      <c r="BN35" s="105"/>
      <c r="BO35" s="183" t="str">
        <f t="shared" si="2"/>
        <v/>
      </c>
      <c r="BP35" s="104"/>
      <c r="BQ35" s="107"/>
    </row>
    <row r="36" spans="1:76" x14ac:dyDescent="0.35">
      <c r="A36" s="83" t="s">
        <v>59</v>
      </c>
      <c r="B36" s="54" t="s">
        <v>58</v>
      </c>
      <c r="C36" s="174" t="str">
        <f>IF('January 2027 Log'!BM36="","",'January 2027 Log'!BM36)</f>
        <v/>
      </c>
      <c r="D36" s="85"/>
      <c r="E36" s="86"/>
      <c r="F36" s="87"/>
      <c r="G36" s="86"/>
      <c r="H36" s="87"/>
      <c r="I36" s="86"/>
      <c r="J36" s="87"/>
      <c r="K36" s="86"/>
      <c r="L36" s="87"/>
      <c r="M36" s="86"/>
      <c r="N36" s="87"/>
      <c r="O36" s="86"/>
      <c r="P36" s="87"/>
      <c r="Q36" s="86"/>
      <c r="R36" s="87"/>
      <c r="S36" s="86"/>
      <c r="T36" s="87"/>
      <c r="U36" s="86"/>
      <c r="V36" s="87"/>
      <c r="W36" s="86"/>
      <c r="X36" s="87"/>
      <c r="Y36" s="86"/>
      <c r="Z36" s="87"/>
      <c r="AA36" s="86"/>
      <c r="AB36" s="87"/>
      <c r="AC36" s="86"/>
      <c r="AD36" s="87"/>
      <c r="AE36" s="86"/>
      <c r="AF36" s="87"/>
      <c r="AG36" s="86"/>
      <c r="AH36" s="87"/>
      <c r="AI36" s="86"/>
      <c r="AJ36" s="87"/>
      <c r="AK36" s="86"/>
      <c r="AL36" s="87"/>
      <c r="AM36" s="86"/>
      <c r="AN36" s="87"/>
      <c r="AO36" s="86"/>
      <c r="AP36" s="87"/>
      <c r="AQ36" s="86"/>
      <c r="AR36" s="87"/>
      <c r="AS36" s="86"/>
      <c r="AT36" s="87"/>
      <c r="AU36" s="86"/>
      <c r="AV36" s="87"/>
      <c r="AW36" s="86"/>
      <c r="AX36" s="87"/>
      <c r="AY36" s="86"/>
      <c r="AZ36" s="87"/>
      <c r="BA36" s="86"/>
      <c r="BB36" s="87"/>
      <c r="BC36" s="86"/>
      <c r="BD36" s="87"/>
      <c r="BE36" s="86"/>
      <c r="BF36" s="87"/>
      <c r="BG36" s="86"/>
      <c r="BH36" s="87"/>
      <c r="BI36" s="86"/>
      <c r="BJ36" s="87"/>
      <c r="BK36" s="86"/>
      <c r="BL36" s="87"/>
      <c r="BM36" s="86"/>
      <c r="BN36" s="50"/>
      <c r="BO36" s="170" t="str">
        <f t="shared" si="2"/>
        <v/>
      </c>
      <c r="BP36" s="87"/>
      <c r="BQ36" s="178" t="str">
        <f>IF(BG36="","",BG36)</f>
        <v/>
      </c>
    </row>
    <row r="37" spans="1:76" x14ac:dyDescent="0.35">
      <c r="A37" s="83"/>
      <c r="B37" s="54"/>
      <c r="C37" s="84"/>
      <c r="D37" s="85"/>
      <c r="E37" s="86"/>
      <c r="F37" s="87"/>
      <c r="G37" s="86"/>
      <c r="H37" s="87"/>
      <c r="I37" s="86"/>
      <c r="J37" s="87"/>
      <c r="K37" s="86"/>
      <c r="L37" s="87"/>
      <c r="M37" s="86"/>
      <c r="N37" s="87"/>
      <c r="O37" s="86"/>
      <c r="P37" s="87"/>
      <c r="Q37" s="86"/>
      <c r="R37" s="87"/>
      <c r="S37" s="86"/>
      <c r="T37" s="87"/>
      <c r="U37" s="86"/>
      <c r="V37" s="87"/>
      <c r="W37" s="86"/>
      <c r="X37" s="87"/>
      <c r="Y37" s="86"/>
      <c r="Z37" s="87"/>
      <c r="AA37" s="86"/>
      <c r="AB37" s="87"/>
      <c r="AC37" s="86"/>
      <c r="AD37" s="87"/>
      <c r="AE37" s="86"/>
      <c r="AF37" s="87"/>
      <c r="AG37" s="86"/>
      <c r="AH37" s="87"/>
      <c r="AI37" s="86"/>
      <c r="AJ37" s="87"/>
      <c r="AK37" s="86"/>
      <c r="AL37" s="87"/>
      <c r="AM37" s="86"/>
      <c r="AN37" s="87"/>
      <c r="AO37" s="86"/>
      <c r="AP37" s="87"/>
      <c r="AQ37" s="86"/>
      <c r="AR37" s="87"/>
      <c r="AS37" s="86"/>
      <c r="AT37" s="87"/>
      <c r="AU37" s="86"/>
      <c r="AV37" s="87"/>
      <c r="AW37" s="86"/>
      <c r="AX37" s="87"/>
      <c r="AY37" s="86"/>
      <c r="AZ37" s="87"/>
      <c r="BA37" s="86"/>
      <c r="BB37" s="87"/>
      <c r="BC37" s="86"/>
      <c r="BD37" s="87"/>
      <c r="BE37" s="86"/>
      <c r="BF37" s="87"/>
      <c r="BG37" s="86"/>
      <c r="BH37" s="87"/>
      <c r="BI37" s="86"/>
      <c r="BJ37" s="87"/>
      <c r="BK37" s="86"/>
      <c r="BL37" s="87"/>
      <c r="BM37" s="86"/>
      <c r="BN37" s="50"/>
      <c r="BO37" s="170" t="str">
        <f t="shared" si="2"/>
        <v/>
      </c>
      <c r="BP37" s="87"/>
      <c r="BQ37" s="88"/>
    </row>
    <row r="38" spans="1:76" x14ac:dyDescent="0.35">
      <c r="A38" s="83" t="s">
        <v>62</v>
      </c>
      <c r="B38" s="54" t="s">
        <v>63</v>
      </c>
      <c r="C38" s="174" t="str">
        <f>IF('January 2027 Log'!BM38="","",'January 2027 Log'!BM38)</f>
        <v/>
      </c>
      <c r="D38" s="85"/>
      <c r="E38" s="86"/>
      <c r="F38" s="87"/>
      <c r="G38" s="86"/>
      <c r="H38" s="87"/>
      <c r="I38" s="86"/>
      <c r="J38" s="87"/>
      <c r="K38" s="86"/>
      <c r="L38" s="87"/>
      <c r="M38" s="86"/>
      <c r="N38" s="87"/>
      <c r="O38" s="86"/>
      <c r="P38" s="87"/>
      <c r="Q38" s="86"/>
      <c r="R38" s="87"/>
      <c r="S38" s="86"/>
      <c r="T38" s="87"/>
      <c r="U38" s="86"/>
      <c r="V38" s="87"/>
      <c r="W38" s="86"/>
      <c r="X38" s="87"/>
      <c r="Y38" s="86"/>
      <c r="Z38" s="87"/>
      <c r="AA38" s="86"/>
      <c r="AB38" s="87"/>
      <c r="AC38" s="86"/>
      <c r="AD38" s="87"/>
      <c r="AE38" s="86"/>
      <c r="AF38" s="87"/>
      <c r="AG38" s="86"/>
      <c r="AH38" s="87"/>
      <c r="AI38" s="86"/>
      <c r="AJ38" s="87"/>
      <c r="AK38" s="86"/>
      <c r="AL38" s="87"/>
      <c r="AM38" s="86"/>
      <c r="AN38" s="87"/>
      <c r="AO38" s="86"/>
      <c r="AP38" s="87"/>
      <c r="AQ38" s="86"/>
      <c r="AR38" s="87"/>
      <c r="AS38" s="86"/>
      <c r="AT38" s="87"/>
      <c r="AU38" s="86"/>
      <c r="AV38" s="87"/>
      <c r="AW38" s="86"/>
      <c r="AX38" s="87"/>
      <c r="AY38" s="86"/>
      <c r="AZ38" s="87"/>
      <c r="BA38" s="86"/>
      <c r="BB38" s="87"/>
      <c r="BC38" s="86"/>
      <c r="BD38" s="87"/>
      <c r="BE38" s="86"/>
      <c r="BF38" s="87"/>
      <c r="BG38" s="86"/>
      <c r="BH38" s="87"/>
      <c r="BI38" s="86"/>
      <c r="BJ38" s="87"/>
      <c r="BK38" s="86"/>
      <c r="BL38" s="87"/>
      <c r="BM38" s="86"/>
      <c r="BN38" s="50"/>
      <c r="BO38" s="170" t="str">
        <f t="shared" si="2"/>
        <v/>
      </c>
      <c r="BP38" s="87"/>
      <c r="BQ38" s="178" t="str">
        <f>IF(BG38="","",BG38)</f>
        <v/>
      </c>
    </row>
    <row r="39" spans="1:76" x14ac:dyDescent="0.35">
      <c r="A39" s="83" t="s">
        <v>64</v>
      </c>
      <c r="B39" s="54" t="s">
        <v>63</v>
      </c>
      <c r="C39" s="174" t="str">
        <f>IF('January 2027 Log'!BM39="","",'January 2027 Log'!BM39)</f>
        <v/>
      </c>
      <c r="D39" s="85"/>
      <c r="E39" s="86"/>
      <c r="F39" s="87"/>
      <c r="G39" s="86"/>
      <c r="H39" s="87"/>
      <c r="I39" s="86"/>
      <c r="J39" s="87"/>
      <c r="K39" s="86"/>
      <c r="L39" s="87"/>
      <c r="M39" s="86"/>
      <c r="N39" s="87"/>
      <c r="O39" s="86"/>
      <c r="P39" s="87"/>
      <c r="Q39" s="86"/>
      <c r="R39" s="87"/>
      <c r="S39" s="86"/>
      <c r="T39" s="87"/>
      <c r="U39" s="86"/>
      <c r="V39" s="87"/>
      <c r="W39" s="86"/>
      <c r="X39" s="87"/>
      <c r="Y39" s="86"/>
      <c r="Z39" s="87"/>
      <c r="AA39" s="86"/>
      <c r="AB39" s="87"/>
      <c r="AC39" s="86"/>
      <c r="AD39" s="87"/>
      <c r="AE39" s="86"/>
      <c r="AF39" s="87"/>
      <c r="AG39" s="86"/>
      <c r="AH39" s="87"/>
      <c r="AI39" s="86"/>
      <c r="AJ39" s="87"/>
      <c r="AK39" s="86"/>
      <c r="AL39" s="87"/>
      <c r="AM39" s="86"/>
      <c r="AN39" s="87"/>
      <c r="AO39" s="86"/>
      <c r="AP39" s="87"/>
      <c r="AQ39" s="86"/>
      <c r="AR39" s="87"/>
      <c r="AS39" s="86"/>
      <c r="AT39" s="87"/>
      <c r="AU39" s="86"/>
      <c r="AV39" s="87"/>
      <c r="AW39" s="86"/>
      <c r="AX39" s="87"/>
      <c r="AY39" s="86"/>
      <c r="AZ39" s="87"/>
      <c r="BA39" s="86"/>
      <c r="BB39" s="87"/>
      <c r="BC39" s="86"/>
      <c r="BD39" s="87"/>
      <c r="BE39" s="86"/>
      <c r="BF39" s="87"/>
      <c r="BG39" s="86"/>
      <c r="BH39" s="87"/>
      <c r="BI39" s="86"/>
      <c r="BJ39" s="87"/>
      <c r="BK39" s="86"/>
      <c r="BL39" s="87"/>
      <c r="BM39" s="86"/>
      <c r="BN39" s="50"/>
      <c r="BO39" s="170" t="str">
        <f t="shared" si="2"/>
        <v/>
      </c>
      <c r="BP39" s="87"/>
      <c r="BQ39" s="178" t="str">
        <f>IF(BG39="","",BG39)</f>
        <v/>
      </c>
    </row>
    <row r="40" spans="1:76" x14ac:dyDescent="0.35">
      <c r="A40" s="83" t="s">
        <v>44</v>
      </c>
      <c r="B40" s="54"/>
      <c r="C40" s="84"/>
      <c r="D40" s="85"/>
      <c r="E40" s="86"/>
      <c r="F40" s="87"/>
      <c r="G40" s="86"/>
      <c r="H40" s="87"/>
      <c r="I40" s="86"/>
      <c r="J40" s="87"/>
      <c r="K40" s="86"/>
      <c r="L40" s="87"/>
      <c r="M40" s="86"/>
      <c r="N40" s="87"/>
      <c r="O40" s="86"/>
      <c r="P40" s="87"/>
      <c r="Q40" s="86"/>
      <c r="R40" s="87"/>
      <c r="S40" s="86"/>
      <c r="T40" s="87"/>
      <c r="U40" s="86"/>
      <c r="V40" s="87"/>
      <c r="W40" s="86"/>
      <c r="X40" s="87"/>
      <c r="Y40" s="86"/>
      <c r="Z40" s="87"/>
      <c r="AA40" s="86"/>
      <c r="AB40" s="87"/>
      <c r="AC40" s="86"/>
      <c r="AD40" s="87"/>
      <c r="AE40" s="86"/>
      <c r="AF40" s="87"/>
      <c r="AG40" s="86"/>
      <c r="AH40" s="87"/>
      <c r="AI40" s="86"/>
      <c r="AJ40" s="87"/>
      <c r="AK40" s="86"/>
      <c r="AL40" s="87"/>
      <c r="AM40" s="86"/>
      <c r="AN40" s="87"/>
      <c r="AO40" s="86"/>
      <c r="AP40" s="87"/>
      <c r="AQ40" s="86"/>
      <c r="AR40" s="87"/>
      <c r="AS40" s="86"/>
      <c r="AT40" s="87"/>
      <c r="AU40" s="86"/>
      <c r="AV40" s="87"/>
      <c r="AW40" s="86"/>
      <c r="AX40" s="87"/>
      <c r="AY40" s="86"/>
      <c r="AZ40" s="87"/>
      <c r="BA40" s="86"/>
      <c r="BB40" s="87"/>
      <c r="BC40" s="86"/>
      <c r="BD40" s="87"/>
      <c r="BE40" s="86"/>
      <c r="BF40" s="87"/>
      <c r="BG40" s="86"/>
      <c r="BH40" s="87"/>
      <c r="BI40" s="86"/>
      <c r="BJ40" s="87"/>
      <c r="BK40" s="86"/>
      <c r="BL40" s="87"/>
      <c r="BM40" s="86"/>
      <c r="BN40" s="50"/>
      <c r="BO40" s="170" t="str">
        <f t="shared" si="2"/>
        <v/>
      </c>
      <c r="BP40" s="87"/>
      <c r="BQ40" s="88"/>
    </row>
    <row r="41" spans="1:76" x14ac:dyDescent="0.35">
      <c r="A41" s="83" t="s">
        <v>54</v>
      </c>
      <c r="B41" s="54"/>
      <c r="C41" s="84"/>
      <c r="D41" s="85"/>
      <c r="E41" s="86"/>
      <c r="F41" s="87"/>
      <c r="G41" s="86"/>
      <c r="H41" s="87"/>
      <c r="I41" s="86"/>
      <c r="J41" s="87"/>
      <c r="K41" s="86"/>
      <c r="L41" s="87"/>
      <c r="M41" s="86"/>
      <c r="N41" s="87"/>
      <c r="O41" s="86"/>
      <c r="P41" s="87"/>
      <c r="Q41" s="86"/>
      <c r="R41" s="87"/>
      <c r="S41" s="86"/>
      <c r="T41" s="87"/>
      <c r="U41" s="86"/>
      <c r="V41" s="87"/>
      <c r="W41" s="86"/>
      <c r="X41" s="87"/>
      <c r="Y41" s="86"/>
      <c r="Z41" s="87"/>
      <c r="AA41" s="86"/>
      <c r="AB41" s="87"/>
      <c r="AC41" s="86"/>
      <c r="AD41" s="87"/>
      <c r="AE41" s="86"/>
      <c r="AF41" s="87"/>
      <c r="AG41" s="86"/>
      <c r="AH41" s="87"/>
      <c r="AI41" s="86"/>
      <c r="AJ41" s="87"/>
      <c r="AK41" s="86"/>
      <c r="AL41" s="87"/>
      <c r="AM41" s="86"/>
      <c r="AN41" s="87"/>
      <c r="AO41" s="86"/>
      <c r="AP41" s="87"/>
      <c r="AQ41" s="86"/>
      <c r="AR41" s="87"/>
      <c r="AS41" s="86"/>
      <c r="AT41" s="87"/>
      <c r="AU41" s="86"/>
      <c r="AV41" s="87"/>
      <c r="AW41" s="86"/>
      <c r="AX41" s="87"/>
      <c r="AY41" s="86"/>
      <c r="AZ41" s="87"/>
      <c r="BA41" s="86"/>
      <c r="BB41" s="87"/>
      <c r="BC41" s="86"/>
      <c r="BD41" s="87"/>
      <c r="BE41" s="86"/>
      <c r="BF41" s="87"/>
      <c r="BG41" s="86"/>
      <c r="BH41" s="87"/>
      <c r="BI41" s="86"/>
      <c r="BJ41" s="87"/>
      <c r="BK41" s="86"/>
      <c r="BL41" s="87"/>
      <c r="BM41" s="86"/>
      <c r="BN41" s="50"/>
      <c r="BO41" s="170" t="str">
        <f t="shared" si="2"/>
        <v/>
      </c>
      <c r="BP41" s="87"/>
      <c r="BQ41" s="88"/>
    </row>
    <row r="42" spans="1:76" s="1" customFormat="1" x14ac:dyDescent="0.35">
      <c r="A42" s="89" t="s">
        <v>35</v>
      </c>
      <c r="B42" s="90"/>
      <c r="C42" s="174">
        <f>IF('January 2027 Log'!BM42="","",'January 2027 Log'!BM42)</f>
        <v>0</v>
      </c>
      <c r="D42" s="47"/>
      <c r="E42" s="166">
        <f>SUM(E36:E41)</f>
        <v>0</v>
      </c>
      <c r="F42" s="49"/>
      <c r="G42" s="166">
        <f>SUM(G36:G41)</f>
        <v>0</v>
      </c>
      <c r="H42" s="49"/>
      <c r="I42" s="166">
        <f>SUM(I36:I41)</f>
        <v>0</v>
      </c>
      <c r="J42" s="49"/>
      <c r="K42" s="166">
        <f>SUM(K36:K41)</f>
        <v>0</v>
      </c>
      <c r="L42" s="49"/>
      <c r="M42" s="166">
        <f>SUM(M36:M41)</f>
        <v>0</v>
      </c>
      <c r="N42" s="49"/>
      <c r="O42" s="166">
        <f>SUM(O36:O41)</f>
        <v>0</v>
      </c>
      <c r="P42" s="49"/>
      <c r="Q42" s="166">
        <f>SUM(Q36:Q41)</f>
        <v>0</v>
      </c>
      <c r="R42" s="49"/>
      <c r="S42" s="166">
        <f>SUM(S36:S41)</f>
        <v>0</v>
      </c>
      <c r="T42" s="49"/>
      <c r="U42" s="166">
        <f>SUM(U36:U41)</f>
        <v>0</v>
      </c>
      <c r="V42" s="49"/>
      <c r="W42" s="166">
        <f>SUM(W36:W41)</f>
        <v>0</v>
      </c>
      <c r="X42" s="49"/>
      <c r="Y42" s="166">
        <f>SUM(Y36:Y41)</f>
        <v>0</v>
      </c>
      <c r="Z42" s="49"/>
      <c r="AA42" s="166">
        <f>SUM(AA36:AA41)</f>
        <v>0</v>
      </c>
      <c r="AB42" s="49"/>
      <c r="AC42" s="166">
        <f>SUM(AC36:AC41)</f>
        <v>0</v>
      </c>
      <c r="AD42" s="49"/>
      <c r="AE42" s="166">
        <f>SUM(AE36:AE41)</f>
        <v>0</v>
      </c>
      <c r="AF42" s="49"/>
      <c r="AG42" s="166">
        <f>SUM(AG36:AG41)</f>
        <v>0</v>
      </c>
      <c r="AH42" s="49"/>
      <c r="AI42" s="166">
        <f>SUM(AI36:AI41)</f>
        <v>0</v>
      </c>
      <c r="AJ42" s="49"/>
      <c r="AK42" s="166">
        <f>SUM(AK36:AK41)</f>
        <v>0</v>
      </c>
      <c r="AL42" s="49"/>
      <c r="AM42" s="166">
        <f>SUM(AM36:AM41)</f>
        <v>0</v>
      </c>
      <c r="AN42" s="49"/>
      <c r="AO42" s="166">
        <f>SUM(AO36:AO41)</f>
        <v>0</v>
      </c>
      <c r="AP42" s="49"/>
      <c r="AQ42" s="166">
        <f>SUM(AQ36:AQ41)</f>
        <v>0</v>
      </c>
      <c r="AR42" s="49"/>
      <c r="AS42" s="166">
        <f>SUM(AS36:AS41)</f>
        <v>0</v>
      </c>
      <c r="AT42" s="49"/>
      <c r="AU42" s="166">
        <f>SUM(AU36:AU41)</f>
        <v>0</v>
      </c>
      <c r="AV42" s="49"/>
      <c r="AW42" s="166">
        <f>SUM(AW36:AW41)</f>
        <v>0</v>
      </c>
      <c r="AX42" s="49"/>
      <c r="AY42" s="166">
        <f>SUM(AY36:AY41)</f>
        <v>0</v>
      </c>
      <c r="AZ42" s="49"/>
      <c r="BA42" s="166">
        <f>SUM(BA36:BA41)</f>
        <v>0</v>
      </c>
      <c r="BB42" s="49"/>
      <c r="BC42" s="166">
        <f>SUM(BC36:BC41)</f>
        <v>0</v>
      </c>
      <c r="BD42" s="49"/>
      <c r="BE42" s="166">
        <f>SUM(BE36:BE41)</f>
        <v>0</v>
      </c>
      <c r="BF42" s="49"/>
      <c r="BG42" s="166">
        <f>SUM(BG36:BG41)</f>
        <v>0</v>
      </c>
      <c r="BH42" s="49"/>
      <c r="BI42" s="48"/>
      <c r="BJ42" s="49"/>
      <c r="BK42" s="48"/>
      <c r="BL42" s="49"/>
      <c r="BM42" s="48"/>
      <c r="BN42" s="50"/>
      <c r="BO42" s="170">
        <f t="shared" si="2"/>
        <v>0</v>
      </c>
      <c r="BP42" s="49"/>
      <c r="BQ42" s="172">
        <f>IF(BG42="","",BG42)</f>
        <v>0</v>
      </c>
      <c r="BR42"/>
      <c r="BS42"/>
      <c r="BT42"/>
      <c r="BU42"/>
      <c r="BV42"/>
      <c r="BW42"/>
      <c r="BX42"/>
    </row>
    <row r="43" spans="1:76" x14ac:dyDescent="0.35">
      <c r="A43" s="83" t="s">
        <v>61</v>
      </c>
      <c r="B43" s="54" t="s">
        <v>60</v>
      </c>
      <c r="C43" s="174" t="str">
        <f>IF('January 2027 Log'!BM43="","",'January 2027 Log'!BM43)</f>
        <v/>
      </c>
      <c r="D43" s="85"/>
      <c r="E43" s="86"/>
      <c r="F43" s="87"/>
      <c r="G43" s="86"/>
      <c r="H43" s="87"/>
      <c r="I43" s="86"/>
      <c r="J43" s="87"/>
      <c r="K43" s="86"/>
      <c r="L43" s="87"/>
      <c r="M43" s="86"/>
      <c r="N43" s="87"/>
      <c r="O43" s="86"/>
      <c r="P43" s="87"/>
      <c r="Q43" s="86"/>
      <c r="R43" s="87"/>
      <c r="S43" s="86"/>
      <c r="T43" s="87"/>
      <c r="U43" s="86"/>
      <c r="V43" s="87"/>
      <c r="W43" s="86"/>
      <c r="X43" s="87"/>
      <c r="Y43" s="86"/>
      <c r="Z43" s="87"/>
      <c r="AA43" s="86"/>
      <c r="AB43" s="87"/>
      <c r="AC43" s="86"/>
      <c r="AD43" s="87"/>
      <c r="AE43" s="86"/>
      <c r="AF43" s="87"/>
      <c r="AG43" s="86"/>
      <c r="AH43" s="87"/>
      <c r="AI43" s="86"/>
      <c r="AJ43" s="87"/>
      <c r="AK43" s="86"/>
      <c r="AL43" s="87"/>
      <c r="AM43" s="86"/>
      <c r="AN43" s="87"/>
      <c r="AO43" s="86"/>
      <c r="AP43" s="87"/>
      <c r="AQ43" s="86"/>
      <c r="AR43" s="87"/>
      <c r="AS43" s="86"/>
      <c r="AT43" s="87"/>
      <c r="AU43" s="86"/>
      <c r="AV43" s="87"/>
      <c r="AW43" s="86"/>
      <c r="AX43" s="87"/>
      <c r="AY43" s="86"/>
      <c r="AZ43" s="87"/>
      <c r="BA43" s="86"/>
      <c r="BB43" s="87"/>
      <c r="BC43" s="86"/>
      <c r="BD43" s="87"/>
      <c r="BE43" s="86"/>
      <c r="BF43" s="87"/>
      <c r="BG43" s="86"/>
      <c r="BH43" s="87"/>
      <c r="BI43" s="86"/>
      <c r="BJ43" s="87"/>
      <c r="BK43" s="86"/>
      <c r="BL43" s="87"/>
      <c r="BM43" s="86"/>
      <c r="BN43" s="50"/>
      <c r="BO43" s="170" t="str">
        <f t="shared" si="2"/>
        <v/>
      </c>
      <c r="BP43" s="87"/>
      <c r="BQ43" s="178" t="str">
        <f>IF(BG43="","",BG43)</f>
        <v/>
      </c>
    </row>
    <row r="44" spans="1:76" hidden="1" x14ac:dyDescent="0.35">
      <c r="A44" s="83" t="s">
        <v>8</v>
      </c>
      <c r="B44" s="54"/>
      <c r="C44" s="84"/>
      <c r="D44" s="85"/>
      <c r="E44" s="86"/>
      <c r="F44" s="87"/>
      <c r="G44" s="86"/>
      <c r="H44" s="87"/>
      <c r="I44" s="86"/>
      <c r="J44" s="87"/>
      <c r="K44" s="86"/>
      <c r="L44" s="87"/>
      <c r="M44" s="86"/>
      <c r="N44" s="87"/>
      <c r="O44" s="86"/>
      <c r="P44" s="87"/>
      <c r="Q44" s="86"/>
      <c r="R44" s="87"/>
      <c r="S44" s="86"/>
      <c r="T44" s="87"/>
      <c r="U44" s="86"/>
      <c r="V44" s="87"/>
      <c r="W44" s="86"/>
      <c r="X44" s="87"/>
      <c r="Y44" s="86"/>
      <c r="Z44" s="87"/>
      <c r="AA44" s="86"/>
      <c r="AB44" s="87"/>
      <c r="AC44" s="86"/>
      <c r="AD44" s="87"/>
      <c r="AE44" s="86"/>
      <c r="AF44" s="87"/>
      <c r="AG44" s="86"/>
      <c r="AH44" s="87"/>
      <c r="AI44" s="86"/>
      <c r="AJ44" s="87"/>
      <c r="AK44" s="86"/>
      <c r="AL44" s="87"/>
      <c r="AM44" s="86"/>
      <c r="AN44" s="87"/>
      <c r="AO44" s="86"/>
      <c r="AP44" s="87"/>
      <c r="AQ44" s="86"/>
      <c r="AR44" s="87"/>
      <c r="AS44" s="86"/>
      <c r="AT44" s="87"/>
      <c r="AU44" s="86"/>
      <c r="AV44" s="87"/>
      <c r="AW44" s="86"/>
      <c r="AX44" s="87"/>
      <c r="AY44" s="86"/>
      <c r="AZ44" s="87"/>
      <c r="BA44" s="86"/>
      <c r="BB44" s="87"/>
      <c r="BC44" s="86"/>
      <c r="BD44" s="87"/>
      <c r="BE44" s="86"/>
      <c r="BF44" s="87"/>
      <c r="BG44" s="86"/>
      <c r="BH44" s="87"/>
      <c r="BI44" s="86"/>
      <c r="BJ44" s="87"/>
      <c r="BK44" s="86"/>
      <c r="BL44" s="87"/>
      <c r="BM44" s="86"/>
      <c r="BN44" s="50"/>
      <c r="BO44" s="170" t="str">
        <f t="shared" si="2"/>
        <v/>
      </c>
      <c r="BP44" s="87"/>
      <c r="BQ44" s="88"/>
    </row>
    <row r="45" spans="1:76" hidden="1" x14ac:dyDescent="0.35">
      <c r="A45" s="83" t="s">
        <v>9</v>
      </c>
      <c r="B45" s="54"/>
      <c r="C45" s="84"/>
      <c r="D45" s="85"/>
      <c r="E45" s="86"/>
      <c r="F45" s="87"/>
      <c r="G45" s="86"/>
      <c r="H45" s="87"/>
      <c r="I45" s="86"/>
      <c r="J45" s="87"/>
      <c r="K45" s="86"/>
      <c r="L45" s="87"/>
      <c r="M45" s="86"/>
      <c r="N45" s="87"/>
      <c r="O45" s="86"/>
      <c r="P45" s="87"/>
      <c r="Q45" s="86"/>
      <c r="R45" s="87"/>
      <c r="S45" s="86"/>
      <c r="T45" s="87"/>
      <c r="U45" s="86"/>
      <c r="V45" s="87"/>
      <c r="W45" s="86"/>
      <c r="X45" s="87"/>
      <c r="Y45" s="86"/>
      <c r="Z45" s="87"/>
      <c r="AA45" s="86"/>
      <c r="AB45" s="87"/>
      <c r="AC45" s="86"/>
      <c r="AD45" s="87"/>
      <c r="AE45" s="86"/>
      <c r="AF45" s="87"/>
      <c r="AG45" s="86"/>
      <c r="AH45" s="87"/>
      <c r="AI45" s="86"/>
      <c r="AJ45" s="87"/>
      <c r="AK45" s="86"/>
      <c r="AL45" s="87"/>
      <c r="AM45" s="86"/>
      <c r="AN45" s="87"/>
      <c r="AO45" s="86"/>
      <c r="AP45" s="87"/>
      <c r="AQ45" s="86"/>
      <c r="AR45" s="87"/>
      <c r="AS45" s="86"/>
      <c r="AT45" s="87"/>
      <c r="AU45" s="86"/>
      <c r="AV45" s="87"/>
      <c r="AW45" s="86"/>
      <c r="AX45" s="87"/>
      <c r="AY45" s="86"/>
      <c r="AZ45" s="87"/>
      <c r="BA45" s="86"/>
      <c r="BB45" s="87"/>
      <c r="BC45" s="86"/>
      <c r="BD45" s="87"/>
      <c r="BE45" s="86"/>
      <c r="BF45" s="87"/>
      <c r="BG45" s="86"/>
      <c r="BH45" s="87"/>
      <c r="BI45" s="86"/>
      <c r="BJ45" s="87"/>
      <c r="BK45" s="86"/>
      <c r="BL45" s="87"/>
      <c r="BM45" s="86"/>
      <c r="BN45" s="50"/>
      <c r="BO45" s="170" t="str">
        <f t="shared" si="2"/>
        <v/>
      </c>
      <c r="BP45" s="87"/>
      <c r="BQ45" s="88"/>
    </row>
    <row r="46" spans="1:76" hidden="1" x14ac:dyDescent="0.35">
      <c r="A46" s="83" t="s">
        <v>43</v>
      </c>
      <c r="B46" s="54"/>
      <c r="C46" s="84"/>
      <c r="D46" s="85"/>
      <c r="E46" s="86"/>
      <c r="F46" s="87"/>
      <c r="G46" s="86"/>
      <c r="H46" s="87"/>
      <c r="I46" s="86"/>
      <c r="J46" s="87"/>
      <c r="K46" s="86"/>
      <c r="L46" s="87"/>
      <c r="M46" s="86"/>
      <c r="N46" s="87"/>
      <c r="O46" s="86"/>
      <c r="P46" s="87"/>
      <c r="Q46" s="86"/>
      <c r="R46" s="87"/>
      <c r="S46" s="86"/>
      <c r="T46" s="87"/>
      <c r="U46" s="86"/>
      <c r="V46" s="87"/>
      <c r="W46" s="86"/>
      <c r="X46" s="87"/>
      <c r="Y46" s="86"/>
      <c r="Z46" s="87"/>
      <c r="AA46" s="86"/>
      <c r="AB46" s="87"/>
      <c r="AC46" s="86"/>
      <c r="AD46" s="87"/>
      <c r="AE46" s="86"/>
      <c r="AF46" s="87"/>
      <c r="AG46" s="86"/>
      <c r="AH46" s="87"/>
      <c r="AI46" s="86"/>
      <c r="AJ46" s="87"/>
      <c r="AK46" s="86"/>
      <c r="AL46" s="87"/>
      <c r="AM46" s="86"/>
      <c r="AN46" s="87"/>
      <c r="AO46" s="86"/>
      <c r="AP46" s="87"/>
      <c r="AQ46" s="86"/>
      <c r="AR46" s="87"/>
      <c r="AS46" s="86"/>
      <c r="AT46" s="87"/>
      <c r="AU46" s="86"/>
      <c r="AV46" s="87"/>
      <c r="AW46" s="86"/>
      <c r="AX46" s="87"/>
      <c r="AY46" s="86"/>
      <c r="AZ46" s="87"/>
      <c r="BA46" s="86"/>
      <c r="BB46" s="87"/>
      <c r="BC46" s="86"/>
      <c r="BD46" s="87"/>
      <c r="BE46" s="86"/>
      <c r="BF46" s="87"/>
      <c r="BG46" s="86"/>
      <c r="BH46" s="87"/>
      <c r="BI46" s="86"/>
      <c r="BJ46" s="87"/>
      <c r="BK46" s="86"/>
      <c r="BL46" s="87"/>
      <c r="BM46" s="86"/>
      <c r="BN46" s="50"/>
      <c r="BO46" s="170" t="str">
        <f t="shared" si="2"/>
        <v/>
      </c>
      <c r="BP46" s="87"/>
      <c r="BQ46" s="88"/>
    </row>
    <row r="47" spans="1:76" hidden="1" x14ac:dyDescent="0.35">
      <c r="A47" s="83" t="s">
        <v>10</v>
      </c>
      <c r="B47" s="54"/>
      <c r="C47" s="84"/>
      <c r="D47" s="85"/>
      <c r="E47" s="86"/>
      <c r="F47" s="87"/>
      <c r="G47" s="86"/>
      <c r="H47" s="87"/>
      <c r="I47" s="86"/>
      <c r="J47" s="87"/>
      <c r="K47" s="86"/>
      <c r="L47" s="87"/>
      <c r="M47" s="86"/>
      <c r="N47" s="87"/>
      <c r="O47" s="86"/>
      <c r="P47" s="87"/>
      <c r="Q47" s="86"/>
      <c r="R47" s="87"/>
      <c r="S47" s="86"/>
      <c r="T47" s="87"/>
      <c r="U47" s="86"/>
      <c r="V47" s="87"/>
      <c r="W47" s="86"/>
      <c r="X47" s="87"/>
      <c r="Y47" s="86"/>
      <c r="Z47" s="87"/>
      <c r="AA47" s="86"/>
      <c r="AB47" s="87"/>
      <c r="AC47" s="86"/>
      <c r="AD47" s="87"/>
      <c r="AE47" s="86"/>
      <c r="AF47" s="87"/>
      <c r="AG47" s="86"/>
      <c r="AH47" s="87"/>
      <c r="AI47" s="86"/>
      <c r="AJ47" s="87"/>
      <c r="AK47" s="86"/>
      <c r="AL47" s="87"/>
      <c r="AM47" s="86"/>
      <c r="AN47" s="87"/>
      <c r="AO47" s="86"/>
      <c r="AP47" s="87"/>
      <c r="AQ47" s="86"/>
      <c r="AR47" s="87"/>
      <c r="AS47" s="86"/>
      <c r="AT47" s="87"/>
      <c r="AU47" s="86"/>
      <c r="AV47" s="87"/>
      <c r="AW47" s="86"/>
      <c r="AX47" s="87"/>
      <c r="AY47" s="86"/>
      <c r="AZ47" s="87"/>
      <c r="BA47" s="86"/>
      <c r="BB47" s="87"/>
      <c r="BC47" s="86"/>
      <c r="BD47" s="87"/>
      <c r="BE47" s="86"/>
      <c r="BF47" s="87"/>
      <c r="BG47" s="86"/>
      <c r="BH47" s="87"/>
      <c r="BI47" s="86"/>
      <c r="BJ47" s="87"/>
      <c r="BK47" s="86"/>
      <c r="BL47" s="87"/>
      <c r="BM47" s="86"/>
      <c r="BN47" s="50"/>
      <c r="BO47" s="170" t="str">
        <f t="shared" si="2"/>
        <v/>
      </c>
      <c r="BP47" s="87"/>
      <c r="BQ47" s="88"/>
    </row>
    <row r="48" spans="1:76" hidden="1" x14ac:dyDescent="0.35">
      <c r="A48" s="83" t="s">
        <v>11</v>
      </c>
      <c r="B48" s="54"/>
      <c r="C48" s="84"/>
      <c r="D48" s="85"/>
      <c r="E48" s="86"/>
      <c r="F48" s="87"/>
      <c r="G48" s="86"/>
      <c r="H48" s="87"/>
      <c r="I48" s="86"/>
      <c r="J48" s="87"/>
      <c r="K48" s="86"/>
      <c r="L48" s="87"/>
      <c r="M48" s="86"/>
      <c r="N48" s="87"/>
      <c r="O48" s="86"/>
      <c r="P48" s="87"/>
      <c r="Q48" s="86"/>
      <c r="R48" s="87"/>
      <c r="S48" s="86"/>
      <c r="T48" s="87"/>
      <c r="U48" s="86"/>
      <c r="V48" s="87"/>
      <c r="W48" s="86"/>
      <c r="X48" s="87"/>
      <c r="Y48" s="86"/>
      <c r="Z48" s="87"/>
      <c r="AA48" s="86"/>
      <c r="AB48" s="87"/>
      <c r="AC48" s="86"/>
      <c r="AD48" s="87"/>
      <c r="AE48" s="86"/>
      <c r="AF48" s="87"/>
      <c r="AG48" s="86"/>
      <c r="AH48" s="87"/>
      <c r="AI48" s="86"/>
      <c r="AJ48" s="87"/>
      <c r="AK48" s="86"/>
      <c r="AL48" s="87"/>
      <c r="AM48" s="86"/>
      <c r="AN48" s="87"/>
      <c r="AO48" s="86"/>
      <c r="AP48" s="87"/>
      <c r="AQ48" s="86"/>
      <c r="AR48" s="87"/>
      <c r="AS48" s="86"/>
      <c r="AT48" s="87"/>
      <c r="AU48" s="86"/>
      <c r="AV48" s="87"/>
      <c r="AW48" s="86"/>
      <c r="AX48" s="87"/>
      <c r="AY48" s="86"/>
      <c r="AZ48" s="87"/>
      <c r="BA48" s="86"/>
      <c r="BB48" s="87"/>
      <c r="BC48" s="86"/>
      <c r="BD48" s="87"/>
      <c r="BE48" s="86"/>
      <c r="BF48" s="87"/>
      <c r="BG48" s="86"/>
      <c r="BH48" s="87"/>
      <c r="BI48" s="86"/>
      <c r="BJ48" s="87"/>
      <c r="BK48" s="86"/>
      <c r="BL48" s="87"/>
      <c r="BM48" s="86"/>
      <c r="BN48" s="50"/>
      <c r="BO48" s="170" t="str">
        <f t="shared" si="2"/>
        <v/>
      </c>
      <c r="BP48" s="87"/>
      <c r="BQ48" s="88"/>
    </row>
    <row r="49" spans="1:76" s="1" customFormat="1" x14ac:dyDescent="0.35">
      <c r="A49" s="89" t="s">
        <v>36</v>
      </c>
      <c r="B49" s="90"/>
      <c r="C49" s="174">
        <f>IF('January 2027 Log'!BM49="","",'January 2027 Log'!BM49)</f>
        <v>0</v>
      </c>
      <c r="D49" s="47"/>
      <c r="E49" s="166">
        <f>SUM(E43:E48)</f>
        <v>0</v>
      </c>
      <c r="F49" s="49"/>
      <c r="G49" s="166">
        <f>SUM(G43:G48)</f>
        <v>0</v>
      </c>
      <c r="H49" s="49"/>
      <c r="I49" s="166">
        <f>SUM(I43:I48)</f>
        <v>0</v>
      </c>
      <c r="J49" s="49"/>
      <c r="K49" s="166">
        <f>SUM(K43:K48)</f>
        <v>0</v>
      </c>
      <c r="L49" s="49"/>
      <c r="M49" s="166">
        <f>SUM(M43:M48)</f>
        <v>0</v>
      </c>
      <c r="N49" s="49"/>
      <c r="O49" s="166">
        <f>SUM(O43:O48)</f>
        <v>0</v>
      </c>
      <c r="P49" s="49"/>
      <c r="Q49" s="166">
        <f>SUM(Q43:Q48)</f>
        <v>0</v>
      </c>
      <c r="R49" s="49"/>
      <c r="S49" s="166">
        <f>SUM(S43:S48)</f>
        <v>0</v>
      </c>
      <c r="T49" s="49"/>
      <c r="U49" s="166">
        <f>SUM(U43:U48)</f>
        <v>0</v>
      </c>
      <c r="V49" s="49"/>
      <c r="W49" s="166">
        <f>SUM(W43:W48)</f>
        <v>0</v>
      </c>
      <c r="X49" s="49"/>
      <c r="Y49" s="166">
        <f>SUM(Y43:Y48)</f>
        <v>0</v>
      </c>
      <c r="Z49" s="49"/>
      <c r="AA49" s="166">
        <f>SUM(AA43:AA48)</f>
        <v>0</v>
      </c>
      <c r="AB49" s="49"/>
      <c r="AC49" s="166">
        <f>SUM(AC43:AC48)</f>
        <v>0</v>
      </c>
      <c r="AD49" s="49"/>
      <c r="AE49" s="166">
        <f>SUM(AE43:AE48)</f>
        <v>0</v>
      </c>
      <c r="AF49" s="49"/>
      <c r="AG49" s="166">
        <f>SUM(AG43:AG48)</f>
        <v>0</v>
      </c>
      <c r="AH49" s="49"/>
      <c r="AI49" s="166">
        <f>SUM(AI43:AI48)</f>
        <v>0</v>
      </c>
      <c r="AJ49" s="49"/>
      <c r="AK49" s="166">
        <f>SUM(AK43:AK48)</f>
        <v>0</v>
      </c>
      <c r="AL49" s="49"/>
      <c r="AM49" s="166">
        <f>SUM(AM43:AM48)</f>
        <v>0</v>
      </c>
      <c r="AN49" s="49"/>
      <c r="AO49" s="166">
        <f>SUM(AO43:AO48)</f>
        <v>0</v>
      </c>
      <c r="AP49" s="49"/>
      <c r="AQ49" s="166">
        <f>SUM(AQ43:AQ48)</f>
        <v>0</v>
      </c>
      <c r="AR49" s="49"/>
      <c r="AS49" s="166">
        <f>SUM(AS43:AS48)</f>
        <v>0</v>
      </c>
      <c r="AT49" s="49"/>
      <c r="AU49" s="166">
        <f>SUM(AU43:AU48)</f>
        <v>0</v>
      </c>
      <c r="AV49" s="49"/>
      <c r="AW49" s="166">
        <f>SUM(AW43:AW48)</f>
        <v>0</v>
      </c>
      <c r="AX49" s="49"/>
      <c r="AY49" s="166">
        <f>SUM(AY43:AY48)</f>
        <v>0</v>
      </c>
      <c r="AZ49" s="49"/>
      <c r="BA49" s="166">
        <f>SUM(BA43:BA48)</f>
        <v>0</v>
      </c>
      <c r="BB49" s="49"/>
      <c r="BC49" s="166">
        <f>SUM(BC43:BC48)</f>
        <v>0</v>
      </c>
      <c r="BD49" s="49"/>
      <c r="BE49" s="166">
        <f>SUM(BE43:BE48)</f>
        <v>0</v>
      </c>
      <c r="BF49" s="49"/>
      <c r="BG49" s="166">
        <f>SUM(BG43:BG48)</f>
        <v>0</v>
      </c>
      <c r="BH49" s="49"/>
      <c r="BI49" s="48"/>
      <c r="BJ49" s="49"/>
      <c r="BK49" s="48"/>
      <c r="BL49" s="49"/>
      <c r="BM49" s="48"/>
      <c r="BN49" s="50"/>
      <c r="BO49" s="170">
        <f t="shared" si="2"/>
        <v>0</v>
      </c>
      <c r="BP49" s="49"/>
      <c r="BQ49" s="172">
        <f>IF(BG49="","",BG49)</f>
        <v>0</v>
      </c>
      <c r="BR49"/>
      <c r="BS49"/>
      <c r="BT49"/>
      <c r="BU49"/>
      <c r="BV49"/>
      <c r="BW49"/>
      <c r="BX49"/>
    </row>
    <row r="50" spans="1:76" s="1" customFormat="1" x14ac:dyDescent="0.35">
      <c r="A50" s="89" t="s">
        <v>12</v>
      </c>
      <c r="B50" s="90"/>
      <c r="C50" s="174">
        <f>IF('January 2027 Log'!BM50="","",'January 2027 Log'!BM50)</f>
        <v>0</v>
      </c>
      <c r="D50" s="47"/>
      <c r="E50" s="166">
        <f t="shared" ref="E50" si="31">+E42+E49</f>
        <v>0</v>
      </c>
      <c r="F50" s="49"/>
      <c r="G50" s="166">
        <f t="shared" ref="G50" si="32">+G42+G49</f>
        <v>0</v>
      </c>
      <c r="H50" s="49"/>
      <c r="I50" s="166">
        <f t="shared" ref="I50" si="33">+I42+I49</f>
        <v>0</v>
      </c>
      <c r="J50" s="49"/>
      <c r="K50" s="166">
        <f t="shared" ref="K50" si="34">+K42+K49</f>
        <v>0</v>
      </c>
      <c r="L50" s="49"/>
      <c r="M50" s="166">
        <f t="shared" ref="M50" si="35">+M42+M49</f>
        <v>0</v>
      </c>
      <c r="N50" s="49"/>
      <c r="O50" s="166">
        <f t="shared" ref="O50" si="36">+O42+O49</f>
        <v>0</v>
      </c>
      <c r="P50" s="49"/>
      <c r="Q50" s="166">
        <f t="shared" ref="Q50" si="37">+Q42+Q49</f>
        <v>0</v>
      </c>
      <c r="R50" s="49"/>
      <c r="S50" s="166">
        <f t="shared" ref="S50" si="38">+S42+S49</f>
        <v>0</v>
      </c>
      <c r="T50" s="49"/>
      <c r="U50" s="166">
        <f t="shared" ref="U50" si="39">+U42+U49</f>
        <v>0</v>
      </c>
      <c r="V50" s="49"/>
      <c r="W50" s="166">
        <f t="shared" ref="W50" si="40">+W42+W49</f>
        <v>0</v>
      </c>
      <c r="X50" s="49"/>
      <c r="Y50" s="166">
        <f t="shared" ref="Y50" si="41">+Y42+Y49</f>
        <v>0</v>
      </c>
      <c r="Z50" s="49"/>
      <c r="AA50" s="166">
        <f t="shared" ref="AA50" si="42">+AA42+AA49</f>
        <v>0</v>
      </c>
      <c r="AB50" s="49"/>
      <c r="AC50" s="166">
        <f t="shared" ref="AC50" si="43">+AC42+AC49</f>
        <v>0</v>
      </c>
      <c r="AD50" s="49"/>
      <c r="AE50" s="166">
        <f t="shared" ref="AE50" si="44">+AE42+AE49</f>
        <v>0</v>
      </c>
      <c r="AF50" s="49"/>
      <c r="AG50" s="166">
        <f t="shared" ref="AG50" si="45">+AG42+AG49</f>
        <v>0</v>
      </c>
      <c r="AH50" s="49"/>
      <c r="AI50" s="166">
        <f t="shared" ref="AI50" si="46">+AI42+AI49</f>
        <v>0</v>
      </c>
      <c r="AJ50" s="49"/>
      <c r="AK50" s="166">
        <f t="shared" ref="AK50" si="47">+AK42+AK49</f>
        <v>0</v>
      </c>
      <c r="AL50" s="49"/>
      <c r="AM50" s="166">
        <f t="shared" ref="AM50" si="48">+AM42+AM49</f>
        <v>0</v>
      </c>
      <c r="AN50" s="49"/>
      <c r="AO50" s="166">
        <f t="shared" ref="AO50" si="49">+AO42+AO49</f>
        <v>0</v>
      </c>
      <c r="AP50" s="49"/>
      <c r="AQ50" s="166">
        <f t="shared" ref="AQ50" si="50">+AQ42+AQ49</f>
        <v>0</v>
      </c>
      <c r="AR50" s="49"/>
      <c r="AS50" s="166">
        <f t="shared" ref="AS50" si="51">+AS42+AS49</f>
        <v>0</v>
      </c>
      <c r="AT50" s="49"/>
      <c r="AU50" s="166">
        <f t="shared" ref="AU50" si="52">+AU42+AU49</f>
        <v>0</v>
      </c>
      <c r="AV50" s="49"/>
      <c r="AW50" s="166">
        <f t="shared" ref="AW50" si="53">+AW42+AW49</f>
        <v>0</v>
      </c>
      <c r="AX50" s="49"/>
      <c r="AY50" s="166">
        <f t="shared" ref="AY50" si="54">+AY42+AY49</f>
        <v>0</v>
      </c>
      <c r="AZ50" s="49"/>
      <c r="BA50" s="166">
        <f t="shared" ref="BA50" si="55">+BA42+BA49</f>
        <v>0</v>
      </c>
      <c r="BB50" s="49"/>
      <c r="BC50" s="166">
        <f t="shared" ref="BC50" si="56">+BC42+BC49</f>
        <v>0</v>
      </c>
      <c r="BD50" s="49"/>
      <c r="BE50" s="166">
        <f t="shared" ref="BE50" si="57">+BE42+BE49</f>
        <v>0</v>
      </c>
      <c r="BF50" s="49"/>
      <c r="BG50" s="166">
        <f t="shared" ref="BG50" si="58">+BG42+BG49</f>
        <v>0</v>
      </c>
      <c r="BH50" s="49"/>
      <c r="BI50" s="48"/>
      <c r="BJ50" s="49"/>
      <c r="BK50" s="48"/>
      <c r="BL50" s="49"/>
      <c r="BM50" s="48"/>
      <c r="BN50" s="50"/>
      <c r="BO50" s="170">
        <f t="shared" si="2"/>
        <v>0</v>
      </c>
      <c r="BP50" s="49"/>
      <c r="BQ50" s="172">
        <f>IF(BG50="","",BG50)</f>
        <v>0</v>
      </c>
      <c r="BR50"/>
      <c r="BS50"/>
      <c r="BT50"/>
      <c r="BU50"/>
      <c r="BV50"/>
      <c r="BW50"/>
      <c r="BX50"/>
    </row>
    <row r="51" spans="1:76" x14ac:dyDescent="0.35">
      <c r="A51" s="83" t="s">
        <v>13</v>
      </c>
      <c r="B51" s="54"/>
      <c r="C51" s="84"/>
      <c r="D51" s="85"/>
      <c r="E51" s="86"/>
      <c r="F51" s="87"/>
      <c r="G51" s="86"/>
      <c r="H51" s="87"/>
      <c r="I51" s="86"/>
      <c r="J51" s="87"/>
      <c r="K51" s="86"/>
      <c r="L51" s="87"/>
      <c r="M51" s="86"/>
      <c r="N51" s="87"/>
      <c r="O51" s="86"/>
      <c r="P51" s="87"/>
      <c r="Q51" s="86"/>
      <c r="R51" s="87"/>
      <c r="S51" s="86"/>
      <c r="T51" s="87"/>
      <c r="U51" s="86"/>
      <c r="V51" s="87"/>
      <c r="W51" s="86"/>
      <c r="X51" s="87"/>
      <c r="Y51" s="86"/>
      <c r="Z51" s="87"/>
      <c r="AA51" s="86"/>
      <c r="AB51" s="87"/>
      <c r="AC51" s="86"/>
      <c r="AD51" s="87"/>
      <c r="AE51" s="86"/>
      <c r="AF51" s="87"/>
      <c r="AG51" s="86"/>
      <c r="AH51" s="87"/>
      <c r="AI51" s="86"/>
      <c r="AJ51" s="87"/>
      <c r="AK51" s="86"/>
      <c r="AL51" s="87"/>
      <c r="AM51" s="86"/>
      <c r="AN51" s="87"/>
      <c r="AO51" s="86"/>
      <c r="AP51" s="87"/>
      <c r="AQ51" s="86"/>
      <c r="AR51" s="87"/>
      <c r="AS51" s="86"/>
      <c r="AT51" s="87"/>
      <c r="AU51" s="86"/>
      <c r="AV51" s="87"/>
      <c r="AW51" s="86"/>
      <c r="AX51" s="87"/>
      <c r="AY51" s="86"/>
      <c r="AZ51" s="87"/>
      <c r="BA51" s="86"/>
      <c r="BB51" s="87"/>
      <c r="BC51" s="86"/>
      <c r="BD51" s="87"/>
      <c r="BE51" s="86"/>
      <c r="BF51" s="87"/>
      <c r="BG51" s="86"/>
      <c r="BH51" s="87"/>
      <c r="BI51" s="86"/>
      <c r="BJ51" s="87"/>
      <c r="BK51" s="86"/>
      <c r="BL51" s="87"/>
      <c r="BM51" s="86"/>
      <c r="BN51" s="50"/>
      <c r="BO51" s="170" t="str">
        <f t="shared" si="2"/>
        <v/>
      </c>
      <c r="BP51" s="87"/>
      <c r="BQ51" s="88"/>
    </row>
    <row r="52" spans="1:76" x14ac:dyDescent="0.35">
      <c r="A52" s="83" t="s">
        <v>14</v>
      </c>
      <c r="B52" s="54"/>
      <c r="C52" s="84"/>
      <c r="D52" s="85"/>
      <c r="E52" s="86"/>
      <c r="F52" s="87"/>
      <c r="G52" s="86"/>
      <c r="H52" s="87"/>
      <c r="I52" s="86"/>
      <c r="J52" s="87"/>
      <c r="K52" s="86"/>
      <c r="L52" s="87"/>
      <c r="M52" s="86"/>
      <c r="N52" s="87"/>
      <c r="O52" s="86"/>
      <c r="P52" s="87"/>
      <c r="Q52" s="86"/>
      <c r="R52" s="87"/>
      <c r="S52" s="86"/>
      <c r="T52" s="87"/>
      <c r="U52" s="86"/>
      <c r="V52" s="87"/>
      <c r="W52" s="86"/>
      <c r="X52" s="87"/>
      <c r="Y52" s="86"/>
      <c r="Z52" s="87"/>
      <c r="AA52" s="86"/>
      <c r="AB52" s="87"/>
      <c r="AC52" s="86"/>
      <c r="AD52" s="87"/>
      <c r="AE52" s="86"/>
      <c r="AF52" s="87"/>
      <c r="AG52" s="86"/>
      <c r="AH52" s="87"/>
      <c r="AI52" s="86"/>
      <c r="AJ52" s="87"/>
      <c r="AK52" s="86"/>
      <c r="AL52" s="87"/>
      <c r="AM52" s="86"/>
      <c r="AN52" s="87"/>
      <c r="AO52" s="86"/>
      <c r="AP52" s="87"/>
      <c r="AQ52" s="86"/>
      <c r="AR52" s="87"/>
      <c r="AS52" s="86"/>
      <c r="AT52" s="87"/>
      <c r="AU52" s="86"/>
      <c r="AV52" s="87"/>
      <c r="AW52" s="86"/>
      <c r="AX52" s="87"/>
      <c r="AY52" s="86"/>
      <c r="AZ52" s="87"/>
      <c r="BA52" s="86"/>
      <c r="BB52" s="87"/>
      <c r="BC52" s="86"/>
      <c r="BD52" s="87"/>
      <c r="BE52" s="86"/>
      <c r="BF52" s="87"/>
      <c r="BG52" s="86"/>
      <c r="BH52" s="87"/>
      <c r="BI52" s="86"/>
      <c r="BJ52" s="87"/>
      <c r="BK52" s="86"/>
      <c r="BL52" s="87"/>
      <c r="BM52" s="86"/>
      <c r="BN52" s="50"/>
      <c r="BO52" s="170" t="str">
        <f t="shared" si="2"/>
        <v/>
      </c>
      <c r="BP52" s="87"/>
      <c r="BQ52" s="88"/>
    </row>
    <row r="53" spans="1:76" x14ac:dyDescent="0.35">
      <c r="A53" s="83" t="s">
        <v>42</v>
      </c>
      <c r="B53" s="54"/>
      <c r="C53" s="84"/>
      <c r="D53" s="85"/>
      <c r="E53" s="86"/>
      <c r="F53" s="87"/>
      <c r="G53" s="86"/>
      <c r="H53" s="87"/>
      <c r="I53" s="86"/>
      <c r="J53" s="87"/>
      <c r="K53" s="86"/>
      <c r="L53" s="87"/>
      <c r="M53" s="86"/>
      <c r="N53" s="87"/>
      <c r="O53" s="86"/>
      <c r="P53" s="87"/>
      <c r="Q53" s="86"/>
      <c r="R53" s="87"/>
      <c r="S53" s="86"/>
      <c r="T53" s="87"/>
      <c r="U53" s="86"/>
      <c r="V53" s="87"/>
      <c r="W53" s="86"/>
      <c r="X53" s="87"/>
      <c r="Y53" s="86"/>
      <c r="Z53" s="87"/>
      <c r="AA53" s="86"/>
      <c r="AB53" s="87"/>
      <c r="AC53" s="86"/>
      <c r="AD53" s="87"/>
      <c r="AE53" s="86"/>
      <c r="AF53" s="87"/>
      <c r="AG53" s="86"/>
      <c r="AH53" s="87"/>
      <c r="AI53" s="86"/>
      <c r="AJ53" s="87"/>
      <c r="AK53" s="86"/>
      <c r="AL53" s="87"/>
      <c r="AM53" s="86"/>
      <c r="AN53" s="87"/>
      <c r="AO53" s="86"/>
      <c r="AP53" s="87"/>
      <c r="AQ53" s="86"/>
      <c r="AR53" s="87"/>
      <c r="AS53" s="86"/>
      <c r="AT53" s="87"/>
      <c r="AU53" s="86"/>
      <c r="AV53" s="87"/>
      <c r="AW53" s="86"/>
      <c r="AX53" s="87"/>
      <c r="AY53" s="86"/>
      <c r="AZ53" s="87"/>
      <c r="BA53" s="86"/>
      <c r="BB53" s="87"/>
      <c r="BC53" s="86"/>
      <c r="BD53" s="87"/>
      <c r="BE53" s="86"/>
      <c r="BF53" s="87"/>
      <c r="BG53" s="86"/>
      <c r="BH53" s="87"/>
      <c r="BI53" s="86"/>
      <c r="BJ53" s="87"/>
      <c r="BK53" s="86"/>
      <c r="BL53" s="87"/>
      <c r="BM53" s="86"/>
      <c r="BN53" s="50"/>
      <c r="BO53" s="170" t="str">
        <f t="shared" si="2"/>
        <v/>
      </c>
      <c r="BP53" s="87"/>
      <c r="BQ53" s="88"/>
    </row>
    <row r="54" spans="1:76" x14ac:dyDescent="0.35">
      <c r="A54" s="89" t="s">
        <v>15</v>
      </c>
      <c r="B54" s="90"/>
      <c r="C54" s="174">
        <f>IF('January 2027 Log'!BM54="","",'January 2027 Log'!BM54)</f>
        <v>0</v>
      </c>
      <c r="D54" s="47"/>
      <c r="E54" s="166">
        <f>E22+E23+E32+E34+E50+E51+E52-E33+E24+E53+E112</f>
        <v>0</v>
      </c>
      <c r="F54" s="49"/>
      <c r="G54" s="166">
        <f>G22+G23+G32+G34+G50+G51+G52-G33+G24+G53+G112</f>
        <v>0</v>
      </c>
      <c r="H54" s="49"/>
      <c r="I54" s="166">
        <f>I22+I23+I32+I34+I50+I51+I52-I33+I24+I53+I112</f>
        <v>0</v>
      </c>
      <c r="J54" s="49"/>
      <c r="K54" s="166">
        <f>K22+K23+K32+K34+K50+K51+K52-K33+K24+K53+K112</f>
        <v>0</v>
      </c>
      <c r="L54" s="49"/>
      <c r="M54" s="166">
        <f>M22+M23+M32+M34+M50+M51+M52-M33+M24+M53+M112</f>
        <v>0</v>
      </c>
      <c r="N54" s="49"/>
      <c r="O54" s="166">
        <f>O22+O23+O32+O34+O50+O51+O52-O33+O24+O53+O112</f>
        <v>0</v>
      </c>
      <c r="P54" s="49"/>
      <c r="Q54" s="166">
        <f>Q22+Q23+Q32+Q34+Q50+Q51+Q52-Q33+Q24+Q53+Q112</f>
        <v>0</v>
      </c>
      <c r="R54" s="49"/>
      <c r="S54" s="166">
        <f>S22+S23+S32+S34+S50+S51+S52-S33+S24+S53+S112</f>
        <v>0</v>
      </c>
      <c r="T54" s="49"/>
      <c r="U54" s="166">
        <f>U22+U23+U32+U34+U50+U51+U52-U33+U24+U53+U112</f>
        <v>0</v>
      </c>
      <c r="V54" s="49"/>
      <c r="W54" s="166">
        <f>W22+W23+W32+W34+W50+W51+W52-W33+W24+W53+W112</f>
        <v>0</v>
      </c>
      <c r="X54" s="49"/>
      <c r="Y54" s="166">
        <f>Y22+Y23+Y32+Y34+Y50+Y51+Y52-Y33+Y24+Y53+Y112</f>
        <v>0</v>
      </c>
      <c r="Z54" s="49"/>
      <c r="AA54" s="166">
        <f>AA22+AA23+AA32+AA34+AA50+AA51+AA52-AA33+AA24+AA53+AA112</f>
        <v>0</v>
      </c>
      <c r="AB54" s="49"/>
      <c r="AC54" s="166">
        <f>AC22+AC23+AC32+AC34+AC50+AC51+AC52-AC33+AC24+AC53+AC112</f>
        <v>0</v>
      </c>
      <c r="AD54" s="49"/>
      <c r="AE54" s="166">
        <f>AE22+AE23+AE32+AE34+AE50+AE51+AE52-AE33+AE24+AE53+AE112</f>
        <v>0</v>
      </c>
      <c r="AF54" s="49"/>
      <c r="AG54" s="166">
        <f>AG22+AG23+AG32+AG34+AG50+AG51+AG52-AG33+AG24+AG53+AG112</f>
        <v>0</v>
      </c>
      <c r="AH54" s="49"/>
      <c r="AI54" s="166">
        <f>AI22+AI23+AI32+AI34+AI50+AI51+AI52-AI33+AI24+AI53+AI112</f>
        <v>0</v>
      </c>
      <c r="AJ54" s="49"/>
      <c r="AK54" s="166">
        <f>AK22+AK23+AK32+AK34+AK50+AK51+AK52-AK33+AK24+AK53+AK112</f>
        <v>0</v>
      </c>
      <c r="AL54" s="49"/>
      <c r="AM54" s="166">
        <f>AM22+AM23+AM32+AM34+AM50+AM51+AM52-AM33+AM24+AM53+AM112</f>
        <v>0</v>
      </c>
      <c r="AN54" s="49"/>
      <c r="AO54" s="166">
        <f>AO22+AO23+AO32+AO34+AO50+AO51+AO52-AO33+AO24+AO53+AO112</f>
        <v>0</v>
      </c>
      <c r="AP54" s="49"/>
      <c r="AQ54" s="166">
        <f>AQ22+AQ23+AQ32+AQ34+AQ50+AQ51+AQ52-AQ33+AQ24+AQ53+AQ112</f>
        <v>0</v>
      </c>
      <c r="AR54" s="49"/>
      <c r="AS54" s="166">
        <f>AS22+AS23+AS32+AS34+AS50+AS51+AS52-AS33+AS24+AS53+AS112</f>
        <v>0</v>
      </c>
      <c r="AT54" s="49"/>
      <c r="AU54" s="166">
        <f>AU22+AU23+AU32+AU34+AU50+AU51+AU52-AU33+AU24+AU53+AU112</f>
        <v>0</v>
      </c>
      <c r="AV54" s="49"/>
      <c r="AW54" s="166">
        <f>AW22+AW23+AW32+AW34+AW50+AW51+AW52-AW33+AW24+AW53+AW112</f>
        <v>0</v>
      </c>
      <c r="AX54" s="49"/>
      <c r="AY54" s="166">
        <f>AY22+AY23+AY32+AY34+AY50+AY51+AY52-AY33+AY24+AY53+AY112</f>
        <v>0</v>
      </c>
      <c r="AZ54" s="49"/>
      <c r="BA54" s="166">
        <f>BA22+BA23+BA32+BA34+BA50+BA51+BA52-BA33+BA24+BA53+BA112</f>
        <v>0</v>
      </c>
      <c r="BB54" s="49"/>
      <c r="BC54" s="166">
        <f>BC22+BC23+BC32+BC34+BC50+BC51+BC52-BC33+BC24+BC53+BC112</f>
        <v>0</v>
      </c>
      <c r="BD54" s="49"/>
      <c r="BE54" s="166">
        <f>BE22+BE23+BE32+BE34+BE50+BE51+BE52-BE33+BE24+BE53+BE112</f>
        <v>0</v>
      </c>
      <c r="BF54" s="49"/>
      <c r="BG54" s="166">
        <f>BG22+BG23+BG32+BG34+BG50+BG51+BG52-BG33+BG24+BG53+BG112</f>
        <v>0</v>
      </c>
      <c r="BH54" s="49"/>
      <c r="BI54" s="48"/>
      <c r="BJ54" s="49"/>
      <c r="BK54" s="48"/>
      <c r="BL54" s="49"/>
      <c r="BM54" s="48"/>
      <c r="BN54" s="50"/>
      <c r="BO54" s="170">
        <f t="shared" si="2"/>
        <v>0</v>
      </c>
      <c r="BP54" s="49"/>
      <c r="BQ54" s="172">
        <f t="shared" ref="BQ54:BQ59" si="59">IF(BG54="","",BG54)</f>
        <v>0</v>
      </c>
    </row>
    <row r="55" spans="1:76" x14ac:dyDescent="0.35">
      <c r="A55" s="83" t="s">
        <v>16</v>
      </c>
      <c r="B55" s="54"/>
      <c r="C55" s="174" t="str">
        <f>IF('January 2027 Log'!BM55="","",'January 2027 Log'!BM55)</f>
        <v/>
      </c>
      <c r="D55" s="85"/>
      <c r="E55" s="86"/>
      <c r="F55" s="87"/>
      <c r="G55" s="86"/>
      <c r="H55" s="87"/>
      <c r="I55" s="86"/>
      <c r="J55" s="87"/>
      <c r="K55" s="86"/>
      <c r="L55" s="87"/>
      <c r="M55" s="86"/>
      <c r="N55" s="87"/>
      <c r="O55" s="86"/>
      <c r="P55" s="87"/>
      <c r="Q55" s="86"/>
      <c r="R55" s="87"/>
      <c r="S55" s="86"/>
      <c r="T55" s="87"/>
      <c r="U55" s="86"/>
      <c r="V55" s="87"/>
      <c r="W55" s="86"/>
      <c r="X55" s="87"/>
      <c r="Y55" s="86"/>
      <c r="Z55" s="87"/>
      <c r="AA55" s="86"/>
      <c r="AB55" s="87"/>
      <c r="AC55" s="86"/>
      <c r="AD55" s="87"/>
      <c r="AE55" s="86"/>
      <c r="AF55" s="87"/>
      <c r="AG55" s="86"/>
      <c r="AH55" s="87"/>
      <c r="AI55" s="86"/>
      <c r="AJ55" s="87"/>
      <c r="AK55" s="86"/>
      <c r="AL55" s="87"/>
      <c r="AM55" s="86"/>
      <c r="AN55" s="87"/>
      <c r="AO55" s="86"/>
      <c r="AP55" s="87"/>
      <c r="AQ55" s="86"/>
      <c r="AR55" s="87"/>
      <c r="AS55" s="86"/>
      <c r="AT55" s="87"/>
      <c r="AU55" s="86"/>
      <c r="AV55" s="87"/>
      <c r="AW55" s="86"/>
      <c r="AX55" s="87"/>
      <c r="AY55" s="86"/>
      <c r="AZ55" s="87"/>
      <c r="BA55" s="86"/>
      <c r="BB55" s="87"/>
      <c r="BC55" s="86"/>
      <c r="BD55" s="87"/>
      <c r="BE55" s="86"/>
      <c r="BF55" s="87"/>
      <c r="BG55" s="86"/>
      <c r="BH55" s="87"/>
      <c r="BI55" s="86"/>
      <c r="BJ55" s="87"/>
      <c r="BK55" s="86"/>
      <c r="BL55" s="87"/>
      <c r="BM55" s="86"/>
      <c r="BN55" s="50"/>
      <c r="BO55" s="170" t="str">
        <f t="shared" si="2"/>
        <v/>
      </c>
      <c r="BP55" s="87"/>
      <c r="BQ55" s="178" t="str">
        <f t="shared" si="59"/>
        <v/>
      </c>
    </row>
    <row r="56" spans="1:76" x14ac:dyDescent="0.35">
      <c r="A56" s="83" t="s">
        <v>17</v>
      </c>
      <c r="B56" s="54"/>
      <c r="C56" s="174" t="str">
        <f>IF('January 2027 Log'!BM56="","",'January 2027 Log'!BM56)</f>
        <v/>
      </c>
      <c r="D56" s="85"/>
      <c r="E56" s="86"/>
      <c r="F56" s="87"/>
      <c r="G56" s="86"/>
      <c r="H56" s="87"/>
      <c r="I56" s="86"/>
      <c r="J56" s="87"/>
      <c r="K56" s="86"/>
      <c r="L56" s="87"/>
      <c r="M56" s="86"/>
      <c r="N56" s="87"/>
      <c r="O56" s="86"/>
      <c r="P56" s="87"/>
      <c r="Q56" s="86"/>
      <c r="R56" s="87"/>
      <c r="S56" s="86"/>
      <c r="T56" s="87"/>
      <c r="U56" s="86"/>
      <c r="V56" s="87"/>
      <c r="W56" s="86"/>
      <c r="X56" s="87"/>
      <c r="Y56" s="86"/>
      <c r="Z56" s="87"/>
      <c r="AA56" s="86"/>
      <c r="AB56" s="87"/>
      <c r="AC56" s="86"/>
      <c r="AD56" s="87"/>
      <c r="AE56" s="86"/>
      <c r="AF56" s="87"/>
      <c r="AG56" s="86"/>
      <c r="AH56" s="87"/>
      <c r="AI56" s="86"/>
      <c r="AJ56" s="87"/>
      <c r="AK56" s="86"/>
      <c r="AL56" s="87"/>
      <c r="AM56" s="86"/>
      <c r="AN56" s="87"/>
      <c r="AO56" s="86"/>
      <c r="AP56" s="87"/>
      <c r="AQ56" s="86"/>
      <c r="AR56" s="87"/>
      <c r="AS56" s="86"/>
      <c r="AT56" s="87"/>
      <c r="AU56" s="86"/>
      <c r="AV56" s="87"/>
      <c r="AW56" s="86"/>
      <c r="AX56" s="87"/>
      <c r="AY56" s="86"/>
      <c r="AZ56" s="87"/>
      <c r="BA56" s="86"/>
      <c r="BB56" s="87"/>
      <c r="BC56" s="86"/>
      <c r="BD56" s="87"/>
      <c r="BE56" s="86"/>
      <c r="BF56" s="87"/>
      <c r="BG56" s="86"/>
      <c r="BH56" s="87"/>
      <c r="BI56" s="86"/>
      <c r="BJ56" s="87"/>
      <c r="BK56" s="86"/>
      <c r="BL56" s="87"/>
      <c r="BM56" s="86"/>
      <c r="BN56" s="50"/>
      <c r="BO56" s="170" t="str">
        <f t="shared" si="2"/>
        <v/>
      </c>
      <c r="BP56" s="87"/>
      <c r="BQ56" s="178" t="str">
        <f t="shared" si="59"/>
        <v/>
      </c>
    </row>
    <row r="57" spans="1:76" x14ac:dyDescent="0.35">
      <c r="A57" s="89" t="s">
        <v>18</v>
      </c>
      <c r="B57" s="90"/>
      <c r="C57" s="174">
        <f>IF('January 2027 Log'!BM57="","",'January 2027 Log'!BM57)</f>
        <v>0</v>
      </c>
      <c r="D57" s="47"/>
      <c r="E57" s="166">
        <f>SUM(E55:E56)</f>
        <v>0</v>
      </c>
      <c r="F57" s="49"/>
      <c r="G57" s="166">
        <f>SUM(G55:G56)</f>
        <v>0</v>
      </c>
      <c r="H57" s="49"/>
      <c r="I57" s="166">
        <f>SUM(I55:I56)</f>
        <v>0</v>
      </c>
      <c r="J57" s="49"/>
      <c r="K57" s="166">
        <f>SUM(K55:K56)</f>
        <v>0</v>
      </c>
      <c r="L57" s="49"/>
      <c r="M57" s="166">
        <f>SUM(M55:M56)</f>
        <v>0</v>
      </c>
      <c r="N57" s="49"/>
      <c r="O57" s="166">
        <f>SUM(O55:O56)</f>
        <v>0</v>
      </c>
      <c r="P57" s="49"/>
      <c r="Q57" s="166">
        <f>SUM(Q55:Q56)</f>
        <v>0</v>
      </c>
      <c r="R57" s="49"/>
      <c r="S57" s="166">
        <f>SUM(S55:S56)</f>
        <v>0</v>
      </c>
      <c r="T57" s="49"/>
      <c r="U57" s="166">
        <f>SUM(U55:U56)</f>
        <v>0</v>
      </c>
      <c r="V57" s="49"/>
      <c r="W57" s="166">
        <f>SUM(W55:W56)</f>
        <v>0</v>
      </c>
      <c r="X57" s="49"/>
      <c r="Y57" s="166">
        <f>SUM(Y55:Y56)</f>
        <v>0</v>
      </c>
      <c r="Z57" s="49"/>
      <c r="AA57" s="166">
        <f>SUM(AA55:AA56)</f>
        <v>0</v>
      </c>
      <c r="AB57" s="49"/>
      <c r="AC57" s="166">
        <f>SUM(AC55:AC56)</f>
        <v>0</v>
      </c>
      <c r="AD57" s="49"/>
      <c r="AE57" s="166">
        <f>SUM(AE55:AE56)</f>
        <v>0</v>
      </c>
      <c r="AF57" s="49"/>
      <c r="AG57" s="166">
        <f>SUM(AG55:AG56)</f>
        <v>0</v>
      </c>
      <c r="AH57" s="49"/>
      <c r="AI57" s="166">
        <f>SUM(AI55:AI56)</f>
        <v>0</v>
      </c>
      <c r="AJ57" s="49"/>
      <c r="AK57" s="166">
        <f>SUM(AK55:AK56)</f>
        <v>0</v>
      </c>
      <c r="AL57" s="49"/>
      <c r="AM57" s="166">
        <f>SUM(AM55:AM56)</f>
        <v>0</v>
      </c>
      <c r="AN57" s="49"/>
      <c r="AO57" s="166">
        <f>SUM(AO55:AO56)</f>
        <v>0</v>
      </c>
      <c r="AP57" s="49"/>
      <c r="AQ57" s="166">
        <f>SUM(AQ55:AQ56)</f>
        <v>0</v>
      </c>
      <c r="AR57" s="49"/>
      <c r="AS57" s="166">
        <f>SUM(AS55:AS56)</f>
        <v>0</v>
      </c>
      <c r="AT57" s="49"/>
      <c r="AU57" s="166">
        <f>SUM(AU55:AU56)</f>
        <v>0</v>
      </c>
      <c r="AV57" s="49"/>
      <c r="AW57" s="166">
        <f>SUM(AW55:AW56)</f>
        <v>0</v>
      </c>
      <c r="AX57" s="49"/>
      <c r="AY57" s="166">
        <f>SUM(AY55:AY56)</f>
        <v>0</v>
      </c>
      <c r="AZ57" s="49"/>
      <c r="BA57" s="166">
        <f>SUM(BA55:BA56)</f>
        <v>0</v>
      </c>
      <c r="BB57" s="49"/>
      <c r="BC57" s="166">
        <f>SUM(BC55:BC56)</f>
        <v>0</v>
      </c>
      <c r="BD57" s="49"/>
      <c r="BE57" s="166">
        <f>SUM(BE55:BE56)</f>
        <v>0</v>
      </c>
      <c r="BF57" s="49"/>
      <c r="BG57" s="166">
        <f>SUM(BG55:BG56)</f>
        <v>0</v>
      </c>
      <c r="BH57" s="49"/>
      <c r="BI57" s="48"/>
      <c r="BJ57" s="49"/>
      <c r="BK57" s="48"/>
      <c r="BL57" s="49"/>
      <c r="BM57" s="48"/>
      <c r="BN57" s="50"/>
      <c r="BO57" s="170">
        <f t="shared" si="2"/>
        <v>0</v>
      </c>
      <c r="BP57" s="49"/>
      <c r="BQ57" s="172">
        <f t="shared" si="59"/>
        <v>0</v>
      </c>
    </row>
    <row r="58" spans="1:76" x14ac:dyDescent="0.35">
      <c r="A58" s="108" t="s">
        <v>19</v>
      </c>
      <c r="B58" s="109"/>
      <c r="C58" s="174">
        <f>IF('January 2027 Log'!BM58="","",'January 2027 Log'!BM58)</f>
        <v>0</v>
      </c>
      <c r="D58" s="47"/>
      <c r="E58" s="166">
        <f>+E54-E57</f>
        <v>0</v>
      </c>
      <c r="F58" s="49"/>
      <c r="G58" s="166">
        <f>+G54-G57</f>
        <v>0</v>
      </c>
      <c r="H58" s="49"/>
      <c r="I58" s="166">
        <f>+I54-I57</f>
        <v>0</v>
      </c>
      <c r="J58" s="49"/>
      <c r="K58" s="166">
        <f>+K54-K57</f>
        <v>0</v>
      </c>
      <c r="L58" s="49"/>
      <c r="M58" s="166">
        <f>+M54-M57</f>
        <v>0</v>
      </c>
      <c r="N58" s="49"/>
      <c r="O58" s="166">
        <f>+O54-O57</f>
        <v>0</v>
      </c>
      <c r="P58" s="49"/>
      <c r="Q58" s="166">
        <f>+Q54-Q57</f>
        <v>0</v>
      </c>
      <c r="R58" s="49"/>
      <c r="S58" s="166">
        <f>+S54-S57</f>
        <v>0</v>
      </c>
      <c r="T58" s="49"/>
      <c r="U58" s="166">
        <f>+U54-U57</f>
        <v>0</v>
      </c>
      <c r="V58" s="49"/>
      <c r="W58" s="166">
        <f>+W54-W57</f>
        <v>0</v>
      </c>
      <c r="X58" s="49"/>
      <c r="Y58" s="166">
        <f>+Y54-Y57</f>
        <v>0</v>
      </c>
      <c r="Z58" s="49"/>
      <c r="AA58" s="166">
        <f>+AA54-AA57</f>
        <v>0</v>
      </c>
      <c r="AB58" s="49"/>
      <c r="AC58" s="166">
        <f>+AC54-AC57</f>
        <v>0</v>
      </c>
      <c r="AD58" s="49"/>
      <c r="AE58" s="166">
        <f>+AE54-AE57</f>
        <v>0</v>
      </c>
      <c r="AF58" s="49"/>
      <c r="AG58" s="166">
        <f>+AG54-AG57</f>
        <v>0</v>
      </c>
      <c r="AH58" s="49"/>
      <c r="AI58" s="166">
        <f>+AI54-AI57</f>
        <v>0</v>
      </c>
      <c r="AJ58" s="49"/>
      <c r="AK58" s="166">
        <f>+AK54-AK57</f>
        <v>0</v>
      </c>
      <c r="AL58" s="49"/>
      <c r="AM58" s="166">
        <f>+AM54-AM57</f>
        <v>0</v>
      </c>
      <c r="AN58" s="49"/>
      <c r="AO58" s="166">
        <f>+AO54-AO57</f>
        <v>0</v>
      </c>
      <c r="AP58" s="49"/>
      <c r="AQ58" s="166">
        <f>+AQ54-AQ57</f>
        <v>0</v>
      </c>
      <c r="AR58" s="49"/>
      <c r="AS58" s="166">
        <f>+AS54-AS57</f>
        <v>0</v>
      </c>
      <c r="AT58" s="49"/>
      <c r="AU58" s="166">
        <f>+AU54-AU57</f>
        <v>0</v>
      </c>
      <c r="AV58" s="49"/>
      <c r="AW58" s="166">
        <f>+AW54-AW57</f>
        <v>0</v>
      </c>
      <c r="AX58" s="49"/>
      <c r="AY58" s="166">
        <f>+AY54-AY57</f>
        <v>0</v>
      </c>
      <c r="AZ58" s="49"/>
      <c r="BA58" s="166">
        <f>+BA54-BA57</f>
        <v>0</v>
      </c>
      <c r="BB58" s="49"/>
      <c r="BC58" s="166">
        <f>+BC54-BC57</f>
        <v>0</v>
      </c>
      <c r="BD58" s="49"/>
      <c r="BE58" s="166">
        <f>+BE54-BE57</f>
        <v>0</v>
      </c>
      <c r="BF58" s="49"/>
      <c r="BG58" s="166">
        <f>+BG54-BG57</f>
        <v>0</v>
      </c>
      <c r="BH58" s="49"/>
      <c r="BI58" s="48"/>
      <c r="BJ58" s="49"/>
      <c r="BK58" s="48"/>
      <c r="BL58" s="49"/>
      <c r="BM58" s="48"/>
      <c r="BN58" s="50"/>
      <c r="BO58" s="170">
        <f t="shared" si="2"/>
        <v>0</v>
      </c>
      <c r="BP58" s="49"/>
      <c r="BQ58" s="172">
        <f t="shared" si="59"/>
        <v>0</v>
      </c>
    </row>
    <row r="59" spans="1:76" x14ac:dyDescent="0.35">
      <c r="A59" s="108" t="s">
        <v>20</v>
      </c>
      <c r="B59" s="109"/>
      <c r="C59" s="174">
        <f>IF('January 2027 Log'!BM59="","",'January 2027 Log'!BM59)</f>
        <v>0</v>
      </c>
      <c r="D59" s="47"/>
      <c r="E59" s="166">
        <f>-E25+E26</f>
        <v>0</v>
      </c>
      <c r="F59" s="49"/>
      <c r="G59" s="166">
        <f>-G25+G26</f>
        <v>0</v>
      </c>
      <c r="H59" s="49"/>
      <c r="I59" s="166">
        <f>-I25+I26</f>
        <v>0</v>
      </c>
      <c r="J59" s="49"/>
      <c r="K59" s="166">
        <f>-K25+K26</f>
        <v>0</v>
      </c>
      <c r="L59" s="49"/>
      <c r="M59" s="166">
        <f>-M25+M26</f>
        <v>0</v>
      </c>
      <c r="N59" s="49"/>
      <c r="O59" s="166">
        <f>-O25+O26</f>
        <v>0</v>
      </c>
      <c r="P59" s="49"/>
      <c r="Q59" s="166">
        <f>-Q25+Q26</f>
        <v>0</v>
      </c>
      <c r="R59" s="49"/>
      <c r="S59" s="166">
        <f>-S25+S26</f>
        <v>0</v>
      </c>
      <c r="T59" s="49"/>
      <c r="U59" s="166">
        <f>-U25+U26</f>
        <v>0</v>
      </c>
      <c r="V59" s="49"/>
      <c r="W59" s="166">
        <f>-W25+W26</f>
        <v>0</v>
      </c>
      <c r="X59" s="49"/>
      <c r="Y59" s="166">
        <f>-Y25+Y26</f>
        <v>0</v>
      </c>
      <c r="Z59" s="49"/>
      <c r="AA59" s="166">
        <f>-AA25+AA26</f>
        <v>0</v>
      </c>
      <c r="AB59" s="49"/>
      <c r="AC59" s="166">
        <f>-AC25+AC26</f>
        <v>0</v>
      </c>
      <c r="AD59" s="49"/>
      <c r="AE59" s="166">
        <f>-AE25+AE26</f>
        <v>0</v>
      </c>
      <c r="AF59" s="49"/>
      <c r="AG59" s="166">
        <f>-AG25+AG26</f>
        <v>0</v>
      </c>
      <c r="AH59" s="49"/>
      <c r="AI59" s="166">
        <f>-AI25+AI26</f>
        <v>0</v>
      </c>
      <c r="AJ59" s="49"/>
      <c r="AK59" s="166">
        <f>-AK25+AK26</f>
        <v>0</v>
      </c>
      <c r="AL59" s="49"/>
      <c r="AM59" s="166">
        <f>-AM25+AM26</f>
        <v>0</v>
      </c>
      <c r="AN59" s="49"/>
      <c r="AO59" s="166">
        <f>-AO25+AO26</f>
        <v>0</v>
      </c>
      <c r="AP59" s="49"/>
      <c r="AQ59" s="166">
        <f>-AQ25+AQ26</f>
        <v>0</v>
      </c>
      <c r="AR59" s="49"/>
      <c r="AS59" s="166">
        <f>-AS25+AS26</f>
        <v>0</v>
      </c>
      <c r="AT59" s="49"/>
      <c r="AU59" s="166">
        <f>-AU25+AU26</f>
        <v>0</v>
      </c>
      <c r="AV59" s="49"/>
      <c r="AW59" s="166">
        <f>-AW25+AW26</f>
        <v>0</v>
      </c>
      <c r="AX59" s="49"/>
      <c r="AY59" s="166">
        <f>-AY25+AY26</f>
        <v>0</v>
      </c>
      <c r="AZ59" s="49"/>
      <c r="BA59" s="166">
        <f>-BA25+BA26</f>
        <v>0</v>
      </c>
      <c r="BB59" s="49"/>
      <c r="BC59" s="166">
        <f>-BC25+BC26</f>
        <v>0</v>
      </c>
      <c r="BD59" s="49"/>
      <c r="BE59" s="166">
        <f>-BE25+BE26</f>
        <v>0</v>
      </c>
      <c r="BF59" s="49"/>
      <c r="BG59" s="166">
        <f>-BG25+BG26</f>
        <v>0</v>
      </c>
      <c r="BH59" s="49"/>
      <c r="BI59" s="48"/>
      <c r="BJ59" s="49"/>
      <c r="BK59" s="48"/>
      <c r="BL59" s="49"/>
      <c r="BM59" s="48"/>
      <c r="BN59" s="50"/>
      <c r="BO59" s="170">
        <f t="shared" si="2"/>
        <v>0</v>
      </c>
      <c r="BP59" s="49"/>
      <c r="BQ59" s="172">
        <f t="shared" si="59"/>
        <v>0</v>
      </c>
    </row>
    <row r="60" spans="1:76" x14ac:dyDescent="0.35">
      <c r="A60" s="74"/>
      <c r="B60" s="75"/>
      <c r="C60" s="141"/>
      <c r="D60" s="102"/>
      <c r="E60" s="142"/>
      <c r="F60" s="104"/>
      <c r="G60" s="142"/>
      <c r="H60" s="104"/>
      <c r="I60" s="142"/>
      <c r="J60" s="104"/>
      <c r="K60" s="142"/>
      <c r="L60" s="104"/>
      <c r="M60" s="142"/>
      <c r="N60" s="104"/>
      <c r="O60" s="142"/>
      <c r="P60" s="104"/>
      <c r="Q60" s="142"/>
      <c r="R60" s="104"/>
      <c r="S60" s="142"/>
      <c r="T60" s="104"/>
      <c r="U60" s="142"/>
      <c r="V60" s="104"/>
      <c r="W60" s="142"/>
      <c r="X60" s="104"/>
      <c r="Y60" s="142"/>
      <c r="Z60" s="104"/>
      <c r="AA60" s="142"/>
      <c r="AB60" s="104"/>
      <c r="AC60" s="142"/>
      <c r="AD60" s="104"/>
      <c r="AE60" s="142"/>
      <c r="AF60" s="104"/>
      <c r="AG60" s="142"/>
      <c r="AH60" s="104"/>
      <c r="AI60" s="142"/>
      <c r="AJ60" s="104"/>
      <c r="AK60" s="142"/>
      <c r="AL60" s="104"/>
      <c r="AM60" s="142"/>
      <c r="AN60" s="104"/>
      <c r="AO60" s="142"/>
      <c r="AP60" s="104"/>
      <c r="AQ60" s="142"/>
      <c r="AR60" s="104"/>
      <c r="AS60" s="142"/>
      <c r="AT60" s="104"/>
      <c r="AU60" s="142"/>
      <c r="AV60" s="104"/>
      <c r="AW60" s="142"/>
      <c r="AX60" s="104"/>
      <c r="AY60" s="142"/>
      <c r="AZ60" s="104"/>
      <c r="BA60" s="142"/>
      <c r="BB60" s="104"/>
      <c r="BC60" s="142"/>
      <c r="BD60" s="104"/>
      <c r="BE60" s="142"/>
      <c r="BF60" s="104"/>
      <c r="BG60" s="142"/>
      <c r="BH60" s="104"/>
      <c r="BI60" s="142"/>
      <c r="BJ60" s="104"/>
      <c r="BK60" s="142"/>
      <c r="BL60" s="104"/>
      <c r="BM60" s="142"/>
      <c r="BN60" s="105"/>
      <c r="BO60" s="106"/>
      <c r="BP60" s="104"/>
      <c r="BQ60" s="107"/>
    </row>
    <row r="61" spans="1:76" s="8" customFormat="1" x14ac:dyDescent="0.35">
      <c r="A61" s="213" t="s">
        <v>68</v>
      </c>
      <c r="B61" s="214"/>
      <c r="C61" s="215"/>
      <c r="D61" s="47"/>
      <c r="E61" s="166" t="e">
        <f t="shared" ref="E61" si="60">+E73-D67</f>
        <v>#VALUE!</v>
      </c>
      <c r="F61" s="49"/>
      <c r="G61" s="166">
        <f t="shared" ref="G61" si="61">+G73-F67</f>
        <v>0</v>
      </c>
      <c r="H61" s="49"/>
      <c r="I61" s="166">
        <f t="shared" ref="I61" si="62">+I73-H67</f>
        <v>0</v>
      </c>
      <c r="J61" s="49"/>
      <c r="K61" s="166">
        <f t="shared" ref="K61" si="63">+K73-J67</f>
        <v>0</v>
      </c>
      <c r="L61" s="49"/>
      <c r="M61" s="166">
        <f t="shared" ref="M61" si="64">+M73-L67</f>
        <v>0</v>
      </c>
      <c r="N61" s="49"/>
      <c r="O61" s="166">
        <f t="shared" ref="O61" si="65">+O73-N67</f>
        <v>0</v>
      </c>
      <c r="P61" s="49"/>
      <c r="Q61" s="166">
        <f t="shared" ref="Q61" si="66">+Q73-P67</f>
        <v>0</v>
      </c>
      <c r="R61" s="49"/>
      <c r="S61" s="166">
        <f t="shared" ref="S61" si="67">+S73-R67</f>
        <v>0</v>
      </c>
      <c r="T61" s="49"/>
      <c r="U61" s="166">
        <f t="shared" ref="U61" si="68">+U73-T67</f>
        <v>0</v>
      </c>
      <c r="V61" s="49"/>
      <c r="W61" s="166">
        <f t="shared" ref="W61" si="69">+W73-V67</f>
        <v>0</v>
      </c>
      <c r="X61" s="49"/>
      <c r="Y61" s="166">
        <f t="shared" ref="Y61" si="70">+Y73-X67</f>
        <v>0</v>
      </c>
      <c r="Z61" s="49"/>
      <c r="AA61" s="166">
        <f t="shared" ref="AA61" si="71">+AA73-Z67</f>
        <v>0</v>
      </c>
      <c r="AB61" s="49"/>
      <c r="AC61" s="166">
        <f t="shared" ref="AC61" si="72">+AC73-AB67</f>
        <v>0</v>
      </c>
      <c r="AD61" s="49"/>
      <c r="AE61" s="166">
        <f t="shared" ref="AE61" si="73">+AE73-AD67</f>
        <v>0</v>
      </c>
      <c r="AF61" s="49"/>
      <c r="AG61" s="166">
        <f t="shared" ref="AG61" si="74">+AG73-AF67</f>
        <v>0</v>
      </c>
      <c r="AH61" s="49"/>
      <c r="AI61" s="166">
        <f t="shared" ref="AI61" si="75">+AI73-AH67</f>
        <v>0</v>
      </c>
      <c r="AJ61" s="49"/>
      <c r="AK61" s="166">
        <f t="shared" ref="AK61" si="76">+AK73-AJ67</f>
        <v>0</v>
      </c>
      <c r="AL61" s="49"/>
      <c r="AM61" s="166">
        <f t="shared" ref="AM61" si="77">+AM73-AL67</f>
        <v>0</v>
      </c>
      <c r="AN61" s="49"/>
      <c r="AO61" s="166">
        <f t="shared" ref="AO61" si="78">+AO73-AN67</f>
        <v>0</v>
      </c>
      <c r="AP61" s="49"/>
      <c r="AQ61" s="166">
        <f t="shared" ref="AQ61" si="79">+AQ73-AP67</f>
        <v>0</v>
      </c>
      <c r="AR61" s="49"/>
      <c r="AS61" s="166">
        <f t="shared" ref="AS61" si="80">+AS73-AR67</f>
        <v>0</v>
      </c>
      <c r="AT61" s="49"/>
      <c r="AU61" s="166">
        <f t="shared" ref="AU61" si="81">+AU73-AT67</f>
        <v>0</v>
      </c>
      <c r="AV61" s="49"/>
      <c r="AW61" s="166">
        <f t="shared" ref="AW61" si="82">+AW73-AV67</f>
        <v>0</v>
      </c>
      <c r="AX61" s="49"/>
      <c r="AY61" s="166">
        <f t="shared" ref="AY61" si="83">+AY73-AX67</f>
        <v>0</v>
      </c>
      <c r="AZ61" s="49"/>
      <c r="BA61" s="166">
        <f t="shared" ref="BA61" si="84">+BA73-AZ67</f>
        <v>0</v>
      </c>
      <c r="BB61" s="49"/>
      <c r="BC61" s="166">
        <f t="shared" ref="BC61" si="85">+BC73-BB67</f>
        <v>0</v>
      </c>
      <c r="BD61" s="49"/>
      <c r="BE61" s="166">
        <f t="shared" ref="BE61" si="86">+BE73-BD67</f>
        <v>0</v>
      </c>
      <c r="BF61" s="49"/>
      <c r="BG61" s="166">
        <f>+BG73-BF67</f>
        <v>0</v>
      </c>
      <c r="BH61" s="49"/>
      <c r="BI61" s="48"/>
      <c r="BJ61" s="49"/>
      <c r="BK61" s="48"/>
      <c r="BL61" s="49"/>
      <c r="BM61" s="48"/>
      <c r="BN61" s="50"/>
      <c r="BO61" s="170" t="e">
        <f>IF(COUNT(E61,G61,I61,K61,M61,O61,Q61,S61,U61,W61,Y61,AA61,AC61,AE61,AG61,AI61,AK61,AM61,AO61,AQ61,AS61,AU61,AW61,AY61,BA61,BC61,BE61,BG61,BI61,BK61,BM61)=0,"",SUM(E61,G61,I61,K61,M61,O61,Q61,S61,U61,W61,Y61,AA61,AC61,AE61,AG61,AI61,AK61,AM61,AO61,AQ61,AS61,AU61,AW61,AY61,BA61,BC61,BE61,BG61,BI61,BK61,BM61))</f>
        <v>#VALUE!</v>
      </c>
      <c r="BP61" s="49"/>
      <c r="BQ61" s="52"/>
      <c r="BR61"/>
      <c r="BS61"/>
      <c r="BT61"/>
      <c r="BU61"/>
      <c r="BV61"/>
      <c r="BW61"/>
      <c r="BX61"/>
    </row>
    <row r="62" spans="1:76" x14ac:dyDescent="0.35">
      <c r="A62" s="53" t="s">
        <v>24</v>
      </c>
      <c r="B62" s="187" t="e">
        <f>C62-C106</f>
        <v>#VALUE!</v>
      </c>
      <c r="C62" s="174" t="str">
        <f>IF('January 2027 Log'!BM62="","",'January 2027 Log'!BM62)</f>
        <v/>
      </c>
      <c r="D62" s="189" t="e">
        <f>+C62-E62+E106</f>
        <v>#VALUE!</v>
      </c>
      <c r="E62" s="48"/>
      <c r="F62" s="167">
        <f>+E62-G62+G106</f>
        <v>0</v>
      </c>
      <c r="G62" s="48"/>
      <c r="H62" s="167">
        <f>+G62-I62+I106</f>
        <v>0</v>
      </c>
      <c r="I62" s="48"/>
      <c r="J62" s="167">
        <f>+I62-K62+K106</f>
        <v>0</v>
      </c>
      <c r="K62" s="48"/>
      <c r="L62" s="167">
        <f>+K62-M62+M106</f>
        <v>0</v>
      </c>
      <c r="M62" s="48"/>
      <c r="N62" s="167">
        <f>+M62-O62+O106</f>
        <v>0</v>
      </c>
      <c r="O62" s="48"/>
      <c r="P62" s="167">
        <f>+O62-Q62+Q106</f>
        <v>0</v>
      </c>
      <c r="Q62" s="48"/>
      <c r="R62" s="167">
        <f>+Q62-S62+S106</f>
        <v>0</v>
      </c>
      <c r="S62" s="48"/>
      <c r="T62" s="167">
        <f>+S62-U62+U106</f>
        <v>0</v>
      </c>
      <c r="U62" s="48"/>
      <c r="V62" s="167">
        <f>+U62-W62+W106</f>
        <v>0</v>
      </c>
      <c r="W62" s="48"/>
      <c r="X62" s="167">
        <f>+W62-Y62+Y106</f>
        <v>0</v>
      </c>
      <c r="Y62" s="48"/>
      <c r="Z62" s="167">
        <f>+Y62-AA62+AA106</f>
        <v>0</v>
      </c>
      <c r="AA62" s="48"/>
      <c r="AB62" s="167">
        <f>+AA62-AC62+AC106</f>
        <v>0</v>
      </c>
      <c r="AC62" s="48"/>
      <c r="AD62" s="167">
        <f>+AC62-AE62+AE106</f>
        <v>0</v>
      </c>
      <c r="AE62" s="48"/>
      <c r="AF62" s="167">
        <f>+AE62-AG62+AG106</f>
        <v>0</v>
      </c>
      <c r="AG62" s="48"/>
      <c r="AH62" s="167">
        <f>+AG62-AI62+AI106</f>
        <v>0</v>
      </c>
      <c r="AI62" s="48"/>
      <c r="AJ62" s="167">
        <f>+AI62-AK62+AK106</f>
        <v>0</v>
      </c>
      <c r="AK62" s="48"/>
      <c r="AL62" s="167">
        <f>+AK62-AM62+AM106</f>
        <v>0</v>
      </c>
      <c r="AM62" s="48"/>
      <c r="AN62" s="167">
        <f>+AM62-AO62+AO106</f>
        <v>0</v>
      </c>
      <c r="AO62" s="48"/>
      <c r="AP62" s="167">
        <f>+AO62-AQ62+AQ106</f>
        <v>0</v>
      </c>
      <c r="AQ62" s="48"/>
      <c r="AR62" s="167">
        <f>+AQ62-AS62+AS106</f>
        <v>0</v>
      </c>
      <c r="AS62" s="48"/>
      <c r="AT62" s="167">
        <f>+AS62-AU62+AU106</f>
        <v>0</v>
      </c>
      <c r="AU62" s="48"/>
      <c r="AV62" s="167">
        <f>+AU62-AW62+AW106</f>
        <v>0</v>
      </c>
      <c r="AW62" s="48"/>
      <c r="AX62" s="167">
        <f>+AW62-AY62+AY106</f>
        <v>0</v>
      </c>
      <c r="AY62" s="48"/>
      <c r="AZ62" s="167">
        <f>+AY62-BA62+BA106</f>
        <v>0</v>
      </c>
      <c r="BA62" s="48"/>
      <c r="BB62" s="167">
        <f>+BA62-BC62+BC106</f>
        <v>0</v>
      </c>
      <c r="BC62" s="48"/>
      <c r="BD62" s="167">
        <f>+BC62-BE62+BE106</f>
        <v>0</v>
      </c>
      <c r="BE62" s="48"/>
      <c r="BF62" s="167">
        <f>+BE62-BG62+BG106</f>
        <v>0</v>
      </c>
      <c r="BG62" s="48"/>
      <c r="BH62" s="49"/>
      <c r="BI62" s="48"/>
      <c r="BJ62" s="49"/>
      <c r="BK62" s="48"/>
      <c r="BL62" s="49"/>
      <c r="BM62" s="48"/>
      <c r="BN62" s="50"/>
      <c r="BO62" s="170" t="e">
        <f>IF(COUNT(D62,F62,H62,J62,L62,N62,P62,R62,T62,V62,X62,Z62,AB62,AD62,AF62,AH62,AJ62,AL62,AN62,AP62,AR62,AT62,AV62,AX62,AZ62,BB62,BD62,BF62,BH62,BJ62,BL62)=0,"",SUM(D62,F62,H62,J62,L62,N62,P62,R62,T62,V62,X62,Z62,AB62,AD62,AF62,AH62,AJ62,AL62,AN62,AP62,AR62,AT62,AV62,AX62,AZ62,BB62,BD62,BF62,BH62,BJ62,BL62))</f>
        <v>#VALUE!</v>
      </c>
      <c r="BP62" s="167" t="e">
        <f>+BM62-BQ62+BQ106</f>
        <v>#VALUE!</v>
      </c>
      <c r="BQ62" s="178" t="str">
        <f>IF(BG62="","",BG62)</f>
        <v/>
      </c>
    </row>
    <row r="63" spans="1:76" x14ac:dyDescent="0.35">
      <c r="A63" s="53" t="s">
        <v>25</v>
      </c>
      <c r="B63" s="187" t="e">
        <f>C63-C107</f>
        <v>#VALUE!</v>
      </c>
      <c r="C63" s="174" t="str">
        <f>IF('January 2027 Log'!BM63="","",'January 2027 Log'!BM63)</f>
        <v/>
      </c>
      <c r="D63" s="189" t="e">
        <f>+C63-E63+E107</f>
        <v>#VALUE!</v>
      </c>
      <c r="E63" s="48"/>
      <c r="F63" s="167">
        <f>+E63-G63+G107</f>
        <v>0</v>
      </c>
      <c r="G63" s="48"/>
      <c r="H63" s="167">
        <f>+G63-I63+I107</f>
        <v>0</v>
      </c>
      <c r="I63" s="48"/>
      <c r="J63" s="167">
        <f>+I63-K63+K107</f>
        <v>0</v>
      </c>
      <c r="K63" s="48"/>
      <c r="L63" s="167">
        <f>+K63-M63+M107</f>
        <v>0</v>
      </c>
      <c r="M63" s="48"/>
      <c r="N63" s="167">
        <f>+M63-O63+O107</f>
        <v>0</v>
      </c>
      <c r="O63" s="48"/>
      <c r="P63" s="167">
        <f>+O63-Q63+Q107</f>
        <v>0</v>
      </c>
      <c r="Q63" s="48"/>
      <c r="R63" s="167">
        <f>+Q63-S63+S107</f>
        <v>0</v>
      </c>
      <c r="S63" s="48"/>
      <c r="T63" s="167">
        <f>+S63-U63+U107</f>
        <v>0</v>
      </c>
      <c r="U63" s="48"/>
      <c r="V63" s="167">
        <f>+U63-W63+W107</f>
        <v>0</v>
      </c>
      <c r="W63" s="48"/>
      <c r="X63" s="167">
        <f>+W63-Y63+Y107</f>
        <v>0</v>
      </c>
      <c r="Y63" s="48"/>
      <c r="Z63" s="167">
        <f>+Y63-AA63+AA107</f>
        <v>0</v>
      </c>
      <c r="AA63" s="48"/>
      <c r="AB63" s="167">
        <f>+AA63-AC63+AC107</f>
        <v>0</v>
      </c>
      <c r="AC63" s="48"/>
      <c r="AD63" s="167">
        <f>+AC63-AE63+AE107</f>
        <v>0</v>
      </c>
      <c r="AE63" s="48"/>
      <c r="AF63" s="167">
        <f>+AE63-AG63+AG107</f>
        <v>0</v>
      </c>
      <c r="AG63" s="48"/>
      <c r="AH63" s="167">
        <f>+AG63-AI63+AI107</f>
        <v>0</v>
      </c>
      <c r="AI63" s="48"/>
      <c r="AJ63" s="167">
        <f>+AI63-AK63+AK107</f>
        <v>0</v>
      </c>
      <c r="AK63" s="48"/>
      <c r="AL63" s="167">
        <f>+AK63-AM63+AM107</f>
        <v>0</v>
      </c>
      <c r="AM63" s="48"/>
      <c r="AN63" s="167">
        <f>+AM63-AO63+AO107</f>
        <v>0</v>
      </c>
      <c r="AO63" s="48"/>
      <c r="AP63" s="167">
        <f>+AO63-AQ63+AQ107</f>
        <v>0</v>
      </c>
      <c r="AQ63" s="48"/>
      <c r="AR63" s="167">
        <f>+AQ63-AS63+AS107</f>
        <v>0</v>
      </c>
      <c r="AS63" s="48"/>
      <c r="AT63" s="167">
        <f>+AS63-AU63+AU107</f>
        <v>0</v>
      </c>
      <c r="AU63" s="48"/>
      <c r="AV63" s="167">
        <f>+AU63-AW63+AW107</f>
        <v>0</v>
      </c>
      <c r="AW63" s="48"/>
      <c r="AX63" s="167">
        <f>+AW63-AY63+AY107</f>
        <v>0</v>
      </c>
      <c r="AY63" s="48"/>
      <c r="AZ63" s="167">
        <f>+AY63-BA63+BA107</f>
        <v>0</v>
      </c>
      <c r="BA63" s="48"/>
      <c r="BB63" s="167">
        <f>+BA63-BC63+BC107</f>
        <v>0</v>
      </c>
      <c r="BC63" s="48"/>
      <c r="BD63" s="167">
        <f>+BC63-BE63+BE107</f>
        <v>0</v>
      </c>
      <c r="BE63" s="48"/>
      <c r="BF63" s="167">
        <f>+BE63-BG63+BG107</f>
        <v>0</v>
      </c>
      <c r="BG63" s="48"/>
      <c r="BH63" s="49"/>
      <c r="BI63" s="48"/>
      <c r="BJ63" s="49"/>
      <c r="BK63" s="48"/>
      <c r="BL63" s="49"/>
      <c r="BM63" s="48"/>
      <c r="BN63" s="50"/>
      <c r="BO63" s="170" t="e">
        <f>IF(COUNT(D63,F63,H63,J63,L63,N63,P63,R63,T63,V63,X63,Z63,AB63,AD63,AF63,AH63,AJ63,AL63,AN63,AP63,AR63,AT63,AV63,AX63,AZ63,BB63,BD63,BF63,BH63,BJ63,BL63)=0,"",SUM(D63,F63,H63,J63,L63,N63,P63,R63,T63,V63,X63,Z63,AB63,AD63,AF63,AH63,AJ63,AL63,AN63,AP63,AR63,AT63,AV63,AX63,AZ63,BB63,BD63,BF63,BH63,BJ63,BL63))</f>
        <v>#VALUE!</v>
      </c>
      <c r="BP63" s="167" t="e">
        <f>+BM63-BQ63+BQ107</f>
        <v>#VALUE!</v>
      </c>
      <c r="BQ63" s="178" t="str">
        <f>IF(BG63="","",BG63)</f>
        <v/>
      </c>
    </row>
    <row r="64" spans="1:76" x14ac:dyDescent="0.35">
      <c r="A64" s="53" t="s">
        <v>25</v>
      </c>
      <c r="B64" s="187" t="e">
        <f>C64-C108</f>
        <v>#VALUE!</v>
      </c>
      <c r="C64" s="174" t="str">
        <f>IF('January 2027 Log'!BM64="","",'January 2027 Log'!BM64)</f>
        <v/>
      </c>
      <c r="D64" s="189" t="e">
        <f>+C64-E64+E108</f>
        <v>#VALUE!</v>
      </c>
      <c r="E64" s="48"/>
      <c r="F64" s="167">
        <f>+E64-G64+G108</f>
        <v>0</v>
      </c>
      <c r="G64" s="48"/>
      <c r="H64" s="167">
        <f>+G64-I64+I108</f>
        <v>0</v>
      </c>
      <c r="I64" s="48"/>
      <c r="J64" s="167">
        <f>+I64-K64+K108</f>
        <v>0</v>
      </c>
      <c r="K64" s="48"/>
      <c r="L64" s="167">
        <f>+K64-M64+M108</f>
        <v>0</v>
      </c>
      <c r="M64" s="48"/>
      <c r="N64" s="167">
        <f>+M64-O64+O108</f>
        <v>0</v>
      </c>
      <c r="O64" s="48"/>
      <c r="P64" s="167">
        <f>+O64-Q64+Q108</f>
        <v>0</v>
      </c>
      <c r="Q64" s="48"/>
      <c r="R64" s="167">
        <f>+Q64-S64+S108</f>
        <v>0</v>
      </c>
      <c r="S64" s="48"/>
      <c r="T64" s="167">
        <f>+S64-U64+U108</f>
        <v>0</v>
      </c>
      <c r="U64" s="48"/>
      <c r="V64" s="167">
        <f>+U64-W64+W108</f>
        <v>0</v>
      </c>
      <c r="W64" s="48"/>
      <c r="X64" s="167">
        <f>+W64-Y64+Y108</f>
        <v>0</v>
      </c>
      <c r="Y64" s="48"/>
      <c r="Z64" s="167">
        <f>+Y64-AA64+AA108</f>
        <v>0</v>
      </c>
      <c r="AA64" s="48"/>
      <c r="AB64" s="167">
        <f>+AA64-AC64+AC108</f>
        <v>0</v>
      </c>
      <c r="AC64" s="48"/>
      <c r="AD64" s="167">
        <f>+AC64-AE64+AE108</f>
        <v>0</v>
      </c>
      <c r="AE64" s="48"/>
      <c r="AF64" s="167">
        <f>+AE64-AG64+AG108</f>
        <v>0</v>
      </c>
      <c r="AG64" s="48"/>
      <c r="AH64" s="167">
        <f>+AG64-AI64+AI108</f>
        <v>0</v>
      </c>
      <c r="AI64" s="48"/>
      <c r="AJ64" s="167">
        <f>+AI64-AK64+AK108</f>
        <v>0</v>
      </c>
      <c r="AK64" s="48"/>
      <c r="AL64" s="167">
        <f>+AK64-AM64+AM108</f>
        <v>0</v>
      </c>
      <c r="AM64" s="48"/>
      <c r="AN64" s="167">
        <f>+AM64-AO64+AO108</f>
        <v>0</v>
      </c>
      <c r="AO64" s="48"/>
      <c r="AP64" s="167">
        <f>+AO64-AQ64+AQ108</f>
        <v>0</v>
      </c>
      <c r="AQ64" s="48"/>
      <c r="AR64" s="167">
        <f>+AQ64-AS64+AS108</f>
        <v>0</v>
      </c>
      <c r="AS64" s="48"/>
      <c r="AT64" s="167">
        <f>+AS64-AU64+AU108</f>
        <v>0</v>
      </c>
      <c r="AU64" s="48"/>
      <c r="AV64" s="167">
        <f>+AU64-AW64+AW108</f>
        <v>0</v>
      </c>
      <c r="AW64" s="48"/>
      <c r="AX64" s="167">
        <f>+AW64-AY64+AY108</f>
        <v>0</v>
      </c>
      <c r="AY64" s="48"/>
      <c r="AZ64" s="167">
        <f>+AY64-BA64+BA108</f>
        <v>0</v>
      </c>
      <c r="BA64" s="48"/>
      <c r="BB64" s="167">
        <f>+BA64-BC64+BC108</f>
        <v>0</v>
      </c>
      <c r="BC64" s="48"/>
      <c r="BD64" s="167">
        <f>+BC64-BE64+BE108</f>
        <v>0</v>
      </c>
      <c r="BE64" s="48"/>
      <c r="BF64" s="167">
        <f>+BE64-BG64+BG108</f>
        <v>0</v>
      </c>
      <c r="BG64" s="48"/>
      <c r="BH64" s="49"/>
      <c r="BI64" s="48"/>
      <c r="BJ64" s="49"/>
      <c r="BK64" s="48"/>
      <c r="BL64" s="49"/>
      <c r="BM64" s="48"/>
      <c r="BN64" s="50"/>
      <c r="BO64" s="170" t="e">
        <f>IF(COUNT(D64,F64,H64,J64,L64,N64,P64,R64,T64,V64,X64,Z64,AB64,AD64,AF64,AH64,AJ64,AL64,AN64,AP64,AR64,AT64,AV64,AX64,AZ64,BB64,BD64,BF64,BH64,BJ64,BL64)=0,"",SUM(D64,F64,H64,J64,L64,N64,P64,R64,T64,V64,X64,Z64,AB64,AD64,AF64,AH64,AJ64,AL64,AN64,AP64,AR64,AT64,AV64,AX64,AZ64,BB64,BD64,BF64,BH64,BJ64,BL64))</f>
        <v>#VALUE!</v>
      </c>
      <c r="BP64" s="167" t="e">
        <f>+BM64-BQ64+BQ108</f>
        <v>#VALUE!</v>
      </c>
      <c r="BQ64" s="178" t="str">
        <f>IF(BG64="","",BG64)</f>
        <v/>
      </c>
    </row>
    <row r="65" spans="1:69" x14ac:dyDescent="0.35">
      <c r="A65" s="53" t="s">
        <v>26</v>
      </c>
      <c r="B65" s="187" t="e">
        <f>C65-C109</f>
        <v>#VALUE!</v>
      </c>
      <c r="C65" s="174" t="str">
        <f>IF('January 2027 Log'!BM65="","",'January 2027 Log'!BM65)</f>
        <v/>
      </c>
      <c r="D65" s="189" t="e">
        <f>+C65-E65+E109</f>
        <v>#VALUE!</v>
      </c>
      <c r="E65" s="48"/>
      <c r="F65" s="167">
        <f>+E65-G65+G109</f>
        <v>0</v>
      </c>
      <c r="G65" s="48"/>
      <c r="H65" s="167">
        <f>+G65-I65+I109</f>
        <v>0</v>
      </c>
      <c r="I65" s="48"/>
      <c r="J65" s="167">
        <f>+I65-K65+K109</f>
        <v>0</v>
      </c>
      <c r="K65" s="48"/>
      <c r="L65" s="167">
        <f>+K65-M65+M109</f>
        <v>0</v>
      </c>
      <c r="M65" s="48"/>
      <c r="N65" s="167">
        <f>+M65-O65+O109</f>
        <v>0</v>
      </c>
      <c r="O65" s="48"/>
      <c r="P65" s="167">
        <f>+O65-Q65+Q109</f>
        <v>0</v>
      </c>
      <c r="Q65" s="48"/>
      <c r="R65" s="167">
        <f>+Q65-S65+S109</f>
        <v>0</v>
      </c>
      <c r="S65" s="48"/>
      <c r="T65" s="167">
        <f>+S65-U65+U109</f>
        <v>0</v>
      </c>
      <c r="U65" s="48"/>
      <c r="V65" s="167">
        <f>+U65-W65+W109</f>
        <v>0</v>
      </c>
      <c r="W65" s="48"/>
      <c r="X65" s="167">
        <f>+W65-Y65+Y109</f>
        <v>0</v>
      </c>
      <c r="Y65" s="48"/>
      <c r="Z65" s="167">
        <f>+Y65-AA65+AA109</f>
        <v>0</v>
      </c>
      <c r="AA65" s="48"/>
      <c r="AB65" s="167">
        <f>+AA65-AC65+AC109</f>
        <v>0</v>
      </c>
      <c r="AC65" s="48"/>
      <c r="AD65" s="167">
        <f>+AC65-AE65+AE109</f>
        <v>0</v>
      </c>
      <c r="AE65" s="48"/>
      <c r="AF65" s="167">
        <f>+AE65-AG65+AG109</f>
        <v>0</v>
      </c>
      <c r="AG65" s="48"/>
      <c r="AH65" s="167">
        <f>+AG65-AI65+AI109</f>
        <v>0</v>
      </c>
      <c r="AI65" s="48"/>
      <c r="AJ65" s="167">
        <f>+AI65-AK65+AK109</f>
        <v>0</v>
      </c>
      <c r="AK65" s="48"/>
      <c r="AL65" s="167">
        <f>+AK65-AM65+AM109</f>
        <v>0</v>
      </c>
      <c r="AM65" s="48"/>
      <c r="AN65" s="167">
        <f>+AM65-AO65+AO109</f>
        <v>0</v>
      </c>
      <c r="AO65" s="48"/>
      <c r="AP65" s="167">
        <f>+AO65-AQ65+AQ109</f>
        <v>0</v>
      </c>
      <c r="AQ65" s="48"/>
      <c r="AR65" s="167">
        <f>+AQ65-AS65+AS109</f>
        <v>0</v>
      </c>
      <c r="AS65" s="48"/>
      <c r="AT65" s="167">
        <f>+AS65-AU65+AU109</f>
        <v>0</v>
      </c>
      <c r="AU65" s="48"/>
      <c r="AV65" s="167">
        <f>+AU65-AW65+AW109</f>
        <v>0</v>
      </c>
      <c r="AW65" s="48"/>
      <c r="AX65" s="167">
        <f>+AW65-AY65+AY109</f>
        <v>0</v>
      </c>
      <c r="AY65" s="48"/>
      <c r="AZ65" s="167">
        <f>+AY65-BA65+BA109</f>
        <v>0</v>
      </c>
      <c r="BA65" s="48"/>
      <c r="BB65" s="167">
        <f>+BA65-BC65+BC109</f>
        <v>0</v>
      </c>
      <c r="BC65" s="48"/>
      <c r="BD65" s="167">
        <f>+BC65-BE65+BE109</f>
        <v>0</v>
      </c>
      <c r="BE65" s="48"/>
      <c r="BF65" s="167">
        <f>+BE65-BG65+BG109</f>
        <v>0</v>
      </c>
      <c r="BG65" s="48"/>
      <c r="BH65" s="49"/>
      <c r="BI65" s="48"/>
      <c r="BJ65" s="49"/>
      <c r="BK65" s="48"/>
      <c r="BL65" s="49"/>
      <c r="BM65" s="48"/>
      <c r="BN65" s="50"/>
      <c r="BO65" s="170" t="e">
        <f>IF(COUNT(D65,F65,H65,J65,L65,N65,P65,R65,T65,V65,X65,Z65,AB65,AD65,AF65,AH65,AJ65,AL65,AN65,AP65,AR65,AT65,AV65,AX65,AZ65,BB65,BD65,BF65,BH65,BJ65,BL65)=0,"",SUM(D65,F65,H65,J65,L65,N65,P65,R65,T65,V65,X65,Z65,AB65,AD65,AF65,AH65,AJ65,AL65,AN65,AP65,AR65,AT65,AV65,AX65,AZ65,BB65,BD65,BF65,BH65,BJ65,BL65))</f>
        <v>#VALUE!</v>
      </c>
      <c r="BP65" s="167" t="e">
        <f>+BM65-BQ65+BQ109</f>
        <v>#VALUE!</v>
      </c>
      <c r="BQ65" s="178" t="str">
        <f>IF(BG65="","",BG65)</f>
        <v/>
      </c>
    </row>
    <row r="66" spans="1:69" x14ac:dyDescent="0.35">
      <c r="A66" s="53" t="s">
        <v>26</v>
      </c>
      <c r="B66" s="187" t="e">
        <f>C66-C110</f>
        <v>#VALUE!</v>
      </c>
      <c r="C66" s="174" t="str">
        <f>IF('January 2027 Log'!BM66="","",'January 2027 Log'!BM66)</f>
        <v/>
      </c>
      <c r="D66" s="189" t="e">
        <f>+C66-E66+E110</f>
        <v>#VALUE!</v>
      </c>
      <c r="E66" s="48"/>
      <c r="F66" s="167">
        <f>+E66-G66+G110</f>
        <v>0</v>
      </c>
      <c r="G66" s="48"/>
      <c r="H66" s="167">
        <f>+G66-I66+I110</f>
        <v>0</v>
      </c>
      <c r="I66" s="48"/>
      <c r="J66" s="167">
        <f>+I66-K66+K110</f>
        <v>0</v>
      </c>
      <c r="K66" s="48"/>
      <c r="L66" s="167">
        <f>+K66-M66+M110</f>
        <v>0</v>
      </c>
      <c r="M66" s="48"/>
      <c r="N66" s="167">
        <f>+M66-O66+O110</f>
        <v>0</v>
      </c>
      <c r="O66" s="48"/>
      <c r="P66" s="167">
        <f>+O66-Q66+Q110</f>
        <v>0</v>
      </c>
      <c r="Q66" s="48"/>
      <c r="R66" s="167">
        <f>+Q66-S66+S110</f>
        <v>0</v>
      </c>
      <c r="S66" s="48"/>
      <c r="T66" s="167">
        <f>+S66-U66+U110</f>
        <v>0</v>
      </c>
      <c r="U66" s="48"/>
      <c r="V66" s="167">
        <f>+U66-W66+W110</f>
        <v>0</v>
      </c>
      <c r="W66" s="48"/>
      <c r="X66" s="167">
        <f>+W66-Y66+Y110</f>
        <v>0</v>
      </c>
      <c r="Y66" s="48"/>
      <c r="Z66" s="167">
        <f>+Y66-AA66+AA110</f>
        <v>0</v>
      </c>
      <c r="AA66" s="48"/>
      <c r="AB66" s="167">
        <f>+AA66-AC66+AC110</f>
        <v>0</v>
      </c>
      <c r="AC66" s="48"/>
      <c r="AD66" s="167">
        <f>+AC66-AE66+AE110</f>
        <v>0</v>
      </c>
      <c r="AE66" s="48"/>
      <c r="AF66" s="167">
        <f>+AE66-AG66+AG110</f>
        <v>0</v>
      </c>
      <c r="AG66" s="48"/>
      <c r="AH66" s="167">
        <f>+AG66-AI66+AI110</f>
        <v>0</v>
      </c>
      <c r="AI66" s="48"/>
      <c r="AJ66" s="167">
        <f>+AI66-AK66+AK110</f>
        <v>0</v>
      </c>
      <c r="AK66" s="48"/>
      <c r="AL66" s="167">
        <f>+AK66-AM66+AM110</f>
        <v>0</v>
      </c>
      <c r="AM66" s="48"/>
      <c r="AN66" s="167">
        <f>+AM66-AO66+AO110</f>
        <v>0</v>
      </c>
      <c r="AO66" s="48"/>
      <c r="AP66" s="167">
        <f>+AO66-AQ66+AQ110</f>
        <v>0</v>
      </c>
      <c r="AQ66" s="48"/>
      <c r="AR66" s="167">
        <f>+AQ66-AS66+AS110</f>
        <v>0</v>
      </c>
      <c r="AS66" s="48"/>
      <c r="AT66" s="167">
        <f>+AS66-AU66+AU110</f>
        <v>0</v>
      </c>
      <c r="AU66" s="48"/>
      <c r="AV66" s="167">
        <f>+AU66-AW66+AW110</f>
        <v>0</v>
      </c>
      <c r="AW66" s="48"/>
      <c r="AX66" s="167">
        <f>+AW66-AY66+AY110</f>
        <v>0</v>
      </c>
      <c r="AY66" s="48"/>
      <c r="AZ66" s="167">
        <f>+AY66-BA66+BA110</f>
        <v>0</v>
      </c>
      <c r="BA66" s="48"/>
      <c r="BB66" s="167">
        <f>+BA66-BC66+BC110</f>
        <v>0</v>
      </c>
      <c r="BC66" s="48"/>
      <c r="BD66" s="167">
        <f>+BC66-BE66+BE110</f>
        <v>0</v>
      </c>
      <c r="BE66" s="48"/>
      <c r="BF66" s="167">
        <f>+BE66-BG66+BG110</f>
        <v>0</v>
      </c>
      <c r="BG66" s="48"/>
      <c r="BH66" s="49"/>
      <c r="BI66" s="48"/>
      <c r="BJ66" s="49"/>
      <c r="BK66" s="48"/>
      <c r="BL66" s="49"/>
      <c r="BM66" s="48"/>
      <c r="BN66" s="50"/>
      <c r="BO66" s="170" t="e">
        <f>IF(COUNT(D66,F66,H66,J66,L66,N66,P66,R66,T66,V66,X66,Z66,AB66,AD66,AF66,AH66,AJ66,AL66,AN66,AP66,AR66,AT66,AV66,AX66,AZ66,BB66,BD66,BF66,BH66,BJ66,BL66)=0,"",SUM(D66,F66,H66,J66,L66,N66,P66,R66,T66,V66,X66,Z66,AB66,AD66,AF66,AH66,AJ66,AL66,AN66,AP66,AR66,AT66,AV66,AX66,AZ66,BB66,BD66,BF66,BH66,BJ66,BL66))</f>
        <v>#VALUE!</v>
      </c>
      <c r="BP66" s="167" t="e">
        <f>+BM66-BQ66+BQ110</f>
        <v>#VALUE!</v>
      </c>
      <c r="BQ66" s="178" t="str">
        <f>IF(BG66="","",BG66)</f>
        <v/>
      </c>
    </row>
    <row r="67" spans="1:69" x14ac:dyDescent="0.35">
      <c r="A67" s="98"/>
      <c r="B67" s="90"/>
      <c r="C67" s="131"/>
      <c r="D67" s="189" t="e">
        <f>SUM(D62:D66)</f>
        <v>#VALUE!</v>
      </c>
      <c r="E67" s="166" t="e">
        <f>+E73-D73</f>
        <v>#VALUE!</v>
      </c>
      <c r="F67" s="167">
        <f>SUM(F62:F66)</f>
        <v>0</v>
      </c>
      <c r="G67" s="166">
        <f>+G73-F73</f>
        <v>0</v>
      </c>
      <c r="H67" s="167">
        <f>SUM(H62:H66)</f>
        <v>0</v>
      </c>
      <c r="I67" s="166">
        <f>+I73-H73</f>
        <v>0</v>
      </c>
      <c r="J67" s="167">
        <f>SUM(J62:J66)</f>
        <v>0</v>
      </c>
      <c r="K67" s="166">
        <f>+K73-J73</f>
        <v>0</v>
      </c>
      <c r="L67" s="167">
        <f>SUM(L62:L66)</f>
        <v>0</v>
      </c>
      <c r="M67" s="166">
        <f>+M73-L73</f>
        <v>0</v>
      </c>
      <c r="N67" s="167">
        <f>SUM(N62:N66)</f>
        <v>0</v>
      </c>
      <c r="O67" s="166">
        <f>+O73-N73</f>
        <v>0</v>
      </c>
      <c r="P67" s="167">
        <f>SUM(P62:P66)</f>
        <v>0</v>
      </c>
      <c r="Q67" s="166">
        <f>+Q73-P73</f>
        <v>0</v>
      </c>
      <c r="R67" s="167">
        <f>SUM(R62:R66)</f>
        <v>0</v>
      </c>
      <c r="S67" s="166">
        <f>+S73-R73</f>
        <v>0</v>
      </c>
      <c r="T67" s="167">
        <f>SUM(T62:T66)</f>
        <v>0</v>
      </c>
      <c r="U67" s="166">
        <f>+U73-T73</f>
        <v>0</v>
      </c>
      <c r="V67" s="167">
        <f>SUM(V62:V66)</f>
        <v>0</v>
      </c>
      <c r="W67" s="166">
        <f>+W73-V73</f>
        <v>0</v>
      </c>
      <c r="X67" s="167">
        <f>SUM(X62:X66)</f>
        <v>0</v>
      </c>
      <c r="Y67" s="166">
        <f>+Y73-X73</f>
        <v>0</v>
      </c>
      <c r="Z67" s="167">
        <f>SUM(Z62:Z66)</f>
        <v>0</v>
      </c>
      <c r="AA67" s="166">
        <f>+AA73-Z73</f>
        <v>0</v>
      </c>
      <c r="AB67" s="167">
        <f>SUM(AB62:AB66)</f>
        <v>0</v>
      </c>
      <c r="AC67" s="166">
        <f>+AC73-AB73</f>
        <v>0</v>
      </c>
      <c r="AD67" s="167">
        <f>SUM(AD62:AD66)</f>
        <v>0</v>
      </c>
      <c r="AE67" s="166">
        <f>+AE73-AD73</f>
        <v>0</v>
      </c>
      <c r="AF67" s="167">
        <f>SUM(AF62:AF66)</f>
        <v>0</v>
      </c>
      <c r="AG67" s="166">
        <f>+AG73-AF73</f>
        <v>0</v>
      </c>
      <c r="AH67" s="167">
        <f>SUM(AH62:AH66)</f>
        <v>0</v>
      </c>
      <c r="AI67" s="166">
        <f>+AI73-AH73</f>
        <v>0</v>
      </c>
      <c r="AJ67" s="167">
        <f>SUM(AJ62:AJ66)</f>
        <v>0</v>
      </c>
      <c r="AK67" s="166">
        <f>+AK73-AJ73</f>
        <v>0</v>
      </c>
      <c r="AL67" s="167">
        <f>SUM(AL62:AL66)</f>
        <v>0</v>
      </c>
      <c r="AM67" s="166">
        <f>+AM73-AL73</f>
        <v>0</v>
      </c>
      <c r="AN67" s="167">
        <f>SUM(AN62:AN66)</f>
        <v>0</v>
      </c>
      <c r="AO67" s="166">
        <f>+AO73-AN73</f>
        <v>0</v>
      </c>
      <c r="AP67" s="167">
        <f>SUM(AP62:AP66)</f>
        <v>0</v>
      </c>
      <c r="AQ67" s="166">
        <f>+AQ73-AP73</f>
        <v>0</v>
      </c>
      <c r="AR67" s="167">
        <f>SUM(AR62:AR66)</f>
        <v>0</v>
      </c>
      <c r="AS67" s="166">
        <f>+AS73-AR73</f>
        <v>0</v>
      </c>
      <c r="AT67" s="167">
        <f>SUM(AT62:AT66)</f>
        <v>0</v>
      </c>
      <c r="AU67" s="166">
        <f>+AU73-AT73</f>
        <v>0</v>
      </c>
      <c r="AV67" s="167">
        <f>SUM(AV62:AV66)</f>
        <v>0</v>
      </c>
      <c r="AW67" s="166">
        <f>+AW73-AV73</f>
        <v>0</v>
      </c>
      <c r="AX67" s="167">
        <f>SUM(AX62:AX66)</f>
        <v>0</v>
      </c>
      <c r="AY67" s="166">
        <f>+AY73-AX73</f>
        <v>0</v>
      </c>
      <c r="AZ67" s="167">
        <f>SUM(AZ62:AZ66)</f>
        <v>0</v>
      </c>
      <c r="BA67" s="166">
        <f>+BA73-AZ73</f>
        <v>0</v>
      </c>
      <c r="BB67" s="167">
        <f>SUM(BB62:BB66)</f>
        <v>0</v>
      </c>
      <c r="BC67" s="166">
        <f>+BC73-BB73</f>
        <v>0</v>
      </c>
      <c r="BD67" s="167">
        <f>SUM(BD62:BD66)</f>
        <v>0</v>
      </c>
      <c r="BE67" s="166">
        <f>+BE73-BD73</f>
        <v>0</v>
      </c>
      <c r="BF67" s="167">
        <f>SUM(BF62:BF66)</f>
        <v>0</v>
      </c>
      <c r="BG67" s="166">
        <f>+BG73-BF73</f>
        <v>0</v>
      </c>
      <c r="BH67" s="49"/>
      <c r="BI67" s="48"/>
      <c r="BJ67" s="49"/>
      <c r="BK67" s="48"/>
      <c r="BL67" s="49"/>
      <c r="BM67" s="48"/>
      <c r="BN67" s="50"/>
      <c r="BO67" s="170" t="e">
        <f t="shared" ref="BO67:BO75" si="87">IF(COUNT(E67,G67,I67,K67,M67,O67,Q67,S67,U67,W67,Y67,AA67,AC67,AE67,AG67,AI67,AK67,AM67,AO67,AQ67,AS67,AU67,AW67,AY67,BA67,BC67,BE67,BG67,BI67,BK67,BM67)=0,"",SUM(E67,G67,I67,K67,M67,O67,Q67,S67,U67,W67,Y67,AA67,AC67,AE67,AG67,AI67,AK67,AM67,AO67,AQ67,AS67,AU67,AW67,AY67,BA67,BC67,BE67,BG67,BI67,BK67,BM67))</f>
        <v>#VALUE!</v>
      </c>
      <c r="BP67" s="167" t="e">
        <f>SUM(BP62:BP66)</f>
        <v>#VALUE!</v>
      </c>
      <c r="BQ67" s="52"/>
    </row>
    <row r="68" spans="1:69" x14ac:dyDescent="0.35">
      <c r="A68" s="132" t="s">
        <v>87</v>
      </c>
      <c r="B68" s="133"/>
      <c r="C68" s="131"/>
      <c r="D68" s="189">
        <f>D91+D94</f>
        <v>0</v>
      </c>
      <c r="E68" s="166" t="e">
        <f>+E77-C77+E80-C80</f>
        <v>#VALUE!</v>
      </c>
      <c r="F68" s="167">
        <f>F91+F94</f>
        <v>0</v>
      </c>
      <c r="G68" s="166">
        <f>+G77-E77+G80-E80</f>
        <v>0</v>
      </c>
      <c r="H68" s="167">
        <f>H91+H94</f>
        <v>0</v>
      </c>
      <c r="I68" s="166">
        <f>+I77-G77+I80-G80</f>
        <v>0</v>
      </c>
      <c r="J68" s="167">
        <f>J91+J94</f>
        <v>0</v>
      </c>
      <c r="K68" s="166">
        <f>+K77-I77+K80-I80</f>
        <v>0</v>
      </c>
      <c r="L68" s="167">
        <f>L91+L94</f>
        <v>0</v>
      </c>
      <c r="M68" s="166">
        <f>+M77-K77+M80-K80</f>
        <v>0</v>
      </c>
      <c r="N68" s="167">
        <f>N91+N94</f>
        <v>0</v>
      </c>
      <c r="O68" s="166">
        <f>+O77-M77+O80-M80</f>
        <v>0</v>
      </c>
      <c r="P68" s="167">
        <f>P91+P94</f>
        <v>0</v>
      </c>
      <c r="Q68" s="166">
        <f>+Q77-O77+Q80-O80</f>
        <v>0</v>
      </c>
      <c r="R68" s="167">
        <f>R91+R94</f>
        <v>0</v>
      </c>
      <c r="S68" s="166">
        <f>+S77-Q77+S80-Q80</f>
        <v>0</v>
      </c>
      <c r="T68" s="167">
        <f>T91+T94</f>
        <v>0</v>
      </c>
      <c r="U68" s="166">
        <f>+U77-S77+U80-S80</f>
        <v>0</v>
      </c>
      <c r="V68" s="167">
        <f>V91+V94</f>
        <v>0</v>
      </c>
      <c r="W68" s="166">
        <f>+W77-U77+W80-U80</f>
        <v>0</v>
      </c>
      <c r="X68" s="167">
        <f>X91+X94</f>
        <v>0</v>
      </c>
      <c r="Y68" s="166">
        <f>+Y77-W77+Y80-W80</f>
        <v>0</v>
      </c>
      <c r="Z68" s="167">
        <f>Z91+Z94</f>
        <v>0</v>
      </c>
      <c r="AA68" s="166">
        <f>+AA77-Y77+AA80-Y80</f>
        <v>0</v>
      </c>
      <c r="AB68" s="167">
        <f>AB91+AB94</f>
        <v>0</v>
      </c>
      <c r="AC68" s="166">
        <f>+AC77-AA77+AC80-AA80</f>
        <v>0</v>
      </c>
      <c r="AD68" s="167">
        <f>AD91+AD94</f>
        <v>0</v>
      </c>
      <c r="AE68" s="166">
        <f>+AE77-AC77+AE80-AC80</f>
        <v>0</v>
      </c>
      <c r="AF68" s="167">
        <f>AF91+AF94</f>
        <v>0</v>
      </c>
      <c r="AG68" s="166">
        <f>+AG77-AE77+AG80-AE80</f>
        <v>0</v>
      </c>
      <c r="AH68" s="167">
        <f>AH91+AH94</f>
        <v>0</v>
      </c>
      <c r="AI68" s="166">
        <f>+AI77-AG77+AI80-AG80</f>
        <v>0</v>
      </c>
      <c r="AJ68" s="167">
        <f>AJ91+AJ94</f>
        <v>0</v>
      </c>
      <c r="AK68" s="166">
        <f>+AK77-AI77+AK80-AI80</f>
        <v>0</v>
      </c>
      <c r="AL68" s="167">
        <f>AL91+AL94</f>
        <v>0</v>
      </c>
      <c r="AM68" s="166">
        <f>+AM77-AK77+AM80-AK80</f>
        <v>0</v>
      </c>
      <c r="AN68" s="167">
        <f>AN91+AN94</f>
        <v>0</v>
      </c>
      <c r="AO68" s="166">
        <f>+AO77-AM77+AO80-AM80</f>
        <v>0</v>
      </c>
      <c r="AP68" s="167">
        <f>AP91+AP94</f>
        <v>0</v>
      </c>
      <c r="AQ68" s="166">
        <f>+AQ77-AO77+AQ80-AO80</f>
        <v>0</v>
      </c>
      <c r="AR68" s="167">
        <f>AR91+AR94</f>
        <v>0</v>
      </c>
      <c r="AS68" s="166">
        <f>+AS77-AQ77+AS80-AQ80</f>
        <v>0</v>
      </c>
      <c r="AT68" s="167">
        <f>AT91+AT94</f>
        <v>0</v>
      </c>
      <c r="AU68" s="166">
        <f>+AU77-AS77+AU80-AS80</f>
        <v>0</v>
      </c>
      <c r="AV68" s="167">
        <f>AV91+AV94</f>
        <v>0</v>
      </c>
      <c r="AW68" s="166">
        <f>+AW77-AU77+AW80-AU80</f>
        <v>0</v>
      </c>
      <c r="AX68" s="167">
        <f>AX91+AX94</f>
        <v>0</v>
      </c>
      <c r="AY68" s="166">
        <f>+AY77-AW77+AY80-AW80</f>
        <v>0</v>
      </c>
      <c r="AZ68" s="167">
        <f>AZ91+AZ94</f>
        <v>0</v>
      </c>
      <c r="BA68" s="166">
        <f>+BA77-AY77+BA80-AY80</f>
        <v>0</v>
      </c>
      <c r="BB68" s="167">
        <f>BB91+BB94</f>
        <v>0</v>
      </c>
      <c r="BC68" s="166">
        <f>+BC77-BA77+BC80-BA80</f>
        <v>0</v>
      </c>
      <c r="BD68" s="167">
        <f>BD91+BD94</f>
        <v>0</v>
      </c>
      <c r="BE68" s="166">
        <f>+BE77-BC77+BE80-BC80</f>
        <v>0</v>
      </c>
      <c r="BF68" s="167">
        <f>BF91+BF94</f>
        <v>0</v>
      </c>
      <c r="BG68" s="166">
        <f>+BG77-BE77+BG80-BE80</f>
        <v>0</v>
      </c>
      <c r="BH68" s="49"/>
      <c r="BI68" s="48"/>
      <c r="BJ68" s="49"/>
      <c r="BK68" s="48"/>
      <c r="BL68" s="49"/>
      <c r="BM68" s="48"/>
      <c r="BN68" s="50"/>
      <c r="BO68" s="170" t="e">
        <f t="shared" si="87"/>
        <v>#VALUE!</v>
      </c>
      <c r="BP68" s="167">
        <f>BP91+BP94</f>
        <v>0</v>
      </c>
      <c r="BQ68" s="52"/>
    </row>
    <row r="69" spans="1:69" x14ac:dyDescent="0.35">
      <c r="A69" s="44" t="s">
        <v>88</v>
      </c>
      <c r="B69" s="133"/>
      <c r="C69" s="131"/>
      <c r="D69" s="189">
        <f>D99+D102</f>
        <v>0</v>
      </c>
      <c r="E69" s="166" t="e">
        <f>+E85-C85+E88-C88</f>
        <v>#VALUE!</v>
      </c>
      <c r="F69" s="167">
        <f>F99+F102</f>
        <v>0</v>
      </c>
      <c r="G69" s="166">
        <f>+G85-E85+G88-E88</f>
        <v>0</v>
      </c>
      <c r="H69" s="167">
        <f>H99+H102</f>
        <v>0</v>
      </c>
      <c r="I69" s="166">
        <f>+I85-G85+I88-G88</f>
        <v>0</v>
      </c>
      <c r="J69" s="167">
        <f>J99+J102</f>
        <v>0</v>
      </c>
      <c r="K69" s="166">
        <f>+K85-I85+K88-I88</f>
        <v>0</v>
      </c>
      <c r="L69" s="167">
        <f>L99+L102</f>
        <v>0</v>
      </c>
      <c r="M69" s="166">
        <f>+M85-K85+M88-K88</f>
        <v>0</v>
      </c>
      <c r="N69" s="167">
        <f>N99+N102</f>
        <v>0</v>
      </c>
      <c r="O69" s="166">
        <f>+O85-M85+O88-M88</f>
        <v>0</v>
      </c>
      <c r="P69" s="167">
        <f>P99+P102</f>
        <v>0</v>
      </c>
      <c r="Q69" s="166">
        <f>+Q85-O85+Q88-O88</f>
        <v>0</v>
      </c>
      <c r="R69" s="167">
        <f>R99+R102</f>
        <v>0</v>
      </c>
      <c r="S69" s="166">
        <f>+S85-Q85+S88-Q88</f>
        <v>0</v>
      </c>
      <c r="T69" s="167">
        <f>T99+T102</f>
        <v>0</v>
      </c>
      <c r="U69" s="166">
        <f>+U85-S85+U88-S88</f>
        <v>0</v>
      </c>
      <c r="V69" s="167">
        <f>V99+V102</f>
        <v>0</v>
      </c>
      <c r="W69" s="166">
        <f>+W85-U85+W88-U88</f>
        <v>0</v>
      </c>
      <c r="X69" s="167">
        <f>X99+X102</f>
        <v>0</v>
      </c>
      <c r="Y69" s="166">
        <f>+Y85-W85+Y88-W88</f>
        <v>0</v>
      </c>
      <c r="Z69" s="167">
        <f>Z99+Z102</f>
        <v>0</v>
      </c>
      <c r="AA69" s="166">
        <f>+AA85-Y85+AA88-Y88</f>
        <v>0</v>
      </c>
      <c r="AB69" s="167">
        <f>AB99+AB102</f>
        <v>0</v>
      </c>
      <c r="AC69" s="166">
        <f>+AC85-AA85+AC88-AA88</f>
        <v>0</v>
      </c>
      <c r="AD69" s="167">
        <f>AD99+AD102</f>
        <v>0</v>
      </c>
      <c r="AE69" s="166">
        <f>+AE85-AC85+AE88-AC88</f>
        <v>0</v>
      </c>
      <c r="AF69" s="167">
        <f>AF99+AF102</f>
        <v>0</v>
      </c>
      <c r="AG69" s="166">
        <f>+AG85-AE85+AG88-AE88</f>
        <v>0</v>
      </c>
      <c r="AH69" s="167">
        <f>AH99+AH102</f>
        <v>0</v>
      </c>
      <c r="AI69" s="166">
        <f>+AI85-AG85+AI88-AG88</f>
        <v>0</v>
      </c>
      <c r="AJ69" s="167">
        <f>AJ99+AJ102</f>
        <v>0</v>
      </c>
      <c r="AK69" s="166">
        <f>+AK85-AI85+AK88-AI88</f>
        <v>0</v>
      </c>
      <c r="AL69" s="167">
        <f>AL99+AL102</f>
        <v>0</v>
      </c>
      <c r="AM69" s="166">
        <f>+AM85-AK85+AM88-AK88</f>
        <v>0</v>
      </c>
      <c r="AN69" s="167">
        <f>AN99+AN102</f>
        <v>0</v>
      </c>
      <c r="AO69" s="166">
        <f>+AO85-AM85+AO88-AM88</f>
        <v>0</v>
      </c>
      <c r="AP69" s="167">
        <f>AP99+AP102</f>
        <v>0</v>
      </c>
      <c r="AQ69" s="166">
        <f>+AQ85-AO85+AQ88-AO88</f>
        <v>0</v>
      </c>
      <c r="AR69" s="167">
        <f>AR99+AR102</f>
        <v>0</v>
      </c>
      <c r="AS69" s="166">
        <f>+AS85-AQ85+AS88-AQ88</f>
        <v>0</v>
      </c>
      <c r="AT69" s="167">
        <f>AT99+AT102</f>
        <v>0</v>
      </c>
      <c r="AU69" s="166">
        <f>+AU85-AS85+AU88-AS88</f>
        <v>0</v>
      </c>
      <c r="AV69" s="167">
        <f>AV99+AV102</f>
        <v>0</v>
      </c>
      <c r="AW69" s="166">
        <f>+AW85-AU85+AW88-AU88</f>
        <v>0</v>
      </c>
      <c r="AX69" s="167">
        <f>AX99+AX102</f>
        <v>0</v>
      </c>
      <c r="AY69" s="166">
        <f>+AY85-AW85+AY88-AW88</f>
        <v>0</v>
      </c>
      <c r="AZ69" s="167">
        <f>AZ99+AZ102</f>
        <v>0</v>
      </c>
      <c r="BA69" s="166">
        <f>+BA85-AY85+BA88-AY88</f>
        <v>0</v>
      </c>
      <c r="BB69" s="167">
        <f>BB99+BB102</f>
        <v>0</v>
      </c>
      <c r="BC69" s="166">
        <f>+BC85-BA85+BC88-BA88</f>
        <v>0</v>
      </c>
      <c r="BD69" s="167">
        <f>BD99+BD102</f>
        <v>0</v>
      </c>
      <c r="BE69" s="166">
        <f>+BE85-BC85+BE88-BC88</f>
        <v>0</v>
      </c>
      <c r="BF69" s="167">
        <f>BF99+BF102</f>
        <v>0</v>
      </c>
      <c r="BG69" s="166">
        <f>+BG85-BE85+BG88-BE88</f>
        <v>0</v>
      </c>
      <c r="BH69" s="49"/>
      <c r="BI69" s="48"/>
      <c r="BJ69" s="49"/>
      <c r="BK69" s="48"/>
      <c r="BL69" s="49"/>
      <c r="BM69" s="48"/>
      <c r="BN69" s="50"/>
      <c r="BO69" s="170" t="e">
        <f t="shared" si="87"/>
        <v>#VALUE!</v>
      </c>
      <c r="BP69" s="167">
        <f>BP99+BP102</f>
        <v>0</v>
      </c>
      <c r="BQ69" s="52"/>
    </row>
    <row r="70" spans="1:69" x14ac:dyDescent="0.35">
      <c r="A70" s="134" t="s">
        <v>89</v>
      </c>
      <c r="B70" s="133"/>
      <c r="C70" s="131"/>
      <c r="D70" s="189">
        <f>D93+D96</f>
        <v>0</v>
      </c>
      <c r="E70" s="166" t="e">
        <f>+E79-C79+E82-C82</f>
        <v>#VALUE!</v>
      </c>
      <c r="F70" s="167">
        <f>F93+F96</f>
        <v>0</v>
      </c>
      <c r="G70" s="166">
        <f>+G79-E79+G82-E82</f>
        <v>0</v>
      </c>
      <c r="H70" s="167">
        <f>H93+H96</f>
        <v>0</v>
      </c>
      <c r="I70" s="166">
        <f>+I79-G79+I82-G82</f>
        <v>0</v>
      </c>
      <c r="J70" s="167">
        <f>J93+J96</f>
        <v>0</v>
      </c>
      <c r="K70" s="166">
        <f>+K79-I79+K82-I82</f>
        <v>0</v>
      </c>
      <c r="L70" s="167">
        <f>L93+L96</f>
        <v>0</v>
      </c>
      <c r="M70" s="166">
        <f>+M79-K79+M82-K82</f>
        <v>0</v>
      </c>
      <c r="N70" s="167">
        <f>N93+N96</f>
        <v>0</v>
      </c>
      <c r="O70" s="166">
        <f>+O79-M79+O82-M82</f>
        <v>0</v>
      </c>
      <c r="P70" s="167">
        <f>P93+P96</f>
        <v>0</v>
      </c>
      <c r="Q70" s="166">
        <f>+Q79-O79+Q82-O82</f>
        <v>0</v>
      </c>
      <c r="R70" s="167">
        <f>R93+R96</f>
        <v>0</v>
      </c>
      <c r="S70" s="166">
        <f>+S79-Q79+S82-Q82</f>
        <v>0</v>
      </c>
      <c r="T70" s="167">
        <f>T93+T96</f>
        <v>0</v>
      </c>
      <c r="U70" s="166">
        <f>+U79-S79+U82-S82</f>
        <v>0</v>
      </c>
      <c r="V70" s="167">
        <f>V93+V96</f>
        <v>0</v>
      </c>
      <c r="W70" s="166">
        <f>+W79-U79+W82-U82</f>
        <v>0</v>
      </c>
      <c r="X70" s="167">
        <f>X93+X96</f>
        <v>0</v>
      </c>
      <c r="Y70" s="166">
        <f>+Y79-W79+Y82-W82</f>
        <v>0</v>
      </c>
      <c r="Z70" s="167">
        <f>Z93+Z96</f>
        <v>0</v>
      </c>
      <c r="AA70" s="166">
        <f>+AA79-Y79+AA82-Y82</f>
        <v>0</v>
      </c>
      <c r="AB70" s="167">
        <f>AB93+AB96</f>
        <v>0</v>
      </c>
      <c r="AC70" s="166">
        <f>+AC79-AA79+AC82-AA82</f>
        <v>0</v>
      </c>
      <c r="AD70" s="167">
        <f>AD93+AD96</f>
        <v>0</v>
      </c>
      <c r="AE70" s="166">
        <f>+AE79-AC79+AE82-AC82</f>
        <v>0</v>
      </c>
      <c r="AF70" s="167">
        <f>AF93+AF96</f>
        <v>0</v>
      </c>
      <c r="AG70" s="166">
        <f>+AG79-AE79+AG82-AE82</f>
        <v>0</v>
      </c>
      <c r="AH70" s="167">
        <f>AH93+AH96</f>
        <v>0</v>
      </c>
      <c r="AI70" s="166">
        <f>+AI79-AG79+AI82-AG82</f>
        <v>0</v>
      </c>
      <c r="AJ70" s="167">
        <f>AJ93+AJ96</f>
        <v>0</v>
      </c>
      <c r="AK70" s="166">
        <f>+AK79-AI79+AK82-AI82</f>
        <v>0</v>
      </c>
      <c r="AL70" s="167">
        <f>AL93+AL96</f>
        <v>0</v>
      </c>
      <c r="AM70" s="166">
        <f>+AM79-AK79+AM82-AK82</f>
        <v>0</v>
      </c>
      <c r="AN70" s="167">
        <f>AN93+AN96</f>
        <v>0</v>
      </c>
      <c r="AO70" s="166">
        <f>+AO79-AM79+AO82-AM82</f>
        <v>0</v>
      </c>
      <c r="AP70" s="167">
        <f>AP93+AP96</f>
        <v>0</v>
      </c>
      <c r="AQ70" s="166">
        <f>+AQ79-AO79+AQ82-AO82</f>
        <v>0</v>
      </c>
      <c r="AR70" s="167">
        <f>AR93+AR96</f>
        <v>0</v>
      </c>
      <c r="AS70" s="166">
        <f>+AS79-AQ79+AS82-AQ82</f>
        <v>0</v>
      </c>
      <c r="AT70" s="167">
        <f>AT93+AT96</f>
        <v>0</v>
      </c>
      <c r="AU70" s="166">
        <f>+AU79-AS79+AU82-AS82</f>
        <v>0</v>
      </c>
      <c r="AV70" s="167">
        <f>AV93+AV96</f>
        <v>0</v>
      </c>
      <c r="AW70" s="166">
        <f>+AW79-AU79+AW82-AU82</f>
        <v>0</v>
      </c>
      <c r="AX70" s="167">
        <f>AX93+AX96</f>
        <v>0</v>
      </c>
      <c r="AY70" s="166">
        <f>+AY79-AW79+AY82-AW82</f>
        <v>0</v>
      </c>
      <c r="AZ70" s="167">
        <f>AZ93+AZ96</f>
        <v>0</v>
      </c>
      <c r="BA70" s="166">
        <f>+BA79-AY79+BA82-AY82</f>
        <v>0</v>
      </c>
      <c r="BB70" s="167">
        <f>BB93+BB96</f>
        <v>0</v>
      </c>
      <c r="BC70" s="166">
        <f>+BC79-BA79+BC82-BA82</f>
        <v>0</v>
      </c>
      <c r="BD70" s="167">
        <f>BD93+BD96</f>
        <v>0</v>
      </c>
      <c r="BE70" s="166">
        <f>+BE79-BC79+BE82-BC82</f>
        <v>0</v>
      </c>
      <c r="BF70" s="167">
        <f>BF93+BF96</f>
        <v>0</v>
      </c>
      <c r="BG70" s="166">
        <f>+BG79-BE79+BG82-BE82</f>
        <v>0</v>
      </c>
      <c r="BH70" s="49"/>
      <c r="BI70" s="48"/>
      <c r="BJ70" s="49"/>
      <c r="BK70" s="48"/>
      <c r="BL70" s="49"/>
      <c r="BM70" s="48"/>
      <c r="BN70" s="50"/>
      <c r="BO70" s="170" t="e">
        <f t="shared" si="87"/>
        <v>#VALUE!</v>
      </c>
      <c r="BP70" s="167">
        <f>BP93+BP96</f>
        <v>0</v>
      </c>
      <c r="BQ70" s="52"/>
    </row>
    <row r="71" spans="1:69" x14ac:dyDescent="0.35">
      <c r="A71" s="135" t="s">
        <v>90</v>
      </c>
      <c r="B71" s="133"/>
      <c r="C71" s="131"/>
      <c r="D71" s="189">
        <f>+D97+D100</f>
        <v>0</v>
      </c>
      <c r="E71" s="166" t="e">
        <f>+E83-C83+E86-C86</f>
        <v>#VALUE!</v>
      </c>
      <c r="F71" s="167">
        <f>+F97+F100</f>
        <v>0</v>
      </c>
      <c r="G71" s="166">
        <f>+G83-E83+G86-E86</f>
        <v>0</v>
      </c>
      <c r="H71" s="167">
        <f>+H97+H100</f>
        <v>0</v>
      </c>
      <c r="I71" s="166">
        <f>+I83-G83+I86-G86</f>
        <v>0</v>
      </c>
      <c r="J71" s="167">
        <f>+J97+J100</f>
        <v>0</v>
      </c>
      <c r="K71" s="166">
        <f>+K83-I83+K86-I86</f>
        <v>0</v>
      </c>
      <c r="L71" s="167">
        <f>+L97+L100</f>
        <v>0</v>
      </c>
      <c r="M71" s="166">
        <f>+M83-K83+M86-K86</f>
        <v>0</v>
      </c>
      <c r="N71" s="167">
        <f>+N97+N100</f>
        <v>0</v>
      </c>
      <c r="O71" s="166">
        <f>+O83-M83+O86-M86</f>
        <v>0</v>
      </c>
      <c r="P71" s="167">
        <f>+P97+P100</f>
        <v>0</v>
      </c>
      <c r="Q71" s="166">
        <f>+Q83-O83+Q86-O86</f>
        <v>0</v>
      </c>
      <c r="R71" s="167">
        <f>+R97+R100</f>
        <v>0</v>
      </c>
      <c r="S71" s="166">
        <f>+S83-Q83+S86-Q86</f>
        <v>0</v>
      </c>
      <c r="T71" s="167">
        <f>+T97+T100</f>
        <v>0</v>
      </c>
      <c r="U71" s="166">
        <f>+U83-S83+U86-S86</f>
        <v>0</v>
      </c>
      <c r="V71" s="167">
        <f>+V97+V100</f>
        <v>0</v>
      </c>
      <c r="W71" s="166">
        <f>+W83-U83+W86-U86</f>
        <v>0</v>
      </c>
      <c r="X71" s="167">
        <f>+X97+X100</f>
        <v>0</v>
      </c>
      <c r="Y71" s="166">
        <f>+Y83-W83+Y86-W86</f>
        <v>0</v>
      </c>
      <c r="Z71" s="167">
        <f>+Z97+Z100</f>
        <v>0</v>
      </c>
      <c r="AA71" s="166">
        <f>+AA83-Y83+AA86-Y86</f>
        <v>0</v>
      </c>
      <c r="AB71" s="167">
        <f>+AB97+AB100</f>
        <v>0</v>
      </c>
      <c r="AC71" s="166">
        <f>+AC83-AA83+AC86-AA86</f>
        <v>0</v>
      </c>
      <c r="AD71" s="167">
        <f>+AD97+AD100</f>
        <v>0</v>
      </c>
      <c r="AE71" s="166">
        <f>+AE83-AC83+AE86-AC86</f>
        <v>0</v>
      </c>
      <c r="AF71" s="167">
        <f>+AF97+AF100</f>
        <v>0</v>
      </c>
      <c r="AG71" s="166">
        <f>+AG83-AE83+AG86-AE86</f>
        <v>0</v>
      </c>
      <c r="AH71" s="167">
        <f>+AH97+AH100</f>
        <v>0</v>
      </c>
      <c r="AI71" s="166">
        <f>+AI83-AG83+AI86-AG86</f>
        <v>0</v>
      </c>
      <c r="AJ71" s="167">
        <f>+AJ97+AJ100</f>
        <v>0</v>
      </c>
      <c r="AK71" s="166">
        <f>+AK83-AI83+AK86-AI86</f>
        <v>0</v>
      </c>
      <c r="AL71" s="167">
        <f>+AL97+AL100</f>
        <v>0</v>
      </c>
      <c r="AM71" s="166">
        <f>+AM83-AK83+AM86-AK86</f>
        <v>0</v>
      </c>
      <c r="AN71" s="167">
        <f>+AN97+AN100</f>
        <v>0</v>
      </c>
      <c r="AO71" s="166">
        <f>+AO83-AM83+AO86-AM86</f>
        <v>0</v>
      </c>
      <c r="AP71" s="167">
        <f>+AP97+AP100</f>
        <v>0</v>
      </c>
      <c r="AQ71" s="166">
        <f>+AQ83-AO83+AQ86-AO86</f>
        <v>0</v>
      </c>
      <c r="AR71" s="167">
        <f>+AR97+AR100</f>
        <v>0</v>
      </c>
      <c r="AS71" s="166">
        <f>+AS83-AQ83+AS86-AQ86</f>
        <v>0</v>
      </c>
      <c r="AT71" s="167">
        <f>+AT97+AT100</f>
        <v>0</v>
      </c>
      <c r="AU71" s="166">
        <f>+AU83-AS83+AU86-AS86</f>
        <v>0</v>
      </c>
      <c r="AV71" s="167">
        <f>+AV97+AV100</f>
        <v>0</v>
      </c>
      <c r="AW71" s="166">
        <f>+AW83-AU83+AW86-AU86</f>
        <v>0</v>
      </c>
      <c r="AX71" s="167">
        <f>+AX97+AX100</f>
        <v>0</v>
      </c>
      <c r="AY71" s="166">
        <f>+AY83-AW83+AY86-AW86</f>
        <v>0</v>
      </c>
      <c r="AZ71" s="167">
        <f>+AZ97+AZ100</f>
        <v>0</v>
      </c>
      <c r="BA71" s="166">
        <f>+BA83-AY83+BA86-AY86</f>
        <v>0</v>
      </c>
      <c r="BB71" s="167">
        <f>+BB97+BB100</f>
        <v>0</v>
      </c>
      <c r="BC71" s="166">
        <f>+BC83-BA83+BC86-BA86</f>
        <v>0</v>
      </c>
      <c r="BD71" s="167">
        <f>+BD97+BD100</f>
        <v>0</v>
      </c>
      <c r="BE71" s="166">
        <f>+BE83-BC83+BE86-BC86</f>
        <v>0</v>
      </c>
      <c r="BF71" s="167">
        <f>+BF97+BF100</f>
        <v>0</v>
      </c>
      <c r="BG71" s="166">
        <f>+BG83-BE83+BG86-BE86</f>
        <v>0</v>
      </c>
      <c r="BH71" s="49"/>
      <c r="BI71" s="48"/>
      <c r="BJ71" s="49"/>
      <c r="BK71" s="48"/>
      <c r="BL71" s="49"/>
      <c r="BM71" s="48"/>
      <c r="BN71" s="50"/>
      <c r="BO71" s="170" t="e">
        <f t="shared" si="87"/>
        <v>#VALUE!</v>
      </c>
      <c r="BP71" s="167">
        <f>+BP97+BP100</f>
        <v>0</v>
      </c>
      <c r="BQ71" s="52"/>
    </row>
    <row r="72" spans="1:69" x14ac:dyDescent="0.35">
      <c r="A72" s="136" t="s">
        <v>91</v>
      </c>
      <c r="B72" s="133"/>
      <c r="C72" s="131"/>
      <c r="D72" s="189">
        <f>+D92+D95+D98+D101</f>
        <v>0</v>
      </c>
      <c r="E72" s="166" t="e">
        <f>+E78-C78+E81-C81+E84-C84+E87-C87</f>
        <v>#VALUE!</v>
      </c>
      <c r="F72" s="167">
        <f>+F92+F95+F98+F101</f>
        <v>0</v>
      </c>
      <c r="G72" s="166">
        <f>+G78-E78+G81-E81+G84-E84+G87-E87</f>
        <v>0</v>
      </c>
      <c r="H72" s="167">
        <f>+H92+H95+H98+H101</f>
        <v>0</v>
      </c>
      <c r="I72" s="166">
        <f>+I78-G78+I81-G81+I84-G84+I87-G87</f>
        <v>0</v>
      </c>
      <c r="J72" s="167">
        <f>+J92+J95+J98+J101</f>
        <v>0</v>
      </c>
      <c r="K72" s="166">
        <f>+K78-I78+K81-I81+K84-I84+K87-I87</f>
        <v>0</v>
      </c>
      <c r="L72" s="167">
        <f>+L92+L95+L98+L101</f>
        <v>0</v>
      </c>
      <c r="M72" s="166">
        <f>+M78-K78+M81-K81+M84-K84+M87-K87</f>
        <v>0</v>
      </c>
      <c r="N72" s="167">
        <f>+N92+N95+N98+N101</f>
        <v>0</v>
      </c>
      <c r="O72" s="166">
        <f>+O78-M78+O81-M81+O84-M84+O87-M87</f>
        <v>0</v>
      </c>
      <c r="P72" s="167">
        <f>+P92+P95+P98+P101</f>
        <v>0</v>
      </c>
      <c r="Q72" s="166">
        <f>+Q78-O78+Q81-O81+Q84-O84+Q87-O87</f>
        <v>0</v>
      </c>
      <c r="R72" s="167">
        <f>+R92+R95+R98+R101</f>
        <v>0</v>
      </c>
      <c r="S72" s="166">
        <f>+S78-Q78+S81-Q81+S84-Q84+S87-Q87</f>
        <v>0</v>
      </c>
      <c r="T72" s="167">
        <f>+T92+T95+T98+T101</f>
        <v>0</v>
      </c>
      <c r="U72" s="166">
        <f>+U78-S78+U81-S81+U84-S84+U87-S87</f>
        <v>0</v>
      </c>
      <c r="V72" s="167">
        <f>+V92+V95+V98+V101</f>
        <v>0</v>
      </c>
      <c r="W72" s="166">
        <f>+W78-U78+W81-U81+W84-U84+W87-U87</f>
        <v>0</v>
      </c>
      <c r="X72" s="167">
        <f>+X92+X95+X98+X101</f>
        <v>0</v>
      </c>
      <c r="Y72" s="166">
        <f>+Y78-W78+Y81-W81+Y84-W84+Y87-W87</f>
        <v>0</v>
      </c>
      <c r="Z72" s="167">
        <f>+Z92+Z95+Z98+Z101</f>
        <v>0</v>
      </c>
      <c r="AA72" s="166">
        <f>+AA78-Y78+AA81-Y81+AA84-Y84+AA87-Y87</f>
        <v>0</v>
      </c>
      <c r="AB72" s="167">
        <f>+AB92+AB95+AB98+AB101</f>
        <v>0</v>
      </c>
      <c r="AC72" s="166">
        <f>+AC78-AA78+AC81-AA81+AC84-AA84+AC87-AA87</f>
        <v>0</v>
      </c>
      <c r="AD72" s="167">
        <f>+AD92+AD95+AD98+AD101</f>
        <v>0</v>
      </c>
      <c r="AE72" s="166">
        <f>+AE78-AC78+AE81-AC81+AE84-AC84+AE87-AC87</f>
        <v>0</v>
      </c>
      <c r="AF72" s="167">
        <f>+AF92+AF95+AF98+AF101</f>
        <v>0</v>
      </c>
      <c r="AG72" s="166">
        <f>+AG78-AE78+AG81-AE81+AG84-AE84+AG87-AE87</f>
        <v>0</v>
      </c>
      <c r="AH72" s="167">
        <f>+AH92+AH95+AH98+AH101</f>
        <v>0</v>
      </c>
      <c r="AI72" s="166">
        <f>+AI78-AG78+AI81-AG81+AI84-AG84+AI87-AG87</f>
        <v>0</v>
      </c>
      <c r="AJ72" s="167">
        <f>+AJ92+AJ95+AJ98+AJ101</f>
        <v>0</v>
      </c>
      <c r="AK72" s="166">
        <f>+AK78-AI78+AK81-AI81+AK84-AI84+AK87-AI87</f>
        <v>0</v>
      </c>
      <c r="AL72" s="167">
        <f>+AL92+AL95+AL98+AL101</f>
        <v>0</v>
      </c>
      <c r="AM72" s="166">
        <f>+AM78-AK78+AM81-AK81+AM84-AK84+AM87-AK87</f>
        <v>0</v>
      </c>
      <c r="AN72" s="167">
        <f>+AN92+AN95+AN98+AN101</f>
        <v>0</v>
      </c>
      <c r="AO72" s="166">
        <f>+AO78-AM78+AO81-AM81+AO84-AM84+AO87-AM87</f>
        <v>0</v>
      </c>
      <c r="AP72" s="167">
        <f>+AP92+AP95+AP98+AP101</f>
        <v>0</v>
      </c>
      <c r="AQ72" s="166">
        <f>+AQ78-AO78+AQ81-AO81+AQ84-AO84+AQ87-AO87</f>
        <v>0</v>
      </c>
      <c r="AR72" s="167">
        <f>+AR92+AR95+AR98+AR101</f>
        <v>0</v>
      </c>
      <c r="AS72" s="166">
        <f>+AS78-AQ78+AS81-AQ81+AS84-AQ84+AS87-AQ87</f>
        <v>0</v>
      </c>
      <c r="AT72" s="167">
        <f>+AT92+AT95+AT98+AT101</f>
        <v>0</v>
      </c>
      <c r="AU72" s="166">
        <f>+AU78-AS78+AU81-AS81+AU84-AS84+AU87-AS87</f>
        <v>0</v>
      </c>
      <c r="AV72" s="167">
        <f>+AV92+AV95+AV98+AV101</f>
        <v>0</v>
      </c>
      <c r="AW72" s="166">
        <f>+AW78-AU78+AW81-AU81+AW84-AU84+AW87-AU87</f>
        <v>0</v>
      </c>
      <c r="AX72" s="167">
        <f>+AX92+AX95+AX98+AX101</f>
        <v>0</v>
      </c>
      <c r="AY72" s="166">
        <f>+AY78-AW78+AY81-AW81+AY84-AW84+AY87-AW87</f>
        <v>0</v>
      </c>
      <c r="AZ72" s="167">
        <f>+AZ92+AZ95+AZ98+AZ101</f>
        <v>0</v>
      </c>
      <c r="BA72" s="166">
        <f>+BA78-AY78+BA81-AY81+BA84-AY84+BA87-AY87</f>
        <v>0</v>
      </c>
      <c r="BB72" s="167">
        <f>+BB92+BB95+BB98+BB101</f>
        <v>0</v>
      </c>
      <c r="BC72" s="166">
        <f>+BC78-BA78+BC81-BA81+BC84-BA84+BC87-BA87</f>
        <v>0</v>
      </c>
      <c r="BD72" s="167">
        <f>+BD92+BD95+BD98+BD101</f>
        <v>0</v>
      </c>
      <c r="BE72" s="166">
        <f>+BE78-BC78+BE81-BC81+BE84-BC84+BE87-BC87</f>
        <v>0</v>
      </c>
      <c r="BF72" s="167">
        <f>+BF92+BF95+BF98+BF101</f>
        <v>0</v>
      </c>
      <c r="BG72" s="166">
        <f>+BG78-BE78+BG81-BE81+BG84-BE84+BG87-BE87</f>
        <v>0</v>
      </c>
      <c r="BH72" s="49"/>
      <c r="BI72" s="48"/>
      <c r="BJ72" s="49"/>
      <c r="BK72" s="48"/>
      <c r="BL72" s="49"/>
      <c r="BM72" s="48"/>
      <c r="BN72" s="50"/>
      <c r="BO72" s="170" t="e">
        <f t="shared" si="87"/>
        <v>#VALUE!</v>
      </c>
      <c r="BP72" s="167">
        <f>+BP92+BP95+BP98+BP101</f>
        <v>0</v>
      </c>
      <c r="BQ72" s="52"/>
    </row>
    <row r="73" spans="1:69" x14ac:dyDescent="0.35">
      <c r="A73" s="137"/>
      <c r="B73" s="138"/>
      <c r="C73" s="139"/>
      <c r="D73" s="189">
        <f t="shared" ref="D73:BG73" si="88">SUM(D68:D72)</f>
        <v>0</v>
      </c>
      <c r="E73" s="177" t="e">
        <f t="shared" si="88"/>
        <v>#VALUE!</v>
      </c>
      <c r="F73" s="167">
        <f t="shared" si="88"/>
        <v>0</v>
      </c>
      <c r="G73" s="177">
        <f t="shared" si="88"/>
        <v>0</v>
      </c>
      <c r="H73" s="167">
        <f t="shared" si="88"/>
        <v>0</v>
      </c>
      <c r="I73" s="177">
        <f t="shared" si="88"/>
        <v>0</v>
      </c>
      <c r="J73" s="167">
        <f t="shared" si="88"/>
        <v>0</v>
      </c>
      <c r="K73" s="177">
        <f t="shared" si="88"/>
        <v>0</v>
      </c>
      <c r="L73" s="167">
        <f t="shared" si="88"/>
        <v>0</v>
      </c>
      <c r="M73" s="177">
        <f t="shared" si="88"/>
        <v>0</v>
      </c>
      <c r="N73" s="167">
        <f t="shared" si="88"/>
        <v>0</v>
      </c>
      <c r="O73" s="177">
        <f t="shared" si="88"/>
        <v>0</v>
      </c>
      <c r="P73" s="167">
        <f t="shared" si="88"/>
        <v>0</v>
      </c>
      <c r="Q73" s="177">
        <f t="shared" si="88"/>
        <v>0</v>
      </c>
      <c r="R73" s="167">
        <f t="shared" si="88"/>
        <v>0</v>
      </c>
      <c r="S73" s="177">
        <f t="shared" si="88"/>
        <v>0</v>
      </c>
      <c r="T73" s="167">
        <f t="shared" si="88"/>
        <v>0</v>
      </c>
      <c r="U73" s="177">
        <f t="shared" si="88"/>
        <v>0</v>
      </c>
      <c r="V73" s="167">
        <f t="shared" si="88"/>
        <v>0</v>
      </c>
      <c r="W73" s="177">
        <f t="shared" si="88"/>
        <v>0</v>
      </c>
      <c r="X73" s="167">
        <f t="shared" si="88"/>
        <v>0</v>
      </c>
      <c r="Y73" s="177">
        <f t="shared" si="88"/>
        <v>0</v>
      </c>
      <c r="Z73" s="167">
        <f t="shared" si="88"/>
        <v>0</v>
      </c>
      <c r="AA73" s="177">
        <f t="shared" si="88"/>
        <v>0</v>
      </c>
      <c r="AB73" s="167">
        <f t="shared" si="88"/>
        <v>0</v>
      </c>
      <c r="AC73" s="177">
        <f t="shared" si="88"/>
        <v>0</v>
      </c>
      <c r="AD73" s="167">
        <f t="shared" si="88"/>
        <v>0</v>
      </c>
      <c r="AE73" s="177">
        <f t="shared" si="88"/>
        <v>0</v>
      </c>
      <c r="AF73" s="167">
        <f t="shared" si="88"/>
        <v>0</v>
      </c>
      <c r="AG73" s="177">
        <f t="shared" si="88"/>
        <v>0</v>
      </c>
      <c r="AH73" s="167">
        <f t="shared" si="88"/>
        <v>0</v>
      </c>
      <c r="AI73" s="177">
        <f t="shared" si="88"/>
        <v>0</v>
      </c>
      <c r="AJ73" s="167">
        <f t="shared" si="88"/>
        <v>0</v>
      </c>
      <c r="AK73" s="177">
        <f t="shared" si="88"/>
        <v>0</v>
      </c>
      <c r="AL73" s="167">
        <f t="shared" si="88"/>
        <v>0</v>
      </c>
      <c r="AM73" s="177">
        <f t="shared" si="88"/>
        <v>0</v>
      </c>
      <c r="AN73" s="167">
        <f t="shared" si="88"/>
        <v>0</v>
      </c>
      <c r="AO73" s="177">
        <f t="shared" si="88"/>
        <v>0</v>
      </c>
      <c r="AP73" s="167">
        <f t="shared" si="88"/>
        <v>0</v>
      </c>
      <c r="AQ73" s="177">
        <f t="shared" si="88"/>
        <v>0</v>
      </c>
      <c r="AR73" s="167">
        <f t="shared" si="88"/>
        <v>0</v>
      </c>
      <c r="AS73" s="177">
        <f t="shared" si="88"/>
        <v>0</v>
      </c>
      <c r="AT73" s="167">
        <f t="shared" si="88"/>
        <v>0</v>
      </c>
      <c r="AU73" s="177">
        <f t="shared" si="88"/>
        <v>0</v>
      </c>
      <c r="AV73" s="167">
        <f t="shared" si="88"/>
        <v>0</v>
      </c>
      <c r="AW73" s="177">
        <f t="shared" si="88"/>
        <v>0</v>
      </c>
      <c r="AX73" s="167">
        <f t="shared" si="88"/>
        <v>0</v>
      </c>
      <c r="AY73" s="177">
        <f t="shared" si="88"/>
        <v>0</v>
      </c>
      <c r="AZ73" s="167">
        <f t="shared" si="88"/>
        <v>0</v>
      </c>
      <c r="BA73" s="177">
        <f t="shared" si="88"/>
        <v>0</v>
      </c>
      <c r="BB73" s="167">
        <f t="shared" si="88"/>
        <v>0</v>
      </c>
      <c r="BC73" s="177">
        <f t="shared" si="88"/>
        <v>0</v>
      </c>
      <c r="BD73" s="167">
        <f t="shared" si="88"/>
        <v>0</v>
      </c>
      <c r="BE73" s="177">
        <f t="shared" si="88"/>
        <v>0</v>
      </c>
      <c r="BF73" s="167">
        <f t="shared" si="88"/>
        <v>0</v>
      </c>
      <c r="BG73" s="177">
        <f t="shared" si="88"/>
        <v>0</v>
      </c>
      <c r="BH73" s="49"/>
      <c r="BI73" s="91"/>
      <c r="BJ73" s="49"/>
      <c r="BK73" s="91"/>
      <c r="BL73" s="49"/>
      <c r="BM73" s="91"/>
      <c r="BN73" s="92"/>
      <c r="BO73" s="170" t="e">
        <f t="shared" si="87"/>
        <v>#VALUE!</v>
      </c>
      <c r="BP73" s="167">
        <f t="shared" ref="BP73" si="89">SUM(BP68:BP72)</f>
        <v>0</v>
      </c>
      <c r="BQ73" s="93"/>
    </row>
    <row r="74" spans="1:69" x14ac:dyDescent="0.35">
      <c r="A74" s="53" t="s">
        <v>30</v>
      </c>
      <c r="B74" s="138"/>
      <c r="C74" s="210" t="str">
        <f>IF('January 2027 Log'!BM74="","",'January 2027 Log'!BM74)</f>
        <v/>
      </c>
      <c r="D74" s="47"/>
      <c r="E74" s="48"/>
      <c r="F74" s="49"/>
      <c r="G74" s="48"/>
      <c r="H74" s="49"/>
      <c r="I74" s="48"/>
      <c r="J74" s="49"/>
      <c r="K74" s="48"/>
      <c r="L74" s="49"/>
      <c r="M74" s="48"/>
      <c r="N74" s="49"/>
      <c r="O74" s="48"/>
      <c r="P74" s="49"/>
      <c r="Q74" s="48"/>
      <c r="R74" s="49"/>
      <c r="S74" s="48"/>
      <c r="T74" s="49"/>
      <c r="U74" s="48"/>
      <c r="V74" s="49"/>
      <c r="W74" s="48"/>
      <c r="X74" s="49"/>
      <c r="Y74" s="48"/>
      <c r="Z74" s="49"/>
      <c r="AA74" s="48"/>
      <c r="AB74" s="49"/>
      <c r="AC74" s="48"/>
      <c r="AD74" s="49"/>
      <c r="AE74" s="48"/>
      <c r="AF74" s="49"/>
      <c r="AG74" s="48"/>
      <c r="AH74" s="49"/>
      <c r="AI74" s="48"/>
      <c r="AJ74" s="49"/>
      <c r="AK74" s="48"/>
      <c r="AL74" s="49"/>
      <c r="AM74" s="48"/>
      <c r="AN74" s="49"/>
      <c r="AO74" s="48"/>
      <c r="AP74" s="49"/>
      <c r="AQ74" s="48"/>
      <c r="AR74" s="49"/>
      <c r="AS74" s="48"/>
      <c r="AT74" s="49"/>
      <c r="AU74" s="48"/>
      <c r="AV74" s="49"/>
      <c r="AW74" s="48"/>
      <c r="AX74" s="49"/>
      <c r="AY74" s="48"/>
      <c r="AZ74" s="49"/>
      <c r="BA74" s="48"/>
      <c r="BB74" s="49"/>
      <c r="BC74" s="48"/>
      <c r="BD74" s="49"/>
      <c r="BE74" s="48"/>
      <c r="BF74" s="49"/>
      <c r="BG74" s="48"/>
      <c r="BH74" s="49"/>
      <c r="BI74" s="48"/>
      <c r="BJ74" s="49"/>
      <c r="BK74" s="48"/>
      <c r="BL74" s="49"/>
      <c r="BM74" s="48"/>
      <c r="BN74" s="50"/>
      <c r="BO74" s="170" t="str">
        <f t="shared" si="87"/>
        <v/>
      </c>
      <c r="BP74" s="49"/>
      <c r="BQ74" s="178" t="str">
        <f>IF(BG74="","",BG74)</f>
        <v/>
      </c>
    </row>
    <row r="75" spans="1:69" x14ac:dyDescent="0.35">
      <c r="A75" s="98" t="s">
        <v>31</v>
      </c>
      <c r="B75" s="138"/>
      <c r="C75" s="211">
        <f>IF('January 2027 Log'!BM75="","",'January 2027 Log'!BM75)</f>
        <v>0</v>
      </c>
      <c r="D75" s="47"/>
      <c r="E75" s="177">
        <f>+E57-E74</f>
        <v>0</v>
      </c>
      <c r="F75" s="49"/>
      <c r="G75" s="177">
        <f>+G57-G74</f>
        <v>0</v>
      </c>
      <c r="H75" s="49"/>
      <c r="I75" s="177">
        <f>+I57-I74</f>
        <v>0</v>
      </c>
      <c r="J75" s="49"/>
      <c r="K75" s="177">
        <f>+K57-K74</f>
        <v>0</v>
      </c>
      <c r="L75" s="49"/>
      <c r="M75" s="177">
        <f>+M57-M74</f>
        <v>0</v>
      </c>
      <c r="N75" s="49"/>
      <c r="O75" s="177">
        <f>+O57-O74</f>
        <v>0</v>
      </c>
      <c r="P75" s="49"/>
      <c r="Q75" s="177">
        <f>+Q57-Q74</f>
        <v>0</v>
      </c>
      <c r="R75" s="49"/>
      <c r="S75" s="177">
        <f>+S57-S74</f>
        <v>0</v>
      </c>
      <c r="T75" s="49"/>
      <c r="U75" s="177">
        <f>+U57-U74</f>
        <v>0</v>
      </c>
      <c r="V75" s="49"/>
      <c r="W75" s="177">
        <f>+W57-W74</f>
        <v>0</v>
      </c>
      <c r="X75" s="49"/>
      <c r="Y75" s="177">
        <f>+Y57-Y74</f>
        <v>0</v>
      </c>
      <c r="Z75" s="49"/>
      <c r="AA75" s="177">
        <f>+AA57-AA74</f>
        <v>0</v>
      </c>
      <c r="AB75" s="49"/>
      <c r="AC75" s="177">
        <f>+AC57-AC74</f>
        <v>0</v>
      </c>
      <c r="AD75" s="49"/>
      <c r="AE75" s="177">
        <f>+AE57-AE74</f>
        <v>0</v>
      </c>
      <c r="AF75" s="49"/>
      <c r="AG75" s="177">
        <f>+AG57-AG74</f>
        <v>0</v>
      </c>
      <c r="AH75" s="49"/>
      <c r="AI75" s="177">
        <f>+AI57-AI74</f>
        <v>0</v>
      </c>
      <c r="AJ75" s="49"/>
      <c r="AK75" s="177">
        <f>+AK57-AK74</f>
        <v>0</v>
      </c>
      <c r="AL75" s="49"/>
      <c r="AM75" s="177">
        <f>+AM57-AM74</f>
        <v>0</v>
      </c>
      <c r="AN75" s="49"/>
      <c r="AO75" s="177">
        <f>+AO57-AO74</f>
        <v>0</v>
      </c>
      <c r="AP75" s="49"/>
      <c r="AQ75" s="177">
        <f>+AQ57-AQ74</f>
        <v>0</v>
      </c>
      <c r="AR75" s="49"/>
      <c r="AS75" s="177">
        <f>+AS57-AS74</f>
        <v>0</v>
      </c>
      <c r="AT75" s="49"/>
      <c r="AU75" s="177">
        <f>+AU57-AU74</f>
        <v>0</v>
      </c>
      <c r="AV75" s="49"/>
      <c r="AW75" s="177">
        <f>+AW57-AW74</f>
        <v>0</v>
      </c>
      <c r="AX75" s="49"/>
      <c r="AY75" s="177">
        <f>+AY57-AY74</f>
        <v>0</v>
      </c>
      <c r="AZ75" s="49"/>
      <c r="BA75" s="177">
        <f>+BA57-BA74</f>
        <v>0</v>
      </c>
      <c r="BB75" s="49"/>
      <c r="BC75" s="177">
        <f>+BC57-BC74</f>
        <v>0</v>
      </c>
      <c r="BD75" s="49"/>
      <c r="BE75" s="177">
        <f>+BE57-BE74</f>
        <v>0</v>
      </c>
      <c r="BF75" s="49"/>
      <c r="BG75" s="177">
        <f>+BG57-BG74</f>
        <v>0</v>
      </c>
      <c r="BH75" s="49"/>
      <c r="BI75" s="91"/>
      <c r="BJ75" s="49"/>
      <c r="BK75" s="91"/>
      <c r="BL75" s="49"/>
      <c r="BM75" s="91"/>
      <c r="BN75" s="92"/>
      <c r="BO75" s="170">
        <f t="shared" si="87"/>
        <v>0</v>
      </c>
      <c r="BP75" s="49"/>
      <c r="BQ75" s="179">
        <f>IF(BG75="","",BG75)</f>
        <v>0</v>
      </c>
    </row>
    <row r="76" spans="1:69" ht="28.9" customHeight="1" x14ac:dyDescent="0.35">
      <c r="A76" s="74" t="s">
        <v>92</v>
      </c>
      <c r="B76" s="75"/>
      <c r="C76" s="141"/>
      <c r="D76" s="102"/>
      <c r="E76" s="142"/>
      <c r="F76" s="104"/>
      <c r="G76" s="142"/>
      <c r="H76" s="104"/>
      <c r="I76" s="142"/>
      <c r="J76" s="104"/>
      <c r="K76" s="142"/>
      <c r="L76" s="104"/>
      <c r="M76" s="142"/>
      <c r="N76" s="104"/>
      <c r="O76" s="142"/>
      <c r="P76" s="104"/>
      <c r="Q76" s="142"/>
      <c r="R76" s="104"/>
      <c r="S76" s="142"/>
      <c r="T76" s="104"/>
      <c r="U76" s="142"/>
      <c r="V76" s="104"/>
      <c r="W76" s="142"/>
      <c r="X76" s="104"/>
      <c r="Y76" s="142"/>
      <c r="Z76" s="104"/>
      <c r="AA76" s="142"/>
      <c r="AB76" s="104"/>
      <c r="AC76" s="142"/>
      <c r="AD76" s="104"/>
      <c r="AE76" s="142"/>
      <c r="AF76" s="104"/>
      <c r="AG76" s="142"/>
      <c r="AH76" s="104"/>
      <c r="AI76" s="142"/>
      <c r="AJ76" s="104"/>
      <c r="AK76" s="142"/>
      <c r="AL76" s="104"/>
      <c r="AM76" s="142"/>
      <c r="AN76" s="104"/>
      <c r="AO76" s="142"/>
      <c r="AP76" s="104"/>
      <c r="AQ76" s="142"/>
      <c r="AR76" s="104"/>
      <c r="AS76" s="142"/>
      <c r="AT76" s="104"/>
      <c r="AU76" s="142"/>
      <c r="AV76" s="104"/>
      <c r="AW76" s="142"/>
      <c r="AX76" s="104"/>
      <c r="AY76" s="142"/>
      <c r="AZ76" s="104"/>
      <c r="BA76" s="142"/>
      <c r="BB76" s="104"/>
      <c r="BC76" s="142"/>
      <c r="BD76" s="104"/>
      <c r="BE76" s="142"/>
      <c r="BF76" s="104"/>
      <c r="BG76" s="142"/>
      <c r="BH76" s="104"/>
      <c r="BI76" s="142"/>
      <c r="BJ76" s="104"/>
      <c r="BK76" s="142"/>
      <c r="BL76" s="104"/>
      <c r="BM76" s="142"/>
      <c r="BN76" s="105"/>
      <c r="BO76" s="106"/>
      <c r="BP76" s="104"/>
      <c r="BQ76" s="107"/>
    </row>
    <row r="77" spans="1:69" x14ac:dyDescent="0.35">
      <c r="A77" s="132" t="s">
        <v>75</v>
      </c>
      <c r="B77" s="54" t="s">
        <v>65</v>
      </c>
      <c r="C77" s="174" t="str">
        <f>IF('January 2027 Log'!BM77="","",'January 2027 Log'!BM77)</f>
        <v/>
      </c>
      <c r="D77" s="189" t="e">
        <f t="shared" ref="D77:D104" si="90">+E77-C77</f>
        <v>#VALUE!</v>
      </c>
      <c r="E77" s="86"/>
      <c r="F77" s="167">
        <f t="shared" ref="F77:F104" si="91">+G77-E77</f>
        <v>0</v>
      </c>
      <c r="G77" s="86"/>
      <c r="H77" s="167">
        <f t="shared" ref="H77:H104" si="92">+I77-G77</f>
        <v>0</v>
      </c>
      <c r="I77" s="86"/>
      <c r="J77" s="167">
        <f t="shared" ref="J77:J104" si="93">+K77-I77</f>
        <v>0</v>
      </c>
      <c r="K77" s="86"/>
      <c r="L77" s="167">
        <f t="shared" ref="L77:L89" si="94">+M77-K77</f>
        <v>0</v>
      </c>
      <c r="M77" s="86"/>
      <c r="N77" s="167">
        <f t="shared" ref="N77:N89" si="95">+O77-M77</f>
        <v>0</v>
      </c>
      <c r="O77" s="86"/>
      <c r="P77" s="167">
        <f t="shared" ref="P77:P89" si="96">+Q77-O77</f>
        <v>0</v>
      </c>
      <c r="Q77" s="86"/>
      <c r="R77" s="167">
        <f t="shared" ref="R77:R89" si="97">+S77-Q77</f>
        <v>0</v>
      </c>
      <c r="S77" s="86"/>
      <c r="T77" s="167">
        <f t="shared" ref="T77:T89" si="98">+U77-S77</f>
        <v>0</v>
      </c>
      <c r="U77" s="86"/>
      <c r="V77" s="167">
        <f t="shared" ref="V77:V89" si="99">+W77-U77</f>
        <v>0</v>
      </c>
      <c r="W77" s="86"/>
      <c r="X77" s="167">
        <f t="shared" ref="X77:X89" si="100">+Y77-W77</f>
        <v>0</v>
      </c>
      <c r="Y77" s="86"/>
      <c r="Z77" s="167">
        <f t="shared" ref="Z77:Z89" si="101">+AA77-Y77</f>
        <v>0</v>
      </c>
      <c r="AA77" s="86"/>
      <c r="AB77" s="167">
        <f t="shared" ref="AB77:AB89" si="102">+AC77-AA77</f>
        <v>0</v>
      </c>
      <c r="AC77" s="86"/>
      <c r="AD77" s="167">
        <f t="shared" ref="AD77:AD89" si="103">+AE77-AC77</f>
        <v>0</v>
      </c>
      <c r="AE77" s="86"/>
      <c r="AF77" s="167">
        <f t="shared" ref="AF77:AF89" si="104">+AG77-AE77</f>
        <v>0</v>
      </c>
      <c r="AG77" s="86"/>
      <c r="AH77" s="167">
        <f t="shared" ref="AH77:AH89" si="105">+AI77-AG77</f>
        <v>0</v>
      </c>
      <c r="AI77" s="86"/>
      <c r="AJ77" s="167">
        <f t="shared" ref="AJ77:AJ89" si="106">+AK77-AI77</f>
        <v>0</v>
      </c>
      <c r="AK77" s="86"/>
      <c r="AL77" s="167">
        <f t="shared" ref="AL77:AL89" si="107">+AM77-AK77</f>
        <v>0</v>
      </c>
      <c r="AM77" s="86"/>
      <c r="AN77" s="167">
        <f t="shared" ref="AN77:AN89" si="108">+AO77-AM77</f>
        <v>0</v>
      </c>
      <c r="AO77" s="86"/>
      <c r="AP77" s="167">
        <f t="shared" ref="AP77:AP89" si="109">+AQ77-AO77</f>
        <v>0</v>
      </c>
      <c r="AQ77" s="86"/>
      <c r="AR77" s="167">
        <f t="shared" ref="AR77:AR89" si="110">+AS77-AQ77</f>
        <v>0</v>
      </c>
      <c r="AS77" s="86"/>
      <c r="AT77" s="167">
        <f t="shared" ref="AT77:AT89" si="111">+AU77-AS77</f>
        <v>0</v>
      </c>
      <c r="AU77" s="86"/>
      <c r="AV77" s="167">
        <f t="shared" ref="AV77:AV89" si="112">+AW77-AU77</f>
        <v>0</v>
      </c>
      <c r="AW77" s="86"/>
      <c r="AX77" s="167">
        <f t="shared" ref="AX77:AX89" si="113">+AY77-AW77</f>
        <v>0</v>
      </c>
      <c r="AY77" s="86"/>
      <c r="AZ77" s="167">
        <f t="shared" ref="AZ77:AZ89" si="114">+BA77-AY77</f>
        <v>0</v>
      </c>
      <c r="BA77" s="86"/>
      <c r="BB77" s="167">
        <f t="shared" ref="BB77:BB89" si="115">+BC77-BA77</f>
        <v>0</v>
      </c>
      <c r="BC77" s="86"/>
      <c r="BD77" s="167">
        <f t="shared" ref="BD77:BD89" si="116">+BE77-BC77</f>
        <v>0</v>
      </c>
      <c r="BE77" s="86"/>
      <c r="BF77" s="167">
        <f t="shared" ref="BF77:BF89" si="117">+BG77-BE77</f>
        <v>0</v>
      </c>
      <c r="BG77" s="86"/>
      <c r="BH77" s="49"/>
      <c r="BI77" s="86"/>
      <c r="BJ77" s="49"/>
      <c r="BK77" s="86"/>
      <c r="BL77" s="49"/>
      <c r="BM77" s="86"/>
      <c r="BN77" s="50"/>
      <c r="BO77" s="170" t="e">
        <f t="shared" ref="BO77:BO88" si="118">IF(COUNT(D77,F77,H77,J77,L77,N77,P77,R77,T77,V77,X77,Z77,AB77,AD77,AF77,AH77,AJ77,AL77,AN77,AP77,AR77,AT77,AV77,AX77,AZ77,BB77,BD77,BF77,BH77,BJ77,BL77)=0,"",SUM(D77,F77,H77,J77,L77,N77,P77,R77,T77,V77,X77,Z77,AB77,AD77,AF77,AH77,AJ77,AL77,AN77,AP77,AR77,AT77,AV77,AX77,AZ77,BB77,BD77,BF77,BH77,BJ77,BL77))</f>
        <v>#VALUE!</v>
      </c>
      <c r="BP77" s="193" t="e">
        <f>+BQ77-BM77</f>
        <v>#VALUE!</v>
      </c>
      <c r="BQ77" s="212" t="str">
        <f t="shared" ref="BQ77:BQ88" si="119">IF(BG77="","",BG77)</f>
        <v/>
      </c>
    </row>
    <row r="78" spans="1:69" x14ac:dyDescent="0.35">
      <c r="A78" s="136" t="s">
        <v>76</v>
      </c>
      <c r="B78" s="54" t="s">
        <v>66</v>
      </c>
      <c r="C78" s="174" t="str">
        <f>IF('January 2027 Log'!BM78="","",'January 2027 Log'!BM78)</f>
        <v/>
      </c>
      <c r="D78" s="189" t="e">
        <f t="shared" si="90"/>
        <v>#VALUE!</v>
      </c>
      <c r="E78" s="86"/>
      <c r="F78" s="167">
        <f t="shared" si="91"/>
        <v>0</v>
      </c>
      <c r="G78" s="86"/>
      <c r="H78" s="167">
        <f t="shared" si="92"/>
        <v>0</v>
      </c>
      <c r="I78" s="86"/>
      <c r="J78" s="167">
        <f t="shared" si="93"/>
        <v>0</v>
      </c>
      <c r="K78" s="86"/>
      <c r="L78" s="167">
        <f t="shared" si="94"/>
        <v>0</v>
      </c>
      <c r="M78" s="86"/>
      <c r="N78" s="167">
        <f t="shared" si="95"/>
        <v>0</v>
      </c>
      <c r="O78" s="86"/>
      <c r="P78" s="167">
        <f t="shared" si="96"/>
        <v>0</v>
      </c>
      <c r="Q78" s="86"/>
      <c r="R78" s="167">
        <f t="shared" si="97"/>
        <v>0</v>
      </c>
      <c r="S78" s="86"/>
      <c r="T78" s="167">
        <f t="shared" si="98"/>
        <v>0</v>
      </c>
      <c r="U78" s="86"/>
      <c r="V78" s="167">
        <f t="shared" si="99"/>
        <v>0</v>
      </c>
      <c r="W78" s="86"/>
      <c r="X78" s="167">
        <f t="shared" si="100"/>
        <v>0</v>
      </c>
      <c r="Y78" s="86"/>
      <c r="Z78" s="167">
        <f t="shared" si="101"/>
        <v>0</v>
      </c>
      <c r="AA78" s="86"/>
      <c r="AB78" s="167">
        <f t="shared" si="102"/>
        <v>0</v>
      </c>
      <c r="AC78" s="86"/>
      <c r="AD78" s="167">
        <f t="shared" si="103"/>
        <v>0</v>
      </c>
      <c r="AE78" s="86"/>
      <c r="AF78" s="167">
        <f t="shared" si="104"/>
        <v>0</v>
      </c>
      <c r="AG78" s="86"/>
      <c r="AH78" s="167">
        <f t="shared" si="105"/>
        <v>0</v>
      </c>
      <c r="AI78" s="86"/>
      <c r="AJ78" s="167">
        <f t="shared" si="106"/>
        <v>0</v>
      </c>
      <c r="AK78" s="86"/>
      <c r="AL78" s="167">
        <f t="shared" si="107"/>
        <v>0</v>
      </c>
      <c r="AM78" s="86"/>
      <c r="AN78" s="167">
        <f t="shared" si="108"/>
        <v>0</v>
      </c>
      <c r="AO78" s="86"/>
      <c r="AP78" s="167">
        <f t="shared" si="109"/>
        <v>0</v>
      </c>
      <c r="AQ78" s="86"/>
      <c r="AR78" s="167">
        <f t="shared" si="110"/>
        <v>0</v>
      </c>
      <c r="AS78" s="86"/>
      <c r="AT78" s="167">
        <f t="shared" si="111"/>
        <v>0</v>
      </c>
      <c r="AU78" s="86"/>
      <c r="AV78" s="167">
        <f t="shared" si="112"/>
        <v>0</v>
      </c>
      <c r="AW78" s="86"/>
      <c r="AX78" s="167">
        <f t="shared" si="113"/>
        <v>0</v>
      </c>
      <c r="AY78" s="86"/>
      <c r="AZ78" s="167">
        <f t="shared" si="114"/>
        <v>0</v>
      </c>
      <c r="BA78" s="86"/>
      <c r="BB78" s="167">
        <f t="shared" si="115"/>
        <v>0</v>
      </c>
      <c r="BC78" s="86"/>
      <c r="BD78" s="167">
        <f t="shared" si="116"/>
        <v>0</v>
      </c>
      <c r="BE78" s="86"/>
      <c r="BF78" s="167">
        <f t="shared" si="117"/>
        <v>0</v>
      </c>
      <c r="BG78" s="86"/>
      <c r="BH78" s="49"/>
      <c r="BI78" s="86"/>
      <c r="BJ78" s="49"/>
      <c r="BK78" s="86"/>
      <c r="BL78" s="49"/>
      <c r="BM78" s="86"/>
      <c r="BN78" s="50"/>
      <c r="BO78" s="170" t="e">
        <f t="shared" si="118"/>
        <v>#VALUE!</v>
      </c>
      <c r="BP78" s="167" t="e">
        <f t="shared" ref="BP78:BP89" si="120">+BQ78-BM78</f>
        <v>#VALUE!</v>
      </c>
      <c r="BQ78" s="178" t="str">
        <f t="shared" si="119"/>
        <v/>
      </c>
    </row>
    <row r="79" spans="1:69" x14ac:dyDescent="0.35">
      <c r="A79" s="134" t="s">
        <v>77</v>
      </c>
      <c r="B79" s="54" t="s">
        <v>67</v>
      </c>
      <c r="C79" s="174" t="str">
        <f>IF('January 2027 Log'!BM79="","",'January 2027 Log'!BM79)</f>
        <v/>
      </c>
      <c r="D79" s="189" t="e">
        <f t="shared" si="90"/>
        <v>#VALUE!</v>
      </c>
      <c r="E79" s="86"/>
      <c r="F79" s="167">
        <f t="shared" si="91"/>
        <v>0</v>
      </c>
      <c r="G79" s="86"/>
      <c r="H79" s="167">
        <f t="shared" si="92"/>
        <v>0</v>
      </c>
      <c r="I79" s="86"/>
      <c r="J79" s="167">
        <f t="shared" si="93"/>
        <v>0</v>
      </c>
      <c r="K79" s="86"/>
      <c r="L79" s="167">
        <f t="shared" si="94"/>
        <v>0</v>
      </c>
      <c r="M79" s="86"/>
      <c r="N79" s="167">
        <f t="shared" si="95"/>
        <v>0</v>
      </c>
      <c r="O79" s="86"/>
      <c r="P79" s="167">
        <f t="shared" si="96"/>
        <v>0</v>
      </c>
      <c r="Q79" s="86"/>
      <c r="R79" s="167">
        <f t="shared" si="97"/>
        <v>0</v>
      </c>
      <c r="S79" s="86"/>
      <c r="T79" s="167">
        <f t="shared" si="98"/>
        <v>0</v>
      </c>
      <c r="U79" s="86"/>
      <c r="V79" s="167">
        <f t="shared" si="99"/>
        <v>0</v>
      </c>
      <c r="W79" s="86"/>
      <c r="X79" s="167">
        <f t="shared" si="100"/>
        <v>0</v>
      </c>
      <c r="Y79" s="86"/>
      <c r="Z79" s="167">
        <f t="shared" si="101"/>
        <v>0</v>
      </c>
      <c r="AA79" s="86"/>
      <c r="AB79" s="167">
        <f t="shared" si="102"/>
        <v>0</v>
      </c>
      <c r="AC79" s="86"/>
      <c r="AD79" s="167">
        <f t="shared" si="103"/>
        <v>0</v>
      </c>
      <c r="AE79" s="86"/>
      <c r="AF79" s="167">
        <f t="shared" si="104"/>
        <v>0</v>
      </c>
      <c r="AG79" s="86"/>
      <c r="AH79" s="167">
        <f t="shared" si="105"/>
        <v>0</v>
      </c>
      <c r="AI79" s="86"/>
      <c r="AJ79" s="167">
        <f t="shared" si="106"/>
        <v>0</v>
      </c>
      <c r="AK79" s="86"/>
      <c r="AL79" s="167">
        <f t="shared" si="107"/>
        <v>0</v>
      </c>
      <c r="AM79" s="86"/>
      <c r="AN79" s="167">
        <f t="shared" si="108"/>
        <v>0</v>
      </c>
      <c r="AO79" s="86"/>
      <c r="AP79" s="167">
        <f t="shared" si="109"/>
        <v>0</v>
      </c>
      <c r="AQ79" s="86"/>
      <c r="AR79" s="167">
        <f t="shared" si="110"/>
        <v>0</v>
      </c>
      <c r="AS79" s="86"/>
      <c r="AT79" s="167">
        <f t="shared" si="111"/>
        <v>0</v>
      </c>
      <c r="AU79" s="86"/>
      <c r="AV79" s="167">
        <f t="shared" si="112"/>
        <v>0</v>
      </c>
      <c r="AW79" s="86"/>
      <c r="AX79" s="167">
        <f t="shared" si="113"/>
        <v>0</v>
      </c>
      <c r="AY79" s="86"/>
      <c r="AZ79" s="167">
        <f t="shared" si="114"/>
        <v>0</v>
      </c>
      <c r="BA79" s="86"/>
      <c r="BB79" s="167">
        <f t="shared" si="115"/>
        <v>0</v>
      </c>
      <c r="BC79" s="86"/>
      <c r="BD79" s="167">
        <f t="shared" si="116"/>
        <v>0</v>
      </c>
      <c r="BE79" s="86"/>
      <c r="BF79" s="167">
        <f t="shared" si="117"/>
        <v>0</v>
      </c>
      <c r="BG79" s="86"/>
      <c r="BH79" s="49"/>
      <c r="BI79" s="86"/>
      <c r="BJ79" s="49"/>
      <c r="BK79" s="86"/>
      <c r="BL79" s="49"/>
      <c r="BM79" s="86"/>
      <c r="BN79" s="50"/>
      <c r="BO79" s="170" t="e">
        <f t="shared" si="118"/>
        <v>#VALUE!</v>
      </c>
      <c r="BP79" s="167" t="e">
        <f t="shared" si="120"/>
        <v>#VALUE!</v>
      </c>
      <c r="BQ79" s="178" t="str">
        <f t="shared" si="119"/>
        <v/>
      </c>
    </row>
    <row r="80" spans="1:69" x14ac:dyDescent="0.35">
      <c r="A80" s="132" t="s">
        <v>78</v>
      </c>
      <c r="B80" s="54" t="s">
        <v>65</v>
      </c>
      <c r="C80" s="174" t="str">
        <f>IF('January 2027 Log'!BM80="","",'January 2027 Log'!BM80)</f>
        <v/>
      </c>
      <c r="D80" s="189" t="e">
        <f t="shared" si="90"/>
        <v>#VALUE!</v>
      </c>
      <c r="E80" s="86"/>
      <c r="F80" s="167">
        <f t="shared" si="91"/>
        <v>0</v>
      </c>
      <c r="G80" s="86"/>
      <c r="H80" s="167">
        <f t="shared" si="92"/>
        <v>0</v>
      </c>
      <c r="I80" s="86"/>
      <c r="J80" s="167">
        <f t="shared" si="93"/>
        <v>0</v>
      </c>
      <c r="K80" s="86"/>
      <c r="L80" s="167">
        <f t="shared" si="94"/>
        <v>0</v>
      </c>
      <c r="M80" s="86"/>
      <c r="N80" s="167">
        <f t="shared" si="95"/>
        <v>0</v>
      </c>
      <c r="O80" s="86"/>
      <c r="P80" s="167">
        <f t="shared" si="96"/>
        <v>0</v>
      </c>
      <c r="Q80" s="86"/>
      <c r="R80" s="167">
        <f t="shared" si="97"/>
        <v>0</v>
      </c>
      <c r="S80" s="86"/>
      <c r="T80" s="167">
        <f t="shared" si="98"/>
        <v>0</v>
      </c>
      <c r="U80" s="86"/>
      <c r="V80" s="167">
        <f t="shared" si="99"/>
        <v>0</v>
      </c>
      <c r="W80" s="86"/>
      <c r="X80" s="167">
        <f t="shared" si="100"/>
        <v>0</v>
      </c>
      <c r="Y80" s="86"/>
      <c r="Z80" s="167">
        <f t="shared" si="101"/>
        <v>0</v>
      </c>
      <c r="AA80" s="86"/>
      <c r="AB80" s="167">
        <f t="shared" si="102"/>
        <v>0</v>
      </c>
      <c r="AC80" s="86"/>
      <c r="AD80" s="167">
        <f t="shared" si="103"/>
        <v>0</v>
      </c>
      <c r="AE80" s="86"/>
      <c r="AF80" s="167">
        <f t="shared" si="104"/>
        <v>0</v>
      </c>
      <c r="AG80" s="86"/>
      <c r="AH80" s="167">
        <f t="shared" si="105"/>
        <v>0</v>
      </c>
      <c r="AI80" s="86"/>
      <c r="AJ80" s="167">
        <f t="shared" si="106"/>
        <v>0</v>
      </c>
      <c r="AK80" s="86"/>
      <c r="AL80" s="167">
        <f t="shared" si="107"/>
        <v>0</v>
      </c>
      <c r="AM80" s="86"/>
      <c r="AN80" s="167">
        <f t="shared" si="108"/>
        <v>0</v>
      </c>
      <c r="AO80" s="86"/>
      <c r="AP80" s="167">
        <f t="shared" si="109"/>
        <v>0</v>
      </c>
      <c r="AQ80" s="86"/>
      <c r="AR80" s="167">
        <f t="shared" si="110"/>
        <v>0</v>
      </c>
      <c r="AS80" s="86"/>
      <c r="AT80" s="167">
        <f t="shared" si="111"/>
        <v>0</v>
      </c>
      <c r="AU80" s="86"/>
      <c r="AV80" s="167">
        <f t="shared" si="112"/>
        <v>0</v>
      </c>
      <c r="AW80" s="86"/>
      <c r="AX80" s="167">
        <f t="shared" si="113"/>
        <v>0</v>
      </c>
      <c r="AY80" s="86"/>
      <c r="AZ80" s="167">
        <f t="shared" si="114"/>
        <v>0</v>
      </c>
      <c r="BA80" s="86"/>
      <c r="BB80" s="167">
        <f t="shared" si="115"/>
        <v>0</v>
      </c>
      <c r="BC80" s="86"/>
      <c r="BD80" s="167">
        <f t="shared" si="116"/>
        <v>0</v>
      </c>
      <c r="BE80" s="86"/>
      <c r="BF80" s="167">
        <f t="shared" si="117"/>
        <v>0</v>
      </c>
      <c r="BG80" s="86"/>
      <c r="BH80" s="49"/>
      <c r="BI80" s="86"/>
      <c r="BJ80" s="49"/>
      <c r="BK80" s="86"/>
      <c r="BL80" s="49"/>
      <c r="BM80" s="86"/>
      <c r="BN80" s="50"/>
      <c r="BO80" s="170" t="e">
        <f t="shared" si="118"/>
        <v>#VALUE!</v>
      </c>
      <c r="BP80" s="167" t="e">
        <f t="shared" si="120"/>
        <v>#VALUE!</v>
      </c>
      <c r="BQ80" s="178" t="str">
        <f t="shared" si="119"/>
        <v/>
      </c>
    </row>
    <row r="81" spans="1:69" x14ac:dyDescent="0.35">
      <c r="A81" s="136" t="s">
        <v>79</v>
      </c>
      <c r="B81" s="54" t="s">
        <v>66</v>
      </c>
      <c r="C81" s="174" t="str">
        <f>IF('January 2027 Log'!BM81="","",'January 2027 Log'!BM81)</f>
        <v/>
      </c>
      <c r="D81" s="189" t="e">
        <f t="shared" si="90"/>
        <v>#VALUE!</v>
      </c>
      <c r="E81" s="86"/>
      <c r="F81" s="167">
        <f t="shared" si="91"/>
        <v>0</v>
      </c>
      <c r="G81" s="86"/>
      <c r="H81" s="167">
        <f t="shared" si="92"/>
        <v>0</v>
      </c>
      <c r="I81" s="86"/>
      <c r="J81" s="167">
        <f t="shared" si="93"/>
        <v>0</v>
      </c>
      <c r="K81" s="86"/>
      <c r="L81" s="167">
        <f t="shared" si="94"/>
        <v>0</v>
      </c>
      <c r="M81" s="86"/>
      <c r="N81" s="167">
        <f t="shared" si="95"/>
        <v>0</v>
      </c>
      <c r="O81" s="86"/>
      <c r="P81" s="167">
        <f t="shared" si="96"/>
        <v>0</v>
      </c>
      <c r="Q81" s="86"/>
      <c r="R81" s="167">
        <f t="shared" si="97"/>
        <v>0</v>
      </c>
      <c r="S81" s="86"/>
      <c r="T81" s="167">
        <f t="shared" si="98"/>
        <v>0</v>
      </c>
      <c r="U81" s="86"/>
      <c r="V81" s="167">
        <f t="shared" si="99"/>
        <v>0</v>
      </c>
      <c r="W81" s="86"/>
      <c r="X81" s="167">
        <f t="shared" si="100"/>
        <v>0</v>
      </c>
      <c r="Y81" s="86"/>
      <c r="Z81" s="167">
        <f t="shared" si="101"/>
        <v>0</v>
      </c>
      <c r="AA81" s="86"/>
      <c r="AB81" s="167">
        <f t="shared" si="102"/>
        <v>0</v>
      </c>
      <c r="AC81" s="86"/>
      <c r="AD81" s="167">
        <f t="shared" si="103"/>
        <v>0</v>
      </c>
      <c r="AE81" s="86"/>
      <c r="AF81" s="167">
        <f t="shared" si="104"/>
        <v>0</v>
      </c>
      <c r="AG81" s="86"/>
      <c r="AH81" s="167">
        <f t="shared" si="105"/>
        <v>0</v>
      </c>
      <c r="AI81" s="86"/>
      <c r="AJ81" s="167">
        <f t="shared" si="106"/>
        <v>0</v>
      </c>
      <c r="AK81" s="86"/>
      <c r="AL81" s="167">
        <f t="shared" si="107"/>
        <v>0</v>
      </c>
      <c r="AM81" s="86"/>
      <c r="AN81" s="167">
        <f t="shared" si="108"/>
        <v>0</v>
      </c>
      <c r="AO81" s="86"/>
      <c r="AP81" s="167">
        <f t="shared" si="109"/>
        <v>0</v>
      </c>
      <c r="AQ81" s="86"/>
      <c r="AR81" s="167">
        <f t="shared" si="110"/>
        <v>0</v>
      </c>
      <c r="AS81" s="86"/>
      <c r="AT81" s="167">
        <f t="shared" si="111"/>
        <v>0</v>
      </c>
      <c r="AU81" s="86"/>
      <c r="AV81" s="167">
        <f t="shared" si="112"/>
        <v>0</v>
      </c>
      <c r="AW81" s="86"/>
      <c r="AX81" s="167">
        <f t="shared" si="113"/>
        <v>0</v>
      </c>
      <c r="AY81" s="86"/>
      <c r="AZ81" s="167">
        <f t="shared" si="114"/>
        <v>0</v>
      </c>
      <c r="BA81" s="86"/>
      <c r="BB81" s="167">
        <f t="shared" si="115"/>
        <v>0</v>
      </c>
      <c r="BC81" s="86"/>
      <c r="BD81" s="167">
        <f t="shared" si="116"/>
        <v>0</v>
      </c>
      <c r="BE81" s="86"/>
      <c r="BF81" s="167">
        <f t="shared" si="117"/>
        <v>0</v>
      </c>
      <c r="BG81" s="86"/>
      <c r="BH81" s="49"/>
      <c r="BI81" s="86"/>
      <c r="BJ81" s="49"/>
      <c r="BK81" s="86"/>
      <c r="BL81" s="49"/>
      <c r="BM81" s="86"/>
      <c r="BN81" s="50"/>
      <c r="BO81" s="170" t="e">
        <f t="shared" si="118"/>
        <v>#VALUE!</v>
      </c>
      <c r="BP81" s="167" t="e">
        <f t="shared" si="120"/>
        <v>#VALUE!</v>
      </c>
      <c r="BQ81" s="178" t="str">
        <f t="shared" si="119"/>
        <v/>
      </c>
    </row>
    <row r="82" spans="1:69" x14ac:dyDescent="0.35">
      <c r="A82" s="134" t="s">
        <v>80</v>
      </c>
      <c r="B82" s="54" t="s">
        <v>67</v>
      </c>
      <c r="C82" s="174" t="str">
        <f>IF('January 2027 Log'!BM82="","",'January 2027 Log'!BM82)</f>
        <v/>
      </c>
      <c r="D82" s="189" t="e">
        <f t="shared" si="90"/>
        <v>#VALUE!</v>
      </c>
      <c r="E82" s="86"/>
      <c r="F82" s="167">
        <f t="shared" si="91"/>
        <v>0</v>
      </c>
      <c r="G82" s="86"/>
      <c r="H82" s="167">
        <f t="shared" si="92"/>
        <v>0</v>
      </c>
      <c r="I82" s="86"/>
      <c r="J82" s="167">
        <f t="shared" si="93"/>
        <v>0</v>
      </c>
      <c r="K82" s="86"/>
      <c r="L82" s="167">
        <f t="shared" si="94"/>
        <v>0</v>
      </c>
      <c r="M82" s="86"/>
      <c r="N82" s="167">
        <f t="shared" si="95"/>
        <v>0</v>
      </c>
      <c r="O82" s="86"/>
      <c r="P82" s="167">
        <f t="shared" si="96"/>
        <v>0</v>
      </c>
      <c r="Q82" s="86"/>
      <c r="R82" s="167">
        <f t="shared" si="97"/>
        <v>0</v>
      </c>
      <c r="S82" s="86"/>
      <c r="T82" s="167">
        <f t="shared" si="98"/>
        <v>0</v>
      </c>
      <c r="U82" s="86"/>
      <c r="V82" s="167">
        <f t="shared" si="99"/>
        <v>0</v>
      </c>
      <c r="W82" s="86"/>
      <c r="X82" s="167">
        <f t="shared" si="100"/>
        <v>0</v>
      </c>
      <c r="Y82" s="86"/>
      <c r="Z82" s="167">
        <f t="shared" si="101"/>
        <v>0</v>
      </c>
      <c r="AA82" s="86"/>
      <c r="AB82" s="167">
        <f t="shared" si="102"/>
        <v>0</v>
      </c>
      <c r="AC82" s="86"/>
      <c r="AD82" s="167">
        <f t="shared" si="103"/>
        <v>0</v>
      </c>
      <c r="AE82" s="86"/>
      <c r="AF82" s="167">
        <f t="shared" si="104"/>
        <v>0</v>
      </c>
      <c r="AG82" s="86"/>
      <c r="AH82" s="167">
        <f t="shared" si="105"/>
        <v>0</v>
      </c>
      <c r="AI82" s="86"/>
      <c r="AJ82" s="167">
        <f t="shared" si="106"/>
        <v>0</v>
      </c>
      <c r="AK82" s="86"/>
      <c r="AL82" s="167">
        <f t="shared" si="107"/>
        <v>0</v>
      </c>
      <c r="AM82" s="86"/>
      <c r="AN82" s="167">
        <f t="shared" si="108"/>
        <v>0</v>
      </c>
      <c r="AO82" s="86"/>
      <c r="AP82" s="167">
        <f t="shared" si="109"/>
        <v>0</v>
      </c>
      <c r="AQ82" s="86"/>
      <c r="AR82" s="167">
        <f t="shared" si="110"/>
        <v>0</v>
      </c>
      <c r="AS82" s="86"/>
      <c r="AT82" s="167">
        <f t="shared" si="111"/>
        <v>0</v>
      </c>
      <c r="AU82" s="86"/>
      <c r="AV82" s="167">
        <f t="shared" si="112"/>
        <v>0</v>
      </c>
      <c r="AW82" s="86"/>
      <c r="AX82" s="167">
        <f t="shared" si="113"/>
        <v>0</v>
      </c>
      <c r="AY82" s="86"/>
      <c r="AZ82" s="167">
        <f t="shared" si="114"/>
        <v>0</v>
      </c>
      <c r="BA82" s="86"/>
      <c r="BB82" s="167">
        <f t="shared" si="115"/>
        <v>0</v>
      </c>
      <c r="BC82" s="86"/>
      <c r="BD82" s="167">
        <f t="shared" si="116"/>
        <v>0</v>
      </c>
      <c r="BE82" s="86"/>
      <c r="BF82" s="167">
        <f t="shared" si="117"/>
        <v>0</v>
      </c>
      <c r="BG82" s="86"/>
      <c r="BH82" s="49"/>
      <c r="BI82" s="86"/>
      <c r="BJ82" s="49"/>
      <c r="BK82" s="86"/>
      <c r="BL82" s="49"/>
      <c r="BM82" s="86"/>
      <c r="BN82" s="50"/>
      <c r="BO82" s="170" t="e">
        <f t="shared" si="118"/>
        <v>#VALUE!</v>
      </c>
      <c r="BP82" s="167" t="e">
        <f t="shared" si="120"/>
        <v>#VALUE!</v>
      </c>
      <c r="BQ82" s="178" t="str">
        <f t="shared" si="119"/>
        <v/>
      </c>
    </row>
    <row r="83" spans="1:69" x14ac:dyDescent="0.35">
      <c r="A83" s="135" t="s">
        <v>81</v>
      </c>
      <c r="B83" s="54" t="s">
        <v>67</v>
      </c>
      <c r="C83" s="174" t="str">
        <f>IF('January 2027 Log'!BM83="","",'January 2027 Log'!BM83)</f>
        <v/>
      </c>
      <c r="D83" s="189" t="e">
        <f t="shared" si="90"/>
        <v>#VALUE!</v>
      </c>
      <c r="E83" s="86"/>
      <c r="F83" s="167">
        <f t="shared" si="91"/>
        <v>0</v>
      </c>
      <c r="G83" s="86"/>
      <c r="H83" s="167">
        <f t="shared" si="92"/>
        <v>0</v>
      </c>
      <c r="I83" s="86"/>
      <c r="J83" s="167">
        <f t="shared" si="93"/>
        <v>0</v>
      </c>
      <c r="K83" s="86"/>
      <c r="L83" s="167">
        <f t="shared" si="94"/>
        <v>0</v>
      </c>
      <c r="M83" s="86"/>
      <c r="N83" s="167">
        <f t="shared" si="95"/>
        <v>0</v>
      </c>
      <c r="O83" s="86"/>
      <c r="P83" s="167">
        <f t="shared" si="96"/>
        <v>0</v>
      </c>
      <c r="Q83" s="86"/>
      <c r="R83" s="167">
        <f t="shared" si="97"/>
        <v>0</v>
      </c>
      <c r="S83" s="86"/>
      <c r="T83" s="167">
        <f t="shared" si="98"/>
        <v>0</v>
      </c>
      <c r="U83" s="86"/>
      <c r="V83" s="167">
        <f t="shared" si="99"/>
        <v>0</v>
      </c>
      <c r="W83" s="86"/>
      <c r="X83" s="167">
        <f t="shared" si="100"/>
        <v>0</v>
      </c>
      <c r="Y83" s="86"/>
      <c r="Z83" s="167">
        <f t="shared" si="101"/>
        <v>0</v>
      </c>
      <c r="AA83" s="86"/>
      <c r="AB83" s="167">
        <f t="shared" si="102"/>
        <v>0</v>
      </c>
      <c r="AC83" s="86"/>
      <c r="AD83" s="167">
        <f t="shared" si="103"/>
        <v>0</v>
      </c>
      <c r="AE83" s="86"/>
      <c r="AF83" s="167">
        <f t="shared" si="104"/>
        <v>0</v>
      </c>
      <c r="AG83" s="86"/>
      <c r="AH83" s="167">
        <f t="shared" si="105"/>
        <v>0</v>
      </c>
      <c r="AI83" s="86"/>
      <c r="AJ83" s="167">
        <f t="shared" si="106"/>
        <v>0</v>
      </c>
      <c r="AK83" s="86"/>
      <c r="AL83" s="167">
        <f t="shared" si="107"/>
        <v>0</v>
      </c>
      <c r="AM83" s="86"/>
      <c r="AN83" s="167">
        <f t="shared" si="108"/>
        <v>0</v>
      </c>
      <c r="AO83" s="86"/>
      <c r="AP83" s="167">
        <f t="shared" si="109"/>
        <v>0</v>
      </c>
      <c r="AQ83" s="86"/>
      <c r="AR83" s="167">
        <f t="shared" si="110"/>
        <v>0</v>
      </c>
      <c r="AS83" s="86"/>
      <c r="AT83" s="167">
        <f t="shared" si="111"/>
        <v>0</v>
      </c>
      <c r="AU83" s="86"/>
      <c r="AV83" s="167">
        <f t="shared" si="112"/>
        <v>0</v>
      </c>
      <c r="AW83" s="86"/>
      <c r="AX83" s="167">
        <f t="shared" si="113"/>
        <v>0</v>
      </c>
      <c r="AY83" s="86"/>
      <c r="AZ83" s="167">
        <f t="shared" si="114"/>
        <v>0</v>
      </c>
      <c r="BA83" s="86"/>
      <c r="BB83" s="167">
        <f t="shared" si="115"/>
        <v>0</v>
      </c>
      <c r="BC83" s="86"/>
      <c r="BD83" s="167">
        <f t="shared" si="116"/>
        <v>0</v>
      </c>
      <c r="BE83" s="86"/>
      <c r="BF83" s="167">
        <f t="shared" si="117"/>
        <v>0</v>
      </c>
      <c r="BG83" s="86"/>
      <c r="BH83" s="49"/>
      <c r="BI83" s="86"/>
      <c r="BJ83" s="49"/>
      <c r="BK83" s="86"/>
      <c r="BL83" s="49"/>
      <c r="BM83" s="86"/>
      <c r="BN83" s="50"/>
      <c r="BO83" s="170" t="e">
        <f t="shared" si="118"/>
        <v>#VALUE!</v>
      </c>
      <c r="BP83" s="167" t="e">
        <f t="shared" si="120"/>
        <v>#VALUE!</v>
      </c>
      <c r="BQ83" s="178" t="str">
        <f t="shared" si="119"/>
        <v/>
      </c>
    </row>
    <row r="84" spans="1:69" x14ac:dyDescent="0.35">
      <c r="A84" s="136" t="s">
        <v>82</v>
      </c>
      <c r="B84" s="54" t="s">
        <v>66</v>
      </c>
      <c r="C84" s="174" t="str">
        <f>IF('January 2027 Log'!BM84="","",'January 2027 Log'!BM84)</f>
        <v/>
      </c>
      <c r="D84" s="189" t="e">
        <f t="shared" si="90"/>
        <v>#VALUE!</v>
      </c>
      <c r="E84" s="86"/>
      <c r="F84" s="167">
        <f t="shared" si="91"/>
        <v>0</v>
      </c>
      <c r="G84" s="86"/>
      <c r="H84" s="167">
        <f t="shared" si="92"/>
        <v>0</v>
      </c>
      <c r="I84" s="86"/>
      <c r="J84" s="167">
        <f t="shared" si="93"/>
        <v>0</v>
      </c>
      <c r="K84" s="86"/>
      <c r="L84" s="167">
        <f t="shared" si="94"/>
        <v>0</v>
      </c>
      <c r="M84" s="86"/>
      <c r="N84" s="167">
        <f t="shared" si="95"/>
        <v>0</v>
      </c>
      <c r="O84" s="86"/>
      <c r="P84" s="167">
        <f t="shared" si="96"/>
        <v>0</v>
      </c>
      <c r="Q84" s="86"/>
      <c r="R84" s="167">
        <f t="shared" si="97"/>
        <v>0</v>
      </c>
      <c r="S84" s="86"/>
      <c r="T84" s="167">
        <f t="shared" si="98"/>
        <v>0</v>
      </c>
      <c r="U84" s="86"/>
      <c r="V84" s="167">
        <f t="shared" si="99"/>
        <v>0</v>
      </c>
      <c r="W84" s="86"/>
      <c r="X84" s="167">
        <f t="shared" si="100"/>
        <v>0</v>
      </c>
      <c r="Y84" s="86"/>
      <c r="Z84" s="167">
        <f t="shared" si="101"/>
        <v>0</v>
      </c>
      <c r="AA84" s="86"/>
      <c r="AB84" s="167">
        <f t="shared" si="102"/>
        <v>0</v>
      </c>
      <c r="AC84" s="86"/>
      <c r="AD84" s="167">
        <f t="shared" si="103"/>
        <v>0</v>
      </c>
      <c r="AE84" s="86"/>
      <c r="AF84" s="167">
        <f t="shared" si="104"/>
        <v>0</v>
      </c>
      <c r="AG84" s="86"/>
      <c r="AH84" s="167">
        <f t="shared" si="105"/>
        <v>0</v>
      </c>
      <c r="AI84" s="86"/>
      <c r="AJ84" s="167">
        <f t="shared" si="106"/>
        <v>0</v>
      </c>
      <c r="AK84" s="86"/>
      <c r="AL84" s="167">
        <f t="shared" si="107"/>
        <v>0</v>
      </c>
      <c r="AM84" s="86"/>
      <c r="AN84" s="167">
        <f t="shared" si="108"/>
        <v>0</v>
      </c>
      <c r="AO84" s="86"/>
      <c r="AP84" s="167">
        <f t="shared" si="109"/>
        <v>0</v>
      </c>
      <c r="AQ84" s="86"/>
      <c r="AR84" s="167">
        <f t="shared" si="110"/>
        <v>0</v>
      </c>
      <c r="AS84" s="86"/>
      <c r="AT84" s="167">
        <f t="shared" si="111"/>
        <v>0</v>
      </c>
      <c r="AU84" s="86"/>
      <c r="AV84" s="167">
        <f t="shared" si="112"/>
        <v>0</v>
      </c>
      <c r="AW84" s="86"/>
      <c r="AX84" s="167">
        <f t="shared" si="113"/>
        <v>0</v>
      </c>
      <c r="AY84" s="86"/>
      <c r="AZ84" s="167">
        <f t="shared" si="114"/>
        <v>0</v>
      </c>
      <c r="BA84" s="86"/>
      <c r="BB84" s="167">
        <f t="shared" si="115"/>
        <v>0</v>
      </c>
      <c r="BC84" s="86"/>
      <c r="BD84" s="167">
        <f t="shared" si="116"/>
        <v>0</v>
      </c>
      <c r="BE84" s="86"/>
      <c r="BF84" s="167">
        <f t="shared" si="117"/>
        <v>0</v>
      </c>
      <c r="BG84" s="86"/>
      <c r="BH84" s="49"/>
      <c r="BI84" s="86"/>
      <c r="BJ84" s="49"/>
      <c r="BK84" s="86"/>
      <c r="BL84" s="49"/>
      <c r="BM84" s="86"/>
      <c r="BN84" s="50"/>
      <c r="BO84" s="170" t="e">
        <f t="shared" si="118"/>
        <v>#VALUE!</v>
      </c>
      <c r="BP84" s="167" t="e">
        <f t="shared" si="120"/>
        <v>#VALUE!</v>
      </c>
      <c r="BQ84" s="178" t="str">
        <f t="shared" si="119"/>
        <v/>
      </c>
    </row>
    <row r="85" spans="1:69" x14ac:dyDescent="0.35">
      <c r="A85" s="44" t="s">
        <v>83</v>
      </c>
      <c r="B85" s="54" t="s">
        <v>65</v>
      </c>
      <c r="C85" s="174" t="str">
        <f>IF('January 2027 Log'!BM85="","",'January 2027 Log'!BM85)</f>
        <v/>
      </c>
      <c r="D85" s="189" t="e">
        <f t="shared" si="90"/>
        <v>#VALUE!</v>
      </c>
      <c r="E85" s="86"/>
      <c r="F85" s="167">
        <f t="shared" si="91"/>
        <v>0</v>
      </c>
      <c r="G85" s="86"/>
      <c r="H85" s="167">
        <f t="shared" si="92"/>
        <v>0</v>
      </c>
      <c r="I85" s="86"/>
      <c r="J85" s="167">
        <f t="shared" si="93"/>
        <v>0</v>
      </c>
      <c r="K85" s="86"/>
      <c r="L85" s="167">
        <f t="shared" si="94"/>
        <v>0</v>
      </c>
      <c r="M85" s="86"/>
      <c r="N85" s="167">
        <f t="shared" si="95"/>
        <v>0</v>
      </c>
      <c r="O85" s="86"/>
      <c r="P85" s="167">
        <f t="shared" si="96"/>
        <v>0</v>
      </c>
      <c r="Q85" s="86"/>
      <c r="R85" s="167">
        <f t="shared" si="97"/>
        <v>0</v>
      </c>
      <c r="S85" s="86"/>
      <c r="T85" s="167">
        <f t="shared" si="98"/>
        <v>0</v>
      </c>
      <c r="U85" s="86"/>
      <c r="V85" s="167">
        <f t="shared" si="99"/>
        <v>0</v>
      </c>
      <c r="W85" s="86"/>
      <c r="X85" s="167">
        <f t="shared" si="100"/>
        <v>0</v>
      </c>
      <c r="Y85" s="86"/>
      <c r="Z85" s="167">
        <f t="shared" si="101"/>
        <v>0</v>
      </c>
      <c r="AA85" s="86"/>
      <c r="AB85" s="167">
        <f t="shared" si="102"/>
        <v>0</v>
      </c>
      <c r="AC85" s="86"/>
      <c r="AD85" s="167">
        <f t="shared" si="103"/>
        <v>0</v>
      </c>
      <c r="AE85" s="86"/>
      <c r="AF85" s="167">
        <f t="shared" si="104"/>
        <v>0</v>
      </c>
      <c r="AG85" s="86"/>
      <c r="AH85" s="167">
        <f t="shared" si="105"/>
        <v>0</v>
      </c>
      <c r="AI85" s="86"/>
      <c r="AJ85" s="167">
        <f t="shared" si="106"/>
        <v>0</v>
      </c>
      <c r="AK85" s="86"/>
      <c r="AL85" s="167">
        <f t="shared" si="107"/>
        <v>0</v>
      </c>
      <c r="AM85" s="86"/>
      <c r="AN85" s="167">
        <f t="shared" si="108"/>
        <v>0</v>
      </c>
      <c r="AO85" s="86"/>
      <c r="AP85" s="167">
        <f t="shared" si="109"/>
        <v>0</v>
      </c>
      <c r="AQ85" s="86"/>
      <c r="AR85" s="167">
        <f t="shared" si="110"/>
        <v>0</v>
      </c>
      <c r="AS85" s="86"/>
      <c r="AT85" s="167">
        <f t="shared" si="111"/>
        <v>0</v>
      </c>
      <c r="AU85" s="86"/>
      <c r="AV85" s="167">
        <f t="shared" si="112"/>
        <v>0</v>
      </c>
      <c r="AW85" s="86"/>
      <c r="AX85" s="167">
        <f t="shared" si="113"/>
        <v>0</v>
      </c>
      <c r="AY85" s="86"/>
      <c r="AZ85" s="167">
        <f t="shared" si="114"/>
        <v>0</v>
      </c>
      <c r="BA85" s="86"/>
      <c r="BB85" s="167">
        <f t="shared" si="115"/>
        <v>0</v>
      </c>
      <c r="BC85" s="86"/>
      <c r="BD85" s="167">
        <f t="shared" si="116"/>
        <v>0</v>
      </c>
      <c r="BE85" s="86"/>
      <c r="BF85" s="167">
        <f t="shared" si="117"/>
        <v>0</v>
      </c>
      <c r="BG85" s="86"/>
      <c r="BH85" s="49"/>
      <c r="BI85" s="86"/>
      <c r="BJ85" s="49"/>
      <c r="BK85" s="86"/>
      <c r="BL85" s="49"/>
      <c r="BM85" s="86"/>
      <c r="BN85" s="50"/>
      <c r="BO85" s="170" t="e">
        <f t="shared" si="118"/>
        <v>#VALUE!</v>
      </c>
      <c r="BP85" s="167" t="e">
        <f t="shared" si="120"/>
        <v>#VALUE!</v>
      </c>
      <c r="BQ85" s="178" t="str">
        <f t="shared" si="119"/>
        <v/>
      </c>
    </row>
    <row r="86" spans="1:69" x14ac:dyDescent="0.35">
      <c r="A86" s="135" t="s">
        <v>84</v>
      </c>
      <c r="B86" s="54" t="s">
        <v>67</v>
      </c>
      <c r="C86" s="174" t="str">
        <f>IF('January 2027 Log'!BM86="","",'January 2027 Log'!BM86)</f>
        <v/>
      </c>
      <c r="D86" s="189" t="e">
        <f t="shared" si="90"/>
        <v>#VALUE!</v>
      </c>
      <c r="E86" s="86"/>
      <c r="F86" s="167">
        <f t="shared" si="91"/>
        <v>0</v>
      </c>
      <c r="G86" s="86"/>
      <c r="H86" s="167">
        <f t="shared" si="92"/>
        <v>0</v>
      </c>
      <c r="I86" s="86"/>
      <c r="J86" s="167">
        <f t="shared" si="93"/>
        <v>0</v>
      </c>
      <c r="K86" s="86"/>
      <c r="L86" s="167">
        <f t="shared" si="94"/>
        <v>0</v>
      </c>
      <c r="M86" s="86"/>
      <c r="N86" s="167">
        <f t="shared" si="95"/>
        <v>0</v>
      </c>
      <c r="O86" s="86"/>
      <c r="P86" s="167">
        <f t="shared" si="96"/>
        <v>0</v>
      </c>
      <c r="Q86" s="86"/>
      <c r="R86" s="167">
        <f t="shared" si="97"/>
        <v>0</v>
      </c>
      <c r="S86" s="86"/>
      <c r="T86" s="167">
        <f t="shared" si="98"/>
        <v>0</v>
      </c>
      <c r="U86" s="86"/>
      <c r="V86" s="167">
        <f t="shared" si="99"/>
        <v>0</v>
      </c>
      <c r="W86" s="86"/>
      <c r="X86" s="167">
        <f t="shared" si="100"/>
        <v>0</v>
      </c>
      <c r="Y86" s="86"/>
      <c r="Z86" s="167">
        <f t="shared" si="101"/>
        <v>0</v>
      </c>
      <c r="AA86" s="86"/>
      <c r="AB86" s="167">
        <f t="shared" si="102"/>
        <v>0</v>
      </c>
      <c r="AC86" s="86"/>
      <c r="AD86" s="167">
        <f t="shared" si="103"/>
        <v>0</v>
      </c>
      <c r="AE86" s="86"/>
      <c r="AF86" s="167">
        <f t="shared" si="104"/>
        <v>0</v>
      </c>
      <c r="AG86" s="86"/>
      <c r="AH86" s="167">
        <f t="shared" si="105"/>
        <v>0</v>
      </c>
      <c r="AI86" s="86"/>
      <c r="AJ86" s="167">
        <f t="shared" si="106"/>
        <v>0</v>
      </c>
      <c r="AK86" s="86"/>
      <c r="AL86" s="167">
        <f t="shared" si="107"/>
        <v>0</v>
      </c>
      <c r="AM86" s="86"/>
      <c r="AN86" s="167">
        <f t="shared" si="108"/>
        <v>0</v>
      </c>
      <c r="AO86" s="86"/>
      <c r="AP86" s="167">
        <f t="shared" si="109"/>
        <v>0</v>
      </c>
      <c r="AQ86" s="86"/>
      <c r="AR86" s="167">
        <f t="shared" si="110"/>
        <v>0</v>
      </c>
      <c r="AS86" s="86"/>
      <c r="AT86" s="167">
        <f t="shared" si="111"/>
        <v>0</v>
      </c>
      <c r="AU86" s="86"/>
      <c r="AV86" s="167">
        <f t="shared" si="112"/>
        <v>0</v>
      </c>
      <c r="AW86" s="86"/>
      <c r="AX86" s="167">
        <f t="shared" si="113"/>
        <v>0</v>
      </c>
      <c r="AY86" s="86"/>
      <c r="AZ86" s="167">
        <f t="shared" si="114"/>
        <v>0</v>
      </c>
      <c r="BA86" s="86"/>
      <c r="BB86" s="167">
        <f t="shared" si="115"/>
        <v>0</v>
      </c>
      <c r="BC86" s="86"/>
      <c r="BD86" s="167">
        <f t="shared" si="116"/>
        <v>0</v>
      </c>
      <c r="BE86" s="86"/>
      <c r="BF86" s="167">
        <f t="shared" si="117"/>
        <v>0</v>
      </c>
      <c r="BG86" s="86"/>
      <c r="BH86" s="49"/>
      <c r="BI86" s="86"/>
      <c r="BJ86" s="49"/>
      <c r="BK86" s="86"/>
      <c r="BL86" s="49"/>
      <c r="BM86" s="86"/>
      <c r="BN86" s="50"/>
      <c r="BO86" s="170" t="e">
        <f t="shared" si="118"/>
        <v>#VALUE!</v>
      </c>
      <c r="BP86" s="167" t="e">
        <f t="shared" si="120"/>
        <v>#VALUE!</v>
      </c>
      <c r="BQ86" s="178" t="str">
        <f t="shared" si="119"/>
        <v/>
      </c>
    </row>
    <row r="87" spans="1:69" x14ac:dyDescent="0.35">
      <c r="A87" s="136" t="s">
        <v>85</v>
      </c>
      <c r="B87" s="54" t="s">
        <v>66</v>
      </c>
      <c r="C87" s="174" t="str">
        <f>IF('January 2027 Log'!BM87="","",'January 2027 Log'!BM87)</f>
        <v/>
      </c>
      <c r="D87" s="189" t="e">
        <f t="shared" si="90"/>
        <v>#VALUE!</v>
      </c>
      <c r="E87" s="86"/>
      <c r="F87" s="167">
        <f t="shared" si="91"/>
        <v>0</v>
      </c>
      <c r="G87" s="86"/>
      <c r="H87" s="167">
        <f t="shared" si="92"/>
        <v>0</v>
      </c>
      <c r="I87" s="86"/>
      <c r="J87" s="167">
        <f t="shared" si="93"/>
        <v>0</v>
      </c>
      <c r="K87" s="86"/>
      <c r="L87" s="167">
        <f t="shared" si="94"/>
        <v>0</v>
      </c>
      <c r="M87" s="86"/>
      <c r="N87" s="167">
        <f t="shared" si="95"/>
        <v>0</v>
      </c>
      <c r="O87" s="86"/>
      <c r="P87" s="167">
        <f t="shared" si="96"/>
        <v>0</v>
      </c>
      <c r="Q87" s="86"/>
      <c r="R87" s="167">
        <f t="shared" si="97"/>
        <v>0</v>
      </c>
      <c r="S87" s="86"/>
      <c r="T87" s="167">
        <f t="shared" si="98"/>
        <v>0</v>
      </c>
      <c r="U87" s="86"/>
      <c r="V87" s="167">
        <f t="shared" si="99"/>
        <v>0</v>
      </c>
      <c r="W87" s="86"/>
      <c r="X87" s="167">
        <f t="shared" si="100"/>
        <v>0</v>
      </c>
      <c r="Y87" s="86"/>
      <c r="Z87" s="167">
        <f t="shared" si="101"/>
        <v>0</v>
      </c>
      <c r="AA87" s="86"/>
      <c r="AB87" s="167">
        <f t="shared" si="102"/>
        <v>0</v>
      </c>
      <c r="AC87" s="86"/>
      <c r="AD87" s="167">
        <f t="shared" si="103"/>
        <v>0</v>
      </c>
      <c r="AE87" s="86"/>
      <c r="AF87" s="167">
        <f t="shared" si="104"/>
        <v>0</v>
      </c>
      <c r="AG87" s="86"/>
      <c r="AH87" s="167">
        <f t="shared" si="105"/>
        <v>0</v>
      </c>
      <c r="AI87" s="86"/>
      <c r="AJ87" s="167">
        <f t="shared" si="106"/>
        <v>0</v>
      </c>
      <c r="AK87" s="86"/>
      <c r="AL87" s="167">
        <f t="shared" si="107"/>
        <v>0</v>
      </c>
      <c r="AM87" s="86"/>
      <c r="AN87" s="167">
        <f t="shared" si="108"/>
        <v>0</v>
      </c>
      <c r="AO87" s="86"/>
      <c r="AP87" s="167">
        <f t="shared" si="109"/>
        <v>0</v>
      </c>
      <c r="AQ87" s="86"/>
      <c r="AR87" s="167">
        <f t="shared" si="110"/>
        <v>0</v>
      </c>
      <c r="AS87" s="86"/>
      <c r="AT87" s="167">
        <f t="shared" si="111"/>
        <v>0</v>
      </c>
      <c r="AU87" s="86"/>
      <c r="AV87" s="167">
        <f t="shared" si="112"/>
        <v>0</v>
      </c>
      <c r="AW87" s="86"/>
      <c r="AX87" s="167">
        <f t="shared" si="113"/>
        <v>0</v>
      </c>
      <c r="AY87" s="86"/>
      <c r="AZ87" s="167">
        <f t="shared" si="114"/>
        <v>0</v>
      </c>
      <c r="BA87" s="86"/>
      <c r="BB87" s="167">
        <f t="shared" si="115"/>
        <v>0</v>
      </c>
      <c r="BC87" s="86"/>
      <c r="BD87" s="167">
        <f t="shared" si="116"/>
        <v>0</v>
      </c>
      <c r="BE87" s="86"/>
      <c r="BF87" s="167">
        <f t="shared" si="117"/>
        <v>0</v>
      </c>
      <c r="BG87" s="86"/>
      <c r="BH87" s="49"/>
      <c r="BI87" s="86"/>
      <c r="BJ87" s="49"/>
      <c r="BK87" s="86"/>
      <c r="BL87" s="49"/>
      <c r="BM87" s="86"/>
      <c r="BN87" s="50"/>
      <c r="BO87" s="170" t="e">
        <f t="shared" si="118"/>
        <v>#VALUE!</v>
      </c>
      <c r="BP87" s="167" t="e">
        <f t="shared" si="120"/>
        <v>#VALUE!</v>
      </c>
      <c r="BQ87" s="178" t="str">
        <f t="shared" si="119"/>
        <v/>
      </c>
    </row>
    <row r="88" spans="1:69" x14ac:dyDescent="0.35">
      <c r="A88" s="44" t="s">
        <v>86</v>
      </c>
      <c r="B88" s="54" t="s">
        <v>65</v>
      </c>
      <c r="C88" s="174" t="str">
        <f>IF('January 2027 Log'!BM88="","",'January 2027 Log'!BM88)</f>
        <v/>
      </c>
      <c r="D88" s="189" t="e">
        <f t="shared" si="90"/>
        <v>#VALUE!</v>
      </c>
      <c r="E88" s="86"/>
      <c r="F88" s="167">
        <f t="shared" si="91"/>
        <v>0</v>
      </c>
      <c r="G88" s="86"/>
      <c r="H88" s="167">
        <f t="shared" si="92"/>
        <v>0</v>
      </c>
      <c r="I88" s="86"/>
      <c r="J88" s="167">
        <f t="shared" si="93"/>
        <v>0</v>
      </c>
      <c r="K88" s="86"/>
      <c r="L88" s="167">
        <f t="shared" si="94"/>
        <v>0</v>
      </c>
      <c r="M88" s="86"/>
      <c r="N88" s="167">
        <f t="shared" si="95"/>
        <v>0</v>
      </c>
      <c r="O88" s="86"/>
      <c r="P88" s="167">
        <f t="shared" si="96"/>
        <v>0</v>
      </c>
      <c r="Q88" s="86"/>
      <c r="R88" s="167">
        <f t="shared" si="97"/>
        <v>0</v>
      </c>
      <c r="S88" s="86"/>
      <c r="T88" s="167">
        <f t="shared" si="98"/>
        <v>0</v>
      </c>
      <c r="U88" s="86"/>
      <c r="V88" s="167">
        <f t="shared" si="99"/>
        <v>0</v>
      </c>
      <c r="W88" s="86"/>
      <c r="X88" s="167">
        <f t="shared" si="100"/>
        <v>0</v>
      </c>
      <c r="Y88" s="86"/>
      <c r="Z88" s="167">
        <f t="shared" si="101"/>
        <v>0</v>
      </c>
      <c r="AA88" s="86"/>
      <c r="AB88" s="167">
        <f t="shared" si="102"/>
        <v>0</v>
      </c>
      <c r="AC88" s="86"/>
      <c r="AD88" s="167">
        <f t="shared" si="103"/>
        <v>0</v>
      </c>
      <c r="AE88" s="86"/>
      <c r="AF88" s="167">
        <f t="shared" si="104"/>
        <v>0</v>
      </c>
      <c r="AG88" s="86"/>
      <c r="AH88" s="167">
        <f t="shared" si="105"/>
        <v>0</v>
      </c>
      <c r="AI88" s="86"/>
      <c r="AJ88" s="167">
        <f t="shared" si="106"/>
        <v>0</v>
      </c>
      <c r="AK88" s="86"/>
      <c r="AL88" s="167">
        <f t="shared" si="107"/>
        <v>0</v>
      </c>
      <c r="AM88" s="86"/>
      <c r="AN88" s="167">
        <f t="shared" si="108"/>
        <v>0</v>
      </c>
      <c r="AO88" s="86"/>
      <c r="AP88" s="167">
        <f t="shared" si="109"/>
        <v>0</v>
      </c>
      <c r="AQ88" s="86"/>
      <c r="AR88" s="167">
        <f t="shared" si="110"/>
        <v>0</v>
      </c>
      <c r="AS88" s="86"/>
      <c r="AT88" s="167">
        <f t="shared" si="111"/>
        <v>0</v>
      </c>
      <c r="AU88" s="86"/>
      <c r="AV88" s="167">
        <f t="shared" si="112"/>
        <v>0</v>
      </c>
      <c r="AW88" s="86"/>
      <c r="AX88" s="167">
        <f t="shared" si="113"/>
        <v>0</v>
      </c>
      <c r="AY88" s="86"/>
      <c r="AZ88" s="167">
        <f t="shared" si="114"/>
        <v>0</v>
      </c>
      <c r="BA88" s="86"/>
      <c r="BB88" s="167">
        <f t="shared" si="115"/>
        <v>0</v>
      </c>
      <c r="BC88" s="86"/>
      <c r="BD88" s="167">
        <f t="shared" si="116"/>
        <v>0</v>
      </c>
      <c r="BE88" s="86"/>
      <c r="BF88" s="167">
        <f t="shared" si="117"/>
        <v>0</v>
      </c>
      <c r="BG88" s="86"/>
      <c r="BH88" s="49"/>
      <c r="BI88" s="86"/>
      <c r="BJ88" s="49"/>
      <c r="BK88" s="86"/>
      <c r="BL88" s="49"/>
      <c r="BM88" s="86"/>
      <c r="BN88" s="50"/>
      <c r="BO88" s="170" t="e">
        <f t="shared" si="118"/>
        <v>#VALUE!</v>
      </c>
      <c r="BP88" s="167" t="e">
        <f t="shared" si="120"/>
        <v>#VALUE!</v>
      </c>
      <c r="BQ88" s="178" t="str">
        <f t="shared" si="119"/>
        <v/>
      </c>
    </row>
    <row r="89" spans="1:69" x14ac:dyDescent="0.35">
      <c r="A89" s="53"/>
      <c r="B89" s="54"/>
      <c r="C89" s="144"/>
      <c r="D89" s="192">
        <f t="shared" si="90"/>
        <v>0</v>
      </c>
      <c r="E89" s="145"/>
      <c r="F89" s="173">
        <f t="shared" si="91"/>
        <v>0</v>
      </c>
      <c r="G89" s="145"/>
      <c r="H89" s="173">
        <f t="shared" si="92"/>
        <v>0</v>
      </c>
      <c r="I89" s="145"/>
      <c r="J89" s="173">
        <f t="shared" si="93"/>
        <v>0</v>
      </c>
      <c r="K89" s="145"/>
      <c r="L89" s="173">
        <f t="shared" si="94"/>
        <v>0</v>
      </c>
      <c r="M89" s="145"/>
      <c r="N89" s="173">
        <f t="shared" si="95"/>
        <v>0</v>
      </c>
      <c r="O89" s="145"/>
      <c r="P89" s="173">
        <f t="shared" si="96"/>
        <v>0</v>
      </c>
      <c r="Q89" s="145"/>
      <c r="R89" s="173">
        <f t="shared" si="97"/>
        <v>0</v>
      </c>
      <c r="S89" s="145"/>
      <c r="T89" s="173">
        <f t="shared" si="98"/>
        <v>0</v>
      </c>
      <c r="U89" s="145"/>
      <c r="V89" s="173">
        <f t="shared" si="99"/>
        <v>0</v>
      </c>
      <c r="W89" s="145"/>
      <c r="X89" s="173">
        <f t="shared" si="100"/>
        <v>0</v>
      </c>
      <c r="Y89" s="145"/>
      <c r="Z89" s="173">
        <f t="shared" si="101"/>
        <v>0</v>
      </c>
      <c r="AA89" s="145"/>
      <c r="AB89" s="173">
        <f t="shared" si="102"/>
        <v>0</v>
      </c>
      <c r="AC89" s="145"/>
      <c r="AD89" s="173">
        <f t="shared" si="103"/>
        <v>0</v>
      </c>
      <c r="AE89" s="145"/>
      <c r="AF89" s="173">
        <f t="shared" si="104"/>
        <v>0</v>
      </c>
      <c r="AG89" s="145"/>
      <c r="AH89" s="173">
        <f t="shared" si="105"/>
        <v>0</v>
      </c>
      <c r="AI89" s="145"/>
      <c r="AJ89" s="173">
        <f t="shared" si="106"/>
        <v>0</v>
      </c>
      <c r="AK89" s="145"/>
      <c r="AL89" s="173">
        <f t="shared" si="107"/>
        <v>0</v>
      </c>
      <c r="AM89" s="145"/>
      <c r="AN89" s="173">
        <f t="shared" si="108"/>
        <v>0</v>
      </c>
      <c r="AO89" s="145"/>
      <c r="AP89" s="173">
        <f t="shared" si="109"/>
        <v>0</v>
      </c>
      <c r="AQ89" s="145"/>
      <c r="AR89" s="173">
        <f t="shared" si="110"/>
        <v>0</v>
      </c>
      <c r="AS89" s="145"/>
      <c r="AT89" s="173">
        <f t="shared" si="111"/>
        <v>0</v>
      </c>
      <c r="AU89" s="145"/>
      <c r="AV89" s="173">
        <f t="shared" si="112"/>
        <v>0</v>
      </c>
      <c r="AW89" s="145"/>
      <c r="AX89" s="173">
        <f t="shared" si="113"/>
        <v>0</v>
      </c>
      <c r="AY89" s="145"/>
      <c r="AZ89" s="173">
        <f t="shared" si="114"/>
        <v>0</v>
      </c>
      <c r="BA89" s="145"/>
      <c r="BB89" s="173">
        <f t="shared" si="115"/>
        <v>0</v>
      </c>
      <c r="BC89" s="145"/>
      <c r="BD89" s="173">
        <f t="shared" si="116"/>
        <v>0</v>
      </c>
      <c r="BE89" s="145"/>
      <c r="BF89" s="173">
        <f t="shared" si="117"/>
        <v>0</v>
      </c>
      <c r="BG89" s="145"/>
      <c r="BH89" s="87"/>
      <c r="BI89" s="145"/>
      <c r="BJ89" s="87"/>
      <c r="BK89" s="145"/>
      <c r="BL89" s="87"/>
      <c r="BM89" s="145"/>
      <c r="BN89" s="50"/>
      <c r="BO89" s="51"/>
      <c r="BP89" s="173">
        <f t="shared" si="120"/>
        <v>0</v>
      </c>
      <c r="BQ89" s="88"/>
    </row>
    <row r="90" spans="1:69" x14ac:dyDescent="0.35">
      <c r="A90" s="74" t="s">
        <v>93</v>
      </c>
      <c r="B90" s="75"/>
      <c r="C90" s="141"/>
      <c r="D90" s="102"/>
      <c r="E90" s="142"/>
      <c r="F90" s="104"/>
      <c r="G90" s="142"/>
      <c r="H90" s="104"/>
      <c r="I90" s="142"/>
      <c r="J90" s="104"/>
      <c r="K90" s="142"/>
      <c r="L90" s="104"/>
      <c r="M90" s="142"/>
      <c r="N90" s="104"/>
      <c r="O90" s="142"/>
      <c r="P90" s="104"/>
      <c r="Q90" s="142"/>
      <c r="R90" s="104"/>
      <c r="S90" s="142"/>
      <c r="T90" s="104"/>
      <c r="U90" s="142"/>
      <c r="V90" s="104"/>
      <c r="W90" s="142"/>
      <c r="X90" s="104"/>
      <c r="Y90" s="142"/>
      <c r="Z90" s="104"/>
      <c r="AA90" s="142"/>
      <c r="AB90" s="104"/>
      <c r="AC90" s="142"/>
      <c r="AD90" s="104"/>
      <c r="AE90" s="142"/>
      <c r="AF90" s="104"/>
      <c r="AG90" s="142"/>
      <c r="AH90" s="104"/>
      <c r="AI90" s="142"/>
      <c r="AJ90" s="104"/>
      <c r="AK90" s="142"/>
      <c r="AL90" s="104"/>
      <c r="AM90" s="142"/>
      <c r="AN90" s="104"/>
      <c r="AO90" s="142"/>
      <c r="AP90" s="104"/>
      <c r="AQ90" s="142"/>
      <c r="AR90" s="104"/>
      <c r="AS90" s="142"/>
      <c r="AT90" s="104"/>
      <c r="AU90" s="142"/>
      <c r="AV90" s="104"/>
      <c r="AW90" s="142"/>
      <c r="AX90" s="104"/>
      <c r="AY90" s="142"/>
      <c r="AZ90" s="104"/>
      <c r="BA90" s="142"/>
      <c r="BB90" s="104"/>
      <c r="BC90" s="142"/>
      <c r="BD90" s="104"/>
      <c r="BE90" s="142"/>
      <c r="BF90" s="104"/>
      <c r="BG90" s="142"/>
      <c r="BH90" s="104"/>
      <c r="BI90" s="142"/>
      <c r="BJ90" s="104"/>
      <c r="BK90" s="142"/>
      <c r="BL90" s="104"/>
      <c r="BM90" s="142"/>
      <c r="BN90" s="105"/>
      <c r="BO90" s="106"/>
      <c r="BP90" s="104"/>
      <c r="BQ90" s="107"/>
    </row>
    <row r="91" spans="1:69" x14ac:dyDescent="0.35">
      <c r="A91" s="132" t="s">
        <v>75</v>
      </c>
      <c r="B91" s="54" t="s">
        <v>65</v>
      </c>
      <c r="C91" s="144"/>
      <c r="D91" s="146"/>
      <c r="E91" s="166" t="e">
        <f>+D91-D77</f>
        <v>#VALUE!</v>
      </c>
      <c r="F91" s="147"/>
      <c r="G91" s="166">
        <f>+F91-F77</f>
        <v>0</v>
      </c>
      <c r="H91" s="147"/>
      <c r="I91" s="166">
        <f>+H91-H77</f>
        <v>0</v>
      </c>
      <c r="J91" s="147"/>
      <c r="K91" s="166">
        <f>+J91-J77</f>
        <v>0</v>
      </c>
      <c r="L91" s="147"/>
      <c r="M91" s="166">
        <f>+L91-L77</f>
        <v>0</v>
      </c>
      <c r="N91" s="147"/>
      <c r="O91" s="166">
        <f>+N91-N77</f>
        <v>0</v>
      </c>
      <c r="P91" s="147"/>
      <c r="Q91" s="166">
        <f>+P91-P77</f>
        <v>0</v>
      </c>
      <c r="R91" s="147"/>
      <c r="S91" s="166">
        <f>+R91-R77</f>
        <v>0</v>
      </c>
      <c r="T91" s="147"/>
      <c r="U91" s="166">
        <f>+T91-T77</f>
        <v>0</v>
      </c>
      <c r="V91" s="147"/>
      <c r="W91" s="166">
        <f>+V91-V77</f>
        <v>0</v>
      </c>
      <c r="X91" s="147"/>
      <c r="Y91" s="166">
        <f>+X91-X77</f>
        <v>0</v>
      </c>
      <c r="Z91" s="147"/>
      <c r="AA91" s="166">
        <f>+Z91-Z77</f>
        <v>0</v>
      </c>
      <c r="AB91" s="147"/>
      <c r="AC91" s="166">
        <f>+AB91-AB77</f>
        <v>0</v>
      </c>
      <c r="AD91" s="147"/>
      <c r="AE91" s="166">
        <f>+AD91-AD77</f>
        <v>0</v>
      </c>
      <c r="AF91" s="147"/>
      <c r="AG91" s="166">
        <f>+AF91-AF77</f>
        <v>0</v>
      </c>
      <c r="AH91" s="147"/>
      <c r="AI91" s="166">
        <f>+AH91-AH77</f>
        <v>0</v>
      </c>
      <c r="AJ91" s="147"/>
      <c r="AK91" s="166">
        <f>+AJ91-AJ77</f>
        <v>0</v>
      </c>
      <c r="AL91" s="147"/>
      <c r="AM91" s="166">
        <f>+AL91-AL77</f>
        <v>0</v>
      </c>
      <c r="AN91" s="147"/>
      <c r="AO91" s="166">
        <f>+AN91-AN77</f>
        <v>0</v>
      </c>
      <c r="AP91" s="147"/>
      <c r="AQ91" s="166">
        <f>+AP91-AP77</f>
        <v>0</v>
      </c>
      <c r="AR91" s="147"/>
      <c r="AS91" s="166">
        <f>+AR91-AR77</f>
        <v>0</v>
      </c>
      <c r="AT91" s="147"/>
      <c r="AU91" s="166">
        <f>+AT91-AT77</f>
        <v>0</v>
      </c>
      <c r="AV91" s="147"/>
      <c r="AW91" s="166">
        <f>+AV91-AV77</f>
        <v>0</v>
      </c>
      <c r="AX91" s="147"/>
      <c r="AY91" s="166">
        <f>+AX91-AX77</f>
        <v>0</v>
      </c>
      <c r="AZ91" s="147"/>
      <c r="BA91" s="166">
        <f>+AZ91-AZ77</f>
        <v>0</v>
      </c>
      <c r="BB91" s="147"/>
      <c r="BC91" s="166">
        <f>+BB91-BB77</f>
        <v>0</v>
      </c>
      <c r="BD91" s="147"/>
      <c r="BE91" s="166">
        <f>+BD91-BD77</f>
        <v>0</v>
      </c>
      <c r="BF91" s="147"/>
      <c r="BG91" s="166">
        <f>+BF91-BF77</f>
        <v>0</v>
      </c>
      <c r="BH91" s="147"/>
      <c r="BI91" s="48"/>
      <c r="BJ91" s="147"/>
      <c r="BK91" s="48"/>
      <c r="BL91" s="147"/>
      <c r="BM91" s="48"/>
      <c r="BN91" s="50"/>
      <c r="BO91" s="170" t="e">
        <f t="shared" ref="BO91:BO103" si="121">IF(COUNT(E91,G91,I91,K91,M91,O91,Q91,S91,U91,W91,Y91,AA91,AC91,AE91,AG91,AI91,AK91,AM91,AO91,AQ91,AS91,AU91,AW91,AY91,BA91,BC91,BE91,BG91,BI91,BK91,BM91)=0,"",SUM(E91,G91,I91,K91,M91,O91,Q91,S91,U91,W91,Y91,AA91,AC91,AE91,AG91,AI91,AK91,AM91,AO91,AQ91,AS91,AU91,AW91,AY91,BA91,BC91,BE91,BG91,BI91,BK91,BM91))</f>
        <v>#VALUE!</v>
      </c>
      <c r="BP91" s="87"/>
      <c r="BQ91" s="52"/>
    </row>
    <row r="92" spans="1:69" x14ac:dyDescent="0.35">
      <c r="A92" s="136"/>
      <c r="B92" s="54" t="s">
        <v>66</v>
      </c>
      <c r="C92" s="144"/>
      <c r="D92" s="146"/>
      <c r="E92" s="166" t="e">
        <f t="shared" ref="E92:K102" si="122">+D92-D78</f>
        <v>#VALUE!</v>
      </c>
      <c r="F92" s="147"/>
      <c r="G92" s="166">
        <f t="shared" si="122"/>
        <v>0</v>
      </c>
      <c r="H92" s="147"/>
      <c r="I92" s="166">
        <f t="shared" si="122"/>
        <v>0</v>
      </c>
      <c r="J92" s="147"/>
      <c r="K92" s="166">
        <f t="shared" si="122"/>
        <v>0</v>
      </c>
      <c r="L92" s="147"/>
      <c r="M92" s="166">
        <f t="shared" ref="M92:M102" si="123">+L92-L78</f>
        <v>0</v>
      </c>
      <c r="N92" s="147"/>
      <c r="O92" s="166">
        <f t="shared" ref="O92:O102" si="124">+N92-N78</f>
        <v>0</v>
      </c>
      <c r="P92" s="147"/>
      <c r="Q92" s="166">
        <f t="shared" ref="Q92:Q102" si="125">+P92-P78</f>
        <v>0</v>
      </c>
      <c r="R92" s="147"/>
      <c r="S92" s="166">
        <f t="shared" ref="S92:S102" si="126">+R92-R78</f>
        <v>0</v>
      </c>
      <c r="T92" s="147"/>
      <c r="U92" s="166">
        <f t="shared" ref="U92:U102" si="127">+T92-T78</f>
        <v>0</v>
      </c>
      <c r="V92" s="147"/>
      <c r="W92" s="166">
        <f t="shared" ref="W92:W102" si="128">+V92-V78</f>
        <v>0</v>
      </c>
      <c r="X92" s="147"/>
      <c r="Y92" s="166">
        <f t="shared" ref="Y92:Y102" si="129">+X92-X78</f>
        <v>0</v>
      </c>
      <c r="Z92" s="147"/>
      <c r="AA92" s="166">
        <f t="shared" ref="AA92:AA102" si="130">+Z92-Z78</f>
        <v>0</v>
      </c>
      <c r="AB92" s="147"/>
      <c r="AC92" s="166">
        <f t="shared" ref="AC92:AC102" si="131">+AB92-AB78</f>
        <v>0</v>
      </c>
      <c r="AD92" s="147"/>
      <c r="AE92" s="166">
        <f t="shared" ref="AE92:AE102" si="132">+AD92-AD78</f>
        <v>0</v>
      </c>
      <c r="AF92" s="147"/>
      <c r="AG92" s="166">
        <f t="shared" ref="AG92:AG102" si="133">+AF92-AF78</f>
        <v>0</v>
      </c>
      <c r="AH92" s="147"/>
      <c r="AI92" s="166">
        <f t="shared" ref="AI92:AI102" si="134">+AH92-AH78</f>
        <v>0</v>
      </c>
      <c r="AJ92" s="147"/>
      <c r="AK92" s="166">
        <f t="shared" ref="AK92:AK102" si="135">+AJ92-AJ78</f>
        <v>0</v>
      </c>
      <c r="AL92" s="147"/>
      <c r="AM92" s="166">
        <f t="shared" ref="AM92:AM102" si="136">+AL92-AL78</f>
        <v>0</v>
      </c>
      <c r="AN92" s="147"/>
      <c r="AO92" s="166">
        <f t="shared" ref="AO92:AO102" si="137">+AN92-AN78</f>
        <v>0</v>
      </c>
      <c r="AP92" s="147"/>
      <c r="AQ92" s="166">
        <f t="shared" ref="AQ92:AQ102" si="138">+AP92-AP78</f>
        <v>0</v>
      </c>
      <c r="AR92" s="147"/>
      <c r="AS92" s="166">
        <f t="shared" ref="AS92:AS102" si="139">+AR92-AR78</f>
        <v>0</v>
      </c>
      <c r="AT92" s="147"/>
      <c r="AU92" s="166">
        <f t="shared" ref="AU92:AU102" si="140">+AT92-AT78</f>
        <v>0</v>
      </c>
      <c r="AV92" s="147"/>
      <c r="AW92" s="166">
        <f t="shared" ref="AW92:AW102" si="141">+AV92-AV78</f>
        <v>0</v>
      </c>
      <c r="AX92" s="147"/>
      <c r="AY92" s="166">
        <f t="shared" ref="AY92:AY102" si="142">+AX92-AX78</f>
        <v>0</v>
      </c>
      <c r="AZ92" s="147"/>
      <c r="BA92" s="166">
        <f t="shared" ref="BA92:BA102" si="143">+AZ92-AZ78</f>
        <v>0</v>
      </c>
      <c r="BB92" s="147"/>
      <c r="BC92" s="166">
        <f t="shared" ref="BC92:BC102" si="144">+BB92-BB78</f>
        <v>0</v>
      </c>
      <c r="BD92" s="147"/>
      <c r="BE92" s="166">
        <f t="shared" ref="BE92:BE102" si="145">+BD92-BD78</f>
        <v>0</v>
      </c>
      <c r="BF92" s="147"/>
      <c r="BG92" s="166">
        <f t="shared" ref="BG92:BG102" si="146">+BF92-BF78</f>
        <v>0</v>
      </c>
      <c r="BH92" s="147"/>
      <c r="BI92" s="48"/>
      <c r="BJ92" s="147"/>
      <c r="BK92" s="48"/>
      <c r="BL92" s="147"/>
      <c r="BM92" s="48"/>
      <c r="BN92" s="50"/>
      <c r="BO92" s="170" t="e">
        <f t="shared" si="121"/>
        <v>#VALUE!</v>
      </c>
      <c r="BP92" s="87"/>
      <c r="BQ92" s="52"/>
    </row>
    <row r="93" spans="1:69" x14ac:dyDescent="0.35">
      <c r="A93" s="134" t="s">
        <v>77</v>
      </c>
      <c r="B93" s="54" t="s">
        <v>67</v>
      </c>
      <c r="C93" s="144"/>
      <c r="D93" s="146"/>
      <c r="E93" s="166" t="e">
        <f t="shared" si="122"/>
        <v>#VALUE!</v>
      </c>
      <c r="F93" s="147"/>
      <c r="G93" s="166">
        <f t="shared" si="122"/>
        <v>0</v>
      </c>
      <c r="H93" s="147"/>
      <c r="I93" s="166">
        <f t="shared" si="122"/>
        <v>0</v>
      </c>
      <c r="J93" s="147"/>
      <c r="K93" s="166">
        <f t="shared" si="122"/>
        <v>0</v>
      </c>
      <c r="L93" s="147"/>
      <c r="M93" s="166">
        <f t="shared" si="123"/>
        <v>0</v>
      </c>
      <c r="N93" s="147"/>
      <c r="O93" s="166">
        <f t="shared" si="124"/>
        <v>0</v>
      </c>
      <c r="P93" s="147"/>
      <c r="Q93" s="166">
        <f t="shared" si="125"/>
        <v>0</v>
      </c>
      <c r="R93" s="147"/>
      <c r="S93" s="166">
        <f t="shared" si="126"/>
        <v>0</v>
      </c>
      <c r="T93" s="147"/>
      <c r="U93" s="166">
        <f t="shared" si="127"/>
        <v>0</v>
      </c>
      <c r="V93" s="147"/>
      <c r="W93" s="166">
        <f t="shared" si="128"/>
        <v>0</v>
      </c>
      <c r="X93" s="147"/>
      <c r="Y93" s="166">
        <f t="shared" si="129"/>
        <v>0</v>
      </c>
      <c r="Z93" s="147"/>
      <c r="AA93" s="166">
        <f t="shared" si="130"/>
        <v>0</v>
      </c>
      <c r="AB93" s="147"/>
      <c r="AC93" s="166">
        <f t="shared" si="131"/>
        <v>0</v>
      </c>
      <c r="AD93" s="147"/>
      <c r="AE93" s="166">
        <f t="shared" si="132"/>
        <v>0</v>
      </c>
      <c r="AF93" s="147"/>
      <c r="AG93" s="166">
        <f t="shared" si="133"/>
        <v>0</v>
      </c>
      <c r="AH93" s="147"/>
      <c r="AI93" s="166">
        <f t="shared" si="134"/>
        <v>0</v>
      </c>
      <c r="AJ93" s="147"/>
      <c r="AK93" s="166">
        <f t="shared" si="135"/>
        <v>0</v>
      </c>
      <c r="AL93" s="147"/>
      <c r="AM93" s="166">
        <f t="shared" si="136"/>
        <v>0</v>
      </c>
      <c r="AN93" s="147"/>
      <c r="AO93" s="48"/>
      <c r="AP93" s="147"/>
      <c r="AQ93" s="166">
        <f t="shared" si="138"/>
        <v>0</v>
      </c>
      <c r="AR93" s="147"/>
      <c r="AS93" s="166">
        <f t="shared" si="139"/>
        <v>0</v>
      </c>
      <c r="AT93" s="147"/>
      <c r="AU93" s="166">
        <f t="shared" si="140"/>
        <v>0</v>
      </c>
      <c r="AV93" s="147"/>
      <c r="AW93" s="166">
        <f t="shared" si="141"/>
        <v>0</v>
      </c>
      <c r="AX93" s="147"/>
      <c r="AY93" s="166">
        <f t="shared" si="142"/>
        <v>0</v>
      </c>
      <c r="AZ93" s="147"/>
      <c r="BA93" s="166">
        <f t="shared" si="143"/>
        <v>0</v>
      </c>
      <c r="BB93" s="147"/>
      <c r="BC93" s="166">
        <f t="shared" si="144"/>
        <v>0</v>
      </c>
      <c r="BD93" s="147"/>
      <c r="BE93" s="166">
        <f t="shared" si="145"/>
        <v>0</v>
      </c>
      <c r="BF93" s="147"/>
      <c r="BG93" s="166">
        <f t="shared" si="146"/>
        <v>0</v>
      </c>
      <c r="BH93" s="147"/>
      <c r="BI93" s="48"/>
      <c r="BJ93" s="147"/>
      <c r="BK93" s="48"/>
      <c r="BL93" s="147"/>
      <c r="BM93" s="48"/>
      <c r="BN93" s="50"/>
      <c r="BO93" s="170" t="e">
        <f t="shared" si="121"/>
        <v>#VALUE!</v>
      </c>
      <c r="BP93" s="87"/>
      <c r="BQ93" s="52"/>
    </row>
    <row r="94" spans="1:69" x14ac:dyDescent="0.35">
      <c r="A94" s="132" t="s">
        <v>78</v>
      </c>
      <c r="B94" s="54" t="s">
        <v>65</v>
      </c>
      <c r="C94" s="144"/>
      <c r="D94" s="146"/>
      <c r="E94" s="166" t="e">
        <f t="shared" si="122"/>
        <v>#VALUE!</v>
      </c>
      <c r="F94" s="147"/>
      <c r="G94" s="166">
        <f t="shared" si="122"/>
        <v>0</v>
      </c>
      <c r="H94" s="147"/>
      <c r="I94" s="166">
        <f t="shared" si="122"/>
        <v>0</v>
      </c>
      <c r="J94" s="147"/>
      <c r="K94" s="166">
        <f t="shared" si="122"/>
        <v>0</v>
      </c>
      <c r="L94" s="147"/>
      <c r="M94" s="166">
        <f t="shared" si="123"/>
        <v>0</v>
      </c>
      <c r="N94" s="147"/>
      <c r="O94" s="166">
        <f t="shared" si="124"/>
        <v>0</v>
      </c>
      <c r="P94" s="147"/>
      <c r="Q94" s="166">
        <f t="shared" si="125"/>
        <v>0</v>
      </c>
      <c r="R94" s="147"/>
      <c r="S94" s="166">
        <f t="shared" si="126"/>
        <v>0</v>
      </c>
      <c r="T94" s="147"/>
      <c r="U94" s="166">
        <f t="shared" si="127"/>
        <v>0</v>
      </c>
      <c r="V94" s="147"/>
      <c r="W94" s="166">
        <f t="shared" si="128"/>
        <v>0</v>
      </c>
      <c r="X94" s="147"/>
      <c r="Y94" s="166">
        <f t="shared" si="129"/>
        <v>0</v>
      </c>
      <c r="Z94" s="147"/>
      <c r="AA94" s="166">
        <f t="shared" si="130"/>
        <v>0</v>
      </c>
      <c r="AB94" s="147"/>
      <c r="AC94" s="166">
        <f t="shared" si="131"/>
        <v>0</v>
      </c>
      <c r="AD94" s="147"/>
      <c r="AE94" s="166">
        <f t="shared" si="132"/>
        <v>0</v>
      </c>
      <c r="AF94" s="147"/>
      <c r="AG94" s="166">
        <f t="shared" si="133"/>
        <v>0</v>
      </c>
      <c r="AH94" s="147"/>
      <c r="AI94" s="166">
        <f t="shared" si="134"/>
        <v>0</v>
      </c>
      <c r="AJ94" s="147"/>
      <c r="AK94" s="166">
        <f t="shared" si="135"/>
        <v>0</v>
      </c>
      <c r="AL94" s="147"/>
      <c r="AM94" s="166">
        <f t="shared" si="136"/>
        <v>0</v>
      </c>
      <c r="AN94" s="147"/>
      <c r="AO94" s="166">
        <f t="shared" si="137"/>
        <v>0</v>
      </c>
      <c r="AP94" s="147"/>
      <c r="AQ94" s="166">
        <f t="shared" si="138"/>
        <v>0</v>
      </c>
      <c r="AR94" s="147"/>
      <c r="AS94" s="166">
        <f t="shared" si="139"/>
        <v>0</v>
      </c>
      <c r="AT94" s="147"/>
      <c r="AU94" s="166">
        <f t="shared" si="140"/>
        <v>0</v>
      </c>
      <c r="AV94" s="147"/>
      <c r="AW94" s="166">
        <f t="shared" si="141"/>
        <v>0</v>
      </c>
      <c r="AX94" s="147"/>
      <c r="AY94" s="166">
        <f t="shared" si="142"/>
        <v>0</v>
      </c>
      <c r="AZ94" s="147"/>
      <c r="BA94" s="166">
        <f t="shared" si="143"/>
        <v>0</v>
      </c>
      <c r="BB94" s="147"/>
      <c r="BC94" s="166">
        <f t="shared" si="144"/>
        <v>0</v>
      </c>
      <c r="BD94" s="147"/>
      <c r="BE94" s="166">
        <f t="shared" si="145"/>
        <v>0</v>
      </c>
      <c r="BF94" s="147"/>
      <c r="BG94" s="166">
        <f t="shared" si="146"/>
        <v>0</v>
      </c>
      <c r="BH94" s="147"/>
      <c r="BI94" s="48"/>
      <c r="BJ94" s="147"/>
      <c r="BK94" s="48"/>
      <c r="BL94" s="147"/>
      <c r="BM94" s="48"/>
      <c r="BN94" s="50"/>
      <c r="BO94" s="170" t="e">
        <f t="shared" si="121"/>
        <v>#VALUE!</v>
      </c>
      <c r="BP94" s="87"/>
      <c r="BQ94" s="52"/>
    </row>
    <row r="95" spans="1:69" x14ac:dyDescent="0.35">
      <c r="A95" s="136"/>
      <c r="B95" s="54" t="s">
        <v>66</v>
      </c>
      <c r="C95" s="144"/>
      <c r="D95" s="146"/>
      <c r="E95" s="166" t="e">
        <f t="shared" si="122"/>
        <v>#VALUE!</v>
      </c>
      <c r="F95" s="147"/>
      <c r="G95" s="166">
        <f t="shared" si="122"/>
        <v>0</v>
      </c>
      <c r="H95" s="147"/>
      <c r="I95" s="166">
        <f t="shared" si="122"/>
        <v>0</v>
      </c>
      <c r="J95" s="147"/>
      <c r="K95" s="166">
        <f t="shared" si="122"/>
        <v>0</v>
      </c>
      <c r="L95" s="147"/>
      <c r="M95" s="166">
        <f t="shared" si="123"/>
        <v>0</v>
      </c>
      <c r="N95" s="147"/>
      <c r="O95" s="166">
        <f t="shared" si="124"/>
        <v>0</v>
      </c>
      <c r="P95" s="147"/>
      <c r="Q95" s="166">
        <f t="shared" si="125"/>
        <v>0</v>
      </c>
      <c r="R95" s="147"/>
      <c r="S95" s="166">
        <f t="shared" si="126"/>
        <v>0</v>
      </c>
      <c r="T95" s="147"/>
      <c r="U95" s="166">
        <f t="shared" si="127"/>
        <v>0</v>
      </c>
      <c r="V95" s="147"/>
      <c r="W95" s="166">
        <f t="shared" si="128"/>
        <v>0</v>
      </c>
      <c r="X95" s="147"/>
      <c r="Y95" s="166">
        <f t="shared" si="129"/>
        <v>0</v>
      </c>
      <c r="Z95" s="147"/>
      <c r="AA95" s="166">
        <f t="shared" si="130"/>
        <v>0</v>
      </c>
      <c r="AB95" s="147"/>
      <c r="AC95" s="166">
        <f t="shared" si="131"/>
        <v>0</v>
      </c>
      <c r="AD95" s="147"/>
      <c r="AE95" s="166">
        <f t="shared" si="132"/>
        <v>0</v>
      </c>
      <c r="AF95" s="147"/>
      <c r="AG95" s="166">
        <f t="shared" si="133"/>
        <v>0</v>
      </c>
      <c r="AH95" s="147"/>
      <c r="AI95" s="166">
        <f t="shared" si="134"/>
        <v>0</v>
      </c>
      <c r="AJ95" s="147"/>
      <c r="AK95" s="166">
        <f t="shared" si="135"/>
        <v>0</v>
      </c>
      <c r="AL95" s="147"/>
      <c r="AM95" s="166">
        <f t="shared" si="136"/>
        <v>0</v>
      </c>
      <c r="AN95" s="147"/>
      <c r="AO95" s="166">
        <f t="shared" si="137"/>
        <v>0</v>
      </c>
      <c r="AP95" s="147"/>
      <c r="AQ95" s="166">
        <f t="shared" si="138"/>
        <v>0</v>
      </c>
      <c r="AR95" s="147"/>
      <c r="AS95" s="166">
        <f t="shared" si="139"/>
        <v>0</v>
      </c>
      <c r="AT95" s="147"/>
      <c r="AU95" s="166">
        <f t="shared" si="140"/>
        <v>0</v>
      </c>
      <c r="AV95" s="147"/>
      <c r="AW95" s="166">
        <f t="shared" si="141"/>
        <v>0</v>
      </c>
      <c r="AX95" s="147"/>
      <c r="AY95" s="166">
        <f t="shared" si="142"/>
        <v>0</v>
      </c>
      <c r="AZ95" s="147"/>
      <c r="BA95" s="166">
        <f t="shared" si="143"/>
        <v>0</v>
      </c>
      <c r="BB95" s="147"/>
      <c r="BC95" s="166">
        <f t="shared" si="144"/>
        <v>0</v>
      </c>
      <c r="BD95" s="147"/>
      <c r="BE95" s="166">
        <f t="shared" si="145"/>
        <v>0</v>
      </c>
      <c r="BF95" s="147"/>
      <c r="BG95" s="166">
        <f t="shared" si="146"/>
        <v>0</v>
      </c>
      <c r="BH95" s="147"/>
      <c r="BI95" s="48"/>
      <c r="BJ95" s="147"/>
      <c r="BK95" s="48"/>
      <c r="BL95" s="147"/>
      <c r="BM95" s="48"/>
      <c r="BN95" s="50"/>
      <c r="BO95" s="170" t="e">
        <f t="shared" si="121"/>
        <v>#VALUE!</v>
      </c>
      <c r="BP95" s="87"/>
      <c r="BQ95" s="52"/>
    </row>
    <row r="96" spans="1:69" x14ac:dyDescent="0.35">
      <c r="A96" s="134" t="s">
        <v>80</v>
      </c>
      <c r="B96" s="54" t="s">
        <v>67</v>
      </c>
      <c r="C96" s="144"/>
      <c r="D96" s="146"/>
      <c r="E96" s="166" t="e">
        <f t="shared" si="122"/>
        <v>#VALUE!</v>
      </c>
      <c r="F96" s="147"/>
      <c r="G96" s="166">
        <f t="shared" si="122"/>
        <v>0</v>
      </c>
      <c r="H96" s="147"/>
      <c r="I96" s="166">
        <f t="shared" si="122"/>
        <v>0</v>
      </c>
      <c r="J96" s="147"/>
      <c r="K96" s="166">
        <f t="shared" si="122"/>
        <v>0</v>
      </c>
      <c r="L96" s="147"/>
      <c r="M96" s="166">
        <f t="shared" si="123"/>
        <v>0</v>
      </c>
      <c r="N96" s="147"/>
      <c r="O96" s="166">
        <f t="shared" si="124"/>
        <v>0</v>
      </c>
      <c r="P96" s="147"/>
      <c r="Q96" s="166">
        <f t="shared" si="125"/>
        <v>0</v>
      </c>
      <c r="R96" s="147"/>
      <c r="S96" s="166">
        <f t="shared" si="126"/>
        <v>0</v>
      </c>
      <c r="T96" s="147"/>
      <c r="U96" s="166">
        <f t="shared" si="127"/>
        <v>0</v>
      </c>
      <c r="V96" s="147"/>
      <c r="W96" s="166">
        <f t="shared" si="128"/>
        <v>0</v>
      </c>
      <c r="X96" s="147"/>
      <c r="Y96" s="166">
        <f t="shared" si="129"/>
        <v>0</v>
      </c>
      <c r="Z96" s="147"/>
      <c r="AA96" s="166">
        <f t="shared" si="130"/>
        <v>0</v>
      </c>
      <c r="AB96" s="147"/>
      <c r="AC96" s="166">
        <f t="shared" si="131"/>
        <v>0</v>
      </c>
      <c r="AD96" s="147"/>
      <c r="AE96" s="166">
        <f t="shared" si="132"/>
        <v>0</v>
      </c>
      <c r="AF96" s="147"/>
      <c r="AG96" s="166">
        <f t="shared" si="133"/>
        <v>0</v>
      </c>
      <c r="AH96" s="147"/>
      <c r="AI96" s="166">
        <f t="shared" si="134"/>
        <v>0</v>
      </c>
      <c r="AJ96" s="147"/>
      <c r="AK96" s="166">
        <f t="shared" si="135"/>
        <v>0</v>
      </c>
      <c r="AL96" s="147"/>
      <c r="AM96" s="166">
        <f t="shared" si="136"/>
        <v>0</v>
      </c>
      <c r="AN96" s="147"/>
      <c r="AO96" s="166">
        <f t="shared" si="137"/>
        <v>0</v>
      </c>
      <c r="AP96" s="147"/>
      <c r="AQ96" s="166">
        <f t="shared" si="138"/>
        <v>0</v>
      </c>
      <c r="AR96" s="147"/>
      <c r="AS96" s="166">
        <f t="shared" si="139"/>
        <v>0</v>
      </c>
      <c r="AT96" s="147"/>
      <c r="AU96" s="166">
        <f t="shared" si="140"/>
        <v>0</v>
      </c>
      <c r="AV96" s="147"/>
      <c r="AW96" s="166">
        <f t="shared" si="141"/>
        <v>0</v>
      </c>
      <c r="AX96" s="147"/>
      <c r="AY96" s="166">
        <f t="shared" si="142"/>
        <v>0</v>
      </c>
      <c r="AZ96" s="147"/>
      <c r="BA96" s="166">
        <f t="shared" si="143"/>
        <v>0</v>
      </c>
      <c r="BB96" s="147"/>
      <c r="BC96" s="166">
        <f t="shared" si="144"/>
        <v>0</v>
      </c>
      <c r="BD96" s="147"/>
      <c r="BE96" s="166">
        <f t="shared" si="145"/>
        <v>0</v>
      </c>
      <c r="BF96" s="147"/>
      <c r="BG96" s="166">
        <f t="shared" si="146"/>
        <v>0</v>
      </c>
      <c r="BH96" s="147"/>
      <c r="BI96" s="48"/>
      <c r="BJ96" s="147"/>
      <c r="BK96" s="48"/>
      <c r="BL96" s="147"/>
      <c r="BM96" s="48"/>
      <c r="BN96" s="50"/>
      <c r="BO96" s="170" t="e">
        <f t="shared" si="121"/>
        <v>#VALUE!</v>
      </c>
      <c r="BP96" s="87"/>
      <c r="BQ96" s="52"/>
    </row>
    <row r="97" spans="1:76" x14ac:dyDescent="0.35">
      <c r="A97" s="135"/>
      <c r="B97" s="54" t="s">
        <v>67</v>
      </c>
      <c r="C97" s="144"/>
      <c r="D97" s="146"/>
      <c r="E97" s="166" t="e">
        <f t="shared" si="122"/>
        <v>#VALUE!</v>
      </c>
      <c r="F97" s="147"/>
      <c r="G97" s="166">
        <f t="shared" si="122"/>
        <v>0</v>
      </c>
      <c r="H97" s="147"/>
      <c r="I97" s="166">
        <f t="shared" si="122"/>
        <v>0</v>
      </c>
      <c r="J97" s="147"/>
      <c r="K97" s="166">
        <f t="shared" si="122"/>
        <v>0</v>
      </c>
      <c r="L97" s="147"/>
      <c r="M97" s="166">
        <f t="shared" si="123"/>
        <v>0</v>
      </c>
      <c r="N97" s="147"/>
      <c r="O97" s="166">
        <f t="shared" si="124"/>
        <v>0</v>
      </c>
      <c r="P97" s="147"/>
      <c r="Q97" s="166">
        <f t="shared" si="125"/>
        <v>0</v>
      </c>
      <c r="R97" s="147"/>
      <c r="S97" s="166">
        <f t="shared" si="126"/>
        <v>0</v>
      </c>
      <c r="T97" s="147"/>
      <c r="U97" s="166">
        <f t="shared" si="127"/>
        <v>0</v>
      </c>
      <c r="V97" s="147"/>
      <c r="W97" s="166">
        <f t="shared" si="128"/>
        <v>0</v>
      </c>
      <c r="X97" s="147"/>
      <c r="Y97" s="166">
        <f t="shared" si="129"/>
        <v>0</v>
      </c>
      <c r="Z97" s="147"/>
      <c r="AA97" s="166">
        <f t="shared" si="130"/>
        <v>0</v>
      </c>
      <c r="AB97" s="147"/>
      <c r="AC97" s="166">
        <f t="shared" si="131"/>
        <v>0</v>
      </c>
      <c r="AD97" s="147"/>
      <c r="AE97" s="166">
        <f t="shared" si="132"/>
        <v>0</v>
      </c>
      <c r="AF97" s="147"/>
      <c r="AG97" s="166">
        <f t="shared" si="133"/>
        <v>0</v>
      </c>
      <c r="AH97" s="147"/>
      <c r="AI97" s="166">
        <f t="shared" si="134"/>
        <v>0</v>
      </c>
      <c r="AJ97" s="147"/>
      <c r="AK97" s="166">
        <f t="shared" si="135"/>
        <v>0</v>
      </c>
      <c r="AL97" s="147"/>
      <c r="AM97" s="166">
        <f t="shared" si="136"/>
        <v>0</v>
      </c>
      <c r="AN97" s="147"/>
      <c r="AO97" s="166">
        <f t="shared" si="137"/>
        <v>0</v>
      </c>
      <c r="AP97" s="147"/>
      <c r="AQ97" s="166">
        <f t="shared" si="138"/>
        <v>0</v>
      </c>
      <c r="AR97" s="147"/>
      <c r="AS97" s="166">
        <f t="shared" si="139"/>
        <v>0</v>
      </c>
      <c r="AT97" s="147"/>
      <c r="AU97" s="166">
        <f t="shared" si="140"/>
        <v>0</v>
      </c>
      <c r="AV97" s="147"/>
      <c r="AW97" s="166">
        <f t="shared" si="141"/>
        <v>0</v>
      </c>
      <c r="AX97" s="147"/>
      <c r="AY97" s="166">
        <f t="shared" si="142"/>
        <v>0</v>
      </c>
      <c r="AZ97" s="147"/>
      <c r="BA97" s="166">
        <f t="shared" si="143"/>
        <v>0</v>
      </c>
      <c r="BB97" s="147"/>
      <c r="BC97" s="166">
        <f t="shared" si="144"/>
        <v>0</v>
      </c>
      <c r="BD97" s="147"/>
      <c r="BE97" s="166">
        <f t="shared" si="145"/>
        <v>0</v>
      </c>
      <c r="BF97" s="147"/>
      <c r="BG97" s="166">
        <f t="shared" si="146"/>
        <v>0</v>
      </c>
      <c r="BH97" s="147"/>
      <c r="BI97" s="48"/>
      <c r="BJ97" s="147"/>
      <c r="BK97" s="48"/>
      <c r="BL97" s="147"/>
      <c r="BM97" s="48"/>
      <c r="BN97" s="50"/>
      <c r="BO97" s="170" t="e">
        <f t="shared" si="121"/>
        <v>#VALUE!</v>
      </c>
      <c r="BP97" s="87"/>
      <c r="BQ97" s="52"/>
    </row>
    <row r="98" spans="1:76" x14ac:dyDescent="0.35">
      <c r="A98" s="136" t="s">
        <v>82</v>
      </c>
      <c r="B98" s="54" t="s">
        <v>66</v>
      </c>
      <c r="C98" s="144"/>
      <c r="D98" s="146"/>
      <c r="E98" s="166" t="e">
        <f t="shared" si="122"/>
        <v>#VALUE!</v>
      </c>
      <c r="F98" s="147"/>
      <c r="G98" s="166">
        <f t="shared" si="122"/>
        <v>0</v>
      </c>
      <c r="H98" s="147"/>
      <c r="I98" s="166">
        <f t="shared" si="122"/>
        <v>0</v>
      </c>
      <c r="J98" s="147"/>
      <c r="K98" s="166">
        <f t="shared" si="122"/>
        <v>0</v>
      </c>
      <c r="L98" s="147"/>
      <c r="M98" s="166">
        <f t="shared" si="123"/>
        <v>0</v>
      </c>
      <c r="N98" s="147"/>
      <c r="O98" s="166">
        <f t="shared" si="124"/>
        <v>0</v>
      </c>
      <c r="P98" s="147"/>
      <c r="Q98" s="166">
        <f t="shared" si="125"/>
        <v>0</v>
      </c>
      <c r="R98" s="147"/>
      <c r="S98" s="166">
        <f t="shared" si="126"/>
        <v>0</v>
      </c>
      <c r="T98" s="147"/>
      <c r="U98" s="166">
        <f t="shared" si="127"/>
        <v>0</v>
      </c>
      <c r="V98" s="147"/>
      <c r="W98" s="166">
        <f t="shared" si="128"/>
        <v>0</v>
      </c>
      <c r="X98" s="147"/>
      <c r="Y98" s="166">
        <f t="shared" si="129"/>
        <v>0</v>
      </c>
      <c r="Z98" s="147"/>
      <c r="AA98" s="166">
        <f t="shared" si="130"/>
        <v>0</v>
      </c>
      <c r="AB98" s="147"/>
      <c r="AC98" s="166">
        <f t="shared" si="131"/>
        <v>0</v>
      </c>
      <c r="AD98" s="147"/>
      <c r="AE98" s="166">
        <f t="shared" si="132"/>
        <v>0</v>
      </c>
      <c r="AF98" s="147"/>
      <c r="AG98" s="166">
        <f t="shared" si="133"/>
        <v>0</v>
      </c>
      <c r="AH98" s="147"/>
      <c r="AI98" s="166">
        <f t="shared" si="134"/>
        <v>0</v>
      </c>
      <c r="AJ98" s="147"/>
      <c r="AK98" s="166">
        <f t="shared" si="135"/>
        <v>0</v>
      </c>
      <c r="AL98" s="147"/>
      <c r="AM98" s="166">
        <f t="shared" si="136"/>
        <v>0</v>
      </c>
      <c r="AN98" s="147"/>
      <c r="AO98" s="166">
        <f t="shared" si="137"/>
        <v>0</v>
      </c>
      <c r="AP98" s="147"/>
      <c r="AQ98" s="166">
        <f t="shared" si="138"/>
        <v>0</v>
      </c>
      <c r="AR98" s="147"/>
      <c r="AS98" s="166">
        <f t="shared" si="139"/>
        <v>0</v>
      </c>
      <c r="AT98" s="147"/>
      <c r="AU98" s="166">
        <f t="shared" si="140"/>
        <v>0</v>
      </c>
      <c r="AV98" s="147"/>
      <c r="AW98" s="166">
        <f t="shared" si="141"/>
        <v>0</v>
      </c>
      <c r="AX98" s="147"/>
      <c r="AY98" s="166">
        <f t="shared" si="142"/>
        <v>0</v>
      </c>
      <c r="AZ98" s="147"/>
      <c r="BA98" s="166">
        <f t="shared" si="143"/>
        <v>0</v>
      </c>
      <c r="BB98" s="147"/>
      <c r="BC98" s="166">
        <f t="shared" si="144"/>
        <v>0</v>
      </c>
      <c r="BD98" s="147"/>
      <c r="BE98" s="166">
        <f t="shared" si="145"/>
        <v>0</v>
      </c>
      <c r="BF98" s="147"/>
      <c r="BG98" s="166">
        <f t="shared" si="146"/>
        <v>0</v>
      </c>
      <c r="BH98" s="147"/>
      <c r="BI98" s="48"/>
      <c r="BJ98" s="147"/>
      <c r="BK98" s="48"/>
      <c r="BL98" s="147"/>
      <c r="BM98" s="48"/>
      <c r="BN98" s="50"/>
      <c r="BO98" s="170" t="e">
        <f t="shared" si="121"/>
        <v>#VALUE!</v>
      </c>
      <c r="BP98" s="87"/>
      <c r="BQ98" s="52"/>
    </row>
    <row r="99" spans="1:76" x14ac:dyDescent="0.35">
      <c r="A99" s="44"/>
      <c r="B99" s="54" t="s">
        <v>65</v>
      </c>
      <c r="C99" s="144"/>
      <c r="D99" s="146"/>
      <c r="E99" s="166" t="e">
        <f t="shared" si="122"/>
        <v>#VALUE!</v>
      </c>
      <c r="F99" s="147"/>
      <c r="G99" s="166">
        <f t="shared" si="122"/>
        <v>0</v>
      </c>
      <c r="H99" s="147"/>
      <c r="I99" s="166">
        <f t="shared" si="122"/>
        <v>0</v>
      </c>
      <c r="J99" s="147"/>
      <c r="K99" s="166">
        <f t="shared" si="122"/>
        <v>0</v>
      </c>
      <c r="L99" s="147"/>
      <c r="M99" s="166">
        <f t="shared" si="123"/>
        <v>0</v>
      </c>
      <c r="N99" s="147"/>
      <c r="O99" s="166">
        <f t="shared" si="124"/>
        <v>0</v>
      </c>
      <c r="P99" s="147"/>
      <c r="Q99" s="166">
        <f t="shared" si="125"/>
        <v>0</v>
      </c>
      <c r="R99" s="147"/>
      <c r="S99" s="166">
        <f t="shared" si="126"/>
        <v>0</v>
      </c>
      <c r="T99" s="147"/>
      <c r="U99" s="166">
        <f t="shared" si="127"/>
        <v>0</v>
      </c>
      <c r="V99" s="147"/>
      <c r="W99" s="166">
        <f t="shared" si="128"/>
        <v>0</v>
      </c>
      <c r="X99" s="147"/>
      <c r="Y99" s="166">
        <f t="shared" si="129"/>
        <v>0</v>
      </c>
      <c r="Z99" s="147"/>
      <c r="AA99" s="166">
        <f t="shared" si="130"/>
        <v>0</v>
      </c>
      <c r="AB99" s="147"/>
      <c r="AC99" s="166">
        <f t="shared" si="131"/>
        <v>0</v>
      </c>
      <c r="AD99" s="147"/>
      <c r="AE99" s="166">
        <f t="shared" si="132"/>
        <v>0</v>
      </c>
      <c r="AF99" s="147"/>
      <c r="AG99" s="166">
        <f t="shared" si="133"/>
        <v>0</v>
      </c>
      <c r="AH99" s="147"/>
      <c r="AI99" s="166">
        <f t="shared" si="134"/>
        <v>0</v>
      </c>
      <c r="AJ99" s="147"/>
      <c r="AK99" s="166">
        <f t="shared" si="135"/>
        <v>0</v>
      </c>
      <c r="AL99" s="147"/>
      <c r="AM99" s="166">
        <f t="shared" si="136"/>
        <v>0</v>
      </c>
      <c r="AN99" s="147"/>
      <c r="AO99" s="166">
        <f t="shared" si="137"/>
        <v>0</v>
      </c>
      <c r="AP99" s="147"/>
      <c r="AQ99" s="166">
        <f t="shared" si="138"/>
        <v>0</v>
      </c>
      <c r="AR99" s="147"/>
      <c r="AS99" s="166">
        <f t="shared" si="139"/>
        <v>0</v>
      </c>
      <c r="AT99" s="147"/>
      <c r="AU99" s="166">
        <f t="shared" si="140"/>
        <v>0</v>
      </c>
      <c r="AV99" s="147"/>
      <c r="AW99" s="166">
        <f t="shared" si="141"/>
        <v>0</v>
      </c>
      <c r="AX99" s="147"/>
      <c r="AY99" s="166">
        <f t="shared" si="142"/>
        <v>0</v>
      </c>
      <c r="AZ99" s="147"/>
      <c r="BA99" s="166">
        <f t="shared" si="143"/>
        <v>0</v>
      </c>
      <c r="BB99" s="147"/>
      <c r="BC99" s="166">
        <f t="shared" si="144"/>
        <v>0</v>
      </c>
      <c r="BD99" s="147"/>
      <c r="BE99" s="166">
        <f t="shared" si="145"/>
        <v>0</v>
      </c>
      <c r="BF99" s="147"/>
      <c r="BG99" s="166">
        <f t="shared" si="146"/>
        <v>0</v>
      </c>
      <c r="BH99" s="147"/>
      <c r="BI99" s="48"/>
      <c r="BJ99" s="147"/>
      <c r="BK99" s="48"/>
      <c r="BL99" s="147"/>
      <c r="BM99" s="48"/>
      <c r="BN99" s="50"/>
      <c r="BO99" s="170" t="e">
        <f t="shared" si="121"/>
        <v>#VALUE!</v>
      </c>
      <c r="BP99" s="87"/>
      <c r="BQ99" s="52"/>
    </row>
    <row r="100" spans="1:76" x14ac:dyDescent="0.35">
      <c r="A100" s="135" t="s">
        <v>84</v>
      </c>
      <c r="B100" s="54" t="s">
        <v>67</v>
      </c>
      <c r="C100" s="144"/>
      <c r="D100" s="146"/>
      <c r="E100" s="166" t="e">
        <f t="shared" si="122"/>
        <v>#VALUE!</v>
      </c>
      <c r="F100" s="147"/>
      <c r="G100" s="166">
        <f t="shared" si="122"/>
        <v>0</v>
      </c>
      <c r="H100" s="147"/>
      <c r="I100" s="166">
        <f t="shared" si="122"/>
        <v>0</v>
      </c>
      <c r="J100" s="147"/>
      <c r="K100" s="166">
        <f t="shared" si="122"/>
        <v>0</v>
      </c>
      <c r="L100" s="147"/>
      <c r="M100" s="166">
        <f t="shared" si="123"/>
        <v>0</v>
      </c>
      <c r="N100" s="147"/>
      <c r="O100" s="166">
        <f t="shared" si="124"/>
        <v>0</v>
      </c>
      <c r="P100" s="147"/>
      <c r="Q100" s="166">
        <f t="shared" si="125"/>
        <v>0</v>
      </c>
      <c r="R100" s="147"/>
      <c r="S100" s="166">
        <f t="shared" si="126"/>
        <v>0</v>
      </c>
      <c r="T100" s="147"/>
      <c r="U100" s="166">
        <f t="shared" si="127"/>
        <v>0</v>
      </c>
      <c r="V100" s="147"/>
      <c r="W100" s="166">
        <f t="shared" si="128"/>
        <v>0</v>
      </c>
      <c r="X100" s="147"/>
      <c r="Y100" s="166">
        <f t="shared" si="129"/>
        <v>0</v>
      </c>
      <c r="Z100" s="147"/>
      <c r="AA100" s="166">
        <f t="shared" si="130"/>
        <v>0</v>
      </c>
      <c r="AB100" s="147"/>
      <c r="AC100" s="166">
        <f t="shared" si="131"/>
        <v>0</v>
      </c>
      <c r="AD100" s="147"/>
      <c r="AE100" s="166">
        <f t="shared" si="132"/>
        <v>0</v>
      </c>
      <c r="AF100" s="147"/>
      <c r="AG100" s="166">
        <f t="shared" si="133"/>
        <v>0</v>
      </c>
      <c r="AH100" s="147"/>
      <c r="AI100" s="166">
        <f t="shared" si="134"/>
        <v>0</v>
      </c>
      <c r="AJ100" s="147"/>
      <c r="AK100" s="166">
        <f t="shared" si="135"/>
        <v>0</v>
      </c>
      <c r="AL100" s="147"/>
      <c r="AM100" s="166">
        <f t="shared" si="136"/>
        <v>0</v>
      </c>
      <c r="AN100" s="147"/>
      <c r="AO100" s="166">
        <f t="shared" si="137"/>
        <v>0</v>
      </c>
      <c r="AP100" s="147"/>
      <c r="AQ100" s="166">
        <f t="shared" si="138"/>
        <v>0</v>
      </c>
      <c r="AR100" s="147"/>
      <c r="AS100" s="166">
        <f t="shared" si="139"/>
        <v>0</v>
      </c>
      <c r="AT100" s="147"/>
      <c r="AU100" s="166">
        <f t="shared" si="140"/>
        <v>0</v>
      </c>
      <c r="AV100" s="147"/>
      <c r="AW100" s="166">
        <f t="shared" si="141"/>
        <v>0</v>
      </c>
      <c r="AX100" s="147"/>
      <c r="AY100" s="166">
        <f t="shared" si="142"/>
        <v>0</v>
      </c>
      <c r="AZ100" s="147"/>
      <c r="BA100" s="166">
        <f t="shared" si="143"/>
        <v>0</v>
      </c>
      <c r="BB100" s="147"/>
      <c r="BC100" s="166">
        <f t="shared" si="144"/>
        <v>0</v>
      </c>
      <c r="BD100" s="147"/>
      <c r="BE100" s="166">
        <f t="shared" si="145"/>
        <v>0</v>
      </c>
      <c r="BF100" s="147"/>
      <c r="BG100" s="166">
        <f t="shared" si="146"/>
        <v>0</v>
      </c>
      <c r="BH100" s="147"/>
      <c r="BI100" s="48"/>
      <c r="BJ100" s="147"/>
      <c r="BK100" s="48"/>
      <c r="BL100" s="147"/>
      <c r="BM100" s="48"/>
      <c r="BN100" s="50"/>
      <c r="BO100" s="170" t="e">
        <f t="shared" si="121"/>
        <v>#VALUE!</v>
      </c>
      <c r="BP100" s="87"/>
      <c r="BQ100" s="52"/>
    </row>
    <row r="101" spans="1:76" x14ac:dyDescent="0.35">
      <c r="A101" s="136" t="s">
        <v>85</v>
      </c>
      <c r="B101" s="54" t="s">
        <v>66</v>
      </c>
      <c r="C101" s="144"/>
      <c r="D101" s="146"/>
      <c r="E101" s="166" t="e">
        <f t="shared" si="122"/>
        <v>#VALUE!</v>
      </c>
      <c r="F101" s="147"/>
      <c r="G101" s="166">
        <f t="shared" si="122"/>
        <v>0</v>
      </c>
      <c r="H101" s="147"/>
      <c r="I101" s="166">
        <f t="shared" si="122"/>
        <v>0</v>
      </c>
      <c r="J101" s="147"/>
      <c r="K101" s="166">
        <f t="shared" si="122"/>
        <v>0</v>
      </c>
      <c r="L101" s="147"/>
      <c r="M101" s="166">
        <f t="shared" si="123"/>
        <v>0</v>
      </c>
      <c r="N101" s="147"/>
      <c r="O101" s="166">
        <f t="shared" si="124"/>
        <v>0</v>
      </c>
      <c r="P101" s="147"/>
      <c r="Q101" s="166">
        <f t="shared" si="125"/>
        <v>0</v>
      </c>
      <c r="R101" s="147"/>
      <c r="S101" s="166">
        <f t="shared" si="126"/>
        <v>0</v>
      </c>
      <c r="T101" s="147"/>
      <c r="U101" s="166">
        <f t="shared" si="127"/>
        <v>0</v>
      </c>
      <c r="V101" s="147"/>
      <c r="W101" s="166">
        <f t="shared" si="128"/>
        <v>0</v>
      </c>
      <c r="X101" s="147"/>
      <c r="Y101" s="166">
        <f t="shared" si="129"/>
        <v>0</v>
      </c>
      <c r="Z101" s="147"/>
      <c r="AA101" s="166">
        <f t="shared" si="130"/>
        <v>0</v>
      </c>
      <c r="AB101" s="147"/>
      <c r="AC101" s="166">
        <f t="shared" si="131"/>
        <v>0</v>
      </c>
      <c r="AD101" s="147"/>
      <c r="AE101" s="166">
        <f t="shared" si="132"/>
        <v>0</v>
      </c>
      <c r="AF101" s="147"/>
      <c r="AG101" s="166">
        <f t="shared" si="133"/>
        <v>0</v>
      </c>
      <c r="AH101" s="147"/>
      <c r="AI101" s="166">
        <f t="shared" si="134"/>
        <v>0</v>
      </c>
      <c r="AJ101" s="147"/>
      <c r="AK101" s="166">
        <f t="shared" si="135"/>
        <v>0</v>
      </c>
      <c r="AL101" s="147"/>
      <c r="AM101" s="166">
        <f t="shared" si="136"/>
        <v>0</v>
      </c>
      <c r="AN101" s="147"/>
      <c r="AO101" s="166">
        <f t="shared" si="137"/>
        <v>0</v>
      </c>
      <c r="AP101" s="147"/>
      <c r="AQ101" s="166">
        <f t="shared" si="138"/>
        <v>0</v>
      </c>
      <c r="AR101" s="147"/>
      <c r="AS101" s="166">
        <f t="shared" si="139"/>
        <v>0</v>
      </c>
      <c r="AT101" s="147"/>
      <c r="AU101" s="166">
        <f t="shared" si="140"/>
        <v>0</v>
      </c>
      <c r="AV101" s="147"/>
      <c r="AW101" s="166">
        <f t="shared" si="141"/>
        <v>0</v>
      </c>
      <c r="AX101" s="147"/>
      <c r="AY101" s="166">
        <f t="shared" si="142"/>
        <v>0</v>
      </c>
      <c r="AZ101" s="147"/>
      <c r="BA101" s="166">
        <f t="shared" si="143"/>
        <v>0</v>
      </c>
      <c r="BB101" s="147"/>
      <c r="BC101" s="166">
        <f t="shared" si="144"/>
        <v>0</v>
      </c>
      <c r="BD101" s="147"/>
      <c r="BE101" s="166">
        <f t="shared" si="145"/>
        <v>0</v>
      </c>
      <c r="BF101" s="147"/>
      <c r="BG101" s="166">
        <f t="shared" si="146"/>
        <v>0</v>
      </c>
      <c r="BH101" s="147"/>
      <c r="BI101" s="48"/>
      <c r="BJ101" s="147"/>
      <c r="BK101" s="48"/>
      <c r="BL101" s="147"/>
      <c r="BM101" s="48"/>
      <c r="BN101" s="50"/>
      <c r="BO101" s="170" t="e">
        <f t="shared" si="121"/>
        <v>#VALUE!</v>
      </c>
      <c r="BP101" s="87"/>
      <c r="BQ101" s="52"/>
    </row>
    <row r="102" spans="1:76" x14ac:dyDescent="0.35">
      <c r="A102" s="44" t="s">
        <v>86</v>
      </c>
      <c r="B102" s="54" t="s">
        <v>65</v>
      </c>
      <c r="C102" s="144"/>
      <c r="D102" s="146"/>
      <c r="E102" s="166" t="e">
        <f t="shared" si="122"/>
        <v>#VALUE!</v>
      </c>
      <c r="F102" s="147"/>
      <c r="G102" s="166">
        <f t="shared" si="122"/>
        <v>0</v>
      </c>
      <c r="H102" s="147"/>
      <c r="I102" s="166">
        <f t="shared" si="122"/>
        <v>0</v>
      </c>
      <c r="J102" s="147"/>
      <c r="K102" s="166">
        <f t="shared" si="122"/>
        <v>0</v>
      </c>
      <c r="L102" s="147"/>
      <c r="M102" s="166">
        <f t="shared" si="123"/>
        <v>0</v>
      </c>
      <c r="N102" s="147"/>
      <c r="O102" s="166">
        <f t="shared" si="124"/>
        <v>0</v>
      </c>
      <c r="P102" s="147"/>
      <c r="Q102" s="166">
        <f t="shared" si="125"/>
        <v>0</v>
      </c>
      <c r="R102" s="147"/>
      <c r="S102" s="166">
        <f t="shared" si="126"/>
        <v>0</v>
      </c>
      <c r="T102" s="147"/>
      <c r="U102" s="166">
        <f t="shared" si="127"/>
        <v>0</v>
      </c>
      <c r="V102" s="147"/>
      <c r="W102" s="166">
        <f t="shared" si="128"/>
        <v>0</v>
      </c>
      <c r="X102" s="147"/>
      <c r="Y102" s="166">
        <f t="shared" si="129"/>
        <v>0</v>
      </c>
      <c r="Z102" s="147"/>
      <c r="AA102" s="166">
        <f t="shared" si="130"/>
        <v>0</v>
      </c>
      <c r="AB102" s="147"/>
      <c r="AC102" s="166">
        <f t="shared" si="131"/>
        <v>0</v>
      </c>
      <c r="AD102" s="147"/>
      <c r="AE102" s="166">
        <f t="shared" si="132"/>
        <v>0</v>
      </c>
      <c r="AF102" s="147"/>
      <c r="AG102" s="166">
        <f t="shared" si="133"/>
        <v>0</v>
      </c>
      <c r="AH102" s="147"/>
      <c r="AI102" s="166">
        <f t="shared" si="134"/>
        <v>0</v>
      </c>
      <c r="AJ102" s="147"/>
      <c r="AK102" s="166">
        <f t="shared" si="135"/>
        <v>0</v>
      </c>
      <c r="AL102" s="147"/>
      <c r="AM102" s="166">
        <f t="shared" si="136"/>
        <v>0</v>
      </c>
      <c r="AN102" s="147"/>
      <c r="AO102" s="166">
        <f t="shared" si="137"/>
        <v>0</v>
      </c>
      <c r="AP102" s="147"/>
      <c r="AQ102" s="166">
        <f t="shared" si="138"/>
        <v>0</v>
      </c>
      <c r="AR102" s="147"/>
      <c r="AS102" s="166">
        <f t="shared" si="139"/>
        <v>0</v>
      </c>
      <c r="AT102" s="147"/>
      <c r="AU102" s="166">
        <f t="shared" si="140"/>
        <v>0</v>
      </c>
      <c r="AV102" s="147"/>
      <c r="AW102" s="166">
        <f t="shared" si="141"/>
        <v>0</v>
      </c>
      <c r="AX102" s="147"/>
      <c r="AY102" s="166">
        <f t="shared" si="142"/>
        <v>0</v>
      </c>
      <c r="AZ102" s="147"/>
      <c r="BA102" s="166">
        <f t="shared" si="143"/>
        <v>0</v>
      </c>
      <c r="BB102" s="147"/>
      <c r="BC102" s="166">
        <f t="shared" si="144"/>
        <v>0</v>
      </c>
      <c r="BD102" s="147"/>
      <c r="BE102" s="166">
        <f t="shared" si="145"/>
        <v>0</v>
      </c>
      <c r="BF102" s="147"/>
      <c r="BG102" s="166">
        <f t="shared" si="146"/>
        <v>0</v>
      </c>
      <c r="BH102" s="147"/>
      <c r="BI102" s="48"/>
      <c r="BJ102" s="147"/>
      <c r="BK102" s="48"/>
      <c r="BL102" s="147"/>
      <c r="BM102" s="48"/>
      <c r="BN102" s="50"/>
      <c r="BO102" s="170" t="e">
        <f t="shared" si="121"/>
        <v>#VALUE!</v>
      </c>
      <c r="BP102" s="87"/>
      <c r="BQ102" s="52"/>
    </row>
    <row r="103" spans="1:76" x14ac:dyDescent="0.35">
      <c r="A103" s="53"/>
      <c r="B103" s="54"/>
      <c r="C103" s="144"/>
      <c r="D103" s="189">
        <f>SUM(D91:D102)</f>
        <v>0</v>
      </c>
      <c r="E103" s="166" t="e">
        <f t="shared" ref="E103:BP103" si="147">SUM(E91:E102)</f>
        <v>#VALUE!</v>
      </c>
      <c r="F103" s="167">
        <f t="shared" si="147"/>
        <v>0</v>
      </c>
      <c r="G103" s="166">
        <f t="shared" si="147"/>
        <v>0</v>
      </c>
      <c r="H103" s="167">
        <f t="shared" si="147"/>
        <v>0</v>
      </c>
      <c r="I103" s="166">
        <f t="shared" si="147"/>
        <v>0</v>
      </c>
      <c r="J103" s="167">
        <f t="shared" si="147"/>
        <v>0</v>
      </c>
      <c r="K103" s="166">
        <f t="shared" si="147"/>
        <v>0</v>
      </c>
      <c r="L103" s="167">
        <f t="shared" si="147"/>
        <v>0</v>
      </c>
      <c r="M103" s="166">
        <f t="shared" si="147"/>
        <v>0</v>
      </c>
      <c r="N103" s="167">
        <f t="shared" si="147"/>
        <v>0</v>
      </c>
      <c r="O103" s="166">
        <f t="shared" si="147"/>
        <v>0</v>
      </c>
      <c r="P103" s="167">
        <f t="shared" si="147"/>
        <v>0</v>
      </c>
      <c r="Q103" s="166">
        <f t="shared" si="147"/>
        <v>0</v>
      </c>
      <c r="R103" s="167">
        <f t="shared" si="147"/>
        <v>0</v>
      </c>
      <c r="S103" s="166">
        <f t="shared" si="147"/>
        <v>0</v>
      </c>
      <c r="T103" s="167">
        <f t="shared" si="147"/>
        <v>0</v>
      </c>
      <c r="U103" s="166">
        <f t="shared" si="147"/>
        <v>0</v>
      </c>
      <c r="V103" s="167">
        <f t="shared" si="147"/>
        <v>0</v>
      </c>
      <c r="W103" s="166">
        <f t="shared" si="147"/>
        <v>0</v>
      </c>
      <c r="X103" s="167">
        <f t="shared" si="147"/>
        <v>0</v>
      </c>
      <c r="Y103" s="166">
        <f t="shared" si="147"/>
        <v>0</v>
      </c>
      <c r="Z103" s="167">
        <f t="shared" si="147"/>
        <v>0</v>
      </c>
      <c r="AA103" s="166">
        <f t="shared" si="147"/>
        <v>0</v>
      </c>
      <c r="AB103" s="167">
        <f t="shared" si="147"/>
        <v>0</v>
      </c>
      <c r="AC103" s="166">
        <f t="shared" si="147"/>
        <v>0</v>
      </c>
      <c r="AD103" s="167">
        <f t="shared" si="147"/>
        <v>0</v>
      </c>
      <c r="AE103" s="166">
        <f t="shared" si="147"/>
        <v>0</v>
      </c>
      <c r="AF103" s="167">
        <f t="shared" si="147"/>
        <v>0</v>
      </c>
      <c r="AG103" s="166">
        <f t="shared" si="147"/>
        <v>0</v>
      </c>
      <c r="AH103" s="167">
        <f t="shared" si="147"/>
        <v>0</v>
      </c>
      <c r="AI103" s="166">
        <f t="shared" si="147"/>
        <v>0</v>
      </c>
      <c r="AJ103" s="167">
        <f t="shared" si="147"/>
        <v>0</v>
      </c>
      <c r="AK103" s="166">
        <f t="shared" si="147"/>
        <v>0</v>
      </c>
      <c r="AL103" s="167">
        <f t="shared" si="147"/>
        <v>0</v>
      </c>
      <c r="AM103" s="166">
        <f t="shared" si="147"/>
        <v>0</v>
      </c>
      <c r="AN103" s="167">
        <f t="shared" si="147"/>
        <v>0</v>
      </c>
      <c r="AO103" s="166">
        <f t="shared" si="147"/>
        <v>0</v>
      </c>
      <c r="AP103" s="167">
        <f t="shared" si="147"/>
        <v>0</v>
      </c>
      <c r="AQ103" s="194">
        <f t="shared" si="147"/>
        <v>0</v>
      </c>
      <c r="AR103" s="167">
        <f t="shared" si="147"/>
        <v>0</v>
      </c>
      <c r="AS103" s="166">
        <f t="shared" si="147"/>
        <v>0</v>
      </c>
      <c r="AT103" s="167">
        <f t="shared" si="147"/>
        <v>0</v>
      </c>
      <c r="AU103" s="166">
        <f t="shared" si="147"/>
        <v>0</v>
      </c>
      <c r="AV103" s="167">
        <f t="shared" si="147"/>
        <v>0</v>
      </c>
      <c r="AW103" s="166">
        <f t="shared" si="147"/>
        <v>0</v>
      </c>
      <c r="AX103" s="167">
        <f t="shared" si="147"/>
        <v>0</v>
      </c>
      <c r="AY103" s="166">
        <f t="shared" si="147"/>
        <v>0</v>
      </c>
      <c r="AZ103" s="167">
        <f t="shared" si="147"/>
        <v>0</v>
      </c>
      <c r="BA103" s="166">
        <f t="shared" si="147"/>
        <v>0</v>
      </c>
      <c r="BB103" s="167">
        <f t="shared" si="147"/>
        <v>0</v>
      </c>
      <c r="BC103" s="166">
        <f t="shared" si="147"/>
        <v>0</v>
      </c>
      <c r="BD103" s="167">
        <f t="shared" si="147"/>
        <v>0</v>
      </c>
      <c r="BE103" s="166">
        <f t="shared" si="147"/>
        <v>0</v>
      </c>
      <c r="BF103" s="167">
        <f t="shared" si="147"/>
        <v>0</v>
      </c>
      <c r="BG103" s="166">
        <f t="shared" si="147"/>
        <v>0</v>
      </c>
      <c r="BH103" s="49"/>
      <c r="BI103" s="48"/>
      <c r="BJ103" s="49"/>
      <c r="BK103" s="48"/>
      <c r="BL103" s="49"/>
      <c r="BM103" s="48"/>
      <c r="BN103" s="50"/>
      <c r="BO103" s="170" t="e">
        <f t="shared" si="121"/>
        <v>#VALUE!</v>
      </c>
      <c r="BP103" s="173">
        <f t="shared" si="147"/>
        <v>0</v>
      </c>
      <c r="BQ103" s="52"/>
    </row>
    <row r="104" spans="1:76" x14ac:dyDescent="0.35">
      <c r="A104" s="53"/>
      <c r="B104" s="54"/>
      <c r="C104" s="144"/>
      <c r="D104" s="189">
        <f t="shared" si="90"/>
        <v>0</v>
      </c>
      <c r="E104" s="48"/>
      <c r="F104" s="167">
        <f t="shared" si="91"/>
        <v>0</v>
      </c>
      <c r="G104" s="48"/>
      <c r="H104" s="167">
        <f t="shared" si="92"/>
        <v>0</v>
      </c>
      <c r="I104" s="48"/>
      <c r="J104" s="167">
        <f t="shared" si="93"/>
        <v>0</v>
      </c>
      <c r="K104" s="48"/>
      <c r="L104" s="167">
        <f t="shared" ref="L104" si="148">+M104-K104</f>
        <v>0</v>
      </c>
      <c r="M104" s="48"/>
      <c r="N104" s="167">
        <f t="shared" ref="N104" si="149">+O104-M104</f>
        <v>0</v>
      </c>
      <c r="O104" s="48"/>
      <c r="P104" s="167">
        <f t="shared" ref="P104" si="150">+Q104-O104</f>
        <v>0</v>
      </c>
      <c r="Q104" s="48"/>
      <c r="R104" s="167">
        <f t="shared" ref="R104" si="151">+S104-Q104</f>
        <v>0</v>
      </c>
      <c r="S104" s="48"/>
      <c r="T104" s="167">
        <f t="shared" ref="T104" si="152">+U104-S104</f>
        <v>0</v>
      </c>
      <c r="U104" s="48"/>
      <c r="V104" s="167">
        <f t="shared" ref="V104" si="153">+W104-U104</f>
        <v>0</v>
      </c>
      <c r="W104" s="48"/>
      <c r="X104" s="167">
        <f t="shared" ref="X104" si="154">+Y104-W104</f>
        <v>0</v>
      </c>
      <c r="Y104" s="48"/>
      <c r="Z104" s="167">
        <f t="shared" ref="Z104" si="155">+AA104-Y104</f>
        <v>0</v>
      </c>
      <c r="AA104" s="48"/>
      <c r="AB104" s="167">
        <f t="shared" ref="AB104" si="156">+AC104-AA104</f>
        <v>0</v>
      </c>
      <c r="AC104" s="48"/>
      <c r="AD104" s="167">
        <f t="shared" ref="AD104" si="157">+AE104-AC104</f>
        <v>0</v>
      </c>
      <c r="AE104" s="48"/>
      <c r="AF104" s="167">
        <f t="shared" ref="AF104" si="158">+AG104-AE104</f>
        <v>0</v>
      </c>
      <c r="AG104" s="48"/>
      <c r="AH104" s="167">
        <f t="shared" ref="AH104" si="159">+AI104-AG104</f>
        <v>0</v>
      </c>
      <c r="AI104" s="48"/>
      <c r="AJ104" s="167">
        <f t="shared" ref="AJ104" si="160">+AK104-AI104</f>
        <v>0</v>
      </c>
      <c r="AK104" s="48"/>
      <c r="AL104" s="167">
        <f t="shared" ref="AL104" si="161">+AM104-AK104</f>
        <v>0</v>
      </c>
      <c r="AM104" s="48"/>
      <c r="AN104" s="167">
        <f t="shared" ref="AN104" si="162">+AO104-AM104</f>
        <v>0</v>
      </c>
      <c r="AO104" s="48"/>
      <c r="AP104" s="167">
        <f t="shared" ref="AP104" si="163">+AQ104-AO104</f>
        <v>0</v>
      </c>
      <c r="AQ104" s="48"/>
      <c r="AR104" s="167">
        <f t="shared" ref="AR104" si="164">+AS104-AQ104</f>
        <v>0</v>
      </c>
      <c r="AS104" s="48"/>
      <c r="AT104" s="167">
        <f t="shared" ref="AT104" si="165">+AU104-AS104</f>
        <v>0</v>
      </c>
      <c r="AU104" s="48"/>
      <c r="AV104" s="167">
        <f t="shared" ref="AV104" si="166">+AW104-AU104</f>
        <v>0</v>
      </c>
      <c r="AW104" s="48"/>
      <c r="AX104" s="167">
        <f t="shared" ref="AX104" si="167">+AY104-AW104</f>
        <v>0</v>
      </c>
      <c r="AY104" s="48"/>
      <c r="AZ104" s="167">
        <f t="shared" ref="AZ104" si="168">+BA104-AY104</f>
        <v>0</v>
      </c>
      <c r="BA104" s="48"/>
      <c r="BB104" s="167">
        <f t="shared" ref="BB104" si="169">+BC104-BA104</f>
        <v>0</v>
      </c>
      <c r="BC104" s="48"/>
      <c r="BD104" s="167">
        <f t="shared" ref="BD104" si="170">+BE104-BC104</f>
        <v>0</v>
      </c>
      <c r="BE104" s="48"/>
      <c r="BF104" s="167">
        <f t="shared" ref="BF104" si="171">+BG104-BE104</f>
        <v>0</v>
      </c>
      <c r="BG104" s="48"/>
      <c r="BH104" s="49"/>
      <c r="BI104" s="48"/>
      <c r="BJ104" s="49"/>
      <c r="BK104" s="48"/>
      <c r="BL104" s="49"/>
      <c r="BM104" s="48"/>
      <c r="BN104" s="50"/>
      <c r="BO104" s="51"/>
      <c r="BP104" s="173">
        <f t="shared" ref="BP104" si="172">+BQ104-BM104</f>
        <v>0</v>
      </c>
      <c r="BQ104" s="52"/>
    </row>
    <row r="105" spans="1:76" x14ac:dyDescent="0.35">
      <c r="A105" s="74"/>
      <c r="B105" s="75"/>
      <c r="C105" s="76"/>
      <c r="D105" s="77"/>
      <c r="E105" s="148"/>
      <c r="F105" s="79"/>
      <c r="G105" s="148"/>
      <c r="H105" s="79"/>
      <c r="I105" s="148"/>
      <c r="J105" s="79"/>
      <c r="K105" s="148"/>
      <c r="L105" s="79"/>
      <c r="M105" s="148"/>
      <c r="N105" s="79"/>
      <c r="O105" s="148"/>
      <c r="P105" s="79"/>
      <c r="Q105" s="148"/>
      <c r="R105" s="79"/>
      <c r="S105" s="148"/>
      <c r="T105" s="79"/>
      <c r="U105" s="148"/>
      <c r="V105" s="79"/>
      <c r="W105" s="148"/>
      <c r="X105" s="79"/>
      <c r="Y105" s="148"/>
      <c r="Z105" s="79"/>
      <c r="AA105" s="148"/>
      <c r="AB105" s="79"/>
      <c r="AC105" s="148"/>
      <c r="AD105" s="79"/>
      <c r="AE105" s="148"/>
      <c r="AF105" s="79"/>
      <c r="AG105" s="148"/>
      <c r="AH105" s="79"/>
      <c r="AI105" s="148"/>
      <c r="AJ105" s="79"/>
      <c r="AK105" s="148"/>
      <c r="AL105" s="79"/>
      <c r="AM105" s="148"/>
      <c r="AN105" s="79"/>
      <c r="AO105" s="148"/>
      <c r="AP105" s="79"/>
      <c r="AQ105" s="148"/>
      <c r="AR105" s="79"/>
      <c r="AS105" s="148"/>
      <c r="AT105" s="79"/>
      <c r="AU105" s="148"/>
      <c r="AV105" s="79"/>
      <c r="AW105" s="148"/>
      <c r="AX105" s="79"/>
      <c r="AY105" s="148"/>
      <c r="AZ105" s="79"/>
      <c r="BA105" s="148"/>
      <c r="BB105" s="79"/>
      <c r="BC105" s="148"/>
      <c r="BD105" s="79"/>
      <c r="BE105" s="148"/>
      <c r="BF105" s="79"/>
      <c r="BG105" s="148"/>
      <c r="BH105" s="79"/>
      <c r="BI105" s="148"/>
      <c r="BJ105" s="79"/>
      <c r="BK105" s="148"/>
      <c r="BL105" s="79"/>
      <c r="BM105" s="148"/>
      <c r="BN105" s="80"/>
      <c r="BO105" s="81"/>
      <c r="BP105" s="79"/>
      <c r="BQ105" s="82"/>
    </row>
    <row r="106" spans="1:76" x14ac:dyDescent="0.35">
      <c r="A106" s="53" t="s">
        <v>32</v>
      </c>
      <c r="B106" s="54"/>
      <c r="C106" s="67"/>
      <c r="D106" s="68"/>
      <c r="E106" s="69"/>
      <c r="F106" s="70"/>
      <c r="G106" s="69"/>
      <c r="H106" s="70"/>
      <c r="I106" s="69"/>
      <c r="J106" s="70"/>
      <c r="K106" s="69"/>
      <c r="L106" s="70"/>
      <c r="M106" s="69"/>
      <c r="N106" s="70"/>
      <c r="O106" s="69"/>
      <c r="P106" s="70"/>
      <c r="Q106" s="69"/>
      <c r="R106" s="70"/>
      <c r="S106" s="69"/>
      <c r="T106" s="70"/>
      <c r="U106" s="69"/>
      <c r="V106" s="70"/>
      <c r="W106" s="69"/>
      <c r="X106" s="70"/>
      <c r="Y106" s="69"/>
      <c r="Z106" s="70"/>
      <c r="AA106" s="69"/>
      <c r="AB106" s="70"/>
      <c r="AC106" s="69"/>
      <c r="AD106" s="70"/>
      <c r="AE106" s="69"/>
      <c r="AF106" s="70"/>
      <c r="AG106" s="69"/>
      <c r="AH106" s="70"/>
      <c r="AI106" s="69"/>
      <c r="AJ106" s="70"/>
      <c r="AK106" s="69"/>
      <c r="AL106" s="70"/>
      <c r="AM106" s="69"/>
      <c r="AN106" s="70"/>
      <c r="AO106" s="69"/>
      <c r="AP106" s="70"/>
      <c r="AQ106" s="69"/>
      <c r="AR106" s="70"/>
      <c r="AS106" s="69"/>
      <c r="AT106" s="70"/>
      <c r="AU106" s="69"/>
      <c r="AV106" s="70"/>
      <c r="AW106" s="69"/>
      <c r="AX106" s="70"/>
      <c r="AY106" s="69"/>
      <c r="AZ106" s="70"/>
      <c r="BA106" s="69"/>
      <c r="BB106" s="70"/>
      <c r="BC106" s="69"/>
      <c r="BD106" s="70"/>
      <c r="BE106" s="69"/>
      <c r="BF106" s="70"/>
      <c r="BG106" s="69"/>
      <c r="BH106" s="70"/>
      <c r="BI106" s="69"/>
      <c r="BJ106" s="70"/>
      <c r="BK106" s="69"/>
      <c r="BL106" s="70"/>
      <c r="BM106" s="69"/>
      <c r="BN106" s="71"/>
      <c r="BO106" s="182" t="str">
        <f t="shared" ref="BO106:BO120" si="173">IF(COUNT(E106,G106,I106,K106,M106,O106,Q106,S106,U106,W106,Y106,AA106,AC106,AE106,AG106,AI106,AK106,AM106,AO106,AQ106,AS106,AU106,AW106,AY106,BA106,BC106,BE106,BG106,BI106,BK106,BM106)=0,"",SUM(E106,G106,I106,K106,M106,O106,Q106,S106,U106,W106,Y106,AA106,AC106,AE106,AG106,AI106,AK106,AM106,AO106,AQ106,AS106,AU106,AW106,AY106,BA106,BC106,BE106,BG106,BI106,BK106,BM106))</f>
        <v/>
      </c>
      <c r="BP106" s="70"/>
      <c r="BQ106" s="73"/>
    </row>
    <row r="107" spans="1:76" x14ac:dyDescent="0.35">
      <c r="A107" s="53" t="s">
        <v>33</v>
      </c>
      <c r="B107" s="54"/>
      <c r="C107" s="67"/>
      <c r="D107" s="68"/>
      <c r="E107" s="69"/>
      <c r="F107" s="70"/>
      <c r="G107" s="69"/>
      <c r="H107" s="70"/>
      <c r="I107" s="69"/>
      <c r="J107" s="70"/>
      <c r="K107" s="69"/>
      <c r="L107" s="70"/>
      <c r="M107" s="69"/>
      <c r="N107" s="70"/>
      <c r="O107" s="69"/>
      <c r="P107" s="70"/>
      <c r="Q107" s="69"/>
      <c r="R107" s="70"/>
      <c r="S107" s="69"/>
      <c r="T107" s="70"/>
      <c r="U107" s="69"/>
      <c r="V107" s="70"/>
      <c r="W107" s="69"/>
      <c r="X107" s="70"/>
      <c r="Y107" s="69"/>
      <c r="Z107" s="70"/>
      <c r="AA107" s="69"/>
      <c r="AB107" s="70"/>
      <c r="AC107" s="69"/>
      <c r="AD107" s="70"/>
      <c r="AE107" s="69"/>
      <c r="AF107" s="70"/>
      <c r="AG107" s="69"/>
      <c r="AH107" s="70"/>
      <c r="AI107" s="69"/>
      <c r="AJ107" s="70"/>
      <c r="AK107" s="69"/>
      <c r="AL107" s="70"/>
      <c r="AM107" s="69"/>
      <c r="AN107" s="70"/>
      <c r="AO107" s="69"/>
      <c r="AP107" s="70"/>
      <c r="AQ107" s="69"/>
      <c r="AR107" s="70"/>
      <c r="AS107" s="69"/>
      <c r="AT107" s="70"/>
      <c r="AU107" s="69"/>
      <c r="AV107" s="70"/>
      <c r="AW107" s="69"/>
      <c r="AX107" s="70"/>
      <c r="AY107" s="69"/>
      <c r="AZ107" s="70"/>
      <c r="BA107" s="69"/>
      <c r="BB107" s="70"/>
      <c r="BC107" s="69"/>
      <c r="BD107" s="70"/>
      <c r="BE107" s="69"/>
      <c r="BF107" s="70"/>
      <c r="BG107" s="69"/>
      <c r="BH107" s="70"/>
      <c r="BI107" s="69"/>
      <c r="BJ107" s="70"/>
      <c r="BK107" s="69"/>
      <c r="BL107" s="70"/>
      <c r="BM107" s="69"/>
      <c r="BN107" s="71"/>
      <c r="BO107" s="182" t="str">
        <f t="shared" si="173"/>
        <v/>
      </c>
      <c r="BP107" s="70"/>
      <c r="BQ107" s="73"/>
    </row>
    <row r="108" spans="1:76" x14ac:dyDescent="0.35">
      <c r="A108" s="53" t="s">
        <v>33</v>
      </c>
      <c r="B108" s="54"/>
      <c r="C108" s="67"/>
      <c r="D108" s="68"/>
      <c r="E108" s="69"/>
      <c r="F108" s="70"/>
      <c r="G108" s="69"/>
      <c r="H108" s="70"/>
      <c r="I108" s="69"/>
      <c r="J108" s="70"/>
      <c r="K108" s="69"/>
      <c r="L108" s="70"/>
      <c r="M108" s="69"/>
      <c r="N108" s="70"/>
      <c r="O108" s="69"/>
      <c r="P108" s="70"/>
      <c r="Q108" s="69"/>
      <c r="R108" s="70"/>
      <c r="S108" s="69"/>
      <c r="T108" s="70"/>
      <c r="U108" s="69"/>
      <c r="V108" s="70"/>
      <c r="W108" s="69"/>
      <c r="X108" s="70"/>
      <c r="Y108" s="69"/>
      <c r="Z108" s="70"/>
      <c r="AA108" s="69"/>
      <c r="AB108" s="70"/>
      <c r="AC108" s="69"/>
      <c r="AD108" s="70"/>
      <c r="AE108" s="69"/>
      <c r="AF108" s="70"/>
      <c r="AG108" s="69"/>
      <c r="AH108" s="70"/>
      <c r="AI108" s="69"/>
      <c r="AJ108" s="70"/>
      <c r="AK108" s="69"/>
      <c r="AL108" s="70"/>
      <c r="AM108" s="69"/>
      <c r="AN108" s="70"/>
      <c r="AO108" s="69"/>
      <c r="AP108" s="70"/>
      <c r="AQ108" s="69"/>
      <c r="AR108" s="70"/>
      <c r="AS108" s="69"/>
      <c r="AT108" s="70"/>
      <c r="AU108" s="69"/>
      <c r="AV108" s="70"/>
      <c r="AW108" s="69"/>
      <c r="AX108" s="70"/>
      <c r="AY108" s="69"/>
      <c r="AZ108" s="70"/>
      <c r="BA108" s="69"/>
      <c r="BB108" s="70"/>
      <c r="BC108" s="69"/>
      <c r="BD108" s="70"/>
      <c r="BE108" s="69"/>
      <c r="BF108" s="70"/>
      <c r="BG108" s="69"/>
      <c r="BH108" s="70"/>
      <c r="BI108" s="69"/>
      <c r="BJ108" s="70"/>
      <c r="BK108" s="69"/>
      <c r="BL108" s="70"/>
      <c r="BM108" s="69"/>
      <c r="BN108" s="71"/>
      <c r="BO108" s="182" t="str">
        <f t="shared" si="173"/>
        <v/>
      </c>
      <c r="BP108" s="70"/>
      <c r="BQ108" s="73"/>
    </row>
    <row r="109" spans="1:76" x14ac:dyDescent="0.35">
      <c r="A109" s="53" t="s">
        <v>34</v>
      </c>
      <c r="B109" s="54"/>
      <c r="C109" s="67"/>
      <c r="D109" s="68"/>
      <c r="E109" s="69"/>
      <c r="F109" s="70"/>
      <c r="G109" s="69"/>
      <c r="H109" s="70"/>
      <c r="I109" s="69"/>
      <c r="J109" s="70"/>
      <c r="K109" s="69"/>
      <c r="L109" s="70"/>
      <c r="M109" s="69"/>
      <c r="N109" s="70"/>
      <c r="O109" s="69"/>
      <c r="P109" s="70"/>
      <c r="Q109" s="69"/>
      <c r="R109" s="70"/>
      <c r="S109" s="69"/>
      <c r="T109" s="70"/>
      <c r="U109" s="69"/>
      <c r="V109" s="70"/>
      <c r="W109" s="69"/>
      <c r="X109" s="70"/>
      <c r="Y109" s="69"/>
      <c r="Z109" s="70"/>
      <c r="AA109" s="69"/>
      <c r="AB109" s="70"/>
      <c r="AC109" s="69"/>
      <c r="AD109" s="70"/>
      <c r="AE109" s="69"/>
      <c r="AF109" s="70"/>
      <c r="AG109" s="69"/>
      <c r="AH109" s="70"/>
      <c r="AI109" s="69"/>
      <c r="AJ109" s="70"/>
      <c r="AK109" s="69"/>
      <c r="AL109" s="70"/>
      <c r="AM109" s="69"/>
      <c r="AN109" s="70"/>
      <c r="AO109" s="69"/>
      <c r="AP109" s="70"/>
      <c r="AQ109" s="69"/>
      <c r="AR109" s="70"/>
      <c r="AS109" s="69"/>
      <c r="AT109" s="70"/>
      <c r="AU109" s="69"/>
      <c r="AV109" s="70"/>
      <c r="AW109" s="69"/>
      <c r="AX109" s="70"/>
      <c r="AY109" s="69"/>
      <c r="AZ109" s="70"/>
      <c r="BA109" s="69"/>
      <c r="BB109" s="70"/>
      <c r="BC109" s="69"/>
      <c r="BD109" s="70"/>
      <c r="BE109" s="69"/>
      <c r="BF109" s="70"/>
      <c r="BG109" s="69"/>
      <c r="BH109" s="70"/>
      <c r="BI109" s="69"/>
      <c r="BJ109" s="70"/>
      <c r="BK109" s="69"/>
      <c r="BL109" s="70"/>
      <c r="BM109" s="69"/>
      <c r="BN109" s="71"/>
      <c r="BO109" s="182" t="str">
        <f t="shared" si="173"/>
        <v/>
      </c>
      <c r="BP109" s="70"/>
      <c r="BQ109" s="73"/>
    </row>
    <row r="110" spans="1:76" x14ac:dyDescent="0.35">
      <c r="A110" s="53" t="s">
        <v>34</v>
      </c>
      <c r="B110" s="54"/>
      <c r="C110" s="67"/>
      <c r="D110" s="68"/>
      <c r="E110" s="69"/>
      <c r="F110" s="70"/>
      <c r="G110" s="69"/>
      <c r="H110" s="70"/>
      <c r="I110" s="69"/>
      <c r="J110" s="70"/>
      <c r="K110" s="69"/>
      <c r="L110" s="70"/>
      <c r="M110" s="69"/>
      <c r="N110" s="70"/>
      <c r="O110" s="69"/>
      <c r="P110" s="70"/>
      <c r="Q110" s="69"/>
      <c r="R110" s="70"/>
      <c r="S110" s="69"/>
      <c r="T110" s="70"/>
      <c r="U110" s="69"/>
      <c r="V110" s="70"/>
      <c r="W110" s="69"/>
      <c r="X110" s="70"/>
      <c r="Y110" s="69"/>
      <c r="Z110" s="70"/>
      <c r="AA110" s="69"/>
      <c r="AB110" s="70"/>
      <c r="AC110" s="69"/>
      <c r="AD110" s="70"/>
      <c r="AE110" s="69"/>
      <c r="AF110" s="70"/>
      <c r="AG110" s="69"/>
      <c r="AH110" s="70"/>
      <c r="AI110" s="69"/>
      <c r="AJ110" s="70"/>
      <c r="AK110" s="69"/>
      <c r="AL110" s="70"/>
      <c r="AM110" s="69"/>
      <c r="AN110" s="70"/>
      <c r="AO110" s="69"/>
      <c r="AP110" s="70"/>
      <c r="AQ110" s="69"/>
      <c r="AR110" s="70"/>
      <c r="AS110" s="69"/>
      <c r="AT110" s="70"/>
      <c r="AU110" s="69"/>
      <c r="AV110" s="70"/>
      <c r="AW110" s="69"/>
      <c r="AX110" s="70"/>
      <c r="AY110" s="69"/>
      <c r="AZ110" s="70"/>
      <c r="BA110" s="69"/>
      <c r="BB110" s="70"/>
      <c r="BC110" s="69"/>
      <c r="BD110" s="70"/>
      <c r="BE110" s="69"/>
      <c r="BF110" s="70"/>
      <c r="BG110" s="69"/>
      <c r="BH110" s="70"/>
      <c r="BI110" s="69"/>
      <c r="BJ110" s="70"/>
      <c r="BK110" s="69"/>
      <c r="BL110" s="70"/>
      <c r="BM110" s="69"/>
      <c r="BN110" s="71"/>
      <c r="BO110" s="182" t="str">
        <f t="shared" si="173"/>
        <v/>
      </c>
      <c r="BP110" s="70"/>
      <c r="BQ110" s="73"/>
    </row>
    <row r="111" spans="1:76" s="6" customFormat="1" x14ac:dyDescent="0.35">
      <c r="A111" s="149" t="s">
        <v>71</v>
      </c>
      <c r="B111" s="150"/>
      <c r="C111" s="67"/>
      <c r="D111" s="151"/>
      <c r="E111" s="69"/>
      <c r="F111" s="152"/>
      <c r="G111" s="69"/>
      <c r="H111" s="152"/>
      <c r="I111" s="69"/>
      <c r="J111" s="152"/>
      <c r="K111" s="69"/>
      <c r="L111" s="152"/>
      <c r="M111" s="69"/>
      <c r="N111" s="152"/>
      <c r="O111" s="69"/>
      <c r="P111" s="152"/>
      <c r="Q111" s="69"/>
      <c r="R111" s="152"/>
      <c r="S111" s="69"/>
      <c r="T111" s="152"/>
      <c r="U111" s="69"/>
      <c r="V111" s="152"/>
      <c r="W111" s="69"/>
      <c r="X111" s="152"/>
      <c r="Y111" s="69"/>
      <c r="Z111" s="152"/>
      <c r="AA111" s="69"/>
      <c r="AB111" s="152"/>
      <c r="AC111" s="69"/>
      <c r="AD111" s="152"/>
      <c r="AE111" s="69"/>
      <c r="AF111" s="152"/>
      <c r="AG111" s="69"/>
      <c r="AH111" s="152"/>
      <c r="AI111" s="69"/>
      <c r="AJ111" s="152"/>
      <c r="AK111" s="69"/>
      <c r="AL111" s="152"/>
      <c r="AM111" s="69"/>
      <c r="AN111" s="152"/>
      <c r="AO111" s="69"/>
      <c r="AP111" s="152"/>
      <c r="AQ111" s="69"/>
      <c r="AR111" s="152"/>
      <c r="AS111" s="69"/>
      <c r="AT111" s="152"/>
      <c r="AU111" s="69"/>
      <c r="AV111" s="152"/>
      <c r="AW111" s="69"/>
      <c r="AX111" s="152"/>
      <c r="AY111" s="69"/>
      <c r="AZ111" s="152"/>
      <c r="BA111" s="69"/>
      <c r="BB111" s="152"/>
      <c r="BC111" s="69"/>
      <c r="BD111" s="152"/>
      <c r="BE111" s="69"/>
      <c r="BF111" s="152"/>
      <c r="BG111" s="69"/>
      <c r="BH111" s="152"/>
      <c r="BI111" s="69"/>
      <c r="BJ111" s="152"/>
      <c r="BK111" s="69"/>
      <c r="BL111" s="152"/>
      <c r="BM111" s="69"/>
      <c r="BN111" s="71"/>
      <c r="BO111" s="182" t="str">
        <f t="shared" si="173"/>
        <v/>
      </c>
      <c r="BP111" s="152"/>
      <c r="BQ111" s="73"/>
      <c r="BR111"/>
      <c r="BS111"/>
      <c r="BT111"/>
      <c r="BU111"/>
      <c r="BV111"/>
      <c r="BW111"/>
      <c r="BX111"/>
    </row>
    <row r="112" spans="1:76" x14ac:dyDescent="0.35">
      <c r="A112" s="53" t="s">
        <v>72</v>
      </c>
      <c r="B112" s="54"/>
      <c r="C112" s="67"/>
      <c r="D112" s="68"/>
      <c r="E112" s="69"/>
      <c r="F112" s="70"/>
      <c r="G112" s="69"/>
      <c r="H112" s="70"/>
      <c r="I112" s="69"/>
      <c r="J112" s="70"/>
      <c r="K112" s="69"/>
      <c r="L112" s="70"/>
      <c r="M112" s="69"/>
      <c r="N112" s="70"/>
      <c r="O112" s="69"/>
      <c r="P112" s="70"/>
      <c r="Q112" s="69"/>
      <c r="R112" s="70"/>
      <c r="S112" s="69"/>
      <c r="T112" s="70"/>
      <c r="U112" s="69"/>
      <c r="V112" s="70"/>
      <c r="W112" s="69"/>
      <c r="X112" s="70"/>
      <c r="Y112" s="69"/>
      <c r="Z112" s="70"/>
      <c r="AA112" s="69"/>
      <c r="AB112" s="70"/>
      <c r="AC112" s="69"/>
      <c r="AD112" s="70"/>
      <c r="AE112" s="69"/>
      <c r="AF112" s="70"/>
      <c r="AG112" s="69"/>
      <c r="AH112" s="70"/>
      <c r="AI112" s="69"/>
      <c r="AJ112" s="70"/>
      <c r="AK112" s="69"/>
      <c r="AL112" s="70"/>
      <c r="AM112" s="69"/>
      <c r="AN112" s="70"/>
      <c r="AO112" s="69"/>
      <c r="AP112" s="70"/>
      <c r="AQ112" s="69"/>
      <c r="AR112" s="70"/>
      <c r="AS112" s="69"/>
      <c r="AT112" s="70"/>
      <c r="AU112" s="69"/>
      <c r="AV112" s="70"/>
      <c r="AW112" s="69"/>
      <c r="AX112" s="70"/>
      <c r="AY112" s="69"/>
      <c r="AZ112" s="70"/>
      <c r="BA112" s="69"/>
      <c r="BB112" s="70"/>
      <c r="BC112" s="69"/>
      <c r="BD112" s="70"/>
      <c r="BE112" s="69"/>
      <c r="BF112" s="70"/>
      <c r="BG112" s="69"/>
      <c r="BH112" s="70"/>
      <c r="BI112" s="69"/>
      <c r="BJ112" s="70"/>
      <c r="BK112" s="69"/>
      <c r="BL112" s="70"/>
      <c r="BM112" s="69"/>
      <c r="BN112" s="71"/>
      <c r="BO112" s="182" t="str">
        <f t="shared" si="173"/>
        <v/>
      </c>
      <c r="BP112" s="70"/>
      <c r="BQ112" s="73"/>
    </row>
    <row r="113" spans="1:69" x14ac:dyDescent="0.35">
      <c r="A113" s="53" t="s">
        <v>73</v>
      </c>
      <c r="B113" s="54"/>
      <c r="C113" s="67"/>
      <c r="D113" s="68"/>
      <c r="E113" s="69"/>
      <c r="F113" s="70"/>
      <c r="G113" s="69"/>
      <c r="H113" s="70"/>
      <c r="I113" s="69"/>
      <c r="J113" s="70"/>
      <c r="K113" s="69"/>
      <c r="L113" s="70"/>
      <c r="M113" s="69"/>
      <c r="N113" s="70"/>
      <c r="O113" s="69"/>
      <c r="P113" s="70"/>
      <c r="Q113" s="69"/>
      <c r="R113" s="70"/>
      <c r="S113" s="69"/>
      <c r="T113" s="70"/>
      <c r="U113" s="69"/>
      <c r="V113" s="70"/>
      <c r="W113" s="69"/>
      <c r="X113" s="70"/>
      <c r="Y113" s="69"/>
      <c r="Z113" s="70"/>
      <c r="AA113" s="69"/>
      <c r="AB113" s="70"/>
      <c r="AC113" s="69"/>
      <c r="AD113" s="70"/>
      <c r="AE113" s="69"/>
      <c r="AF113" s="70"/>
      <c r="AG113" s="69"/>
      <c r="AH113" s="70"/>
      <c r="AI113" s="69"/>
      <c r="AJ113" s="70"/>
      <c r="AK113" s="69"/>
      <c r="AL113" s="70"/>
      <c r="AM113" s="69"/>
      <c r="AN113" s="70"/>
      <c r="AO113" s="69"/>
      <c r="AP113" s="70"/>
      <c r="AQ113" s="69"/>
      <c r="AR113" s="70"/>
      <c r="AS113" s="69"/>
      <c r="AT113" s="70"/>
      <c r="AU113" s="69"/>
      <c r="AV113" s="70"/>
      <c r="AW113" s="69"/>
      <c r="AX113" s="70"/>
      <c r="AY113" s="69"/>
      <c r="AZ113" s="70"/>
      <c r="BA113" s="69"/>
      <c r="BB113" s="70"/>
      <c r="BC113" s="69"/>
      <c r="BD113" s="70"/>
      <c r="BE113" s="69"/>
      <c r="BF113" s="70"/>
      <c r="BG113" s="69"/>
      <c r="BH113" s="70"/>
      <c r="BI113" s="69"/>
      <c r="BJ113" s="70"/>
      <c r="BK113" s="69"/>
      <c r="BL113" s="70"/>
      <c r="BM113" s="69"/>
      <c r="BN113" s="71"/>
      <c r="BO113" s="182" t="str">
        <f t="shared" si="173"/>
        <v/>
      </c>
      <c r="BP113" s="70"/>
      <c r="BQ113" s="73"/>
    </row>
    <row r="114" spans="1:69" x14ac:dyDescent="0.35">
      <c r="A114" s="53" t="s">
        <v>70</v>
      </c>
      <c r="B114" s="54"/>
      <c r="C114" s="67"/>
      <c r="D114" s="68"/>
      <c r="E114" s="69"/>
      <c r="F114" s="70"/>
      <c r="G114" s="69"/>
      <c r="H114" s="70"/>
      <c r="I114" s="69"/>
      <c r="J114" s="70"/>
      <c r="K114" s="69"/>
      <c r="L114" s="70"/>
      <c r="M114" s="69"/>
      <c r="N114" s="70"/>
      <c r="O114" s="69"/>
      <c r="P114" s="70"/>
      <c r="Q114" s="69"/>
      <c r="R114" s="70"/>
      <c r="S114" s="69"/>
      <c r="T114" s="70"/>
      <c r="U114" s="69"/>
      <c r="V114" s="70"/>
      <c r="W114" s="69"/>
      <c r="X114" s="70"/>
      <c r="Y114" s="69"/>
      <c r="Z114" s="70"/>
      <c r="AA114" s="69"/>
      <c r="AB114" s="70"/>
      <c r="AC114" s="69"/>
      <c r="AD114" s="70"/>
      <c r="AE114" s="69"/>
      <c r="AF114" s="70"/>
      <c r="AG114" s="69"/>
      <c r="AH114" s="70"/>
      <c r="AI114" s="69"/>
      <c r="AJ114" s="70"/>
      <c r="AK114" s="69"/>
      <c r="AL114" s="70"/>
      <c r="AM114" s="69"/>
      <c r="AN114" s="70"/>
      <c r="AO114" s="69"/>
      <c r="AP114" s="70"/>
      <c r="AQ114" s="69"/>
      <c r="AR114" s="70"/>
      <c r="AS114" s="69"/>
      <c r="AT114" s="70"/>
      <c r="AU114" s="69"/>
      <c r="AV114" s="70"/>
      <c r="AW114" s="69"/>
      <c r="AX114" s="70"/>
      <c r="AY114" s="69"/>
      <c r="AZ114" s="70"/>
      <c r="BA114" s="69"/>
      <c r="BB114" s="70"/>
      <c r="BC114" s="69"/>
      <c r="BD114" s="70"/>
      <c r="BE114" s="69"/>
      <c r="BF114" s="70"/>
      <c r="BG114" s="69"/>
      <c r="BH114" s="70"/>
      <c r="BI114" s="69"/>
      <c r="BJ114" s="70"/>
      <c r="BK114" s="69"/>
      <c r="BL114" s="70"/>
      <c r="BM114" s="69"/>
      <c r="BN114" s="71"/>
      <c r="BO114" s="182" t="str">
        <f t="shared" si="173"/>
        <v/>
      </c>
      <c r="BP114" s="70"/>
      <c r="BQ114" s="73"/>
    </row>
    <row r="115" spans="1:69" x14ac:dyDescent="0.35">
      <c r="A115" s="53" t="s">
        <v>27</v>
      </c>
      <c r="B115" s="54"/>
      <c r="C115" s="67"/>
      <c r="D115" s="68"/>
      <c r="E115" s="69"/>
      <c r="F115" s="70"/>
      <c r="G115" s="69"/>
      <c r="H115" s="70"/>
      <c r="I115" s="69"/>
      <c r="J115" s="70"/>
      <c r="K115" s="69"/>
      <c r="L115" s="70"/>
      <c r="M115" s="69"/>
      <c r="N115" s="70"/>
      <c r="O115" s="69"/>
      <c r="P115" s="70"/>
      <c r="Q115" s="69"/>
      <c r="R115" s="70"/>
      <c r="S115" s="69"/>
      <c r="T115" s="70"/>
      <c r="U115" s="69"/>
      <c r="V115" s="70"/>
      <c r="W115" s="69"/>
      <c r="X115" s="70"/>
      <c r="Y115" s="69"/>
      <c r="Z115" s="70"/>
      <c r="AA115" s="69"/>
      <c r="AB115" s="70"/>
      <c r="AC115" s="69"/>
      <c r="AD115" s="70"/>
      <c r="AE115" s="69"/>
      <c r="AF115" s="70"/>
      <c r="AG115" s="69"/>
      <c r="AH115" s="70"/>
      <c r="AI115" s="69"/>
      <c r="AJ115" s="70"/>
      <c r="AK115" s="69"/>
      <c r="AL115" s="70"/>
      <c r="AM115" s="69"/>
      <c r="AN115" s="70"/>
      <c r="AO115" s="69"/>
      <c r="AP115" s="70"/>
      <c r="AQ115" s="69"/>
      <c r="AR115" s="70"/>
      <c r="AS115" s="69"/>
      <c r="AT115" s="70"/>
      <c r="AU115" s="69"/>
      <c r="AV115" s="70"/>
      <c r="AW115" s="69"/>
      <c r="AX115" s="70"/>
      <c r="AY115" s="69"/>
      <c r="AZ115" s="70"/>
      <c r="BA115" s="69"/>
      <c r="BB115" s="70"/>
      <c r="BC115" s="69"/>
      <c r="BD115" s="70"/>
      <c r="BE115" s="69"/>
      <c r="BF115" s="70"/>
      <c r="BG115" s="69"/>
      <c r="BH115" s="70"/>
      <c r="BI115" s="69"/>
      <c r="BJ115" s="70"/>
      <c r="BK115" s="69"/>
      <c r="BL115" s="70"/>
      <c r="BM115" s="69"/>
      <c r="BN115" s="71"/>
      <c r="BO115" s="182" t="str">
        <f t="shared" si="173"/>
        <v/>
      </c>
      <c r="BP115" s="70"/>
      <c r="BQ115" s="73"/>
    </row>
    <row r="116" spans="1:69" x14ac:dyDescent="0.35">
      <c r="A116" s="53" t="s">
        <v>28</v>
      </c>
      <c r="B116" s="54"/>
      <c r="C116" s="67"/>
      <c r="D116" s="68"/>
      <c r="E116" s="69"/>
      <c r="F116" s="70"/>
      <c r="G116" s="69"/>
      <c r="H116" s="70"/>
      <c r="I116" s="69"/>
      <c r="J116" s="70"/>
      <c r="K116" s="69"/>
      <c r="L116" s="70"/>
      <c r="M116" s="69"/>
      <c r="N116" s="70"/>
      <c r="O116" s="69"/>
      <c r="P116" s="70"/>
      <c r="Q116" s="69"/>
      <c r="R116" s="70"/>
      <c r="S116" s="69"/>
      <c r="T116" s="70"/>
      <c r="U116" s="69"/>
      <c r="V116" s="70"/>
      <c r="W116" s="69"/>
      <c r="X116" s="70"/>
      <c r="Y116" s="69"/>
      <c r="Z116" s="70"/>
      <c r="AA116" s="69"/>
      <c r="AB116" s="70"/>
      <c r="AC116" s="69"/>
      <c r="AD116" s="70"/>
      <c r="AE116" s="69"/>
      <c r="AF116" s="70"/>
      <c r="AG116" s="69"/>
      <c r="AH116" s="70"/>
      <c r="AI116" s="69"/>
      <c r="AJ116" s="70"/>
      <c r="AK116" s="69"/>
      <c r="AL116" s="70"/>
      <c r="AM116" s="69"/>
      <c r="AN116" s="70"/>
      <c r="AO116" s="69"/>
      <c r="AP116" s="70"/>
      <c r="AQ116" s="69"/>
      <c r="AR116" s="70"/>
      <c r="AS116" s="69"/>
      <c r="AT116" s="70"/>
      <c r="AU116" s="69"/>
      <c r="AV116" s="70"/>
      <c r="AW116" s="69"/>
      <c r="AX116" s="70"/>
      <c r="AY116" s="69"/>
      <c r="AZ116" s="70"/>
      <c r="BA116" s="69"/>
      <c r="BB116" s="70"/>
      <c r="BC116" s="69"/>
      <c r="BD116" s="70"/>
      <c r="BE116" s="69"/>
      <c r="BF116" s="70"/>
      <c r="BG116" s="69"/>
      <c r="BH116" s="70"/>
      <c r="BI116" s="69"/>
      <c r="BJ116" s="70"/>
      <c r="BK116" s="69"/>
      <c r="BL116" s="70"/>
      <c r="BM116" s="69"/>
      <c r="BN116" s="71"/>
      <c r="BO116" s="182" t="str">
        <f t="shared" si="173"/>
        <v/>
      </c>
      <c r="BP116" s="70"/>
      <c r="BQ116" s="73"/>
    </row>
    <row r="117" spans="1:69" x14ac:dyDescent="0.35">
      <c r="A117" s="53" t="s">
        <v>29</v>
      </c>
      <c r="B117" s="54"/>
      <c r="C117" s="67"/>
      <c r="D117" s="68"/>
      <c r="E117" s="69"/>
      <c r="F117" s="70"/>
      <c r="G117" s="69"/>
      <c r="H117" s="70"/>
      <c r="I117" s="69"/>
      <c r="J117" s="70"/>
      <c r="K117" s="69"/>
      <c r="L117" s="70"/>
      <c r="M117" s="69"/>
      <c r="N117" s="70"/>
      <c r="O117" s="69"/>
      <c r="P117" s="70"/>
      <c r="Q117" s="69"/>
      <c r="R117" s="70"/>
      <c r="S117" s="69"/>
      <c r="T117" s="70"/>
      <c r="U117" s="69"/>
      <c r="V117" s="70"/>
      <c r="W117" s="69"/>
      <c r="X117" s="70"/>
      <c r="Y117" s="69"/>
      <c r="Z117" s="70"/>
      <c r="AA117" s="69"/>
      <c r="AB117" s="70"/>
      <c r="AC117" s="69"/>
      <c r="AD117" s="70"/>
      <c r="AE117" s="69"/>
      <c r="AF117" s="70"/>
      <c r="AG117" s="69"/>
      <c r="AH117" s="70"/>
      <c r="AI117" s="69"/>
      <c r="AJ117" s="70"/>
      <c r="AK117" s="69"/>
      <c r="AL117" s="70"/>
      <c r="AM117" s="69"/>
      <c r="AN117" s="70"/>
      <c r="AO117" s="69"/>
      <c r="AP117" s="70"/>
      <c r="AQ117" s="69"/>
      <c r="AR117" s="70"/>
      <c r="AS117" s="69"/>
      <c r="AT117" s="70"/>
      <c r="AU117" s="69"/>
      <c r="AV117" s="70"/>
      <c r="AW117" s="69"/>
      <c r="AX117" s="70"/>
      <c r="AY117" s="69"/>
      <c r="AZ117" s="70"/>
      <c r="BA117" s="69"/>
      <c r="BB117" s="70"/>
      <c r="BC117" s="69"/>
      <c r="BD117" s="70"/>
      <c r="BE117" s="69"/>
      <c r="BF117" s="70"/>
      <c r="BG117" s="69"/>
      <c r="BH117" s="70"/>
      <c r="BI117" s="69"/>
      <c r="BJ117" s="70"/>
      <c r="BK117" s="69"/>
      <c r="BL117" s="70"/>
      <c r="BM117" s="69"/>
      <c r="BN117" s="71"/>
      <c r="BO117" s="182" t="str">
        <f t="shared" si="173"/>
        <v/>
      </c>
      <c r="BP117" s="70"/>
      <c r="BQ117" s="73"/>
    </row>
    <row r="118" spans="1:69" x14ac:dyDescent="0.35">
      <c r="A118" s="74"/>
      <c r="B118" s="75"/>
      <c r="C118" s="153"/>
      <c r="D118" s="77"/>
      <c r="E118" s="78"/>
      <c r="F118" s="79"/>
      <c r="G118" s="78"/>
      <c r="H118" s="79"/>
      <c r="I118" s="78"/>
      <c r="J118" s="79"/>
      <c r="K118" s="78"/>
      <c r="L118" s="79"/>
      <c r="M118" s="78"/>
      <c r="N118" s="79"/>
      <c r="O118" s="78"/>
      <c r="P118" s="79"/>
      <c r="Q118" s="78"/>
      <c r="R118" s="79"/>
      <c r="S118" s="78"/>
      <c r="T118" s="79"/>
      <c r="U118" s="78"/>
      <c r="V118" s="79"/>
      <c r="W118" s="78"/>
      <c r="X118" s="79"/>
      <c r="Y118" s="78"/>
      <c r="Z118" s="79"/>
      <c r="AA118" s="78"/>
      <c r="AB118" s="79"/>
      <c r="AC118" s="78"/>
      <c r="AD118" s="79"/>
      <c r="AE118" s="78"/>
      <c r="AF118" s="79"/>
      <c r="AG118" s="78"/>
      <c r="AH118" s="79"/>
      <c r="AI118" s="78"/>
      <c r="AJ118" s="79"/>
      <c r="AK118" s="78"/>
      <c r="AL118" s="79"/>
      <c r="AM118" s="78"/>
      <c r="AN118" s="79"/>
      <c r="AO118" s="78"/>
      <c r="AP118" s="79"/>
      <c r="AQ118" s="78"/>
      <c r="AR118" s="79"/>
      <c r="AS118" s="78"/>
      <c r="AT118" s="79"/>
      <c r="AU118" s="78"/>
      <c r="AV118" s="79"/>
      <c r="AW118" s="78"/>
      <c r="AX118" s="79"/>
      <c r="AY118" s="78"/>
      <c r="AZ118" s="79"/>
      <c r="BA118" s="78"/>
      <c r="BB118" s="79"/>
      <c r="BC118" s="78"/>
      <c r="BD118" s="79"/>
      <c r="BE118" s="78"/>
      <c r="BF118" s="79"/>
      <c r="BG118" s="78"/>
      <c r="BH118" s="79"/>
      <c r="BI118" s="78"/>
      <c r="BJ118" s="79"/>
      <c r="BK118" s="78"/>
      <c r="BL118" s="79"/>
      <c r="BM118" s="78"/>
      <c r="BN118" s="80"/>
      <c r="BO118" s="195" t="str">
        <f t="shared" si="173"/>
        <v/>
      </c>
      <c r="BP118" s="79"/>
      <c r="BQ118" s="82"/>
    </row>
    <row r="119" spans="1:69" x14ac:dyDescent="0.35">
      <c r="A119" s="53" t="s">
        <v>55</v>
      </c>
      <c r="B119" s="54"/>
      <c r="C119" s="67"/>
      <c r="D119" s="68"/>
      <c r="E119" s="69"/>
      <c r="F119" s="70"/>
      <c r="G119" s="69"/>
      <c r="H119" s="70"/>
      <c r="I119" s="69"/>
      <c r="J119" s="70"/>
      <c r="K119" s="69"/>
      <c r="L119" s="70"/>
      <c r="M119" s="69"/>
      <c r="N119" s="70"/>
      <c r="O119" s="69"/>
      <c r="P119" s="70"/>
      <c r="Q119" s="69"/>
      <c r="R119" s="70"/>
      <c r="S119" s="69"/>
      <c r="T119" s="70"/>
      <c r="U119" s="69"/>
      <c r="V119" s="70"/>
      <c r="W119" s="69"/>
      <c r="X119" s="70"/>
      <c r="Y119" s="69"/>
      <c r="Z119" s="70"/>
      <c r="AA119" s="69"/>
      <c r="AB119" s="70"/>
      <c r="AC119" s="69"/>
      <c r="AD119" s="70"/>
      <c r="AE119" s="69"/>
      <c r="AF119" s="70"/>
      <c r="AG119" s="69"/>
      <c r="AH119" s="70"/>
      <c r="AI119" s="69"/>
      <c r="AJ119" s="70"/>
      <c r="AK119" s="69"/>
      <c r="AL119" s="70"/>
      <c r="AM119" s="69"/>
      <c r="AN119" s="70"/>
      <c r="AO119" s="69"/>
      <c r="AP119" s="70"/>
      <c r="AQ119" s="69"/>
      <c r="AR119" s="70"/>
      <c r="AS119" s="69"/>
      <c r="AT119" s="70"/>
      <c r="AU119" s="69"/>
      <c r="AV119" s="70"/>
      <c r="AW119" s="69"/>
      <c r="AX119" s="70"/>
      <c r="AY119" s="69"/>
      <c r="AZ119" s="70"/>
      <c r="BA119" s="69"/>
      <c r="BB119" s="70"/>
      <c r="BC119" s="69"/>
      <c r="BD119" s="70"/>
      <c r="BE119" s="69"/>
      <c r="BF119" s="70"/>
      <c r="BG119" s="69"/>
      <c r="BH119" s="70"/>
      <c r="BI119" s="69"/>
      <c r="BJ119" s="70"/>
      <c r="BK119" s="69"/>
      <c r="BL119" s="70"/>
      <c r="BM119" s="69"/>
      <c r="BN119" s="71"/>
      <c r="BO119" s="182" t="str">
        <f t="shared" si="173"/>
        <v/>
      </c>
      <c r="BP119" s="70"/>
      <c r="BQ119" s="73"/>
    </row>
    <row r="120" spans="1:69" ht="15" thickBot="1" x14ac:dyDescent="0.4">
      <c r="A120" s="154" t="s">
        <v>56</v>
      </c>
      <c r="B120" s="155"/>
      <c r="C120" s="156"/>
      <c r="D120" s="157"/>
      <c r="E120" s="158"/>
      <c r="F120" s="159"/>
      <c r="G120" s="158"/>
      <c r="H120" s="159"/>
      <c r="I120" s="158"/>
      <c r="J120" s="159"/>
      <c r="K120" s="158"/>
      <c r="L120" s="159"/>
      <c r="M120" s="158"/>
      <c r="N120" s="159"/>
      <c r="O120" s="158"/>
      <c r="P120" s="159"/>
      <c r="Q120" s="158"/>
      <c r="R120" s="159"/>
      <c r="S120" s="158"/>
      <c r="T120" s="159"/>
      <c r="U120" s="158"/>
      <c r="V120" s="159"/>
      <c r="W120" s="158"/>
      <c r="X120" s="159"/>
      <c r="Y120" s="158"/>
      <c r="Z120" s="159"/>
      <c r="AA120" s="158"/>
      <c r="AB120" s="159"/>
      <c r="AC120" s="158"/>
      <c r="AD120" s="159"/>
      <c r="AE120" s="158"/>
      <c r="AF120" s="159"/>
      <c r="AG120" s="158"/>
      <c r="AH120" s="159"/>
      <c r="AI120" s="158"/>
      <c r="AJ120" s="159"/>
      <c r="AK120" s="158"/>
      <c r="AL120" s="159"/>
      <c r="AM120" s="158"/>
      <c r="AN120" s="159"/>
      <c r="AO120" s="158"/>
      <c r="AP120" s="159"/>
      <c r="AQ120" s="158"/>
      <c r="AR120" s="159"/>
      <c r="AS120" s="158"/>
      <c r="AT120" s="159"/>
      <c r="AU120" s="158"/>
      <c r="AV120" s="159"/>
      <c r="AW120" s="158"/>
      <c r="AX120" s="159"/>
      <c r="AY120" s="158"/>
      <c r="AZ120" s="159"/>
      <c r="BA120" s="158"/>
      <c r="BB120" s="159"/>
      <c r="BC120" s="158"/>
      <c r="BD120" s="159"/>
      <c r="BE120" s="158"/>
      <c r="BF120" s="159"/>
      <c r="BG120" s="158"/>
      <c r="BH120" s="159"/>
      <c r="BI120" s="158"/>
      <c r="BJ120" s="159"/>
      <c r="BK120" s="158"/>
      <c r="BL120" s="159"/>
      <c r="BM120" s="158"/>
      <c r="BN120" s="160"/>
      <c r="BO120" s="196" t="str">
        <f t="shared" si="173"/>
        <v/>
      </c>
      <c r="BP120" s="159"/>
      <c r="BQ120" s="161"/>
    </row>
    <row r="121" spans="1:69" x14ac:dyDescent="0.35">
      <c r="AT121"/>
      <c r="AU121"/>
      <c r="AW121"/>
      <c r="BA121"/>
    </row>
    <row r="122" spans="1:69" x14ac:dyDescent="0.35">
      <c r="AT122"/>
      <c r="AU122"/>
      <c r="AW122"/>
      <c r="BA122"/>
    </row>
    <row r="123" spans="1:69" x14ac:dyDescent="0.35">
      <c r="AT123"/>
      <c r="AU123"/>
      <c r="AW123"/>
      <c r="BA123"/>
    </row>
    <row r="124" spans="1:69" x14ac:dyDescent="0.35">
      <c r="AT124"/>
      <c r="AU124"/>
      <c r="AW124"/>
      <c r="BA124"/>
    </row>
    <row r="125" spans="1:69" x14ac:dyDescent="0.35">
      <c r="AT125"/>
      <c r="AU125"/>
      <c r="AW125"/>
      <c r="BA125"/>
    </row>
    <row r="126" spans="1:69" x14ac:dyDescent="0.35">
      <c r="AT126"/>
      <c r="AU126"/>
      <c r="AW126"/>
      <c r="BA126"/>
    </row>
    <row r="127" spans="1:69" x14ac:dyDescent="0.35">
      <c r="AT127"/>
      <c r="AU127"/>
      <c r="AW127"/>
      <c r="BA127"/>
    </row>
    <row r="128" spans="1:69" x14ac:dyDescent="0.35">
      <c r="AT128"/>
      <c r="AU128"/>
      <c r="AW128"/>
      <c r="BA128"/>
    </row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</sheetData>
  <sheetProtection sheet="1" objects="1" scenarios="1"/>
  <mergeCells count="100">
    <mergeCell ref="AD5:AE5"/>
    <mergeCell ref="A1:BQ1"/>
    <mergeCell ref="A2:BQ2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BB5:BC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P5:BQ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BD5:BE5"/>
    <mergeCell ref="BF5:BG5"/>
    <mergeCell ref="BH5:BI5"/>
    <mergeCell ref="BJ5:BK5"/>
    <mergeCell ref="BL5:BM5"/>
    <mergeCell ref="BN5:BO5"/>
    <mergeCell ref="AR6:AS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BP6:BQ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Z12:AA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AX12:AY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BL12:BM12"/>
    <mergeCell ref="BP12:BQ12"/>
    <mergeCell ref="AZ12:BA12"/>
    <mergeCell ref="BB12:BC12"/>
    <mergeCell ref="BD12:BE12"/>
    <mergeCell ref="BF12:BG12"/>
    <mergeCell ref="BH12:BI12"/>
    <mergeCell ref="BJ12:BK12"/>
  </mergeCells>
  <conditionalFormatting sqref="D77:BL88">
    <cfRule type="cellIs" dxfId="69" priority="9" operator="lessThan">
      <formula>0</formula>
    </cfRule>
  </conditionalFormatting>
  <conditionalFormatting sqref="D7:BM11 BP7:BQ104 BO7:BO120">
    <cfRule type="cellIs" dxfId="68" priority="1" operator="lessThan">
      <formula>0</formula>
    </cfRule>
  </conditionalFormatting>
  <conditionalFormatting sqref="D22:BM22">
    <cfRule type="cellIs" dxfId="67" priority="2" operator="lessThan">
      <formula>0</formula>
    </cfRule>
  </conditionalFormatting>
  <conditionalFormatting sqref="D30:BM31">
    <cfRule type="cellIs" dxfId="66" priority="3" operator="lessThan">
      <formula>0</formula>
    </cfRule>
  </conditionalFormatting>
  <conditionalFormatting sqref="D42:BM42">
    <cfRule type="cellIs" dxfId="65" priority="4" operator="lessThan">
      <formula>0</formula>
    </cfRule>
  </conditionalFormatting>
  <conditionalFormatting sqref="D49:BM50">
    <cfRule type="cellIs" dxfId="64" priority="5" operator="lessThan">
      <formula>0</formula>
    </cfRule>
  </conditionalFormatting>
  <conditionalFormatting sqref="D54:BM54">
    <cfRule type="cellIs" dxfId="63" priority="6" operator="lessThan">
      <formula>0</formula>
    </cfRule>
  </conditionalFormatting>
  <conditionalFormatting sqref="D57:BM59">
    <cfRule type="cellIs" dxfId="62" priority="7" operator="lessThan">
      <formula>0</formula>
    </cfRule>
  </conditionalFormatting>
  <conditionalFormatting sqref="D61:BM75">
    <cfRule type="cellIs" dxfId="61" priority="8" operator="lessThan">
      <formula>0</formula>
    </cfRule>
  </conditionalFormatting>
  <conditionalFormatting sqref="E91:BM104">
    <cfRule type="cellIs" dxfId="60" priority="10" operator="lessThan">
      <formula>0</formula>
    </cfRule>
  </conditionalFormatting>
  <pageMargins left="0.25" right="0.25" top="0.75" bottom="0.75" header="0.3" footer="0.3"/>
  <pageSetup scale="1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0D8F9-0D15-45FF-B011-CA9A4B828ED2}">
  <sheetPr>
    <pageSetUpPr fitToPage="1"/>
  </sheetPr>
  <dimension ref="A1:BX134"/>
  <sheetViews>
    <sheetView zoomScaleNormal="100" workbookViewId="0">
      <pane xSplit="1" ySplit="12" topLeftCell="B13" activePane="bottomRight" state="frozen"/>
      <selection pane="topRight" activeCell="B1" sqref="B1"/>
      <selection pane="bottomLeft" activeCell="A9" sqref="A9"/>
      <selection pane="bottomRight" activeCell="A13" sqref="A13:XFD13"/>
    </sheetView>
  </sheetViews>
  <sheetFormatPr defaultRowHeight="14.5" x14ac:dyDescent="0.35"/>
  <cols>
    <col min="1" max="1" width="28.54296875" customWidth="1"/>
    <col min="2" max="2" width="15.26953125" customWidth="1"/>
    <col min="3" max="3" width="18.1796875" customWidth="1"/>
    <col min="4" max="45" width="11.81640625" customWidth="1"/>
    <col min="46" max="47" width="11.81640625" style="3" customWidth="1"/>
    <col min="48" max="48" width="11.81640625" customWidth="1"/>
    <col min="49" max="49" width="11.81640625" style="3" customWidth="1"/>
    <col min="50" max="52" width="11.81640625" customWidth="1"/>
    <col min="53" max="53" width="11.81640625" style="3" customWidth="1"/>
    <col min="54" max="65" width="11.81640625" customWidth="1"/>
    <col min="66" max="69" width="15.54296875" customWidth="1"/>
    <col min="70" max="70" width="12.7265625" customWidth="1"/>
    <col min="71" max="71" width="11.1796875" bestFit="1" customWidth="1"/>
    <col min="72" max="72" width="14.81640625" customWidth="1"/>
    <col min="73" max="73" width="8.81640625" customWidth="1"/>
    <col min="74" max="74" width="11.26953125" customWidth="1"/>
    <col min="75" max="75" width="9.26953125" bestFit="1" customWidth="1"/>
    <col min="76" max="76" width="13.453125" customWidth="1"/>
  </cols>
  <sheetData>
    <row r="1" spans="1:76" ht="48" customHeight="1" x14ac:dyDescent="0.35">
      <c r="A1" s="241" t="str">
        <f>"TEXAN FILLING STATION — "&amp;UPPER(TEXT(B3,"MMMM YYYY"))&amp;" DAILY CONTROL"</f>
        <v>TEXAN FILLING STATION — MARCH 2027 DAILY CONTROL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  <c r="BL1" s="233"/>
      <c r="BM1" s="233"/>
      <c r="BN1" s="233"/>
      <c r="BO1" s="233"/>
      <c r="BP1" s="233"/>
      <c r="BQ1" s="233"/>
    </row>
    <row r="2" spans="1:76" ht="24" customHeight="1" x14ac:dyDescent="0.35">
      <c r="A2" s="234" t="s">
        <v>108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  <c r="BP2" s="234"/>
      <c r="BQ2" s="234"/>
    </row>
    <row r="3" spans="1:76" x14ac:dyDescent="0.35">
      <c r="A3" s="26" t="s">
        <v>109</v>
      </c>
      <c r="B3" s="27">
        <v>46447</v>
      </c>
      <c r="C3" s="28" t="s">
        <v>110</v>
      </c>
      <c r="D3" s="28" t="s">
        <v>111</v>
      </c>
      <c r="E3" s="29" t="s">
        <v>112</v>
      </c>
      <c r="F3" s="30" t="s">
        <v>113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2"/>
      <c r="AU3" s="32"/>
      <c r="AV3" s="31"/>
      <c r="AW3" s="32"/>
      <c r="AX3" s="31"/>
      <c r="AY3" s="31"/>
      <c r="AZ3" s="31"/>
      <c r="BA3" s="32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</row>
    <row r="4" spans="1:76" ht="15" thickBot="1" x14ac:dyDescent="0.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2"/>
      <c r="AU4" s="32"/>
      <c r="AV4" s="31"/>
      <c r="AW4" s="32"/>
      <c r="AX4" s="31"/>
      <c r="AY4" s="31"/>
      <c r="AZ4" s="31"/>
      <c r="BA4" s="32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</row>
    <row r="5" spans="1:76" ht="16.149999999999999" customHeight="1" x14ac:dyDescent="0.35">
      <c r="A5" s="164">
        <f>68*0.1</f>
        <v>6.8000000000000007</v>
      </c>
      <c r="B5" s="33"/>
      <c r="C5" s="34" t="s">
        <v>116</v>
      </c>
      <c r="D5" s="235" t="str">
        <f>IF(D6="","",UPPER(TEXT(D6,"dddd")))</f>
        <v>MONDAY</v>
      </c>
      <c r="E5" s="229"/>
      <c r="F5" s="228" t="str">
        <f>IF(F6="","",UPPER(TEXT(F6,"dddd")))</f>
        <v>TUESDAY</v>
      </c>
      <c r="G5" s="229"/>
      <c r="H5" s="228" t="str">
        <f>IF(H6="","",UPPER(TEXT(H6,"dddd")))</f>
        <v>WEDNESDAY</v>
      </c>
      <c r="I5" s="229"/>
      <c r="J5" s="228" t="str">
        <f>IF(J6="","",UPPER(TEXT(J6,"dddd")))</f>
        <v>THURSDAY</v>
      </c>
      <c r="K5" s="229"/>
      <c r="L5" s="228" t="str">
        <f>IF(L6="","",UPPER(TEXT(L6,"dddd")))</f>
        <v>FRIDAY</v>
      </c>
      <c r="M5" s="229"/>
      <c r="N5" s="228" t="str">
        <f>IF(N6="","",UPPER(TEXT(N6,"dddd")))</f>
        <v>SATURDAY</v>
      </c>
      <c r="O5" s="229"/>
      <c r="P5" s="228" t="str">
        <f>IF(P6="","",UPPER(TEXT(P6,"dddd")))</f>
        <v>SUNDAY</v>
      </c>
      <c r="Q5" s="229"/>
      <c r="R5" s="228" t="str">
        <f>IF(R6="","",UPPER(TEXT(R6,"dddd")))</f>
        <v>MONDAY</v>
      </c>
      <c r="S5" s="229"/>
      <c r="T5" s="228" t="str">
        <f>IF(T6="","",UPPER(TEXT(T6,"dddd")))</f>
        <v>TUESDAY</v>
      </c>
      <c r="U5" s="229"/>
      <c r="V5" s="228" t="str">
        <f>IF(V6="","",UPPER(TEXT(V6,"dddd")))</f>
        <v>WEDNESDAY</v>
      </c>
      <c r="W5" s="229"/>
      <c r="X5" s="228" t="str">
        <f>IF(X6="","",UPPER(TEXT(X6,"dddd")))</f>
        <v>THURSDAY</v>
      </c>
      <c r="Y5" s="229"/>
      <c r="Z5" s="228" t="str">
        <f>IF(Z6="","",UPPER(TEXT(Z6,"dddd")))</f>
        <v>FRIDAY</v>
      </c>
      <c r="AA5" s="229"/>
      <c r="AB5" s="228" t="str">
        <f>IF(AB6="","",UPPER(TEXT(AB6,"dddd")))</f>
        <v>SATURDAY</v>
      </c>
      <c r="AC5" s="229"/>
      <c r="AD5" s="228" t="str">
        <f>IF(AD6="","",UPPER(TEXT(AD6,"dddd")))</f>
        <v>SUNDAY</v>
      </c>
      <c r="AE5" s="229"/>
      <c r="AF5" s="228" t="str">
        <f>IF(AF6="","",UPPER(TEXT(AF6,"dddd")))</f>
        <v>MONDAY</v>
      </c>
      <c r="AG5" s="229"/>
      <c r="AH5" s="228" t="str">
        <f>IF(AH6="","",UPPER(TEXT(AH6,"dddd")))</f>
        <v>TUESDAY</v>
      </c>
      <c r="AI5" s="229"/>
      <c r="AJ5" s="228" t="str">
        <f>IF(AJ6="","",UPPER(TEXT(AJ6,"dddd")))</f>
        <v>WEDNESDAY</v>
      </c>
      <c r="AK5" s="229"/>
      <c r="AL5" s="228" t="str">
        <f>IF(AL6="","",UPPER(TEXT(AL6,"dddd")))</f>
        <v>THURSDAY</v>
      </c>
      <c r="AM5" s="229"/>
      <c r="AN5" s="228" t="str">
        <f>IF(AN6="","",UPPER(TEXT(AN6,"dddd")))</f>
        <v>FRIDAY</v>
      </c>
      <c r="AO5" s="229"/>
      <c r="AP5" s="228" t="str">
        <f>IF(AP6="","",UPPER(TEXT(AP6,"dddd")))</f>
        <v>SATURDAY</v>
      </c>
      <c r="AQ5" s="229"/>
      <c r="AR5" s="228" t="str">
        <f>IF(AR6="","",UPPER(TEXT(AR6,"dddd")))</f>
        <v>SUNDAY</v>
      </c>
      <c r="AS5" s="229"/>
      <c r="AT5" s="228" t="str">
        <f>IF(AT6="","",UPPER(TEXT(AT6,"dddd")))</f>
        <v>MONDAY</v>
      </c>
      <c r="AU5" s="229"/>
      <c r="AV5" s="228" t="str">
        <f>IF(AV6="","",UPPER(TEXT(AV6,"dddd")))</f>
        <v>TUESDAY</v>
      </c>
      <c r="AW5" s="229"/>
      <c r="AX5" s="228" t="str">
        <f>IF(AX6="","",UPPER(TEXT(AX6,"dddd")))</f>
        <v>WEDNESDAY</v>
      </c>
      <c r="AY5" s="229"/>
      <c r="AZ5" s="228" t="str">
        <f>IF(AZ6="","",UPPER(TEXT(AZ6,"dddd")))</f>
        <v>THURSDAY</v>
      </c>
      <c r="BA5" s="229"/>
      <c r="BB5" s="228" t="str">
        <f>IF(BB6="","",UPPER(TEXT(BB6,"dddd")))</f>
        <v>FRIDAY</v>
      </c>
      <c r="BC5" s="229"/>
      <c r="BD5" s="228" t="str">
        <f>IF(BD6="","",UPPER(TEXT(BD6,"dddd")))</f>
        <v>SATURDAY</v>
      </c>
      <c r="BE5" s="229"/>
      <c r="BF5" s="228" t="str">
        <f>IF(BF6="","",UPPER(TEXT(BF6,"dddd")))</f>
        <v>SUNDAY</v>
      </c>
      <c r="BG5" s="229"/>
      <c r="BH5" s="228" t="str">
        <f>IF(BH6="","",UPPER(TEXT(BH6,"dddd")))</f>
        <v>MONDAY</v>
      </c>
      <c r="BI5" s="229"/>
      <c r="BJ5" s="228" t="str">
        <f>IF(BJ6="","",UPPER(TEXT(BJ6,"dddd")))</f>
        <v>TUESDAY</v>
      </c>
      <c r="BK5" s="229"/>
      <c r="BL5" s="228" t="str">
        <f>IF(BL6="","",UPPER(TEXT(BL6,"dddd")))</f>
        <v>WEDNESDAY</v>
      </c>
      <c r="BM5" s="229"/>
      <c r="BN5" s="230" t="s">
        <v>114</v>
      </c>
      <c r="BO5" s="231"/>
      <c r="BP5" s="225" t="s">
        <v>118</v>
      </c>
      <c r="BQ5" s="226"/>
    </row>
    <row r="6" spans="1:76" x14ac:dyDescent="0.35">
      <c r="A6" s="35"/>
      <c r="B6" s="36"/>
      <c r="C6" s="37" t="s">
        <v>117</v>
      </c>
      <c r="D6" s="227">
        <f>IF($B$3="","",IF(MONTH($B$3+0)=MONTH($B$3),$B$3+0,""))</f>
        <v>46447</v>
      </c>
      <c r="E6" s="222"/>
      <c r="F6" s="220">
        <f>IF($B$3="","",IF(MONTH($B$3+1)=MONTH($B$3),$B$3+1,""))</f>
        <v>46448</v>
      </c>
      <c r="G6" s="222"/>
      <c r="H6" s="220">
        <f>IF($B$3="","",IF(MONTH($B$3+2)=MONTH($B$3),$B$3+2,""))</f>
        <v>46449</v>
      </c>
      <c r="I6" s="222"/>
      <c r="J6" s="220">
        <f>IF($B$3="","",IF(MONTH($B$3+3)=MONTH($B$3),$B$3+3,""))</f>
        <v>46450</v>
      </c>
      <c r="K6" s="222"/>
      <c r="L6" s="220">
        <f>IF($B$3="","",IF(MONTH($B$3+4)=MONTH($B$3),$B$3+4,""))</f>
        <v>46451</v>
      </c>
      <c r="M6" s="222"/>
      <c r="N6" s="220">
        <f>IF($B$3="","",IF(MONTH($B$3+5)=MONTH($B$3),$B$3+5,""))</f>
        <v>46452</v>
      </c>
      <c r="O6" s="222"/>
      <c r="P6" s="220">
        <f>IF($B$3="","",IF(MONTH($B$3+6)=MONTH($B$3),$B$3+6,""))</f>
        <v>46453</v>
      </c>
      <c r="Q6" s="222"/>
      <c r="R6" s="220">
        <f>IF($B$3="","",IF(MONTH($B$3+7)=MONTH($B$3),$B$3+7,""))</f>
        <v>46454</v>
      </c>
      <c r="S6" s="222"/>
      <c r="T6" s="220">
        <f>IF($B$3="","",IF(MONTH($B$3+8)=MONTH($B$3),$B$3+8,""))</f>
        <v>46455</v>
      </c>
      <c r="U6" s="222"/>
      <c r="V6" s="220">
        <f>IF($B$3="","",IF(MONTH($B$3+9)=MONTH($B$3),$B$3+9,""))</f>
        <v>46456</v>
      </c>
      <c r="W6" s="222"/>
      <c r="X6" s="220">
        <f>IF($B$3="","",IF(MONTH($B$3+10)=MONTH($B$3),$B$3+10,""))</f>
        <v>46457</v>
      </c>
      <c r="Y6" s="222"/>
      <c r="Z6" s="220">
        <f>IF($B$3="","",IF(MONTH($B$3+11)=MONTH($B$3),$B$3+11,""))</f>
        <v>46458</v>
      </c>
      <c r="AA6" s="222"/>
      <c r="AB6" s="220">
        <f>IF($B$3="","",IF(MONTH($B$3+12)=MONTH($B$3),$B$3+12,""))</f>
        <v>46459</v>
      </c>
      <c r="AC6" s="222"/>
      <c r="AD6" s="220">
        <f>IF($B$3="","",IF(MONTH($B$3+13)=MONTH($B$3),$B$3+13,""))</f>
        <v>46460</v>
      </c>
      <c r="AE6" s="222"/>
      <c r="AF6" s="220">
        <f>IF($B$3="","",IF(MONTH($B$3+14)=MONTH($B$3),$B$3+14,""))</f>
        <v>46461</v>
      </c>
      <c r="AG6" s="222"/>
      <c r="AH6" s="220">
        <f>IF($B$3="","",IF(MONTH($B$3+15)=MONTH($B$3),$B$3+15,""))</f>
        <v>46462</v>
      </c>
      <c r="AI6" s="222"/>
      <c r="AJ6" s="220">
        <f>IF($B$3="","",IF(MONTH($B$3+16)=MONTH($B$3),$B$3+16,""))</f>
        <v>46463</v>
      </c>
      <c r="AK6" s="222"/>
      <c r="AL6" s="220">
        <f>IF($B$3="","",IF(MONTH($B$3+17)=MONTH($B$3),$B$3+17,""))</f>
        <v>46464</v>
      </c>
      <c r="AM6" s="222"/>
      <c r="AN6" s="220">
        <f>IF($B$3="","",IF(MONTH($B$3+18)=MONTH($B$3),$B$3+18,""))</f>
        <v>46465</v>
      </c>
      <c r="AO6" s="222"/>
      <c r="AP6" s="220">
        <f>IF($B$3="","",IF(MONTH($B$3+19)=MONTH($B$3),$B$3+19,""))</f>
        <v>46466</v>
      </c>
      <c r="AQ6" s="222"/>
      <c r="AR6" s="220">
        <f>IF($B$3="","",IF(MONTH($B$3+20)=MONTH($B$3),$B$3+20,""))</f>
        <v>46467</v>
      </c>
      <c r="AS6" s="222"/>
      <c r="AT6" s="220">
        <f>IF($B$3="","",IF(MONTH($B$3+21)=MONTH($B$3),$B$3+21,""))</f>
        <v>46468</v>
      </c>
      <c r="AU6" s="222"/>
      <c r="AV6" s="220">
        <f>IF($B$3="","",IF(MONTH($B$3+22)=MONTH($B$3),$B$3+22,""))</f>
        <v>46469</v>
      </c>
      <c r="AW6" s="222"/>
      <c r="AX6" s="220">
        <f>IF($B$3="","",IF(MONTH($B$3+23)=MONTH($B$3),$B$3+23,""))</f>
        <v>46470</v>
      </c>
      <c r="AY6" s="222"/>
      <c r="AZ6" s="220">
        <f>IF($B$3="","",IF(MONTH($B$3+24)=MONTH($B$3),$B$3+24,""))</f>
        <v>46471</v>
      </c>
      <c r="BA6" s="222"/>
      <c r="BB6" s="220">
        <f>IF($B$3="","",IF(MONTH($B$3+25)=MONTH($B$3),$B$3+25,""))</f>
        <v>46472</v>
      </c>
      <c r="BC6" s="222"/>
      <c r="BD6" s="220">
        <f>IF($B$3="","",IF(MONTH($B$3+26)=MONTH($B$3),$B$3+26,""))</f>
        <v>46473</v>
      </c>
      <c r="BE6" s="222"/>
      <c r="BF6" s="220">
        <f>IF($B$3="","",IF(MONTH($B$3+27)=MONTH($B$3),$B$3+27,""))</f>
        <v>46474</v>
      </c>
      <c r="BG6" s="222"/>
      <c r="BH6" s="220">
        <f>IF($B$3="","",IF(MONTH($B$3+28)=MONTH($B$3),$B$3+28,""))</f>
        <v>46475</v>
      </c>
      <c r="BI6" s="222"/>
      <c r="BJ6" s="220">
        <f>IF($B$3="","",IF(MONTH($B$3+29)=MONTH($B$3),$B$3+29,""))</f>
        <v>46476</v>
      </c>
      <c r="BK6" s="222"/>
      <c r="BL6" s="220">
        <f>IF($B$3="","",IF(MONTH($B$3+30)=MONTH($B$3),$B$3+30,""))</f>
        <v>46477</v>
      </c>
      <c r="BM6" s="222"/>
      <c r="BN6" s="223" t="s">
        <v>115</v>
      </c>
      <c r="BO6" s="224"/>
      <c r="BP6" s="220">
        <f>IF($B$3="","",EOMONTH($B$3,0)+1)</f>
        <v>46478</v>
      </c>
      <c r="BQ6" s="221"/>
    </row>
    <row r="7" spans="1:76" x14ac:dyDescent="0.35">
      <c r="A7" s="38" t="s">
        <v>20</v>
      </c>
      <c r="B7" s="39"/>
      <c r="C7" s="40"/>
      <c r="D7" s="41"/>
      <c r="E7" s="165">
        <f>E59</f>
        <v>0</v>
      </c>
      <c r="F7" s="42"/>
      <c r="G7" s="165">
        <f>G59</f>
        <v>0</v>
      </c>
      <c r="H7" s="42"/>
      <c r="I7" s="165">
        <f>I59</f>
        <v>0</v>
      </c>
      <c r="J7" s="42"/>
      <c r="K7" s="165">
        <f>K59</f>
        <v>0</v>
      </c>
      <c r="L7" s="42"/>
      <c r="M7" s="165">
        <f>M59</f>
        <v>0</v>
      </c>
      <c r="N7" s="42"/>
      <c r="O7" s="165">
        <f>O59</f>
        <v>0</v>
      </c>
      <c r="P7" s="42"/>
      <c r="Q7" s="165">
        <f>Q59</f>
        <v>0</v>
      </c>
      <c r="R7" s="42"/>
      <c r="S7" s="165">
        <f>S59</f>
        <v>0</v>
      </c>
      <c r="T7" s="42"/>
      <c r="U7" s="165">
        <f>U59</f>
        <v>0</v>
      </c>
      <c r="V7" s="42"/>
      <c r="W7" s="165">
        <f>W59</f>
        <v>0</v>
      </c>
      <c r="X7" s="42"/>
      <c r="Y7" s="165">
        <f>Y59</f>
        <v>0</v>
      </c>
      <c r="Z7" s="42"/>
      <c r="AA7" s="165">
        <f>AA59</f>
        <v>0</v>
      </c>
      <c r="AB7" s="42"/>
      <c r="AC7" s="165">
        <f>AC59</f>
        <v>0</v>
      </c>
      <c r="AD7" s="42"/>
      <c r="AE7" s="165">
        <f>AE59</f>
        <v>0</v>
      </c>
      <c r="AF7" s="42"/>
      <c r="AG7" s="165">
        <f>AG59</f>
        <v>0</v>
      </c>
      <c r="AH7" s="42"/>
      <c r="AI7" s="165">
        <f>AI59</f>
        <v>0</v>
      </c>
      <c r="AJ7" s="42"/>
      <c r="AK7" s="165">
        <f>AK59</f>
        <v>0</v>
      </c>
      <c r="AL7" s="42"/>
      <c r="AM7" s="165">
        <f>AM59</f>
        <v>0</v>
      </c>
      <c r="AN7" s="42"/>
      <c r="AO7" s="165">
        <f>AO59</f>
        <v>0</v>
      </c>
      <c r="AP7" s="42"/>
      <c r="AQ7" s="165">
        <f>AQ59</f>
        <v>0</v>
      </c>
      <c r="AR7" s="42"/>
      <c r="AS7" s="165">
        <f>AS59</f>
        <v>0</v>
      </c>
      <c r="AT7" s="42"/>
      <c r="AU7" s="165">
        <f>AU59</f>
        <v>0</v>
      </c>
      <c r="AV7" s="42"/>
      <c r="AW7" s="165">
        <f>AW59</f>
        <v>0</v>
      </c>
      <c r="AX7" s="42"/>
      <c r="AY7" s="165">
        <f>AY59</f>
        <v>0</v>
      </c>
      <c r="AZ7" s="42"/>
      <c r="BA7" s="165">
        <f>BA59</f>
        <v>0</v>
      </c>
      <c r="BB7" s="42"/>
      <c r="BC7" s="165">
        <f>BC59</f>
        <v>0</v>
      </c>
      <c r="BD7" s="42"/>
      <c r="BE7" s="165">
        <f>BE59</f>
        <v>0</v>
      </c>
      <c r="BF7" s="42"/>
      <c r="BG7" s="165">
        <f>BG59</f>
        <v>0</v>
      </c>
      <c r="BH7" s="42"/>
      <c r="BI7" s="165">
        <f>BI59</f>
        <v>0</v>
      </c>
      <c r="BJ7" s="42"/>
      <c r="BK7" s="165">
        <f>BK59</f>
        <v>0</v>
      </c>
      <c r="BL7" s="42"/>
      <c r="BM7" s="165">
        <f>BM59</f>
        <v>0</v>
      </c>
      <c r="BN7" s="43"/>
      <c r="BO7" s="169">
        <f>IF(COUNT(E7,G7,I7,K7,M7,O7,Q7,S7,U7,W7,Y7,AA7,AC7,AE7,AG7,AI7,AK7,AM7,AO7,AQ7,AS7,AU7,AW7,AY7,BA7,BC7,BE7,BG7,BI7,BK7,BM7)=0,"",SUM(E7,G7,I7,K7,M7,O7,Q7,S7,U7,W7,Y7,AA7,AC7,AE7,AG7,AI7,AK7,AM7,AO7,AQ7,AS7,AU7,AW7,AY7,BA7,BC7,BE7,BG7,BI7,BK7,BM7))</f>
        <v>0</v>
      </c>
      <c r="BP7" s="42"/>
      <c r="BQ7" s="171">
        <f>BQ59</f>
        <v>0</v>
      </c>
    </row>
    <row r="8" spans="1:76" x14ac:dyDescent="0.35">
      <c r="A8" s="38" t="s">
        <v>49</v>
      </c>
      <c r="B8" s="39"/>
      <c r="C8" s="40"/>
      <c r="D8" s="41"/>
      <c r="E8" s="165">
        <f>E58</f>
        <v>0</v>
      </c>
      <c r="F8" s="42"/>
      <c r="G8" s="165">
        <f>G58</f>
        <v>0</v>
      </c>
      <c r="H8" s="42"/>
      <c r="I8" s="165">
        <f>I58</f>
        <v>0</v>
      </c>
      <c r="J8" s="42"/>
      <c r="K8" s="165">
        <f>K58</f>
        <v>0</v>
      </c>
      <c r="L8" s="42"/>
      <c r="M8" s="165">
        <f>M58</f>
        <v>0</v>
      </c>
      <c r="N8" s="42"/>
      <c r="O8" s="165">
        <f>O58</f>
        <v>0</v>
      </c>
      <c r="P8" s="42"/>
      <c r="Q8" s="165">
        <f>Q58</f>
        <v>0</v>
      </c>
      <c r="R8" s="42"/>
      <c r="S8" s="165">
        <f>S58</f>
        <v>0</v>
      </c>
      <c r="T8" s="42"/>
      <c r="U8" s="165">
        <f>U58</f>
        <v>0</v>
      </c>
      <c r="V8" s="42"/>
      <c r="W8" s="165">
        <f>W58</f>
        <v>0</v>
      </c>
      <c r="X8" s="42"/>
      <c r="Y8" s="165">
        <f>Y58</f>
        <v>0</v>
      </c>
      <c r="Z8" s="42"/>
      <c r="AA8" s="165">
        <f>AA58</f>
        <v>0</v>
      </c>
      <c r="AB8" s="42"/>
      <c r="AC8" s="165">
        <f>AC58</f>
        <v>0</v>
      </c>
      <c r="AD8" s="42"/>
      <c r="AE8" s="165">
        <f>AE58</f>
        <v>0</v>
      </c>
      <c r="AF8" s="42"/>
      <c r="AG8" s="165">
        <f>AG58</f>
        <v>0</v>
      </c>
      <c r="AH8" s="42"/>
      <c r="AI8" s="165">
        <f>AI58</f>
        <v>0</v>
      </c>
      <c r="AJ8" s="42"/>
      <c r="AK8" s="165">
        <f>AK58</f>
        <v>0</v>
      </c>
      <c r="AL8" s="42"/>
      <c r="AM8" s="165">
        <f>AM58</f>
        <v>0</v>
      </c>
      <c r="AN8" s="42"/>
      <c r="AO8" s="165">
        <f>AO58</f>
        <v>0</v>
      </c>
      <c r="AP8" s="42"/>
      <c r="AQ8" s="165">
        <f>AQ58</f>
        <v>0</v>
      </c>
      <c r="AR8" s="42"/>
      <c r="AS8" s="165">
        <f>AS58</f>
        <v>0</v>
      </c>
      <c r="AT8" s="42"/>
      <c r="AU8" s="168">
        <f>AU58</f>
        <v>0</v>
      </c>
      <c r="AV8" s="42"/>
      <c r="AW8" s="165">
        <f>AW58</f>
        <v>0</v>
      </c>
      <c r="AX8" s="42"/>
      <c r="AY8" s="165">
        <f>AY58</f>
        <v>0</v>
      </c>
      <c r="AZ8" s="42"/>
      <c r="BA8" s="165">
        <f>BA58</f>
        <v>0</v>
      </c>
      <c r="BB8" s="42"/>
      <c r="BC8" s="165">
        <f>BC58</f>
        <v>0</v>
      </c>
      <c r="BD8" s="42"/>
      <c r="BE8" s="165">
        <f>BE58</f>
        <v>0</v>
      </c>
      <c r="BF8" s="42"/>
      <c r="BG8" s="165">
        <f>BG58</f>
        <v>0</v>
      </c>
      <c r="BH8" s="42"/>
      <c r="BI8" s="165">
        <f>BI58</f>
        <v>0</v>
      </c>
      <c r="BJ8" s="42"/>
      <c r="BK8" s="165">
        <f>BK58</f>
        <v>0</v>
      </c>
      <c r="BL8" s="42"/>
      <c r="BM8" s="165">
        <f>BM58</f>
        <v>0</v>
      </c>
      <c r="BN8" s="43"/>
      <c r="BO8" s="169">
        <f>IF(COUNT(E8,G8,I8,K8,M8,O8,Q8,S8,U8,W8,Y8,AA8,AC8,AE8,AG8,AI8,AK8,AM8,AO8,AQ8,AS8,AU8,AW8,AY8,BA8,BC8,BE8,BG8,BI8,BK8,BM8)=0,"",SUM(E8,G8,I8,K8,M8,O8,Q8,S8,U8,W8,Y8,AA8,AC8,AE8,AG8,AI8,AK8,AM8,AO8,AQ8,AS8,AU8,AW8,AY8,BA8,BC8,BE8,BG8,BI8,BK8,BM8))</f>
        <v>0</v>
      </c>
      <c r="BP8" s="42"/>
      <c r="BQ8" s="171">
        <f>BQ58</f>
        <v>0</v>
      </c>
    </row>
    <row r="9" spans="1:76" x14ac:dyDescent="0.35">
      <c r="A9" s="38" t="s">
        <v>50</v>
      </c>
      <c r="B9" s="39"/>
      <c r="C9" s="40"/>
      <c r="D9" s="41"/>
      <c r="E9" s="165" t="e">
        <f>E61</f>
        <v>#VALUE!</v>
      </c>
      <c r="F9" s="42"/>
      <c r="G9" s="165">
        <f>G61</f>
        <v>0</v>
      </c>
      <c r="H9" s="42"/>
      <c r="I9" s="165">
        <f>I61</f>
        <v>0</v>
      </c>
      <c r="J9" s="42"/>
      <c r="K9" s="165">
        <f>K61</f>
        <v>0</v>
      </c>
      <c r="L9" s="42"/>
      <c r="M9" s="165">
        <f>M61</f>
        <v>0</v>
      </c>
      <c r="N9" s="42"/>
      <c r="O9" s="165">
        <f>O61</f>
        <v>0</v>
      </c>
      <c r="P9" s="42"/>
      <c r="Q9" s="165">
        <f>Q61</f>
        <v>0</v>
      </c>
      <c r="R9" s="42"/>
      <c r="S9" s="165">
        <f>S61</f>
        <v>0</v>
      </c>
      <c r="T9" s="42"/>
      <c r="U9" s="165">
        <f>U61</f>
        <v>0</v>
      </c>
      <c r="V9" s="42"/>
      <c r="W9" s="165">
        <f>W61</f>
        <v>0</v>
      </c>
      <c r="X9" s="42"/>
      <c r="Y9" s="165">
        <f>Y61</f>
        <v>0</v>
      </c>
      <c r="Z9" s="42"/>
      <c r="AA9" s="165">
        <f>AA61</f>
        <v>0</v>
      </c>
      <c r="AB9" s="42"/>
      <c r="AC9" s="165">
        <f>AC61</f>
        <v>0</v>
      </c>
      <c r="AD9" s="42"/>
      <c r="AE9" s="165">
        <f>AE61</f>
        <v>0</v>
      </c>
      <c r="AF9" s="42"/>
      <c r="AG9" s="165">
        <f>AG61</f>
        <v>0</v>
      </c>
      <c r="AH9" s="42"/>
      <c r="AI9" s="165">
        <f>AI61</f>
        <v>0</v>
      </c>
      <c r="AJ9" s="42"/>
      <c r="AK9" s="165">
        <f>AK61</f>
        <v>0</v>
      </c>
      <c r="AL9" s="42"/>
      <c r="AM9" s="165">
        <f>AM61</f>
        <v>0</v>
      </c>
      <c r="AN9" s="42"/>
      <c r="AO9" s="165">
        <f>AO61</f>
        <v>0</v>
      </c>
      <c r="AP9" s="42"/>
      <c r="AQ9" s="165">
        <f>AQ61</f>
        <v>0</v>
      </c>
      <c r="AR9" s="42"/>
      <c r="AS9" s="165">
        <f>AS61</f>
        <v>0</v>
      </c>
      <c r="AT9" s="42"/>
      <c r="AU9" s="165">
        <f>AU61</f>
        <v>0</v>
      </c>
      <c r="AV9" s="42"/>
      <c r="AW9" s="165">
        <f>AW61</f>
        <v>0</v>
      </c>
      <c r="AX9" s="42"/>
      <c r="AY9" s="165">
        <f>AY61</f>
        <v>0</v>
      </c>
      <c r="AZ9" s="42"/>
      <c r="BA9" s="165">
        <f>BA61</f>
        <v>0</v>
      </c>
      <c r="BB9" s="42"/>
      <c r="BC9" s="165">
        <f>BC61</f>
        <v>0</v>
      </c>
      <c r="BD9" s="42"/>
      <c r="BE9" s="165">
        <f>BE61</f>
        <v>0</v>
      </c>
      <c r="BF9" s="42"/>
      <c r="BG9" s="165">
        <f>BG61</f>
        <v>0</v>
      </c>
      <c r="BH9" s="42"/>
      <c r="BI9" s="165">
        <f>BI61</f>
        <v>0</v>
      </c>
      <c r="BJ9" s="42"/>
      <c r="BK9" s="165">
        <f>BK61</f>
        <v>0</v>
      </c>
      <c r="BL9" s="42"/>
      <c r="BM9" s="165">
        <f>BM61</f>
        <v>0</v>
      </c>
      <c r="BN9" s="43"/>
      <c r="BO9" s="169" t="e">
        <f>IF(COUNT(E9,G9,I9,K9,M9,O9,Q9,S9,U9,W9,Y9,AA9,AC9,AE9,AG9,AI9,AK9,AM9,AO9,AQ9,AS9,AU9,AW9,AY9,BA9,BC9,BE9,BG9,BI9,BK9,BM9)=0,"",SUM(E9,G9,I9,K9,M9,O9,Q9,S9,U9,W9,Y9,AA9,AC9,AE9,AG9,AI9,AK9,AM9,AO9,AQ9,AS9,AU9,AW9,AY9,BA9,BC9,BE9,BG9,BI9,BK9,BM9))</f>
        <v>#VALUE!</v>
      </c>
      <c r="BP9" s="42"/>
      <c r="BQ9" s="171">
        <f>BQ61</f>
        <v>0</v>
      </c>
    </row>
    <row r="10" spans="1:76" s="2" customFormat="1" x14ac:dyDescent="0.35">
      <c r="A10" s="44" t="s">
        <v>47</v>
      </c>
      <c r="B10" s="45"/>
      <c r="C10" s="46">
        <v>1413.73</v>
      </c>
      <c r="D10" s="47"/>
      <c r="E10" s="166" t="e">
        <f>E73</f>
        <v>#VALUE!</v>
      </c>
      <c r="F10" s="49"/>
      <c r="G10" s="166">
        <f t="shared" ref="G10:BQ10" si="0">G73</f>
        <v>0</v>
      </c>
      <c r="H10" s="49"/>
      <c r="I10" s="166">
        <f t="shared" si="0"/>
        <v>0</v>
      </c>
      <c r="J10" s="49"/>
      <c r="K10" s="166">
        <f t="shared" si="0"/>
        <v>0</v>
      </c>
      <c r="L10" s="49"/>
      <c r="M10" s="166">
        <f t="shared" si="0"/>
        <v>0</v>
      </c>
      <c r="N10" s="49"/>
      <c r="O10" s="166">
        <f t="shared" si="0"/>
        <v>0</v>
      </c>
      <c r="P10" s="49"/>
      <c r="Q10" s="166">
        <f t="shared" si="0"/>
        <v>0</v>
      </c>
      <c r="R10" s="49"/>
      <c r="S10" s="166">
        <f t="shared" si="0"/>
        <v>0</v>
      </c>
      <c r="T10" s="49"/>
      <c r="U10" s="166">
        <f t="shared" si="0"/>
        <v>0</v>
      </c>
      <c r="V10" s="49"/>
      <c r="W10" s="166">
        <f t="shared" si="0"/>
        <v>0</v>
      </c>
      <c r="X10" s="49"/>
      <c r="Y10" s="166">
        <f t="shared" si="0"/>
        <v>0</v>
      </c>
      <c r="Z10" s="49"/>
      <c r="AA10" s="166">
        <f t="shared" si="0"/>
        <v>0</v>
      </c>
      <c r="AB10" s="49"/>
      <c r="AC10" s="166">
        <f t="shared" si="0"/>
        <v>0</v>
      </c>
      <c r="AD10" s="49"/>
      <c r="AE10" s="166">
        <f t="shared" si="0"/>
        <v>0</v>
      </c>
      <c r="AF10" s="49"/>
      <c r="AG10" s="166">
        <f t="shared" si="0"/>
        <v>0</v>
      </c>
      <c r="AH10" s="49"/>
      <c r="AI10" s="166">
        <f t="shared" si="0"/>
        <v>0</v>
      </c>
      <c r="AJ10" s="49"/>
      <c r="AK10" s="166">
        <f t="shared" si="0"/>
        <v>0</v>
      </c>
      <c r="AL10" s="49"/>
      <c r="AM10" s="166">
        <f t="shared" si="0"/>
        <v>0</v>
      </c>
      <c r="AN10" s="49"/>
      <c r="AO10" s="166">
        <f t="shared" si="0"/>
        <v>0</v>
      </c>
      <c r="AP10" s="49"/>
      <c r="AQ10" s="166">
        <f t="shared" si="0"/>
        <v>0</v>
      </c>
      <c r="AR10" s="49"/>
      <c r="AS10" s="166">
        <f t="shared" si="0"/>
        <v>0</v>
      </c>
      <c r="AT10" s="49"/>
      <c r="AU10" s="166">
        <f t="shared" si="0"/>
        <v>0</v>
      </c>
      <c r="AV10" s="49"/>
      <c r="AW10" s="166">
        <f t="shared" si="0"/>
        <v>0</v>
      </c>
      <c r="AX10" s="49"/>
      <c r="AY10" s="166">
        <f t="shared" si="0"/>
        <v>0</v>
      </c>
      <c r="AZ10" s="49"/>
      <c r="BA10" s="166">
        <f t="shared" si="0"/>
        <v>0</v>
      </c>
      <c r="BB10" s="49"/>
      <c r="BC10" s="166">
        <f t="shared" si="0"/>
        <v>0</v>
      </c>
      <c r="BD10" s="49"/>
      <c r="BE10" s="166">
        <f t="shared" si="0"/>
        <v>0</v>
      </c>
      <c r="BF10" s="49"/>
      <c r="BG10" s="166">
        <f t="shared" si="0"/>
        <v>0</v>
      </c>
      <c r="BH10" s="49"/>
      <c r="BI10" s="166">
        <f t="shared" si="0"/>
        <v>0</v>
      </c>
      <c r="BJ10" s="49"/>
      <c r="BK10" s="166">
        <f t="shared" si="0"/>
        <v>0</v>
      </c>
      <c r="BL10" s="49"/>
      <c r="BM10" s="166">
        <f t="shared" si="0"/>
        <v>0</v>
      </c>
      <c r="BN10" s="50"/>
      <c r="BO10" s="170" t="e">
        <f>IF(COUNT(E10,G10,I10,K10,M10,O10,Q10,S10,U10,W10,Y10,AA10,AC10,AE10,AG10,AI10,AK10,AM10,AO10,AQ10,AS10,AU10,AW10,AY10,BA10,BC10,BE10,BG10,BI10,BK10,BM10)=0,"",SUM(E10,G10,I10,K10,M10,O10,Q10,S10,U10,W10,Y10,AA10,AC10,AE10,AG10,AI10,AK10,AM10,AO10,AQ10,AS10,AU10,AW10,AY10,BA10,BC10,BE10,BG10,BI10,BK10,BM10))</f>
        <v>#VALUE!</v>
      </c>
      <c r="BP10" s="49"/>
      <c r="BQ10" s="172">
        <f t="shared" si="0"/>
        <v>0</v>
      </c>
      <c r="BR10"/>
      <c r="BS10"/>
      <c r="BT10"/>
      <c r="BU10"/>
      <c r="BV10"/>
      <c r="BW10"/>
      <c r="BX10"/>
    </row>
    <row r="11" spans="1:76" s="2" customFormat="1" x14ac:dyDescent="0.35">
      <c r="A11" s="44" t="s">
        <v>48</v>
      </c>
      <c r="B11" s="45"/>
      <c r="C11" s="46">
        <v>5252.8</v>
      </c>
      <c r="D11" s="47"/>
      <c r="E11" s="166">
        <f>E75+E56</f>
        <v>0</v>
      </c>
      <c r="F11" s="49"/>
      <c r="G11" s="166">
        <f>G75+G56</f>
        <v>0</v>
      </c>
      <c r="H11" s="49"/>
      <c r="I11" s="166">
        <f>I75+I56</f>
        <v>0</v>
      </c>
      <c r="J11" s="49"/>
      <c r="K11" s="166">
        <f>K75+K56</f>
        <v>0</v>
      </c>
      <c r="L11" s="49"/>
      <c r="M11" s="166">
        <f>M75+M56</f>
        <v>0</v>
      </c>
      <c r="N11" s="49"/>
      <c r="O11" s="166">
        <f>O75+O56</f>
        <v>0</v>
      </c>
      <c r="P11" s="49"/>
      <c r="Q11" s="166">
        <f>Q75+Q56</f>
        <v>0</v>
      </c>
      <c r="R11" s="49"/>
      <c r="S11" s="166">
        <f>S75+S56</f>
        <v>0</v>
      </c>
      <c r="T11" s="49"/>
      <c r="U11" s="166">
        <f>U75+U56</f>
        <v>0</v>
      </c>
      <c r="V11" s="49"/>
      <c r="W11" s="166">
        <f>W75+W56</f>
        <v>0</v>
      </c>
      <c r="X11" s="167">
        <f t="shared" ref="X11:AL11" si="1">X75</f>
        <v>0</v>
      </c>
      <c r="Y11" s="166">
        <f>Y75+Y56</f>
        <v>0</v>
      </c>
      <c r="Z11" s="167">
        <f t="shared" si="1"/>
        <v>0</v>
      </c>
      <c r="AA11" s="166">
        <f>AA75+AA56</f>
        <v>0</v>
      </c>
      <c r="AB11" s="167">
        <f t="shared" si="1"/>
        <v>0</v>
      </c>
      <c r="AC11" s="166">
        <f>AC75+AC56</f>
        <v>0</v>
      </c>
      <c r="AD11" s="167">
        <f t="shared" si="1"/>
        <v>0</v>
      </c>
      <c r="AE11" s="166">
        <f>AE75+AE56</f>
        <v>0</v>
      </c>
      <c r="AF11" s="167">
        <f t="shared" si="1"/>
        <v>0</v>
      </c>
      <c r="AG11" s="166">
        <f>AG75+AG56</f>
        <v>0</v>
      </c>
      <c r="AH11" s="167">
        <f t="shared" si="1"/>
        <v>0</v>
      </c>
      <c r="AI11" s="166">
        <f>AI75+AI56</f>
        <v>0</v>
      </c>
      <c r="AJ11" s="167">
        <f t="shared" si="1"/>
        <v>0</v>
      </c>
      <c r="AK11" s="166">
        <f>AK75+AK56</f>
        <v>0</v>
      </c>
      <c r="AL11" s="167">
        <f t="shared" si="1"/>
        <v>0</v>
      </c>
      <c r="AM11" s="166">
        <f>AM75+AM56</f>
        <v>0</v>
      </c>
      <c r="AN11" s="49"/>
      <c r="AO11" s="166">
        <f>AO75+AO56</f>
        <v>0</v>
      </c>
      <c r="AP11" s="49"/>
      <c r="AQ11" s="166">
        <f>AQ75+AQ56</f>
        <v>0</v>
      </c>
      <c r="AR11" s="49"/>
      <c r="AS11" s="166">
        <f>AS75+AS56</f>
        <v>0</v>
      </c>
      <c r="AT11" s="49"/>
      <c r="AU11" s="166">
        <f>AU75+AU56</f>
        <v>0</v>
      </c>
      <c r="AV11" s="49"/>
      <c r="AW11" s="166">
        <f>AW75+AW56</f>
        <v>0</v>
      </c>
      <c r="AX11" s="49"/>
      <c r="AY11" s="166">
        <f>AY75+AY56</f>
        <v>0</v>
      </c>
      <c r="AZ11" s="49"/>
      <c r="BA11" s="166">
        <f>BA75+BA56</f>
        <v>0</v>
      </c>
      <c r="BB11" s="49"/>
      <c r="BC11" s="166">
        <f>BC75+BC56</f>
        <v>0</v>
      </c>
      <c r="BD11" s="49"/>
      <c r="BE11" s="166">
        <f>BE75+BE56</f>
        <v>0</v>
      </c>
      <c r="BF11" s="49"/>
      <c r="BG11" s="166">
        <f>BG75+BG56</f>
        <v>0</v>
      </c>
      <c r="BH11" s="49"/>
      <c r="BI11" s="166">
        <f>BI75+BI56</f>
        <v>0</v>
      </c>
      <c r="BJ11" s="49"/>
      <c r="BK11" s="166">
        <f>BK75+BK56</f>
        <v>0</v>
      </c>
      <c r="BL11" s="49"/>
      <c r="BM11" s="166">
        <f>BM75+BM56</f>
        <v>0</v>
      </c>
      <c r="BN11" s="50"/>
      <c r="BO11" s="170">
        <f>IF(COUNT(E11,G11,I11,K11,M11,O11,Q11,S11,U11,W11,Y11,AA11,AC11,AE11,AG11,AI11,AK11,AM11,AO11,AQ11,AS11,AU11,AW11,AY11,BA11,BC11,BE11,BG11,BI11,BK11,BM11)=0,"",SUM(E11,G11,I11,K11,M11,O11,Q11,S11,U11,W11,Y11,AA11,AC11,AE11,AG11,AI11,AK11,AM11,AO11,AQ11,AS11,AU11,AW11,AY11,BA11,BC11,BE11,BG11,BI11,BK11,BM11))</f>
        <v>0</v>
      </c>
      <c r="BP11" s="49"/>
      <c r="BQ11" s="172" t="e">
        <f>BQ75+BQ56</f>
        <v>#VALUE!</v>
      </c>
      <c r="BR11"/>
      <c r="BS11"/>
      <c r="BT11"/>
      <c r="BU11"/>
      <c r="BV11"/>
      <c r="BW11"/>
      <c r="BX11"/>
    </row>
    <row r="12" spans="1:76" ht="13.5" customHeight="1" x14ac:dyDescent="0.35">
      <c r="A12" s="53"/>
      <c r="B12" s="54"/>
      <c r="C12" s="55"/>
      <c r="D12" s="219"/>
      <c r="E12" s="217"/>
      <c r="F12" s="216"/>
      <c r="G12" s="217"/>
      <c r="H12" s="216"/>
      <c r="I12" s="217"/>
      <c r="J12" s="216"/>
      <c r="K12" s="217"/>
      <c r="L12" s="216"/>
      <c r="M12" s="217"/>
      <c r="N12" s="216"/>
      <c r="O12" s="217"/>
      <c r="P12" s="216"/>
      <c r="Q12" s="217"/>
      <c r="R12" s="216"/>
      <c r="S12" s="217"/>
      <c r="T12" s="216"/>
      <c r="U12" s="217"/>
      <c r="V12" s="216"/>
      <c r="W12" s="217"/>
      <c r="X12" s="216"/>
      <c r="Y12" s="217"/>
      <c r="Z12" s="216"/>
      <c r="AA12" s="217"/>
      <c r="AB12" s="216"/>
      <c r="AC12" s="217"/>
      <c r="AD12" s="216"/>
      <c r="AE12" s="217"/>
      <c r="AF12" s="216"/>
      <c r="AG12" s="217"/>
      <c r="AH12" s="216"/>
      <c r="AI12" s="217"/>
      <c r="AJ12" s="216"/>
      <c r="AK12" s="217"/>
      <c r="AL12" s="216"/>
      <c r="AM12" s="217"/>
      <c r="AN12" s="216"/>
      <c r="AO12" s="217"/>
      <c r="AP12" s="216"/>
      <c r="AQ12" s="217"/>
      <c r="AR12" s="216"/>
      <c r="AS12" s="217"/>
      <c r="AT12" s="216"/>
      <c r="AU12" s="217"/>
      <c r="AV12" s="216"/>
      <c r="AW12" s="217"/>
      <c r="AX12" s="216"/>
      <c r="AY12" s="217"/>
      <c r="AZ12" s="216"/>
      <c r="BA12" s="217"/>
      <c r="BB12" s="216"/>
      <c r="BC12" s="217"/>
      <c r="BD12" s="216"/>
      <c r="BE12" s="217"/>
      <c r="BF12" s="216"/>
      <c r="BG12" s="217"/>
      <c r="BH12" s="216"/>
      <c r="BI12" s="217"/>
      <c r="BJ12" s="216"/>
      <c r="BK12" s="217"/>
      <c r="BL12" s="216"/>
      <c r="BM12" s="217"/>
      <c r="BN12" s="56"/>
      <c r="BO12" s="57"/>
      <c r="BP12" s="216"/>
      <c r="BQ12" s="218"/>
    </row>
    <row r="13" spans="1:76" x14ac:dyDescent="0.35">
      <c r="A13" s="58" t="s">
        <v>39</v>
      </c>
      <c r="B13" s="59"/>
      <c r="C13" s="205" t="str">
        <f>IF('February 2027 Log'!BG13="","",'February 2027 Log'!BG13)</f>
        <v/>
      </c>
      <c r="D13" s="61" t="s">
        <v>52</v>
      </c>
      <c r="E13" s="62"/>
      <c r="F13" s="63" t="s">
        <v>52</v>
      </c>
      <c r="G13" s="62"/>
      <c r="H13" s="63" t="s">
        <v>52</v>
      </c>
      <c r="I13" s="62"/>
      <c r="J13" s="63" t="s">
        <v>52</v>
      </c>
      <c r="K13" s="62"/>
      <c r="L13" s="63" t="s">
        <v>52</v>
      </c>
      <c r="M13" s="62"/>
      <c r="N13" s="63" t="s">
        <v>52</v>
      </c>
      <c r="O13" s="62"/>
      <c r="P13" s="63" t="s">
        <v>52</v>
      </c>
      <c r="Q13" s="62"/>
      <c r="R13" s="63" t="s">
        <v>52</v>
      </c>
      <c r="S13" s="62"/>
      <c r="T13" s="63" t="s">
        <v>52</v>
      </c>
      <c r="U13" s="62"/>
      <c r="V13" s="63" t="s">
        <v>52</v>
      </c>
      <c r="W13" s="62"/>
      <c r="X13" s="63" t="s">
        <v>52</v>
      </c>
      <c r="Y13" s="62"/>
      <c r="Z13" s="63" t="s">
        <v>52</v>
      </c>
      <c r="AA13" s="62"/>
      <c r="AB13" s="63" t="s">
        <v>52</v>
      </c>
      <c r="AC13" s="62"/>
      <c r="AD13" s="63" t="s">
        <v>52</v>
      </c>
      <c r="AE13" s="62"/>
      <c r="AF13" s="63" t="s">
        <v>52</v>
      </c>
      <c r="AG13" s="62"/>
      <c r="AH13" s="63" t="s">
        <v>52</v>
      </c>
      <c r="AI13" s="62"/>
      <c r="AJ13" s="63" t="s">
        <v>52</v>
      </c>
      <c r="AK13" s="62"/>
      <c r="AL13" s="63" t="s">
        <v>52</v>
      </c>
      <c r="AM13" s="62"/>
      <c r="AN13" s="63" t="s">
        <v>52</v>
      </c>
      <c r="AO13" s="62"/>
      <c r="AP13" s="63" t="s">
        <v>52</v>
      </c>
      <c r="AQ13" s="62"/>
      <c r="AR13" s="63" t="s">
        <v>52</v>
      </c>
      <c r="AS13" s="62"/>
      <c r="AT13" s="63" t="s">
        <v>52</v>
      </c>
      <c r="AU13" s="62"/>
      <c r="AV13" s="63" t="s">
        <v>52</v>
      </c>
      <c r="AW13" s="62"/>
      <c r="AX13" s="63" t="s">
        <v>52</v>
      </c>
      <c r="AY13" s="62"/>
      <c r="AZ13" s="63" t="s">
        <v>52</v>
      </c>
      <c r="BA13" s="62"/>
      <c r="BB13" s="63" t="s">
        <v>52</v>
      </c>
      <c r="BC13" s="62"/>
      <c r="BD13" s="63" t="s">
        <v>52</v>
      </c>
      <c r="BE13" s="62"/>
      <c r="BF13" s="63" t="s">
        <v>52</v>
      </c>
      <c r="BG13" s="62"/>
      <c r="BH13" s="63" t="s">
        <v>52</v>
      </c>
      <c r="BI13" s="62"/>
      <c r="BJ13" s="63" t="s">
        <v>52</v>
      </c>
      <c r="BK13" s="62"/>
      <c r="BL13" s="63" t="s">
        <v>52</v>
      </c>
      <c r="BM13" s="62"/>
      <c r="BN13" s="64"/>
      <c r="BO13" s="65"/>
      <c r="BP13" s="63" t="s">
        <v>52</v>
      </c>
      <c r="BQ13" s="207" t="str">
        <f>IF(BM13="","",BM13)</f>
        <v/>
      </c>
    </row>
    <row r="14" spans="1:76" x14ac:dyDescent="0.35">
      <c r="A14" s="53" t="s">
        <v>40</v>
      </c>
      <c r="B14" s="59"/>
      <c r="C14" s="206" t="str">
        <f>IF('February 2027 Log'!BG14="","",'February 2027 Log'!BG14)</f>
        <v/>
      </c>
      <c r="D14" s="68" t="s">
        <v>40</v>
      </c>
      <c r="E14" s="69"/>
      <c r="F14" s="70" t="s">
        <v>40</v>
      </c>
      <c r="G14" s="69"/>
      <c r="H14" s="70" t="s">
        <v>40</v>
      </c>
      <c r="I14" s="69"/>
      <c r="J14" s="70" t="s">
        <v>40</v>
      </c>
      <c r="K14" s="69"/>
      <c r="L14" s="70" t="s">
        <v>40</v>
      </c>
      <c r="M14" s="69"/>
      <c r="N14" s="70" t="s">
        <v>40</v>
      </c>
      <c r="O14" s="69"/>
      <c r="P14" s="70" t="s">
        <v>40</v>
      </c>
      <c r="Q14" s="69"/>
      <c r="R14" s="70" t="s">
        <v>40</v>
      </c>
      <c r="S14" s="69"/>
      <c r="T14" s="70" t="s">
        <v>40</v>
      </c>
      <c r="U14" s="69"/>
      <c r="V14" s="70" t="s">
        <v>40</v>
      </c>
      <c r="W14" s="69"/>
      <c r="X14" s="70" t="s">
        <v>40</v>
      </c>
      <c r="Y14" s="69"/>
      <c r="Z14" s="70" t="s">
        <v>40</v>
      </c>
      <c r="AA14" s="69"/>
      <c r="AB14" s="70" t="s">
        <v>40</v>
      </c>
      <c r="AC14" s="69"/>
      <c r="AD14" s="70" t="s">
        <v>40</v>
      </c>
      <c r="AE14" s="69"/>
      <c r="AF14" s="70" t="s">
        <v>40</v>
      </c>
      <c r="AG14" s="69"/>
      <c r="AH14" s="70" t="s">
        <v>40</v>
      </c>
      <c r="AI14" s="69"/>
      <c r="AJ14" s="70" t="s">
        <v>40</v>
      </c>
      <c r="AK14" s="69"/>
      <c r="AL14" s="70" t="s">
        <v>40</v>
      </c>
      <c r="AM14" s="69"/>
      <c r="AN14" s="70" t="s">
        <v>40</v>
      </c>
      <c r="AO14" s="69"/>
      <c r="AP14" s="70" t="s">
        <v>40</v>
      </c>
      <c r="AQ14" s="69"/>
      <c r="AR14" s="70" t="s">
        <v>40</v>
      </c>
      <c r="AS14" s="69"/>
      <c r="AT14" s="70" t="s">
        <v>40</v>
      </c>
      <c r="AU14" s="69"/>
      <c r="AV14" s="70" t="s">
        <v>40</v>
      </c>
      <c r="AW14" s="69"/>
      <c r="AX14" s="70" t="s">
        <v>40</v>
      </c>
      <c r="AY14" s="69"/>
      <c r="AZ14" s="70" t="s">
        <v>40</v>
      </c>
      <c r="BA14" s="69"/>
      <c r="BB14" s="70" t="s">
        <v>40</v>
      </c>
      <c r="BC14" s="69"/>
      <c r="BD14" s="70" t="s">
        <v>40</v>
      </c>
      <c r="BE14" s="69"/>
      <c r="BF14" s="70" t="s">
        <v>40</v>
      </c>
      <c r="BG14" s="69"/>
      <c r="BH14" s="70" t="s">
        <v>40</v>
      </c>
      <c r="BI14" s="69"/>
      <c r="BJ14" s="70" t="s">
        <v>40</v>
      </c>
      <c r="BK14" s="69"/>
      <c r="BL14" s="70" t="s">
        <v>40</v>
      </c>
      <c r="BM14" s="69"/>
      <c r="BN14" s="71"/>
      <c r="BO14" s="72"/>
      <c r="BP14" s="70" t="s">
        <v>40</v>
      </c>
      <c r="BQ14" s="208" t="str">
        <f>IF(BM14="","",BM14)</f>
        <v/>
      </c>
    </row>
    <row r="15" spans="1:76" x14ac:dyDescent="0.35">
      <c r="A15" s="53" t="s">
        <v>38</v>
      </c>
      <c r="B15" s="54"/>
      <c r="C15" s="206" t="str">
        <f>IF('February 2027 Log'!BG15="","",'February 2027 Log'!BG15)</f>
        <v/>
      </c>
      <c r="D15" s="68" t="s">
        <v>53</v>
      </c>
      <c r="E15" s="69"/>
      <c r="F15" s="70" t="s">
        <v>53</v>
      </c>
      <c r="G15" s="69"/>
      <c r="H15" s="70" t="s">
        <v>53</v>
      </c>
      <c r="I15" s="69"/>
      <c r="J15" s="70" t="s">
        <v>53</v>
      </c>
      <c r="K15" s="69"/>
      <c r="L15" s="70" t="s">
        <v>53</v>
      </c>
      <c r="M15" s="69"/>
      <c r="N15" s="70" t="s">
        <v>53</v>
      </c>
      <c r="O15" s="69"/>
      <c r="P15" s="70" t="s">
        <v>53</v>
      </c>
      <c r="Q15" s="69"/>
      <c r="R15" s="70" t="s">
        <v>53</v>
      </c>
      <c r="S15" s="69"/>
      <c r="T15" s="70" t="s">
        <v>53</v>
      </c>
      <c r="U15" s="69"/>
      <c r="V15" s="70" t="s">
        <v>53</v>
      </c>
      <c r="W15" s="69"/>
      <c r="X15" s="70" t="s">
        <v>53</v>
      </c>
      <c r="Y15" s="69"/>
      <c r="Z15" s="70" t="s">
        <v>53</v>
      </c>
      <c r="AA15" s="69"/>
      <c r="AB15" s="70" t="s">
        <v>53</v>
      </c>
      <c r="AC15" s="69"/>
      <c r="AD15" s="70" t="s">
        <v>53</v>
      </c>
      <c r="AE15" s="69"/>
      <c r="AF15" s="70" t="s">
        <v>53</v>
      </c>
      <c r="AG15" s="69"/>
      <c r="AH15" s="70" t="s">
        <v>53</v>
      </c>
      <c r="AI15" s="69"/>
      <c r="AJ15" s="70" t="s">
        <v>53</v>
      </c>
      <c r="AK15" s="69"/>
      <c r="AL15" s="70" t="s">
        <v>53</v>
      </c>
      <c r="AM15" s="69"/>
      <c r="AN15" s="70" t="s">
        <v>53</v>
      </c>
      <c r="AO15" s="69"/>
      <c r="AP15" s="70" t="s">
        <v>53</v>
      </c>
      <c r="AQ15" s="69"/>
      <c r="AR15" s="70" t="s">
        <v>53</v>
      </c>
      <c r="AS15" s="69"/>
      <c r="AT15" s="70" t="s">
        <v>53</v>
      </c>
      <c r="AU15" s="69"/>
      <c r="AV15" s="70" t="s">
        <v>53</v>
      </c>
      <c r="AW15" s="69"/>
      <c r="AX15" s="70" t="s">
        <v>53</v>
      </c>
      <c r="AY15" s="69"/>
      <c r="AZ15" s="70" t="s">
        <v>53</v>
      </c>
      <c r="BA15" s="69"/>
      <c r="BB15" s="70" t="s">
        <v>53</v>
      </c>
      <c r="BC15" s="69"/>
      <c r="BD15" s="70" t="s">
        <v>53</v>
      </c>
      <c r="BE15" s="69"/>
      <c r="BF15" s="70" t="s">
        <v>53</v>
      </c>
      <c r="BG15" s="69"/>
      <c r="BH15" s="70" t="s">
        <v>53</v>
      </c>
      <c r="BI15" s="69"/>
      <c r="BJ15" s="70" t="s">
        <v>53</v>
      </c>
      <c r="BK15" s="69"/>
      <c r="BL15" s="70" t="s">
        <v>53</v>
      </c>
      <c r="BM15" s="69"/>
      <c r="BN15" s="71"/>
      <c r="BO15" s="72"/>
      <c r="BP15" s="70" t="s">
        <v>53</v>
      </c>
      <c r="BQ15" s="208" t="str">
        <f>IF(BM15="","",BM15)</f>
        <v/>
      </c>
    </row>
    <row r="16" spans="1:76" x14ac:dyDescent="0.35">
      <c r="A16" s="74" t="s">
        <v>51</v>
      </c>
      <c r="B16" s="75"/>
      <c r="C16" s="76"/>
      <c r="D16" s="77"/>
      <c r="E16" s="78"/>
      <c r="F16" s="79"/>
      <c r="G16" s="78"/>
      <c r="H16" s="79"/>
      <c r="I16" s="78"/>
      <c r="J16" s="79"/>
      <c r="K16" s="78"/>
      <c r="L16" s="79"/>
      <c r="M16" s="78"/>
      <c r="N16" s="79"/>
      <c r="O16" s="78"/>
      <c r="P16" s="79"/>
      <c r="Q16" s="78"/>
      <c r="R16" s="79"/>
      <c r="S16" s="78"/>
      <c r="T16" s="79"/>
      <c r="U16" s="78"/>
      <c r="V16" s="79"/>
      <c r="W16" s="78"/>
      <c r="X16" s="79"/>
      <c r="Y16" s="78"/>
      <c r="Z16" s="79"/>
      <c r="AA16" s="78"/>
      <c r="AB16" s="79"/>
      <c r="AC16" s="78"/>
      <c r="AD16" s="79"/>
      <c r="AE16" s="78"/>
      <c r="AF16" s="79"/>
      <c r="AG16" s="78"/>
      <c r="AH16" s="79"/>
      <c r="AI16" s="78"/>
      <c r="AJ16" s="79"/>
      <c r="AK16" s="78"/>
      <c r="AL16" s="79"/>
      <c r="AM16" s="78"/>
      <c r="AN16" s="79"/>
      <c r="AO16" s="78"/>
      <c r="AP16" s="79"/>
      <c r="AQ16" s="78"/>
      <c r="AR16" s="79"/>
      <c r="AS16" s="78"/>
      <c r="AT16" s="79"/>
      <c r="AU16" s="78"/>
      <c r="AV16" s="79"/>
      <c r="AW16" s="78"/>
      <c r="AX16" s="79"/>
      <c r="AY16" s="78"/>
      <c r="AZ16" s="79"/>
      <c r="BA16" s="78"/>
      <c r="BB16" s="79"/>
      <c r="BC16" s="78"/>
      <c r="BD16" s="79"/>
      <c r="BE16" s="78"/>
      <c r="BF16" s="79"/>
      <c r="BG16" s="78"/>
      <c r="BH16" s="79"/>
      <c r="BI16" s="78"/>
      <c r="BJ16" s="79"/>
      <c r="BK16" s="78"/>
      <c r="BL16" s="79"/>
      <c r="BM16" s="78"/>
      <c r="BN16" s="80"/>
      <c r="BO16" s="81"/>
      <c r="BP16" s="79"/>
      <c r="BQ16" s="82"/>
    </row>
    <row r="17" spans="1:76" x14ac:dyDescent="0.35">
      <c r="A17" s="53" t="s">
        <v>45</v>
      </c>
      <c r="B17" s="54"/>
      <c r="C17" s="206" t="str">
        <f>IF('February 2027 Log'!BG17="","",'February 2027 Log'!BG17)</f>
        <v/>
      </c>
      <c r="D17" s="68"/>
      <c r="E17" s="69"/>
      <c r="F17" s="70"/>
      <c r="G17" s="69"/>
      <c r="H17" s="70"/>
      <c r="I17" s="69"/>
      <c r="J17" s="70"/>
      <c r="K17" s="69"/>
      <c r="L17" s="70"/>
      <c r="M17" s="69"/>
      <c r="N17" s="70"/>
      <c r="O17" s="69"/>
      <c r="P17" s="70"/>
      <c r="Q17" s="69"/>
      <c r="R17" s="70"/>
      <c r="S17" s="69"/>
      <c r="T17" s="70"/>
      <c r="U17" s="69"/>
      <c r="V17" s="70"/>
      <c r="W17" s="69"/>
      <c r="X17" s="70"/>
      <c r="Y17" s="69"/>
      <c r="Z17" s="70"/>
      <c r="AA17" s="69"/>
      <c r="AB17" s="70"/>
      <c r="AC17" s="69"/>
      <c r="AD17" s="70"/>
      <c r="AE17" s="69"/>
      <c r="AF17" s="70"/>
      <c r="AG17" s="69"/>
      <c r="AH17" s="70"/>
      <c r="AI17" s="69"/>
      <c r="AJ17" s="70"/>
      <c r="AK17" s="69"/>
      <c r="AL17" s="70"/>
      <c r="AM17" s="69"/>
      <c r="AN17" s="70"/>
      <c r="AO17" s="69"/>
      <c r="AP17" s="70"/>
      <c r="AQ17" s="69"/>
      <c r="AR17" s="70"/>
      <c r="AS17" s="69"/>
      <c r="AT17" s="70"/>
      <c r="AU17" s="69"/>
      <c r="AV17" s="70"/>
      <c r="AW17" s="69"/>
      <c r="AX17" s="70"/>
      <c r="AY17" s="69"/>
      <c r="AZ17" s="70"/>
      <c r="BA17" s="69"/>
      <c r="BB17" s="70"/>
      <c r="BC17" s="69"/>
      <c r="BD17" s="70"/>
      <c r="BE17" s="69"/>
      <c r="BF17" s="70"/>
      <c r="BG17" s="69"/>
      <c r="BH17" s="70"/>
      <c r="BI17" s="69"/>
      <c r="BJ17" s="70"/>
      <c r="BK17" s="69"/>
      <c r="BL17" s="70"/>
      <c r="BM17" s="69"/>
      <c r="BN17" s="71"/>
      <c r="BO17" s="182" t="str">
        <f t="shared" ref="BO17:BO59" si="2">IF(COUNT(E17,G17,I17,K17,M17,O17,Q17,S17,U17,W17,Y17,AA17,AC17,AE17,AG17,AI17,AK17,AM17,AO17,AQ17,AS17,AU17,AW17,AY17,BA17,BC17,BE17,BG17,BI17,BK17,BM17)=0,"",SUM(E17,G17,I17,K17,M17,O17,Q17,S17,U17,W17,Y17,AA17,AC17,AE17,AG17,AI17,AK17,AM17,AO17,AQ17,AS17,AU17,AW17,AY17,BA17,BC17,BE17,BG17,BI17,BK17,BM17))</f>
        <v/>
      </c>
      <c r="BP17" s="70"/>
      <c r="BQ17" s="208" t="str">
        <f>IF(BM17="","",BM17)</f>
        <v/>
      </c>
    </row>
    <row r="18" spans="1:76" x14ac:dyDescent="0.35">
      <c r="A18" s="53" t="s">
        <v>46</v>
      </c>
      <c r="B18" s="54"/>
      <c r="C18" s="67"/>
      <c r="D18" s="68"/>
      <c r="E18" s="69"/>
      <c r="F18" s="70"/>
      <c r="G18" s="69"/>
      <c r="H18" s="70"/>
      <c r="I18" s="69"/>
      <c r="J18" s="70"/>
      <c r="K18" s="69"/>
      <c r="L18" s="70"/>
      <c r="M18" s="69"/>
      <c r="N18" s="70"/>
      <c r="O18" s="69"/>
      <c r="P18" s="70"/>
      <c r="Q18" s="69"/>
      <c r="R18" s="70"/>
      <c r="S18" s="69"/>
      <c r="T18" s="70"/>
      <c r="U18" s="69"/>
      <c r="V18" s="70"/>
      <c r="W18" s="69"/>
      <c r="X18" s="70"/>
      <c r="Y18" s="69"/>
      <c r="Z18" s="70"/>
      <c r="AA18" s="69"/>
      <c r="AB18" s="70"/>
      <c r="AC18" s="69"/>
      <c r="AD18" s="70"/>
      <c r="AE18" s="69"/>
      <c r="AF18" s="70"/>
      <c r="AG18" s="69"/>
      <c r="AH18" s="70"/>
      <c r="AI18" s="69"/>
      <c r="AJ18" s="70"/>
      <c r="AK18" s="69"/>
      <c r="AL18" s="70"/>
      <c r="AM18" s="69"/>
      <c r="AN18" s="70"/>
      <c r="AO18" s="69"/>
      <c r="AP18" s="70"/>
      <c r="AQ18" s="69"/>
      <c r="AR18" s="70"/>
      <c r="AS18" s="69"/>
      <c r="AT18" s="70"/>
      <c r="AU18" s="69"/>
      <c r="AV18" s="70"/>
      <c r="AW18" s="69"/>
      <c r="AX18" s="70"/>
      <c r="AY18" s="69"/>
      <c r="AZ18" s="70"/>
      <c r="BA18" s="69"/>
      <c r="BB18" s="70"/>
      <c r="BC18" s="69"/>
      <c r="BD18" s="70"/>
      <c r="BE18" s="69"/>
      <c r="BF18" s="70"/>
      <c r="BG18" s="69"/>
      <c r="BH18" s="70"/>
      <c r="BI18" s="69"/>
      <c r="BJ18" s="70"/>
      <c r="BK18" s="69"/>
      <c r="BL18" s="70"/>
      <c r="BM18" s="69"/>
      <c r="BN18" s="71"/>
      <c r="BO18" s="182" t="str">
        <f t="shared" si="2"/>
        <v/>
      </c>
      <c r="BP18" s="70"/>
      <c r="BQ18" s="73"/>
    </row>
    <row r="19" spans="1:76" x14ac:dyDescent="0.35">
      <c r="A19" s="53" t="s">
        <v>69</v>
      </c>
      <c r="B19" s="54"/>
      <c r="C19" s="67"/>
      <c r="D19" s="68"/>
      <c r="E19" s="69"/>
      <c r="F19" s="70"/>
      <c r="G19" s="69"/>
      <c r="H19" s="70"/>
      <c r="I19" s="69"/>
      <c r="J19" s="70"/>
      <c r="K19" s="69"/>
      <c r="L19" s="70"/>
      <c r="M19" s="69"/>
      <c r="N19" s="70"/>
      <c r="O19" s="69"/>
      <c r="P19" s="70"/>
      <c r="Q19" s="69"/>
      <c r="R19" s="70"/>
      <c r="S19" s="69"/>
      <c r="T19" s="70"/>
      <c r="U19" s="69"/>
      <c r="V19" s="70"/>
      <c r="W19" s="69"/>
      <c r="X19" s="70"/>
      <c r="Y19" s="69"/>
      <c r="Z19" s="70"/>
      <c r="AA19" s="69"/>
      <c r="AB19" s="70"/>
      <c r="AC19" s="69"/>
      <c r="AD19" s="70"/>
      <c r="AE19" s="69"/>
      <c r="AF19" s="70"/>
      <c r="AG19" s="69"/>
      <c r="AH19" s="70"/>
      <c r="AI19" s="69"/>
      <c r="AJ19" s="70"/>
      <c r="AK19" s="69"/>
      <c r="AL19" s="70"/>
      <c r="AM19" s="69"/>
      <c r="AN19" s="70"/>
      <c r="AO19" s="69"/>
      <c r="AP19" s="70"/>
      <c r="AQ19" s="69"/>
      <c r="AR19" s="70"/>
      <c r="AS19" s="69"/>
      <c r="AT19" s="70"/>
      <c r="AU19" s="69"/>
      <c r="AV19" s="70"/>
      <c r="AW19" s="69"/>
      <c r="AX19" s="70"/>
      <c r="AY19" s="69"/>
      <c r="AZ19" s="70"/>
      <c r="BA19" s="69"/>
      <c r="BB19" s="70"/>
      <c r="BC19" s="69"/>
      <c r="BD19" s="70"/>
      <c r="BE19" s="69"/>
      <c r="BF19" s="70"/>
      <c r="BG19" s="69"/>
      <c r="BH19" s="70"/>
      <c r="BI19" s="69"/>
      <c r="BJ19" s="70"/>
      <c r="BK19" s="69"/>
      <c r="BL19" s="70"/>
      <c r="BM19" s="69"/>
      <c r="BN19" s="71"/>
      <c r="BO19" s="182" t="str">
        <f t="shared" si="2"/>
        <v/>
      </c>
      <c r="BP19" s="70"/>
      <c r="BQ19" s="73"/>
    </row>
    <row r="20" spans="1:76" x14ac:dyDescent="0.35">
      <c r="A20" s="83" t="s">
        <v>0</v>
      </c>
      <c r="B20" s="54"/>
      <c r="C20" s="84"/>
      <c r="D20" s="85"/>
      <c r="E20" s="86"/>
      <c r="F20" s="87"/>
      <c r="G20" s="86"/>
      <c r="H20" s="87"/>
      <c r="I20" s="86"/>
      <c r="J20" s="87"/>
      <c r="K20" s="86"/>
      <c r="L20" s="87"/>
      <c r="M20" s="86"/>
      <c r="N20" s="87"/>
      <c r="O20" s="86"/>
      <c r="P20" s="87"/>
      <c r="Q20" s="86"/>
      <c r="R20" s="87"/>
      <c r="S20" s="86"/>
      <c r="T20" s="87"/>
      <c r="U20" s="86"/>
      <c r="V20" s="87"/>
      <c r="W20" s="86"/>
      <c r="X20" s="87"/>
      <c r="Y20" s="86"/>
      <c r="Z20" s="87"/>
      <c r="AA20" s="86"/>
      <c r="AB20" s="87"/>
      <c r="AC20" s="86"/>
      <c r="AD20" s="87"/>
      <c r="AE20" s="86"/>
      <c r="AF20" s="87"/>
      <c r="AG20" s="86"/>
      <c r="AH20" s="87"/>
      <c r="AI20" s="86"/>
      <c r="AJ20" s="87"/>
      <c r="AK20" s="86"/>
      <c r="AL20" s="87"/>
      <c r="AM20" s="86"/>
      <c r="AN20" s="87"/>
      <c r="AO20" s="86"/>
      <c r="AP20" s="87"/>
      <c r="AQ20" s="86"/>
      <c r="AR20" s="87"/>
      <c r="AS20" s="86"/>
      <c r="AT20" s="87"/>
      <c r="AU20" s="86"/>
      <c r="AV20" s="87"/>
      <c r="AW20" s="86"/>
      <c r="AX20" s="87"/>
      <c r="AY20" s="86"/>
      <c r="AZ20" s="87"/>
      <c r="BA20" s="86"/>
      <c r="BB20" s="87"/>
      <c r="BC20" s="86"/>
      <c r="BD20" s="87"/>
      <c r="BE20" s="86"/>
      <c r="BF20" s="87"/>
      <c r="BG20" s="86"/>
      <c r="BH20" s="87"/>
      <c r="BI20" s="86"/>
      <c r="BJ20" s="87"/>
      <c r="BK20" s="86"/>
      <c r="BL20" s="87"/>
      <c r="BM20" s="86"/>
      <c r="BN20" s="50"/>
      <c r="BO20" s="170" t="str">
        <f t="shared" si="2"/>
        <v/>
      </c>
      <c r="BP20" s="87"/>
      <c r="BQ20" s="88"/>
    </row>
    <row r="21" spans="1:76" x14ac:dyDescent="0.35">
      <c r="A21" s="83" t="s">
        <v>1</v>
      </c>
      <c r="B21" s="54"/>
      <c r="C21" s="174" t="str">
        <f>IF('February 2027 Log'!BG21="","",'February 2027 Log'!BG21)</f>
        <v/>
      </c>
      <c r="D21" s="85"/>
      <c r="E21" s="86"/>
      <c r="F21" s="87"/>
      <c r="G21" s="86"/>
      <c r="H21" s="87"/>
      <c r="I21" s="86"/>
      <c r="J21" s="87"/>
      <c r="K21" s="86"/>
      <c r="L21" s="87"/>
      <c r="M21" s="86"/>
      <c r="N21" s="87"/>
      <c r="O21" s="86"/>
      <c r="P21" s="87"/>
      <c r="Q21" s="86"/>
      <c r="R21" s="87"/>
      <c r="S21" s="86"/>
      <c r="T21" s="87"/>
      <c r="U21" s="86"/>
      <c r="V21" s="87"/>
      <c r="W21" s="86"/>
      <c r="X21" s="87"/>
      <c r="Y21" s="86"/>
      <c r="Z21" s="87"/>
      <c r="AA21" s="86"/>
      <c r="AB21" s="87"/>
      <c r="AC21" s="86"/>
      <c r="AD21" s="87"/>
      <c r="AE21" s="86"/>
      <c r="AF21" s="87"/>
      <c r="AG21" s="86"/>
      <c r="AH21" s="87"/>
      <c r="AI21" s="86"/>
      <c r="AJ21" s="87"/>
      <c r="AK21" s="86"/>
      <c r="AL21" s="87"/>
      <c r="AM21" s="86"/>
      <c r="AN21" s="87"/>
      <c r="AO21" s="86"/>
      <c r="AP21" s="87"/>
      <c r="AQ21" s="86"/>
      <c r="AR21" s="87"/>
      <c r="AS21" s="86"/>
      <c r="AT21" s="87"/>
      <c r="AU21" s="86"/>
      <c r="AV21" s="87"/>
      <c r="AW21" s="86"/>
      <c r="AX21" s="87"/>
      <c r="AY21" s="86"/>
      <c r="AZ21" s="87"/>
      <c r="BA21" s="86"/>
      <c r="BB21" s="87"/>
      <c r="BC21" s="86"/>
      <c r="BD21" s="87"/>
      <c r="BE21" s="86"/>
      <c r="BF21" s="87"/>
      <c r="BG21" s="86"/>
      <c r="BH21" s="87"/>
      <c r="BI21" s="86"/>
      <c r="BJ21" s="87"/>
      <c r="BK21" s="86"/>
      <c r="BL21" s="87"/>
      <c r="BM21" s="86"/>
      <c r="BN21" s="50"/>
      <c r="BO21" s="170" t="str">
        <f t="shared" si="2"/>
        <v/>
      </c>
      <c r="BP21" s="87"/>
      <c r="BQ21" s="178" t="str">
        <f>IF(BM21="","",BM21)</f>
        <v/>
      </c>
    </row>
    <row r="22" spans="1:76" s="1" customFormat="1" ht="15" thickBot="1" x14ac:dyDescent="0.4">
      <c r="A22" s="89" t="s">
        <v>41</v>
      </c>
      <c r="B22" s="90"/>
      <c r="C22" s="175">
        <f>IF('February 2027 Log'!BG22="","",'February 2027 Log'!BG22)</f>
        <v>0</v>
      </c>
      <c r="D22" s="47"/>
      <c r="E22" s="177">
        <f t="shared" ref="E22" si="3">SUM(E20:E21)</f>
        <v>0</v>
      </c>
      <c r="F22" s="49"/>
      <c r="G22" s="177">
        <f t="shared" ref="G22" si="4">SUM(G20:G21)</f>
        <v>0</v>
      </c>
      <c r="H22" s="49"/>
      <c r="I22" s="177">
        <f t="shared" ref="I22" si="5">SUM(I20:I21)</f>
        <v>0</v>
      </c>
      <c r="J22" s="49"/>
      <c r="K22" s="177">
        <f t="shared" ref="K22" si="6">SUM(K20:K21)</f>
        <v>0</v>
      </c>
      <c r="L22" s="49"/>
      <c r="M22" s="177">
        <f t="shared" ref="M22" si="7">SUM(M20:M21)</f>
        <v>0</v>
      </c>
      <c r="N22" s="49"/>
      <c r="O22" s="177">
        <f t="shared" ref="O22" si="8">SUM(O20:O21)</f>
        <v>0</v>
      </c>
      <c r="P22" s="49"/>
      <c r="Q22" s="177">
        <f t="shared" ref="Q22" si="9">SUM(Q20:Q21)</f>
        <v>0</v>
      </c>
      <c r="R22" s="49"/>
      <c r="S22" s="177">
        <f t="shared" ref="S22" si="10">SUM(S20:S21)</f>
        <v>0</v>
      </c>
      <c r="T22" s="49"/>
      <c r="U22" s="177">
        <f t="shared" ref="U22" si="11">SUM(U20:U21)</f>
        <v>0</v>
      </c>
      <c r="V22" s="49"/>
      <c r="W22" s="177">
        <f t="shared" ref="W22" si="12">SUM(W20:W21)</f>
        <v>0</v>
      </c>
      <c r="X22" s="49"/>
      <c r="Y22" s="177">
        <f t="shared" ref="Y22" si="13">SUM(Y20:Y21)</f>
        <v>0</v>
      </c>
      <c r="Z22" s="49"/>
      <c r="AA22" s="177">
        <f t="shared" ref="AA22" si="14">SUM(AA20:AA21)</f>
        <v>0</v>
      </c>
      <c r="AB22" s="49"/>
      <c r="AC22" s="177">
        <f t="shared" ref="AC22" si="15">SUM(AC20:AC21)</f>
        <v>0</v>
      </c>
      <c r="AD22" s="49"/>
      <c r="AE22" s="177">
        <f t="shared" ref="AE22" si="16">SUM(AE20:AE21)</f>
        <v>0</v>
      </c>
      <c r="AF22" s="49"/>
      <c r="AG22" s="177">
        <f t="shared" ref="AG22" si="17">SUM(AG20:AG21)</f>
        <v>0</v>
      </c>
      <c r="AH22" s="49"/>
      <c r="AI22" s="177">
        <f t="shared" ref="AI22" si="18">SUM(AI20:AI21)</f>
        <v>0</v>
      </c>
      <c r="AJ22" s="49"/>
      <c r="AK22" s="177">
        <f t="shared" ref="AK22" si="19">SUM(AK20:AK21)</f>
        <v>0</v>
      </c>
      <c r="AL22" s="49"/>
      <c r="AM22" s="177">
        <f t="shared" ref="AM22" si="20">SUM(AM20:AM21)</f>
        <v>0</v>
      </c>
      <c r="AN22" s="49"/>
      <c r="AO22" s="177">
        <f t="shared" ref="AO22" si="21">SUM(AO20:AO21)</f>
        <v>0</v>
      </c>
      <c r="AP22" s="49"/>
      <c r="AQ22" s="177">
        <f t="shared" ref="AQ22" si="22">SUM(AQ20:AQ21)</f>
        <v>0</v>
      </c>
      <c r="AR22" s="49"/>
      <c r="AS22" s="177">
        <f t="shared" ref="AS22" si="23">SUM(AS20:AS21)</f>
        <v>0</v>
      </c>
      <c r="AT22" s="49"/>
      <c r="AU22" s="177">
        <f t="shared" ref="AU22" si="24">SUM(AU20:AU21)</f>
        <v>0</v>
      </c>
      <c r="AV22" s="49"/>
      <c r="AW22" s="177">
        <f t="shared" ref="AW22" si="25">SUM(AW20:AW21)</f>
        <v>0</v>
      </c>
      <c r="AX22" s="49"/>
      <c r="AY22" s="177">
        <f t="shared" ref="AY22" si="26">SUM(AY20:AY21)</f>
        <v>0</v>
      </c>
      <c r="AZ22" s="49"/>
      <c r="BA22" s="177">
        <f t="shared" ref="BA22" si="27">SUM(BA20:BA21)</f>
        <v>0</v>
      </c>
      <c r="BB22" s="49"/>
      <c r="BC22" s="177">
        <f t="shared" ref="BC22" si="28">SUM(BC20:BC21)</f>
        <v>0</v>
      </c>
      <c r="BD22" s="49"/>
      <c r="BE22" s="177">
        <f t="shared" ref="BE22" si="29">SUM(BE20:BE21)</f>
        <v>0</v>
      </c>
      <c r="BF22" s="49"/>
      <c r="BG22" s="177">
        <f t="shared" ref="BG22" si="30">SUM(BG20:BG21)</f>
        <v>0</v>
      </c>
      <c r="BH22" s="49"/>
      <c r="BI22" s="177">
        <f t="shared" ref="BI22" si="31">SUM(BI20:BI21)</f>
        <v>0</v>
      </c>
      <c r="BJ22" s="49"/>
      <c r="BK22" s="177">
        <f t="shared" ref="BK22" si="32">SUM(BK20:BK21)</f>
        <v>0</v>
      </c>
      <c r="BL22" s="49"/>
      <c r="BM22" s="177">
        <f t="shared" ref="BM22" si="33">SUM(BM20:BM21)</f>
        <v>0</v>
      </c>
      <c r="BN22" s="92"/>
      <c r="BO22" s="170">
        <f t="shared" si="2"/>
        <v>0</v>
      </c>
      <c r="BP22" s="49"/>
      <c r="BQ22" s="179">
        <f>IF(BM22="","",BM22)</f>
        <v>0</v>
      </c>
      <c r="BR22"/>
      <c r="BS22"/>
      <c r="BT22"/>
      <c r="BU22"/>
      <c r="BV22"/>
      <c r="BW22"/>
      <c r="BX22"/>
    </row>
    <row r="23" spans="1:76" ht="15" hidden="1" thickBot="1" x14ac:dyDescent="0.4">
      <c r="A23" s="83" t="s">
        <v>2</v>
      </c>
      <c r="B23" s="54"/>
      <c r="C23" s="84"/>
      <c r="D23" s="85"/>
      <c r="E23" s="86"/>
      <c r="F23" s="87"/>
      <c r="G23" s="86"/>
      <c r="H23" s="87"/>
      <c r="I23" s="86"/>
      <c r="J23" s="87"/>
      <c r="K23" s="86"/>
      <c r="L23" s="87"/>
      <c r="M23" s="86"/>
      <c r="N23" s="87"/>
      <c r="O23" s="86"/>
      <c r="P23" s="87"/>
      <c r="Q23" s="86"/>
      <c r="R23" s="87"/>
      <c r="S23" s="86"/>
      <c r="T23" s="87"/>
      <c r="U23" s="86"/>
      <c r="V23" s="87"/>
      <c r="W23" s="86"/>
      <c r="X23" s="87"/>
      <c r="Y23" s="86"/>
      <c r="Z23" s="87"/>
      <c r="AA23" s="86"/>
      <c r="AB23" s="87"/>
      <c r="AC23" s="86"/>
      <c r="AD23" s="87"/>
      <c r="AE23" s="86"/>
      <c r="AF23" s="87"/>
      <c r="AG23" s="86"/>
      <c r="AH23" s="87"/>
      <c r="AI23" s="86"/>
      <c r="AJ23" s="87"/>
      <c r="AK23" s="86"/>
      <c r="AL23" s="87"/>
      <c r="AM23" s="86"/>
      <c r="AN23" s="87"/>
      <c r="AO23" s="86"/>
      <c r="AP23" s="87"/>
      <c r="AQ23" s="86"/>
      <c r="AR23" s="87"/>
      <c r="AS23" s="86"/>
      <c r="AT23" s="87"/>
      <c r="AU23" s="86"/>
      <c r="AV23" s="87"/>
      <c r="AW23" s="86"/>
      <c r="AX23" s="87"/>
      <c r="AY23" s="86"/>
      <c r="AZ23" s="87"/>
      <c r="BA23" s="86"/>
      <c r="BB23" s="87"/>
      <c r="BC23" s="86"/>
      <c r="BD23" s="87"/>
      <c r="BE23" s="86"/>
      <c r="BF23" s="87"/>
      <c r="BG23" s="86"/>
      <c r="BH23" s="87"/>
      <c r="BI23" s="86"/>
      <c r="BJ23" s="87"/>
      <c r="BK23" s="86"/>
      <c r="BL23" s="87"/>
      <c r="BM23" s="86"/>
      <c r="BN23" s="50"/>
      <c r="BO23" s="170" t="str">
        <f t="shared" si="2"/>
        <v/>
      </c>
      <c r="BP23" s="87"/>
      <c r="BQ23" s="88"/>
    </row>
    <row r="24" spans="1:76" ht="15" hidden="1" thickBot="1" x14ac:dyDescent="0.4">
      <c r="A24" s="83" t="s">
        <v>3</v>
      </c>
      <c r="B24" s="54"/>
      <c r="C24" s="84"/>
      <c r="D24" s="85"/>
      <c r="E24" s="86"/>
      <c r="F24" s="87"/>
      <c r="G24" s="86"/>
      <c r="H24" s="87"/>
      <c r="I24" s="86"/>
      <c r="J24" s="87"/>
      <c r="K24" s="86"/>
      <c r="L24" s="87"/>
      <c r="M24" s="86"/>
      <c r="N24" s="87"/>
      <c r="O24" s="86"/>
      <c r="P24" s="87"/>
      <c r="Q24" s="86"/>
      <c r="R24" s="87"/>
      <c r="S24" s="86"/>
      <c r="T24" s="87"/>
      <c r="U24" s="86"/>
      <c r="V24" s="87"/>
      <c r="W24" s="86"/>
      <c r="X24" s="87"/>
      <c r="Y24" s="86"/>
      <c r="Z24" s="87"/>
      <c r="AA24" s="86"/>
      <c r="AB24" s="87"/>
      <c r="AC24" s="86"/>
      <c r="AD24" s="87"/>
      <c r="AE24" s="86"/>
      <c r="AF24" s="87"/>
      <c r="AG24" s="86"/>
      <c r="AH24" s="87"/>
      <c r="AI24" s="86"/>
      <c r="AJ24" s="87"/>
      <c r="AK24" s="86"/>
      <c r="AL24" s="87"/>
      <c r="AM24" s="86"/>
      <c r="AN24" s="87"/>
      <c r="AO24" s="86"/>
      <c r="AP24" s="87"/>
      <c r="AQ24" s="86"/>
      <c r="AR24" s="87"/>
      <c r="AS24" s="86"/>
      <c r="AT24" s="87"/>
      <c r="AU24" s="86"/>
      <c r="AV24" s="87"/>
      <c r="AW24" s="86"/>
      <c r="AX24" s="87"/>
      <c r="AY24" s="86"/>
      <c r="AZ24" s="87"/>
      <c r="BA24" s="86"/>
      <c r="BB24" s="87"/>
      <c r="BC24" s="86"/>
      <c r="BD24" s="87"/>
      <c r="BE24" s="86"/>
      <c r="BF24" s="87"/>
      <c r="BG24" s="86"/>
      <c r="BH24" s="87"/>
      <c r="BI24" s="86"/>
      <c r="BJ24" s="87"/>
      <c r="BK24" s="86"/>
      <c r="BL24" s="87"/>
      <c r="BM24" s="86"/>
      <c r="BN24" s="50"/>
      <c r="BO24" s="170" t="str">
        <f t="shared" si="2"/>
        <v/>
      </c>
      <c r="BP24" s="87"/>
      <c r="BQ24" s="88"/>
    </row>
    <row r="25" spans="1:76" s="7" customFormat="1" x14ac:dyDescent="0.35">
      <c r="A25" s="83" t="s">
        <v>37</v>
      </c>
      <c r="B25" s="54"/>
      <c r="C25" s="174" t="str">
        <f>IF('February 2027 Log'!BG25="","",'February 2027 Log'!BG25)</f>
        <v/>
      </c>
      <c r="D25" s="85"/>
      <c r="E25" s="86"/>
      <c r="F25" s="87"/>
      <c r="G25" s="86"/>
      <c r="H25" s="87"/>
      <c r="I25" s="86"/>
      <c r="J25" s="87"/>
      <c r="K25" s="86"/>
      <c r="L25" s="87"/>
      <c r="M25" s="86"/>
      <c r="N25" s="87"/>
      <c r="O25" s="86"/>
      <c r="P25" s="87"/>
      <c r="Q25" s="86"/>
      <c r="R25" s="87"/>
      <c r="S25" s="86"/>
      <c r="T25" s="87"/>
      <c r="U25" s="86"/>
      <c r="V25" s="87"/>
      <c r="W25" s="86"/>
      <c r="X25" s="87"/>
      <c r="Y25" s="86"/>
      <c r="Z25" s="87"/>
      <c r="AA25" s="86"/>
      <c r="AB25" s="87"/>
      <c r="AC25" s="86"/>
      <c r="AD25" s="87"/>
      <c r="AE25" s="86"/>
      <c r="AF25" s="87"/>
      <c r="AG25" s="86"/>
      <c r="AH25" s="87"/>
      <c r="AI25" s="86"/>
      <c r="AJ25" s="87"/>
      <c r="AK25" s="86"/>
      <c r="AL25" s="87"/>
      <c r="AM25" s="86"/>
      <c r="AN25" s="87"/>
      <c r="AO25" s="86"/>
      <c r="AP25" s="87"/>
      <c r="AQ25" s="86"/>
      <c r="AR25" s="87"/>
      <c r="AS25" s="86"/>
      <c r="AT25" s="87"/>
      <c r="AU25" s="86"/>
      <c r="AV25" s="87"/>
      <c r="AW25" s="86"/>
      <c r="AX25" s="87"/>
      <c r="AY25" s="86"/>
      <c r="AZ25" s="87"/>
      <c r="BA25" s="86"/>
      <c r="BB25" s="87"/>
      <c r="BC25" s="86"/>
      <c r="BD25" s="87"/>
      <c r="BE25" s="86"/>
      <c r="BF25" s="87"/>
      <c r="BG25" s="86"/>
      <c r="BH25" s="87"/>
      <c r="BI25" s="86"/>
      <c r="BJ25" s="87"/>
      <c r="BK25" s="86"/>
      <c r="BL25" s="87"/>
      <c r="BM25" s="86"/>
      <c r="BN25" s="50"/>
      <c r="BO25" s="170" t="str">
        <f t="shared" si="2"/>
        <v/>
      </c>
      <c r="BP25" s="87"/>
      <c r="BQ25" s="178" t="str">
        <f>IF(BM25="","",BM25)</f>
        <v/>
      </c>
      <c r="BR25"/>
      <c r="BS25"/>
      <c r="BT25"/>
      <c r="BU25"/>
      <c r="BV25"/>
      <c r="BW25"/>
      <c r="BX25"/>
    </row>
    <row r="26" spans="1:76" ht="15" thickBot="1" x14ac:dyDescent="0.4">
      <c r="A26" s="94" t="s">
        <v>4</v>
      </c>
      <c r="B26" s="95"/>
      <c r="C26" s="174" t="str">
        <f>IF('February 2027 Log'!BG26="","",'February 2027 Log'!BG26)</f>
        <v/>
      </c>
      <c r="D26" s="96"/>
      <c r="E26" s="86"/>
      <c r="F26" s="97"/>
      <c r="G26" s="86"/>
      <c r="H26" s="97"/>
      <c r="I26" s="86"/>
      <c r="J26" s="97"/>
      <c r="K26" s="86"/>
      <c r="L26" s="97"/>
      <c r="M26" s="86"/>
      <c r="N26" s="97"/>
      <c r="O26" s="86"/>
      <c r="P26" s="97"/>
      <c r="Q26" s="86"/>
      <c r="R26" s="97"/>
      <c r="S26" s="86"/>
      <c r="T26" s="97"/>
      <c r="U26" s="86"/>
      <c r="V26" s="97"/>
      <c r="W26" s="86"/>
      <c r="X26" s="97"/>
      <c r="Y26" s="86"/>
      <c r="Z26" s="97"/>
      <c r="AA26" s="86"/>
      <c r="AB26" s="97"/>
      <c r="AC26" s="86"/>
      <c r="AD26" s="97"/>
      <c r="AE26" s="86"/>
      <c r="AF26" s="97"/>
      <c r="AG26" s="86"/>
      <c r="AH26" s="97"/>
      <c r="AI26" s="86"/>
      <c r="AJ26" s="97"/>
      <c r="AK26" s="86"/>
      <c r="AL26" s="97"/>
      <c r="AM26" s="86"/>
      <c r="AN26" s="97"/>
      <c r="AO26" s="86"/>
      <c r="AP26" s="97"/>
      <c r="AQ26" s="86"/>
      <c r="AR26" s="97"/>
      <c r="AS26" s="86"/>
      <c r="AT26" s="97"/>
      <c r="AU26" s="86"/>
      <c r="AV26" s="97"/>
      <c r="AW26" s="86"/>
      <c r="AX26" s="97"/>
      <c r="AY26" s="86"/>
      <c r="AZ26" s="97"/>
      <c r="BA26" s="86"/>
      <c r="BB26" s="97"/>
      <c r="BC26" s="86"/>
      <c r="BD26" s="97"/>
      <c r="BE26" s="86"/>
      <c r="BF26" s="97"/>
      <c r="BG26" s="86"/>
      <c r="BH26" s="97"/>
      <c r="BI26" s="86"/>
      <c r="BJ26" s="97"/>
      <c r="BK26" s="86"/>
      <c r="BL26" s="97"/>
      <c r="BM26" s="86"/>
      <c r="BN26" s="50"/>
      <c r="BO26" s="170" t="str">
        <f t="shared" si="2"/>
        <v/>
      </c>
      <c r="BP26" s="97"/>
      <c r="BQ26" s="178" t="str">
        <f>IF(BM26="","",BM26)</f>
        <v/>
      </c>
    </row>
    <row r="27" spans="1:76" s="7" customFormat="1" x14ac:dyDescent="0.35">
      <c r="A27" s="53" t="s">
        <v>21</v>
      </c>
      <c r="B27" s="54"/>
      <c r="C27" s="174" t="str">
        <f>IF('February 2027 Log'!BG27="","",'February 2027 Log'!BG27)</f>
        <v/>
      </c>
      <c r="D27" s="85"/>
      <c r="E27" s="86"/>
      <c r="F27" s="87"/>
      <c r="G27" s="86"/>
      <c r="H27" s="87"/>
      <c r="I27" s="86"/>
      <c r="J27" s="87"/>
      <c r="K27" s="86"/>
      <c r="L27" s="87"/>
      <c r="M27" s="86"/>
      <c r="N27" s="87"/>
      <c r="O27" s="86"/>
      <c r="P27" s="87"/>
      <c r="Q27" s="86"/>
      <c r="R27" s="87"/>
      <c r="S27" s="86"/>
      <c r="T27" s="87"/>
      <c r="U27" s="86"/>
      <c r="V27" s="87"/>
      <c r="W27" s="86"/>
      <c r="X27" s="87"/>
      <c r="Y27" s="86"/>
      <c r="Z27" s="87"/>
      <c r="AA27" s="86"/>
      <c r="AB27" s="87"/>
      <c r="AC27" s="86"/>
      <c r="AD27" s="87"/>
      <c r="AE27" s="86"/>
      <c r="AF27" s="87"/>
      <c r="AG27" s="86"/>
      <c r="AH27" s="87"/>
      <c r="AI27" s="86"/>
      <c r="AJ27" s="87"/>
      <c r="AK27" s="86"/>
      <c r="AL27" s="87"/>
      <c r="AM27" s="86"/>
      <c r="AN27" s="87"/>
      <c r="AO27" s="86"/>
      <c r="AP27" s="87"/>
      <c r="AQ27" s="86"/>
      <c r="AR27" s="87"/>
      <c r="AS27" s="86"/>
      <c r="AT27" s="87"/>
      <c r="AU27" s="86"/>
      <c r="AV27" s="87"/>
      <c r="AW27" s="86"/>
      <c r="AX27" s="87"/>
      <c r="AY27" s="86"/>
      <c r="AZ27" s="87"/>
      <c r="BA27" s="86"/>
      <c r="BB27" s="87"/>
      <c r="BC27" s="86"/>
      <c r="BD27" s="87"/>
      <c r="BE27" s="86"/>
      <c r="BF27" s="87"/>
      <c r="BG27" s="86"/>
      <c r="BH27" s="87"/>
      <c r="BI27" s="86"/>
      <c r="BJ27" s="87"/>
      <c r="BK27" s="86"/>
      <c r="BL27" s="87"/>
      <c r="BM27" s="86"/>
      <c r="BN27" s="50"/>
      <c r="BO27" s="170" t="str">
        <f t="shared" si="2"/>
        <v/>
      </c>
      <c r="BP27" s="87"/>
      <c r="BQ27" s="178" t="str">
        <f>IF(BM27="","",BM27)</f>
        <v/>
      </c>
      <c r="BR27"/>
      <c r="BS27"/>
      <c r="BT27"/>
      <c r="BU27"/>
      <c r="BV27"/>
      <c r="BW27"/>
      <c r="BX27"/>
    </row>
    <row r="28" spans="1:76" x14ac:dyDescent="0.35">
      <c r="A28" s="53" t="s">
        <v>22</v>
      </c>
      <c r="B28" s="54"/>
      <c r="C28" s="174" t="str">
        <f>IF('February 2027 Log'!BG28="","",'February 2027 Log'!BG28)</f>
        <v/>
      </c>
      <c r="D28" s="85"/>
      <c r="E28" s="86"/>
      <c r="F28" s="87"/>
      <c r="G28" s="86"/>
      <c r="H28" s="87"/>
      <c r="I28" s="86"/>
      <c r="J28" s="87"/>
      <c r="K28" s="86"/>
      <c r="L28" s="87"/>
      <c r="M28" s="86"/>
      <c r="N28" s="87"/>
      <c r="O28" s="86"/>
      <c r="P28" s="87"/>
      <c r="Q28" s="86"/>
      <c r="R28" s="87"/>
      <c r="S28" s="86"/>
      <c r="T28" s="87"/>
      <c r="U28" s="86"/>
      <c r="V28" s="87"/>
      <c r="W28" s="86"/>
      <c r="X28" s="87"/>
      <c r="Y28" s="86"/>
      <c r="Z28" s="87"/>
      <c r="AA28" s="86"/>
      <c r="AB28" s="87"/>
      <c r="AC28" s="86"/>
      <c r="AD28" s="87"/>
      <c r="AE28" s="86"/>
      <c r="AF28" s="87"/>
      <c r="AG28" s="86"/>
      <c r="AH28" s="87"/>
      <c r="AI28" s="86"/>
      <c r="AJ28" s="87"/>
      <c r="AK28" s="86"/>
      <c r="AL28" s="87"/>
      <c r="AM28" s="86"/>
      <c r="AN28" s="87"/>
      <c r="AO28" s="86"/>
      <c r="AP28" s="87"/>
      <c r="AQ28" s="86"/>
      <c r="AR28" s="87"/>
      <c r="AS28" s="86"/>
      <c r="AT28" s="87"/>
      <c r="AU28" s="86"/>
      <c r="AV28" s="87"/>
      <c r="AW28" s="86"/>
      <c r="AX28" s="87"/>
      <c r="AY28" s="86"/>
      <c r="AZ28" s="87"/>
      <c r="BA28" s="86"/>
      <c r="BB28" s="87"/>
      <c r="BC28" s="86"/>
      <c r="BD28" s="87"/>
      <c r="BE28" s="86"/>
      <c r="BF28" s="87"/>
      <c r="BG28" s="86"/>
      <c r="BH28" s="87"/>
      <c r="BI28" s="86"/>
      <c r="BJ28" s="87"/>
      <c r="BK28" s="86"/>
      <c r="BL28" s="87"/>
      <c r="BM28" s="86"/>
      <c r="BN28" s="50"/>
      <c r="BO28" s="170" t="str">
        <f t="shared" si="2"/>
        <v/>
      </c>
      <c r="BP28" s="87"/>
      <c r="BQ28" s="178" t="str">
        <f>IF(BM28="","",BM28)</f>
        <v/>
      </c>
    </row>
    <row r="29" spans="1:76" s="4" customFormat="1" ht="15" thickBot="1" x14ac:dyDescent="0.4">
      <c r="A29" s="53" t="s">
        <v>23</v>
      </c>
      <c r="B29" s="54"/>
      <c r="C29" s="84"/>
      <c r="D29" s="85"/>
      <c r="E29" s="86"/>
      <c r="F29" s="87"/>
      <c r="G29" s="86"/>
      <c r="H29" s="87"/>
      <c r="I29" s="86"/>
      <c r="J29" s="87"/>
      <c r="K29" s="86"/>
      <c r="L29" s="87"/>
      <c r="M29" s="86"/>
      <c r="N29" s="87"/>
      <c r="O29" s="86"/>
      <c r="P29" s="87"/>
      <c r="Q29" s="86"/>
      <c r="R29" s="87"/>
      <c r="S29" s="86"/>
      <c r="T29" s="87"/>
      <c r="U29" s="86"/>
      <c r="V29" s="87"/>
      <c r="W29" s="86"/>
      <c r="X29" s="87"/>
      <c r="Y29" s="86"/>
      <c r="Z29" s="87"/>
      <c r="AA29" s="86"/>
      <c r="AB29" s="87"/>
      <c r="AC29" s="86"/>
      <c r="AD29" s="87"/>
      <c r="AE29" s="86"/>
      <c r="AF29" s="87"/>
      <c r="AG29" s="86"/>
      <c r="AH29" s="87"/>
      <c r="AI29" s="86"/>
      <c r="AJ29" s="87"/>
      <c r="AK29" s="86"/>
      <c r="AL29" s="87"/>
      <c r="AM29" s="86"/>
      <c r="AN29" s="87"/>
      <c r="AO29" s="86"/>
      <c r="AP29" s="87"/>
      <c r="AQ29" s="86"/>
      <c r="AR29" s="87"/>
      <c r="AS29" s="86"/>
      <c r="AT29" s="87"/>
      <c r="AU29" s="86"/>
      <c r="AV29" s="87"/>
      <c r="AW29" s="86"/>
      <c r="AX29" s="87"/>
      <c r="AY29" s="86"/>
      <c r="AZ29" s="87"/>
      <c r="BA29" s="86"/>
      <c r="BB29" s="87"/>
      <c r="BC29" s="86"/>
      <c r="BD29" s="87"/>
      <c r="BE29" s="86"/>
      <c r="BF29" s="87"/>
      <c r="BG29" s="86"/>
      <c r="BH29" s="87"/>
      <c r="BI29" s="86"/>
      <c r="BJ29" s="87"/>
      <c r="BK29" s="86"/>
      <c r="BL29" s="87"/>
      <c r="BM29" s="86"/>
      <c r="BN29" s="50"/>
      <c r="BO29" s="170" t="str">
        <f t="shared" si="2"/>
        <v/>
      </c>
      <c r="BP29" s="87"/>
      <c r="BQ29" s="88"/>
      <c r="BR29"/>
      <c r="BS29"/>
      <c r="BT29"/>
      <c r="BU29"/>
      <c r="BV29"/>
      <c r="BW29"/>
      <c r="BX29"/>
    </row>
    <row r="30" spans="1:76" s="5" customFormat="1" ht="15" thickBot="1" x14ac:dyDescent="0.4">
      <c r="A30" s="98"/>
      <c r="B30" s="90"/>
      <c r="C30" s="84"/>
      <c r="D30" s="47"/>
      <c r="E30" s="180" t="e">
        <f>E28-(C28-E25+E29)</f>
        <v>#VALUE!</v>
      </c>
      <c r="F30" s="49"/>
      <c r="G30" s="166">
        <f>G28-(E28-G25+G29)</f>
        <v>0</v>
      </c>
      <c r="H30" s="49"/>
      <c r="I30" s="166">
        <f>I28-(G28-I25+I29)</f>
        <v>0</v>
      </c>
      <c r="J30" s="49"/>
      <c r="K30" s="180">
        <f>K28-(I28-K25+K29)</f>
        <v>0</v>
      </c>
      <c r="L30" s="49"/>
      <c r="M30" s="166">
        <f>M28-(K28-M25+M29)</f>
        <v>0</v>
      </c>
      <c r="N30" s="49"/>
      <c r="O30" s="166">
        <f>O28-(M28-O25+O29)</f>
        <v>0</v>
      </c>
      <c r="P30" s="49"/>
      <c r="Q30" s="166">
        <f>Q28-(O28-Q25+Q29)</f>
        <v>0</v>
      </c>
      <c r="R30" s="49"/>
      <c r="S30" s="166">
        <f>S28-(Q28-S25+S29)</f>
        <v>0</v>
      </c>
      <c r="T30" s="49"/>
      <c r="U30" s="166">
        <f>U28-(S28-U25+U29)</f>
        <v>0</v>
      </c>
      <c r="V30" s="49"/>
      <c r="W30" s="166">
        <f>W28-(U28-W25+W29)</f>
        <v>0</v>
      </c>
      <c r="X30" s="49"/>
      <c r="Y30" s="166">
        <f>Y28-(W28-Y25+Y29)</f>
        <v>0</v>
      </c>
      <c r="Z30" s="49"/>
      <c r="AA30" s="166">
        <f>AA28-(Y28-AA25+AA29)</f>
        <v>0</v>
      </c>
      <c r="AB30" s="49"/>
      <c r="AC30" s="166">
        <f>AC28-(AA28-AC25+AC29)</f>
        <v>0</v>
      </c>
      <c r="AD30" s="49"/>
      <c r="AE30" s="166">
        <f>AE28-(AC28-AE25+AE29)</f>
        <v>0</v>
      </c>
      <c r="AF30" s="49"/>
      <c r="AG30" s="166">
        <f>AG28-(AE28-AG25+AG29)</f>
        <v>0</v>
      </c>
      <c r="AH30" s="49"/>
      <c r="AI30" s="166">
        <f>AI28-(AG28-AI25+AI29)</f>
        <v>0</v>
      </c>
      <c r="AJ30" s="49"/>
      <c r="AK30" s="166">
        <f>AK28-(AI28-AK25+AK29)</f>
        <v>0</v>
      </c>
      <c r="AL30" s="49"/>
      <c r="AM30" s="166">
        <f>AM28-(AK28-AM25+AM29)</f>
        <v>0</v>
      </c>
      <c r="AN30" s="49"/>
      <c r="AO30" s="166">
        <f>AO28-(AM28-AO25+AO29)</f>
        <v>0</v>
      </c>
      <c r="AP30" s="49"/>
      <c r="AQ30" s="166">
        <f>AQ28-(AO28-AQ25+AQ29)</f>
        <v>0</v>
      </c>
      <c r="AR30" s="49"/>
      <c r="AS30" s="166">
        <f>AS28-(AQ28-AS25+AS29)</f>
        <v>0</v>
      </c>
      <c r="AT30" s="49"/>
      <c r="AU30" s="166">
        <f>AU28-(AS28-AU25+AU29)</f>
        <v>0</v>
      </c>
      <c r="AV30" s="49"/>
      <c r="AW30" s="166">
        <f>AW28-(AU28-AW25+AW29)</f>
        <v>0</v>
      </c>
      <c r="AX30" s="49"/>
      <c r="AY30" s="166">
        <f>AY28-(AW28-AY25+AY29)</f>
        <v>0</v>
      </c>
      <c r="AZ30" s="49"/>
      <c r="BA30" s="166">
        <f>BA28-(AY28-BA25+BA29)</f>
        <v>0</v>
      </c>
      <c r="BB30" s="49"/>
      <c r="BC30" s="166">
        <f>BC28-(BA28-BC25+BC29)</f>
        <v>0</v>
      </c>
      <c r="BD30" s="49"/>
      <c r="BE30" s="166">
        <f>BE28-(BC28-BE25+BE29)</f>
        <v>0</v>
      </c>
      <c r="BF30" s="49"/>
      <c r="BG30" s="166">
        <f>BG28-(BE28-BG25+BG29)</f>
        <v>0</v>
      </c>
      <c r="BH30" s="49"/>
      <c r="BI30" s="166">
        <f>BI28-(BG28-BI25+BI29)</f>
        <v>0</v>
      </c>
      <c r="BJ30" s="49"/>
      <c r="BK30" s="166">
        <f>BK28-(BI28-BK25+BK29)</f>
        <v>0</v>
      </c>
      <c r="BL30" s="49"/>
      <c r="BM30" s="166">
        <f>BM28-(BK28-BM25+BM29)</f>
        <v>0</v>
      </c>
      <c r="BN30" s="50"/>
      <c r="BO30" s="170" t="e">
        <f t="shared" si="2"/>
        <v>#VALUE!</v>
      </c>
      <c r="BP30" s="49"/>
      <c r="BQ30" s="52"/>
      <c r="BR30"/>
      <c r="BS30"/>
      <c r="BT30"/>
      <c r="BU30"/>
      <c r="BV30"/>
      <c r="BW30"/>
      <c r="BX30"/>
    </row>
    <row r="31" spans="1:76" s="5" customFormat="1" ht="15" thickBot="1" x14ac:dyDescent="0.4">
      <c r="A31" s="98"/>
      <c r="B31" s="90"/>
      <c r="C31" s="84"/>
      <c r="D31" s="47"/>
      <c r="E31" s="166" t="str">
        <f>IF(E25=0,"",E30/E25*100)</f>
        <v/>
      </c>
      <c r="F31" s="49"/>
      <c r="G31" s="166" t="str">
        <f>IF(G25=0,"",G30/G25*100)</f>
        <v/>
      </c>
      <c r="H31" s="49"/>
      <c r="I31" s="166" t="str">
        <f>IF(I25=0,"",I30/I25*100)</f>
        <v/>
      </c>
      <c r="J31" s="49"/>
      <c r="K31" s="166" t="str">
        <f>IF(K25=0,"",K30/K25*100)</f>
        <v/>
      </c>
      <c r="L31" s="49"/>
      <c r="M31" s="166" t="str">
        <f>IF(M25=0,"",M30/M25*100)</f>
        <v/>
      </c>
      <c r="N31" s="49"/>
      <c r="O31" s="166" t="str">
        <f>IF(O25=0,"",O30/O25*100)</f>
        <v/>
      </c>
      <c r="P31" s="49"/>
      <c r="Q31" s="166" t="str">
        <f>IF(Q25=0,"",Q30/Q25*100)</f>
        <v/>
      </c>
      <c r="R31" s="49"/>
      <c r="S31" s="166" t="str">
        <f>IF(S25=0,"",S30/S25*100)</f>
        <v/>
      </c>
      <c r="T31" s="49"/>
      <c r="U31" s="166" t="str">
        <f>IF(U25=0,"",U30/U25*100)</f>
        <v/>
      </c>
      <c r="V31" s="49"/>
      <c r="W31" s="166" t="str">
        <f>IF(W25=0,"",W30/W25*100)</f>
        <v/>
      </c>
      <c r="X31" s="49"/>
      <c r="Y31" s="166" t="str">
        <f>IF(Y25=0,"",Y30/Y25*100)</f>
        <v/>
      </c>
      <c r="Z31" s="49"/>
      <c r="AA31" s="166" t="str">
        <f>IF(AA25=0,"",AA30/AA25*100)</f>
        <v/>
      </c>
      <c r="AB31" s="49"/>
      <c r="AC31" s="166" t="str">
        <f>IF(AC25=0,"",AC30/AC25*100)</f>
        <v/>
      </c>
      <c r="AD31" s="49"/>
      <c r="AE31" s="166" t="str">
        <f>IF(AE25=0,"",AE30/AE25*100)</f>
        <v/>
      </c>
      <c r="AF31" s="49"/>
      <c r="AG31" s="166" t="str">
        <f>IF(AG25=0,"",AG30/AG25*100)</f>
        <v/>
      </c>
      <c r="AH31" s="49"/>
      <c r="AI31" s="166" t="str">
        <f>IF(AI25=0,"",AI30/AI25*100)</f>
        <v/>
      </c>
      <c r="AJ31" s="49"/>
      <c r="AK31" s="166" t="str">
        <f>IF(AK25=0,"",AK30/AK25*100)</f>
        <v/>
      </c>
      <c r="AL31" s="49"/>
      <c r="AM31" s="166" t="str">
        <f>IF(AM25=0,"",AM30/AM25*100)</f>
        <v/>
      </c>
      <c r="AN31" s="49"/>
      <c r="AO31" s="166" t="str">
        <f>IF(AO25=0,"",AO30/AO25*100)</f>
        <v/>
      </c>
      <c r="AP31" s="49"/>
      <c r="AQ31" s="166" t="str">
        <f>IF(AQ25=0,"",AQ30/AQ25*100)</f>
        <v/>
      </c>
      <c r="AR31" s="49"/>
      <c r="AS31" s="166" t="str">
        <f>IF(AS25=0,"",AS30/AS25*100)</f>
        <v/>
      </c>
      <c r="AT31" s="49"/>
      <c r="AU31" s="166" t="str">
        <f>IF(AU25=0,"",AU30/AU25*100)</f>
        <v/>
      </c>
      <c r="AV31" s="49"/>
      <c r="AW31" s="166" t="str">
        <f>IF(AW25=0,"",AW30/AW25*100)</f>
        <v/>
      </c>
      <c r="AX31" s="49"/>
      <c r="AY31" s="166" t="str">
        <f>IF(AY25=0,"",AY30/AY25*100)</f>
        <v/>
      </c>
      <c r="AZ31" s="49"/>
      <c r="BA31" s="166" t="str">
        <f>IF(BA25=0,"",BA30/BA25*100)</f>
        <v/>
      </c>
      <c r="BB31" s="49"/>
      <c r="BC31" s="166" t="str">
        <f>IF(BC25=0,"",BC30/BC25*100)</f>
        <v/>
      </c>
      <c r="BD31" s="49"/>
      <c r="BE31" s="166" t="str">
        <f>IF(BE25=0,"",BE30/BE25*100)</f>
        <v/>
      </c>
      <c r="BF31" s="49"/>
      <c r="BG31" s="166" t="str">
        <f>IF(BG25=0,"",BG30/BG25*100)</f>
        <v/>
      </c>
      <c r="BH31" s="49"/>
      <c r="BI31" s="166" t="str">
        <f>IF(BI25=0,"",BI30/BI25*100)</f>
        <v/>
      </c>
      <c r="BJ31" s="49"/>
      <c r="BK31" s="166" t="str">
        <f>IF(BK25=0,"",BK30/BK25*100)</f>
        <v/>
      </c>
      <c r="BL31" s="49"/>
      <c r="BM31" s="166" t="str">
        <f>IF(BM25=0,"",BM30/BM25*100)</f>
        <v/>
      </c>
      <c r="BN31" s="50"/>
      <c r="BO31" s="170" t="str">
        <f t="shared" si="2"/>
        <v/>
      </c>
      <c r="BP31" s="49"/>
      <c r="BQ31" s="52"/>
      <c r="BR31"/>
      <c r="BS31"/>
      <c r="BT31"/>
      <c r="BU31"/>
      <c r="BV31"/>
      <c r="BW31"/>
      <c r="BX31"/>
    </row>
    <row r="32" spans="1:76" x14ac:dyDescent="0.35">
      <c r="A32" s="83" t="s">
        <v>5</v>
      </c>
      <c r="B32" s="54"/>
      <c r="C32" s="174" t="str">
        <f>IF('February 2027 Log'!BG32="","",'February 2027 Log'!BG32)</f>
        <v/>
      </c>
      <c r="D32" s="85"/>
      <c r="E32" s="86"/>
      <c r="F32" s="87"/>
      <c r="G32" s="86"/>
      <c r="H32" s="87"/>
      <c r="I32" s="86"/>
      <c r="J32" s="87"/>
      <c r="K32" s="86"/>
      <c r="L32" s="87"/>
      <c r="M32" s="86"/>
      <c r="N32" s="87"/>
      <c r="O32" s="86"/>
      <c r="P32" s="87"/>
      <c r="Q32" s="86"/>
      <c r="R32" s="87"/>
      <c r="S32" s="86"/>
      <c r="T32" s="87"/>
      <c r="U32" s="86"/>
      <c r="V32" s="87"/>
      <c r="W32" s="86"/>
      <c r="X32" s="87"/>
      <c r="Y32" s="86"/>
      <c r="Z32" s="87"/>
      <c r="AA32" s="86"/>
      <c r="AB32" s="87"/>
      <c r="AC32" s="86"/>
      <c r="AD32" s="87"/>
      <c r="AE32" s="86"/>
      <c r="AF32" s="87"/>
      <c r="AG32" s="86"/>
      <c r="AH32" s="87"/>
      <c r="AI32" s="86"/>
      <c r="AJ32" s="87"/>
      <c r="AK32" s="86"/>
      <c r="AL32" s="87"/>
      <c r="AM32" s="86"/>
      <c r="AN32" s="87"/>
      <c r="AO32" s="86"/>
      <c r="AP32" s="87"/>
      <c r="AQ32" s="86"/>
      <c r="AR32" s="87"/>
      <c r="AS32" s="86"/>
      <c r="AT32" s="87"/>
      <c r="AU32" s="86"/>
      <c r="AV32" s="87"/>
      <c r="AW32" s="86"/>
      <c r="AX32" s="87"/>
      <c r="AY32" s="86"/>
      <c r="AZ32" s="87"/>
      <c r="BA32" s="86"/>
      <c r="BB32" s="87"/>
      <c r="BC32" s="86"/>
      <c r="BD32" s="87"/>
      <c r="BE32" s="86"/>
      <c r="BF32" s="87"/>
      <c r="BG32" s="86"/>
      <c r="BH32" s="87"/>
      <c r="BI32" s="86"/>
      <c r="BJ32" s="87"/>
      <c r="BK32" s="86"/>
      <c r="BL32" s="87"/>
      <c r="BM32" s="86"/>
      <c r="BN32" s="50"/>
      <c r="BO32" s="170" t="str">
        <f t="shared" si="2"/>
        <v/>
      </c>
      <c r="BP32" s="87"/>
      <c r="BQ32" s="178" t="str">
        <f>IF(BM32="","",BM32)</f>
        <v/>
      </c>
    </row>
    <row r="33" spans="1:76" x14ac:dyDescent="0.35">
      <c r="A33" s="83" t="s">
        <v>6</v>
      </c>
      <c r="B33" s="54"/>
      <c r="C33" s="174" t="str">
        <f>IF('February 2027 Log'!BG33="","",'February 2027 Log'!BG33)</f>
        <v/>
      </c>
      <c r="D33" s="85"/>
      <c r="E33" s="86"/>
      <c r="F33" s="87"/>
      <c r="G33" s="86"/>
      <c r="H33" s="87"/>
      <c r="I33" s="86"/>
      <c r="J33" s="87"/>
      <c r="K33" s="86"/>
      <c r="L33" s="87"/>
      <c r="M33" s="86"/>
      <c r="N33" s="87"/>
      <c r="O33" s="86"/>
      <c r="P33" s="87"/>
      <c r="Q33" s="86"/>
      <c r="R33" s="87"/>
      <c r="S33" s="86"/>
      <c r="T33" s="87"/>
      <c r="U33" s="86"/>
      <c r="V33" s="87"/>
      <c r="W33" s="86"/>
      <c r="X33" s="87"/>
      <c r="Y33" s="86"/>
      <c r="Z33" s="87"/>
      <c r="AA33" s="86"/>
      <c r="AB33" s="87"/>
      <c r="AC33" s="86"/>
      <c r="AD33" s="87"/>
      <c r="AE33" s="86"/>
      <c r="AF33" s="87"/>
      <c r="AG33" s="86"/>
      <c r="AH33" s="87"/>
      <c r="AI33" s="86"/>
      <c r="AJ33" s="87"/>
      <c r="AK33" s="86"/>
      <c r="AL33" s="87"/>
      <c r="AM33" s="86"/>
      <c r="AN33" s="87"/>
      <c r="AO33" s="86"/>
      <c r="AP33" s="87"/>
      <c r="AQ33" s="86"/>
      <c r="AR33" s="87"/>
      <c r="AS33" s="86"/>
      <c r="AT33" s="87"/>
      <c r="AU33" s="86"/>
      <c r="AV33" s="87"/>
      <c r="AW33" s="86"/>
      <c r="AX33" s="87"/>
      <c r="AY33" s="86"/>
      <c r="AZ33" s="87"/>
      <c r="BA33" s="86"/>
      <c r="BB33" s="87"/>
      <c r="BC33" s="86"/>
      <c r="BD33" s="87"/>
      <c r="BE33" s="86"/>
      <c r="BF33" s="87"/>
      <c r="BG33" s="86"/>
      <c r="BH33" s="87"/>
      <c r="BI33" s="86"/>
      <c r="BJ33" s="87"/>
      <c r="BK33" s="86"/>
      <c r="BL33" s="87"/>
      <c r="BM33" s="86"/>
      <c r="BN33" s="50"/>
      <c r="BO33" s="170" t="str">
        <f t="shared" si="2"/>
        <v/>
      </c>
      <c r="BP33" s="87"/>
      <c r="BQ33" s="178" t="str">
        <f>IF(BM33="","",BM33)</f>
        <v/>
      </c>
    </row>
    <row r="34" spans="1:76" x14ac:dyDescent="0.35">
      <c r="A34" s="83" t="s">
        <v>7</v>
      </c>
      <c r="B34" s="54"/>
      <c r="C34" s="174" t="str">
        <f>IF('February 2027 Log'!BG34="","",'February 2027 Log'!BG34)</f>
        <v/>
      </c>
      <c r="D34" s="85"/>
      <c r="E34" s="86"/>
      <c r="F34" s="87"/>
      <c r="G34" s="86"/>
      <c r="H34" s="87"/>
      <c r="I34" s="86"/>
      <c r="J34" s="87"/>
      <c r="K34" s="86"/>
      <c r="L34" s="87"/>
      <c r="M34" s="86"/>
      <c r="N34" s="87"/>
      <c r="O34" s="86"/>
      <c r="P34" s="87"/>
      <c r="Q34" s="86"/>
      <c r="R34" s="87"/>
      <c r="S34" s="86"/>
      <c r="T34" s="87"/>
      <c r="U34" s="86"/>
      <c r="V34" s="87"/>
      <c r="W34" s="86"/>
      <c r="X34" s="87"/>
      <c r="Y34" s="86"/>
      <c r="Z34" s="87"/>
      <c r="AA34" s="86"/>
      <c r="AB34" s="87"/>
      <c r="AC34" s="86"/>
      <c r="AD34" s="87"/>
      <c r="AE34" s="86"/>
      <c r="AF34" s="87"/>
      <c r="AG34" s="86"/>
      <c r="AH34" s="87"/>
      <c r="AI34" s="86"/>
      <c r="AJ34" s="87"/>
      <c r="AK34" s="86"/>
      <c r="AL34" s="87"/>
      <c r="AM34" s="86"/>
      <c r="AN34" s="87"/>
      <c r="AO34" s="86"/>
      <c r="AP34" s="87"/>
      <c r="AQ34" s="86"/>
      <c r="AR34" s="87"/>
      <c r="AS34" s="86"/>
      <c r="AT34" s="99"/>
      <c r="AU34" s="86"/>
      <c r="AV34" s="87"/>
      <c r="AW34" s="86"/>
      <c r="AX34" s="87"/>
      <c r="AY34" s="86"/>
      <c r="AZ34" s="87"/>
      <c r="BA34" s="86"/>
      <c r="BB34" s="87"/>
      <c r="BC34" s="86"/>
      <c r="BD34" s="87"/>
      <c r="BE34" s="86"/>
      <c r="BF34" s="87"/>
      <c r="BG34" s="86"/>
      <c r="BH34" s="87"/>
      <c r="BI34" s="86"/>
      <c r="BJ34" s="87"/>
      <c r="BK34" s="86"/>
      <c r="BL34" s="87"/>
      <c r="BM34" s="86"/>
      <c r="BN34" s="50"/>
      <c r="BO34" s="170" t="str">
        <f t="shared" si="2"/>
        <v/>
      </c>
      <c r="BP34" s="87"/>
      <c r="BQ34" s="178" t="str">
        <f>IF(BM34="","",BM34)</f>
        <v/>
      </c>
    </row>
    <row r="35" spans="1:76" x14ac:dyDescent="0.35">
      <c r="A35" s="100"/>
      <c r="B35" s="75"/>
      <c r="C35" s="101"/>
      <c r="D35" s="102"/>
      <c r="E35" s="103"/>
      <c r="F35" s="104"/>
      <c r="G35" s="103"/>
      <c r="H35" s="104"/>
      <c r="I35" s="103"/>
      <c r="J35" s="104"/>
      <c r="K35" s="103"/>
      <c r="L35" s="104"/>
      <c r="M35" s="103"/>
      <c r="N35" s="104"/>
      <c r="O35" s="103"/>
      <c r="P35" s="104"/>
      <c r="Q35" s="103"/>
      <c r="R35" s="104"/>
      <c r="S35" s="103"/>
      <c r="T35" s="104"/>
      <c r="U35" s="103"/>
      <c r="V35" s="104"/>
      <c r="W35" s="103"/>
      <c r="X35" s="104"/>
      <c r="Y35" s="103"/>
      <c r="Z35" s="104"/>
      <c r="AA35" s="103"/>
      <c r="AB35" s="104"/>
      <c r="AC35" s="103"/>
      <c r="AD35" s="104"/>
      <c r="AE35" s="103"/>
      <c r="AF35" s="104"/>
      <c r="AG35" s="103"/>
      <c r="AH35" s="104"/>
      <c r="AI35" s="103"/>
      <c r="AJ35" s="104"/>
      <c r="AK35" s="103"/>
      <c r="AL35" s="104"/>
      <c r="AM35" s="103"/>
      <c r="AN35" s="104"/>
      <c r="AO35" s="103"/>
      <c r="AP35" s="104"/>
      <c r="AQ35" s="103"/>
      <c r="AR35" s="104"/>
      <c r="AS35" s="103"/>
      <c r="AT35" s="104"/>
      <c r="AU35" s="103"/>
      <c r="AV35" s="104"/>
      <c r="AW35" s="103"/>
      <c r="AX35" s="104"/>
      <c r="AY35" s="103"/>
      <c r="AZ35" s="104"/>
      <c r="BA35" s="103"/>
      <c r="BB35" s="104"/>
      <c r="BC35" s="103"/>
      <c r="BD35" s="104"/>
      <c r="BE35" s="103"/>
      <c r="BF35" s="104"/>
      <c r="BG35" s="103"/>
      <c r="BH35" s="104"/>
      <c r="BI35" s="103"/>
      <c r="BJ35" s="104"/>
      <c r="BK35" s="103"/>
      <c r="BL35" s="104"/>
      <c r="BM35" s="103"/>
      <c r="BN35" s="105"/>
      <c r="BO35" s="183" t="str">
        <f t="shared" si="2"/>
        <v/>
      </c>
      <c r="BP35" s="104"/>
      <c r="BQ35" s="107"/>
    </row>
    <row r="36" spans="1:76" x14ac:dyDescent="0.35">
      <c r="A36" s="83" t="s">
        <v>59</v>
      </c>
      <c r="B36" s="54" t="s">
        <v>58</v>
      </c>
      <c r="C36" s="174" t="str">
        <f>IF('February 2027 Log'!BG36="","",'February 2027 Log'!BG36)</f>
        <v/>
      </c>
      <c r="D36" s="85"/>
      <c r="E36" s="86"/>
      <c r="F36" s="87"/>
      <c r="G36" s="86"/>
      <c r="H36" s="87"/>
      <c r="I36" s="86"/>
      <c r="J36" s="87"/>
      <c r="K36" s="86"/>
      <c r="L36" s="87"/>
      <c r="M36" s="86"/>
      <c r="N36" s="87"/>
      <c r="O36" s="86"/>
      <c r="P36" s="87"/>
      <c r="Q36" s="86"/>
      <c r="R36" s="87"/>
      <c r="S36" s="86"/>
      <c r="T36" s="87"/>
      <c r="U36" s="86"/>
      <c r="V36" s="87"/>
      <c r="W36" s="86"/>
      <c r="X36" s="87"/>
      <c r="Y36" s="86"/>
      <c r="Z36" s="87"/>
      <c r="AA36" s="86"/>
      <c r="AB36" s="87"/>
      <c r="AC36" s="86"/>
      <c r="AD36" s="87"/>
      <c r="AE36" s="86"/>
      <c r="AF36" s="87"/>
      <c r="AG36" s="86"/>
      <c r="AH36" s="87"/>
      <c r="AI36" s="86"/>
      <c r="AJ36" s="87"/>
      <c r="AK36" s="86"/>
      <c r="AL36" s="87"/>
      <c r="AM36" s="86"/>
      <c r="AN36" s="87"/>
      <c r="AO36" s="86"/>
      <c r="AP36" s="87"/>
      <c r="AQ36" s="86"/>
      <c r="AR36" s="87"/>
      <c r="AS36" s="86"/>
      <c r="AT36" s="87"/>
      <c r="AU36" s="86"/>
      <c r="AV36" s="87"/>
      <c r="AW36" s="86"/>
      <c r="AX36" s="87"/>
      <c r="AY36" s="86"/>
      <c r="AZ36" s="87"/>
      <c r="BA36" s="86"/>
      <c r="BB36" s="87"/>
      <c r="BC36" s="86"/>
      <c r="BD36" s="87"/>
      <c r="BE36" s="86"/>
      <c r="BF36" s="87"/>
      <c r="BG36" s="86"/>
      <c r="BH36" s="87"/>
      <c r="BI36" s="86"/>
      <c r="BJ36" s="87"/>
      <c r="BK36" s="86"/>
      <c r="BL36" s="87"/>
      <c r="BM36" s="86"/>
      <c r="BN36" s="50"/>
      <c r="BO36" s="170" t="str">
        <f t="shared" si="2"/>
        <v/>
      </c>
      <c r="BP36" s="87"/>
      <c r="BQ36" s="178" t="str">
        <f>IF(BM36="","",BM36)</f>
        <v/>
      </c>
    </row>
    <row r="37" spans="1:76" x14ac:dyDescent="0.35">
      <c r="A37" s="83"/>
      <c r="B37" s="54"/>
      <c r="C37" s="84"/>
      <c r="D37" s="85"/>
      <c r="E37" s="86"/>
      <c r="F37" s="87"/>
      <c r="G37" s="86"/>
      <c r="H37" s="87"/>
      <c r="I37" s="86"/>
      <c r="J37" s="87"/>
      <c r="K37" s="86"/>
      <c r="L37" s="87"/>
      <c r="M37" s="86"/>
      <c r="N37" s="87"/>
      <c r="O37" s="86"/>
      <c r="P37" s="87"/>
      <c r="Q37" s="86"/>
      <c r="R37" s="87"/>
      <c r="S37" s="86"/>
      <c r="T37" s="87"/>
      <c r="U37" s="86"/>
      <c r="V37" s="87"/>
      <c r="W37" s="86"/>
      <c r="X37" s="87"/>
      <c r="Y37" s="86"/>
      <c r="Z37" s="87"/>
      <c r="AA37" s="86"/>
      <c r="AB37" s="87"/>
      <c r="AC37" s="86"/>
      <c r="AD37" s="87"/>
      <c r="AE37" s="86"/>
      <c r="AF37" s="87"/>
      <c r="AG37" s="86"/>
      <c r="AH37" s="87"/>
      <c r="AI37" s="86"/>
      <c r="AJ37" s="87"/>
      <c r="AK37" s="86"/>
      <c r="AL37" s="87"/>
      <c r="AM37" s="86"/>
      <c r="AN37" s="87"/>
      <c r="AO37" s="86"/>
      <c r="AP37" s="87"/>
      <c r="AQ37" s="86"/>
      <c r="AR37" s="87"/>
      <c r="AS37" s="86"/>
      <c r="AT37" s="87"/>
      <c r="AU37" s="86"/>
      <c r="AV37" s="87"/>
      <c r="AW37" s="86"/>
      <c r="AX37" s="87"/>
      <c r="AY37" s="86"/>
      <c r="AZ37" s="87"/>
      <c r="BA37" s="86"/>
      <c r="BB37" s="87"/>
      <c r="BC37" s="86"/>
      <c r="BD37" s="87"/>
      <c r="BE37" s="86"/>
      <c r="BF37" s="87"/>
      <c r="BG37" s="86"/>
      <c r="BH37" s="87"/>
      <c r="BI37" s="86"/>
      <c r="BJ37" s="87"/>
      <c r="BK37" s="86"/>
      <c r="BL37" s="87"/>
      <c r="BM37" s="86"/>
      <c r="BN37" s="50"/>
      <c r="BO37" s="170" t="str">
        <f t="shared" si="2"/>
        <v/>
      </c>
      <c r="BP37" s="87"/>
      <c r="BQ37" s="88"/>
    </row>
    <row r="38" spans="1:76" x14ac:dyDescent="0.35">
      <c r="A38" s="83" t="s">
        <v>62</v>
      </c>
      <c r="B38" s="54" t="s">
        <v>63</v>
      </c>
      <c r="C38" s="174" t="str">
        <f>IF('February 2027 Log'!BG38="","",'February 2027 Log'!BG38)</f>
        <v/>
      </c>
      <c r="D38" s="85"/>
      <c r="E38" s="86"/>
      <c r="F38" s="87"/>
      <c r="G38" s="86"/>
      <c r="H38" s="87"/>
      <c r="I38" s="86"/>
      <c r="J38" s="87"/>
      <c r="K38" s="86"/>
      <c r="L38" s="87"/>
      <c r="M38" s="86"/>
      <c r="N38" s="87"/>
      <c r="O38" s="86"/>
      <c r="P38" s="87"/>
      <c r="Q38" s="86"/>
      <c r="R38" s="87"/>
      <c r="S38" s="86"/>
      <c r="T38" s="87"/>
      <c r="U38" s="86"/>
      <c r="V38" s="87"/>
      <c r="W38" s="86"/>
      <c r="X38" s="87"/>
      <c r="Y38" s="86"/>
      <c r="Z38" s="87"/>
      <c r="AA38" s="86"/>
      <c r="AB38" s="87"/>
      <c r="AC38" s="86"/>
      <c r="AD38" s="87"/>
      <c r="AE38" s="86"/>
      <c r="AF38" s="87"/>
      <c r="AG38" s="86"/>
      <c r="AH38" s="87"/>
      <c r="AI38" s="86"/>
      <c r="AJ38" s="87"/>
      <c r="AK38" s="86"/>
      <c r="AL38" s="87"/>
      <c r="AM38" s="86"/>
      <c r="AN38" s="87"/>
      <c r="AO38" s="86"/>
      <c r="AP38" s="87"/>
      <c r="AQ38" s="86"/>
      <c r="AR38" s="87"/>
      <c r="AS38" s="86"/>
      <c r="AT38" s="87"/>
      <c r="AU38" s="86"/>
      <c r="AV38" s="87"/>
      <c r="AW38" s="86"/>
      <c r="AX38" s="87"/>
      <c r="AY38" s="86"/>
      <c r="AZ38" s="87"/>
      <c r="BA38" s="86"/>
      <c r="BB38" s="87"/>
      <c r="BC38" s="86"/>
      <c r="BD38" s="87"/>
      <c r="BE38" s="86"/>
      <c r="BF38" s="87"/>
      <c r="BG38" s="86"/>
      <c r="BH38" s="87"/>
      <c r="BI38" s="86"/>
      <c r="BJ38" s="87"/>
      <c r="BK38" s="86"/>
      <c r="BL38" s="87"/>
      <c r="BM38" s="86"/>
      <c r="BN38" s="50"/>
      <c r="BO38" s="170" t="str">
        <f t="shared" si="2"/>
        <v/>
      </c>
      <c r="BP38" s="87"/>
      <c r="BQ38" s="178" t="str">
        <f>IF(BM38="","",BM38)</f>
        <v/>
      </c>
    </row>
    <row r="39" spans="1:76" x14ac:dyDescent="0.35">
      <c r="A39" s="83" t="s">
        <v>64</v>
      </c>
      <c r="B39" s="54" t="s">
        <v>63</v>
      </c>
      <c r="C39" s="174" t="str">
        <f>IF('February 2027 Log'!BG39="","",'February 2027 Log'!BG39)</f>
        <v/>
      </c>
      <c r="D39" s="85"/>
      <c r="E39" s="86"/>
      <c r="F39" s="87"/>
      <c r="G39" s="86"/>
      <c r="H39" s="87"/>
      <c r="I39" s="86"/>
      <c r="J39" s="87"/>
      <c r="K39" s="86"/>
      <c r="L39" s="87"/>
      <c r="M39" s="86"/>
      <c r="N39" s="87"/>
      <c r="O39" s="86"/>
      <c r="P39" s="87"/>
      <c r="Q39" s="86"/>
      <c r="R39" s="87"/>
      <c r="S39" s="86"/>
      <c r="T39" s="87"/>
      <c r="U39" s="86"/>
      <c r="V39" s="87"/>
      <c r="W39" s="86"/>
      <c r="X39" s="87"/>
      <c r="Y39" s="86"/>
      <c r="Z39" s="87"/>
      <c r="AA39" s="86"/>
      <c r="AB39" s="87"/>
      <c r="AC39" s="86"/>
      <c r="AD39" s="87"/>
      <c r="AE39" s="86"/>
      <c r="AF39" s="87"/>
      <c r="AG39" s="86"/>
      <c r="AH39" s="87"/>
      <c r="AI39" s="86"/>
      <c r="AJ39" s="87"/>
      <c r="AK39" s="86"/>
      <c r="AL39" s="87"/>
      <c r="AM39" s="86"/>
      <c r="AN39" s="87"/>
      <c r="AO39" s="86"/>
      <c r="AP39" s="87"/>
      <c r="AQ39" s="86"/>
      <c r="AR39" s="87"/>
      <c r="AS39" s="86"/>
      <c r="AT39" s="87"/>
      <c r="AU39" s="86"/>
      <c r="AV39" s="87"/>
      <c r="AW39" s="86"/>
      <c r="AX39" s="87"/>
      <c r="AY39" s="86"/>
      <c r="AZ39" s="87"/>
      <c r="BA39" s="86"/>
      <c r="BB39" s="87"/>
      <c r="BC39" s="86"/>
      <c r="BD39" s="87"/>
      <c r="BE39" s="86"/>
      <c r="BF39" s="87"/>
      <c r="BG39" s="86"/>
      <c r="BH39" s="87"/>
      <c r="BI39" s="86"/>
      <c r="BJ39" s="87"/>
      <c r="BK39" s="86"/>
      <c r="BL39" s="87"/>
      <c r="BM39" s="86"/>
      <c r="BN39" s="50"/>
      <c r="BO39" s="170" t="str">
        <f t="shared" si="2"/>
        <v/>
      </c>
      <c r="BP39" s="87"/>
      <c r="BQ39" s="178" t="str">
        <f>IF(BM39="","",BM39)</f>
        <v/>
      </c>
    </row>
    <row r="40" spans="1:76" x14ac:dyDescent="0.35">
      <c r="A40" s="83" t="s">
        <v>44</v>
      </c>
      <c r="B40" s="54"/>
      <c r="C40" s="84"/>
      <c r="D40" s="85"/>
      <c r="E40" s="86"/>
      <c r="F40" s="87"/>
      <c r="G40" s="86"/>
      <c r="H40" s="87"/>
      <c r="I40" s="86"/>
      <c r="J40" s="87"/>
      <c r="K40" s="86"/>
      <c r="L40" s="87"/>
      <c r="M40" s="86"/>
      <c r="N40" s="87"/>
      <c r="O40" s="86"/>
      <c r="P40" s="87"/>
      <c r="Q40" s="86"/>
      <c r="R40" s="87"/>
      <c r="S40" s="86"/>
      <c r="T40" s="87"/>
      <c r="U40" s="86"/>
      <c r="V40" s="87"/>
      <c r="W40" s="86"/>
      <c r="X40" s="87"/>
      <c r="Y40" s="86"/>
      <c r="Z40" s="87"/>
      <c r="AA40" s="86"/>
      <c r="AB40" s="87"/>
      <c r="AC40" s="86"/>
      <c r="AD40" s="87"/>
      <c r="AE40" s="86"/>
      <c r="AF40" s="87"/>
      <c r="AG40" s="86"/>
      <c r="AH40" s="87"/>
      <c r="AI40" s="86"/>
      <c r="AJ40" s="87"/>
      <c r="AK40" s="86"/>
      <c r="AL40" s="87"/>
      <c r="AM40" s="86"/>
      <c r="AN40" s="87"/>
      <c r="AO40" s="86"/>
      <c r="AP40" s="87"/>
      <c r="AQ40" s="86"/>
      <c r="AR40" s="87"/>
      <c r="AS40" s="86"/>
      <c r="AT40" s="87"/>
      <c r="AU40" s="86"/>
      <c r="AV40" s="87"/>
      <c r="AW40" s="86"/>
      <c r="AX40" s="87"/>
      <c r="AY40" s="86"/>
      <c r="AZ40" s="87"/>
      <c r="BA40" s="86"/>
      <c r="BB40" s="87"/>
      <c r="BC40" s="86"/>
      <c r="BD40" s="87"/>
      <c r="BE40" s="86"/>
      <c r="BF40" s="87"/>
      <c r="BG40" s="86"/>
      <c r="BH40" s="87"/>
      <c r="BI40" s="86"/>
      <c r="BJ40" s="87"/>
      <c r="BK40" s="86"/>
      <c r="BL40" s="87"/>
      <c r="BM40" s="86"/>
      <c r="BN40" s="50"/>
      <c r="BO40" s="170" t="str">
        <f t="shared" si="2"/>
        <v/>
      </c>
      <c r="BP40" s="87"/>
      <c r="BQ40" s="88"/>
    </row>
    <row r="41" spans="1:76" x14ac:dyDescent="0.35">
      <c r="A41" s="83" t="s">
        <v>54</v>
      </c>
      <c r="B41" s="54"/>
      <c r="C41" s="84"/>
      <c r="D41" s="85"/>
      <c r="E41" s="86"/>
      <c r="F41" s="87"/>
      <c r="G41" s="86"/>
      <c r="H41" s="87"/>
      <c r="I41" s="86"/>
      <c r="J41" s="87"/>
      <c r="K41" s="86"/>
      <c r="L41" s="87"/>
      <c r="M41" s="86"/>
      <c r="N41" s="87"/>
      <c r="O41" s="86"/>
      <c r="P41" s="87"/>
      <c r="Q41" s="86"/>
      <c r="R41" s="87"/>
      <c r="S41" s="86"/>
      <c r="T41" s="87"/>
      <c r="U41" s="86"/>
      <c r="V41" s="87"/>
      <c r="W41" s="86"/>
      <c r="X41" s="87"/>
      <c r="Y41" s="86"/>
      <c r="Z41" s="87"/>
      <c r="AA41" s="86"/>
      <c r="AB41" s="87"/>
      <c r="AC41" s="86"/>
      <c r="AD41" s="87"/>
      <c r="AE41" s="86"/>
      <c r="AF41" s="87"/>
      <c r="AG41" s="86"/>
      <c r="AH41" s="87"/>
      <c r="AI41" s="86"/>
      <c r="AJ41" s="87"/>
      <c r="AK41" s="86"/>
      <c r="AL41" s="87"/>
      <c r="AM41" s="86"/>
      <c r="AN41" s="87"/>
      <c r="AO41" s="86"/>
      <c r="AP41" s="87"/>
      <c r="AQ41" s="86"/>
      <c r="AR41" s="87"/>
      <c r="AS41" s="86"/>
      <c r="AT41" s="87"/>
      <c r="AU41" s="86"/>
      <c r="AV41" s="87"/>
      <c r="AW41" s="86"/>
      <c r="AX41" s="87"/>
      <c r="AY41" s="86"/>
      <c r="AZ41" s="87"/>
      <c r="BA41" s="86"/>
      <c r="BB41" s="87"/>
      <c r="BC41" s="86"/>
      <c r="BD41" s="87"/>
      <c r="BE41" s="86"/>
      <c r="BF41" s="87"/>
      <c r="BG41" s="86"/>
      <c r="BH41" s="87"/>
      <c r="BI41" s="86"/>
      <c r="BJ41" s="87"/>
      <c r="BK41" s="86"/>
      <c r="BL41" s="87"/>
      <c r="BM41" s="86"/>
      <c r="BN41" s="50"/>
      <c r="BO41" s="170" t="str">
        <f t="shared" si="2"/>
        <v/>
      </c>
      <c r="BP41" s="87"/>
      <c r="BQ41" s="88"/>
    </row>
    <row r="42" spans="1:76" s="1" customFormat="1" x14ac:dyDescent="0.35">
      <c r="A42" s="89" t="s">
        <v>35</v>
      </c>
      <c r="B42" s="90"/>
      <c r="C42" s="174">
        <f>IF('February 2027 Log'!BG42="","",'February 2027 Log'!BG42)</f>
        <v>0</v>
      </c>
      <c r="D42" s="47"/>
      <c r="E42" s="166">
        <f>SUM(E36:E41)</f>
        <v>0</v>
      </c>
      <c r="F42" s="49"/>
      <c r="G42" s="166">
        <f>SUM(G36:G41)</f>
        <v>0</v>
      </c>
      <c r="H42" s="49"/>
      <c r="I42" s="166">
        <f>SUM(I36:I41)</f>
        <v>0</v>
      </c>
      <c r="J42" s="49"/>
      <c r="K42" s="166">
        <f>SUM(K36:K41)</f>
        <v>0</v>
      </c>
      <c r="L42" s="49"/>
      <c r="M42" s="166">
        <f>SUM(M36:M41)</f>
        <v>0</v>
      </c>
      <c r="N42" s="49"/>
      <c r="O42" s="166">
        <f>SUM(O36:O41)</f>
        <v>0</v>
      </c>
      <c r="P42" s="49"/>
      <c r="Q42" s="166">
        <f>SUM(Q36:Q41)</f>
        <v>0</v>
      </c>
      <c r="R42" s="49"/>
      <c r="S42" s="166">
        <f>SUM(S36:S41)</f>
        <v>0</v>
      </c>
      <c r="T42" s="49"/>
      <c r="U42" s="166">
        <f>SUM(U36:U41)</f>
        <v>0</v>
      </c>
      <c r="V42" s="49"/>
      <c r="W42" s="166">
        <f>SUM(W36:W41)</f>
        <v>0</v>
      </c>
      <c r="X42" s="49"/>
      <c r="Y42" s="166">
        <f>SUM(Y36:Y41)</f>
        <v>0</v>
      </c>
      <c r="Z42" s="49"/>
      <c r="AA42" s="166">
        <f>SUM(AA36:AA41)</f>
        <v>0</v>
      </c>
      <c r="AB42" s="49"/>
      <c r="AC42" s="166">
        <f>SUM(AC36:AC41)</f>
        <v>0</v>
      </c>
      <c r="AD42" s="49"/>
      <c r="AE42" s="166">
        <f>SUM(AE36:AE41)</f>
        <v>0</v>
      </c>
      <c r="AF42" s="49"/>
      <c r="AG42" s="166">
        <f>SUM(AG36:AG41)</f>
        <v>0</v>
      </c>
      <c r="AH42" s="49"/>
      <c r="AI42" s="166">
        <f>SUM(AI36:AI41)</f>
        <v>0</v>
      </c>
      <c r="AJ42" s="49"/>
      <c r="AK42" s="166">
        <f>SUM(AK36:AK41)</f>
        <v>0</v>
      </c>
      <c r="AL42" s="49"/>
      <c r="AM42" s="166">
        <f>SUM(AM36:AM41)</f>
        <v>0</v>
      </c>
      <c r="AN42" s="49"/>
      <c r="AO42" s="166">
        <f>SUM(AO36:AO41)</f>
        <v>0</v>
      </c>
      <c r="AP42" s="49"/>
      <c r="AQ42" s="166">
        <f>SUM(AQ36:AQ41)</f>
        <v>0</v>
      </c>
      <c r="AR42" s="49"/>
      <c r="AS42" s="166">
        <f>SUM(AS36:AS41)</f>
        <v>0</v>
      </c>
      <c r="AT42" s="49"/>
      <c r="AU42" s="166">
        <f>SUM(AU36:AU41)</f>
        <v>0</v>
      </c>
      <c r="AV42" s="49"/>
      <c r="AW42" s="166">
        <f>SUM(AW36:AW41)</f>
        <v>0</v>
      </c>
      <c r="AX42" s="49"/>
      <c r="AY42" s="166">
        <f>SUM(AY36:AY41)</f>
        <v>0</v>
      </c>
      <c r="AZ42" s="49"/>
      <c r="BA42" s="166">
        <f>SUM(BA36:BA41)</f>
        <v>0</v>
      </c>
      <c r="BB42" s="49"/>
      <c r="BC42" s="166">
        <f>SUM(BC36:BC41)</f>
        <v>0</v>
      </c>
      <c r="BD42" s="49"/>
      <c r="BE42" s="166">
        <f>SUM(BE36:BE41)</f>
        <v>0</v>
      </c>
      <c r="BF42" s="49"/>
      <c r="BG42" s="166">
        <f>SUM(BG36:BG41)</f>
        <v>0</v>
      </c>
      <c r="BH42" s="49"/>
      <c r="BI42" s="166">
        <f>SUM(BI36:BI41)</f>
        <v>0</v>
      </c>
      <c r="BJ42" s="49"/>
      <c r="BK42" s="166">
        <f>SUM(BK36:BK41)</f>
        <v>0</v>
      </c>
      <c r="BL42" s="49"/>
      <c r="BM42" s="166">
        <f>SUM(BM36:BM41)</f>
        <v>0</v>
      </c>
      <c r="BN42" s="50"/>
      <c r="BO42" s="170">
        <f t="shared" si="2"/>
        <v>0</v>
      </c>
      <c r="BP42" s="49"/>
      <c r="BQ42" s="172">
        <f>IF(BM42="","",BM42)</f>
        <v>0</v>
      </c>
      <c r="BR42"/>
      <c r="BS42"/>
      <c r="BT42"/>
      <c r="BU42"/>
      <c r="BV42"/>
      <c r="BW42"/>
      <c r="BX42"/>
    </row>
    <row r="43" spans="1:76" x14ac:dyDescent="0.35">
      <c r="A43" s="83" t="s">
        <v>61</v>
      </c>
      <c r="B43" s="54" t="s">
        <v>60</v>
      </c>
      <c r="C43" s="174" t="str">
        <f>IF('February 2027 Log'!BG43="","",'February 2027 Log'!BG43)</f>
        <v/>
      </c>
      <c r="D43" s="85"/>
      <c r="E43" s="86"/>
      <c r="F43" s="87"/>
      <c r="G43" s="86"/>
      <c r="H43" s="87"/>
      <c r="I43" s="86"/>
      <c r="J43" s="87"/>
      <c r="K43" s="86"/>
      <c r="L43" s="87"/>
      <c r="M43" s="86"/>
      <c r="N43" s="87"/>
      <c r="O43" s="86"/>
      <c r="P43" s="87"/>
      <c r="Q43" s="86"/>
      <c r="R43" s="87"/>
      <c r="S43" s="86"/>
      <c r="T43" s="87"/>
      <c r="U43" s="86"/>
      <c r="V43" s="87"/>
      <c r="W43" s="86"/>
      <c r="X43" s="87"/>
      <c r="Y43" s="86"/>
      <c r="Z43" s="87"/>
      <c r="AA43" s="86"/>
      <c r="AB43" s="87"/>
      <c r="AC43" s="86"/>
      <c r="AD43" s="87"/>
      <c r="AE43" s="86"/>
      <c r="AF43" s="87"/>
      <c r="AG43" s="86"/>
      <c r="AH43" s="87"/>
      <c r="AI43" s="86"/>
      <c r="AJ43" s="87"/>
      <c r="AK43" s="86"/>
      <c r="AL43" s="87"/>
      <c r="AM43" s="86"/>
      <c r="AN43" s="87"/>
      <c r="AO43" s="86"/>
      <c r="AP43" s="87"/>
      <c r="AQ43" s="86"/>
      <c r="AR43" s="87"/>
      <c r="AS43" s="86"/>
      <c r="AT43" s="87"/>
      <c r="AU43" s="86"/>
      <c r="AV43" s="87"/>
      <c r="AW43" s="86"/>
      <c r="AX43" s="87"/>
      <c r="AY43" s="86"/>
      <c r="AZ43" s="87"/>
      <c r="BA43" s="86"/>
      <c r="BB43" s="87"/>
      <c r="BC43" s="86"/>
      <c r="BD43" s="87"/>
      <c r="BE43" s="86"/>
      <c r="BF43" s="87"/>
      <c r="BG43" s="86"/>
      <c r="BH43" s="87"/>
      <c r="BI43" s="86"/>
      <c r="BJ43" s="87"/>
      <c r="BK43" s="86"/>
      <c r="BL43" s="87"/>
      <c r="BM43" s="86"/>
      <c r="BN43" s="50"/>
      <c r="BO43" s="170" t="str">
        <f t="shared" si="2"/>
        <v/>
      </c>
      <c r="BP43" s="87"/>
      <c r="BQ43" s="178" t="str">
        <f>IF(BM43="","",BM43)</f>
        <v/>
      </c>
    </row>
    <row r="44" spans="1:76" hidden="1" x14ac:dyDescent="0.35">
      <c r="A44" s="83" t="s">
        <v>8</v>
      </c>
      <c r="B44" s="54"/>
      <c r="C44" s="84"/>
      <c r="D44" s="85"/>
      <c r="E44" s="86"/>
      <c r="F44" s="87"/>
      <c r="G44" s="86"/>
      <c r="H44" s="87"/>
      <c r="I44" s="86"/>
      <c r="J44" s="87"/>
      <c r="K44" s="86"/>
      <c r="L44" s="87"/>
      <c r="M44" s="86"/>
      <c r="N44" s="87"/>
      <c r="O44" s="86"/>
      <c r="P44" s="87"/>
      <c r="Q44" s="86"/>
      <c r="R44" s="87"/>
      <c r="S44" s="86"/>
      <c r="T44" s="87"/>
      <c r="U44" s="86"/>
      <c r="V44" s="87"/>
      <c r="W44" s="86"/>
      <c r="X44" s="87"/>
      <c r="Y44" s="86"/>
      <c r="Z44" s="87"/>
      <c r="AA44" s="86"/>
      <c r="AB44" s="87"/>
      <c r="AC44" s="86"/>
      <c r="AD44" s="87"/>
      <c r="AE44" s="86"/>
      <c r="AF44" s="87"/>
      <c r="AG44" s="86"/>
      <c r="AH44" s="87"/>
      <c r="AI44" s="86"/>
      <c r="AJ44" s="87"/>
      <c r="AK44" s="86"/>
      <c r="AL44" s="87"/>
      <c r="AM44" s="86"/>
      <c r="AN44" s="87"/>
      <c r="AO44" s="86"/>
      <c r="AP44" s="87"/>
      <c r="AQ44" s="86"/>
      <c r="AR44" s="87"/>
      <c r="AS44" s="86"/>
      <c r="AT44" s="87"/>
      <c r="AU44" s="86"/>
      <c r="AV44" s="87"/>
      <c r="AW44" s="86"/>
      <c r="AX44" s="87"/>
      <c r="AY44" s="86"/>
      <c r="AZ44" s="87"/>
      <c r="BA44" s="86"/>
      <c r="BB44" s="87"/>
      <c r="BC44" s="86"/>
      <c r="BD44" s="87"/>
      <c r="BE44" s="86"/>
      <c r="BF44" s="87"/>
      <c r="BG44" s="86"/>
      <c r="BH44" s="87"/>
      <c r="BI44" s="86"/>
      <c r="BJ44" s="87"/>
      <c r="BK44" s="86"/>
      <c r="BL44" s="87"/>
      <c r="BM44" s="86"/>
      <c r="BN44" s="50"/>
      <c r="BO44" s="170" t="str">
        <f t="shared" si="2"/>
        <v/>
      </c>
      <c r="BP44" s="87"/>
      <c r="BQ44" s="88"/>
    </row>
    <row r="45" spans="1:76" hidden="1" x14ac:dyDescent="0.35">
      <c r="A45" s="83" t="s">
        <v>9</v>
      </c>
      <c r="B45" s="54"/>
      <c r="C45" s="84"/>
      <c r="D45" s="85"/>
      <c r="E45" s="86"/>
      <c r="F45" s="87"/>
      <c r="G45" s="86"/>
      <c r="H45" s="87"/>
      <c r="I45" s="86"/>
      <c r="J45" s="87"/>
      <c r="K45" s="86"/>
      <c r="L45" s="87"/>
      <c r="M45" s="86"/>
      <c r="N45" s="87"/>
      <c r="O45" s="86"/>
      <c r="P45" s="87"/>
      <c r="Q45" s="86"/>
      <c r="R45" s="87"/>
      <c r="S45" s="86"/>
      <c r="T45" s="87"/>
      <c r="U45" s="86"/>
      <c r="V45" s="87"/>
      <c r="W45" s="86"/>
      <c r="X45" s="87"/>
      <c r="Y45" s="86"/>
      <c r="Z45" s="87"/>
      <c r="AA45" s="86"/>
      <c r="AB45" s="87"/>
      <c r="AC45" s="86"/>
      <c r="AD45" s="87"/>
      <c r="AE45" s="86"/>
      <c r="AF45" s="87"/>
      <c r="AG45" s="86"/>
      <c r="AH45" s="87"/>
      <c r="AI45" s="86"/>
      <c r="AJ45" s="87"/>
      <c r="AK45" s="86"/>
      <c r="AL45" s="87"/>
      <c r="AM45" s="86"/>
      <c r="AN45" s="87"/>
      <c r="AO45" s="86"/>
      <c r="AP45" s="87"/>
      <c r="AQ45" s="86"/>
      <c r="AR45" s="87"/>
      <c r="AS45" s="86"/>
      <c r="AT45" s="87"/>
      <c r="AU45" s="86"/>
      <c r="AV45" s="87"/>
      <c r="AW45" s="86"/>
      <c r="AX45" s="87"/>
      <c r="AY45" s="86"/>
      <c r="AZ45" s="87"/>
      <c r="BA45" s="86"/>
      <c r="BB45" s="87"/>
      <c r="BC45" s="86"/>
      <c r="BD45" s="87"/>
      <c r="BE45" s="86"/>
      <c r="BF45" s="87"/>
      <c r="BG45" s="86"/>
      <c r="BH45" s="87"/>
      <c r="BI45" s="86"/>
      <c r="BJ45" s="87"/>
      <c r="BK45" s="86"/>
      <c r="BL45" s="87"/>
      <c r="BM45" s="86"/>
      <c r="BN45" s="50"/>
      <c r="BO45" s="170" t="str">
        <f t="shared" si="2"/>
        <v/>
      </c>
      <c r="BP45" s="87"/>
      <c r="BQ45" s="88"/>
    </row>
    <row r="46" spans="1:76" hidden="1" x14ac:dyDescent="0.35">
      <c r="A46" s="83" t="s">
        <v>43</v>
      </c>
      <c r="B46" s="54"/>
      <c r="C46" s="84"/>
      <c r="D46" s="85"/>
      <c r="E46" s="86"/>
      <c r="F46" s="87"/>
      <c r="G46" s="86"/>
      <c r="H46" s="87"/>
      <c r="I46" s="86"/>
      <c r="J46" s="87"/>
      <c r="K46" s="86"/>
      <c r="L46" s="87"/>
      <c r="M46" s="86"/>
      <c r="N46" s="87"/>
      <c r="O46" s="86"/>
      <c r="P46" s="87"/>
      <c r="Q46" s="86"/>
      <c r="R46" s="87"/>
      <c r="S46" s="86"/>
      <c r="T46" s="87"/>
      <c r="U46" s="86"/>
      <c r="V46" s="87"/>
      <c r="W46" s="86"/>
      <c r="X46" s="87"/>
      <c r="Y46" s="86"/>
      <c r="Z46" s="87"/>
      <c r="AA46" s="86"/>
      <c r="AB46" s="87"/>
      <c r="AC46" s="86"/>
      <c r="AD46" s="87"/>
      <c r="AE46" s="86"/>
      <c r="AF46" s="87"/>
      <c r="AG46" s="86"/>
      <c r="AH46" s="87"/>
      <c r="AI46" s="86"/>
      <c r="AJ46" s="87"/>
      <c r="AK46" s="86"/>
      <c r="AL46" s="87"/>
      <c r="AM46" s="86"/>
      <c r="AN46" s="87"/>
      <c r="AO46" s="86"/>
      <c r="AP46" s="87"/>
      <c r="AQ46" s="86"/>
      <c r="AR46" s="87"/>
      <c r="AS46" s="86"/>
      <c r="AT46" s="87"/>
      <c r="AU46" s="86"/>
      <c r="AV46" s="87"/>
      <c r="AW46" s="86"/>
      <c r="AX46" s="87"/>
      <c r="AY46" s="86"/>
      <c r="AZ46" s="87"/>
      <c r="BA46" s="86"/>
      <c r="BB46" s="87"/>
      <c r="BC46" s="86"/>
      <c r="BD46" s="87"/>
      <c r="BE46" s="86"/>
      <c r="BF46" s="87"/>
      <c r="BG46" s="86"/>
      <c r="BH46" s="87"/>
      <c r="BI46" s="86"/>
      <c r="BJ46" s="87"/>
      <c r="BK46" s="86"/>
      <c r="BL46" s="87"/>
      <c r="BM46" s="86"/>
      <c r="BN46" s="50"/>
      <c r="BO46" s="170" t="str">
        <f t="shared" si="2"/>
        <v/>
      </c>
      <c r="BP46" s="87"/>
      <c r="BQ46" s="88"/>
    </row>
    <row r="47" spans="1:76" hidden="1" x14ac:dyDescent="0.35">
      <c r="A47" s="83" t="s">
        <v>10</v>
      </c>
      <c r="B47" s="54"/>
      <c r="C47" s="84"/>
      <c r="D47" s="85"/>
      <c r="E47" s="86"/>
      <c r="F47" s="87"/>
      <c r="G47" s="86"/>
      <c r="H47" s="87"/>
      <c r="I47" s="86"/>
      <c r="J47" s="87"/>
      <c r="K47" s="86"/>
      <c r="L47" s="87"/>
      <c r="M47" s="86"/>
      <c r="N47" s="87"/>
      <c r="O47" s="86"/>
      <c r="P47" s="87"/>
      <c r="Q47" s="86"/>
      <c r="R47" s="87"/>
      <c r="S47" s="86"/>
      <c r="T47" s="87"/>
      <c r="U47" s="86"/>
      <c r="V47" s="87"/>
      <c r="W47" s="86"/>
      <c r="X47" s="87"/>
      <c r="Y47" s="86"/>
      <c r="Z47" s="87"/>
      <c r="AA47" s="86"/>
      <c r="AB47" s="87"/>
      <c r="AC47" s="86"/>
      <c r="AD47" s="87"/>
      <c r="AE47" s="86"/>
      <c r="AF47" s="87"/>
      <c r="AG47" s="86"/>
      <c r="AH47" s="87"/>
      <c r="AI47" s="86"/>
      <c r="AJ47" s="87"/>
      <c r="AK47" s="86"/>
      <c r="AL47" s="87"/>
      <c r="AM47" s="86"/>
      <c r="AN47" s="87"/>
      <c r="AO47" s="86"/>
      <c r="AP47" s="87"/>
      <c r="AQ47" s="86"/>
      <c r="AR47" s="87"/>
      <c r="AS47" s="86"/>
      <c r="AT47" s="87"/>
      <c r="AU47" s="86"/>
      <c r="AV47" s="87"/>
      <c r="AW47" s="86"/>
      <c r="AX47" s="87"/>
      <c r="AY47" s="86"/>
      <c r="AZ47" s="87"/>
      <c r="BA47" s="86"/>
      <c r="BB47" s="87"/>
      <c r="BC47" s="86"/>
      <c r="BD47" s="87"/>
      <c r="BE47" s="86"/>
      <c r="BF47" s="87"/>
      <c r="BG47" s="86"/>
      <c r="BH47" s="87"/>
      <c r="BI47" s="86"/>
      <c r="BJ47" s="87"/>
      <c r="BK47" s="86"/>
      <c r="BL47" s="87"/>
      <c r="BM47" s="86"/>
      <c r="BN47" s="50"/>
      <c r="BO47" s="170" t="str">
        <f t="shared" si="2"/>
        <v/>
      </c>
      <c r="BP47" s="87"/>
      <c r="BQ47" s="88"/>
    </row>
    <row r="48" spans="1:76" hidden="1" x14ac:dyDescent="0.35">
      <c r="A48" s="83" t="s">
        <v>11</v>
      </c>
      <c r="B48" s="54"/>
      <c r="C48" s="84"/>
      <c r="D48" s="85"/>
      <c r="E48" s="86"/>
      <c r="F48" s="87"/>
      <c r="G48" s="86"/>
      <c r="H48" s="87"/>
      <c r="I48" s="86"/>
      <c r="J48" s="87"/>
      <c r="K48" s="86"/>
      <c r="L48" s="87"/>
      <c r="M48" s="86"/>
      <c r="N48" s="87"/>
      <c r="O48" s="86"/>
      <c r="P48" s="87"/>
      <c r="Q48" s="86"/>
      <c r="R48" s="87"/>
      <c r="S48" s="86"/>
      <c r="T48" s="87"/>
      <c r="U48" s="86"/>
      <c r="V48" s="87"/>
      <c r="W48" s="86"/>
      <c r="X48" s="87"/>
      <c r="Y48" s="86"/>
      <c r="Z48" s="87"/>
      <c r="AA48" s="86"/>
      <c r="AB48" s="87"/>
      <c r="AC48" s="86"/>
      <c r="AD48" s="87"/>
      <c r="AE48" s="86"/>
      <c r="AF48" s="87"/>
      <c r="AG48" s="86"/>
      <c r="AH48" s="87"/>
      <c r="AI48" s="86"/>
      <c r="AJ48" s="87"/>
      <c r="AK48" s="86"/>
      <c r="AL48" s="87"/>
      <c r="AM48" s="86"/>
      <c r="AN48" s="87"/>
      <c r="AO48" s="86"/>
      <c r="AP48" s="87"/>
      <c r="AQ48" s="86"/>
      <c r="AR48" s="87"/>
      <c r="AS48" s="86"/>
      <c r="AT48" s="87"/>
      <c r="AU48" s="86"/>
      <c r="AV48" s="87"/>
      <c r="AW48" s="86"/>
      <c r="AX48" s="87"/>
      <c r="AY48" s="86"/>
      <c r="AZ48" s="87"/>
      <c r="BA48" s="86"/>
      <c r="BB48" s="87"/>
      <c r="BC48" s="86"/>
      <c r="BD48" s="87"/>
      <c r="BE48" s="86"/>
      <c r="BF48" s="87"/>
      <c r="BG48" s="86"/>
      <c r="BH48" s="87"/>
      <c r="BI48" s="86"/>
      <c r="BJ48" s="87"/>
      <c r="BK48" s="86"/>
      <c r="BL48" s="87"/>
      <c r="BM48" s="86"/>
      <c r="BN48" s="50"/>
      <c r="BO48" s="170" t="str">
        <f t="shared" si="2"/>
        <v/>
      </c>
      <c r="BP48" s="87"/>
      <c r="BQ48" s="88"/>
    </row>
    <row r="49" spans="1:76" s="1" customFormat="1" x14ac:dyDescent="0.35">
      <c r="A49" s="89" t="s">
        <v>36</v>
      </c>
      <c r="B49" s="90"/>
      <c r="C49" s="174">
        <f>IF('February 2027 Log'!BG49="","",'February 2027 Log'!BG49)</f>
        <v>0</v>
      </c>
      <c r="D49" s="47"/>
      <c r="E49" s="166">
        <f>SUM(E43:E48)</f>
        <v>0</v>
      </c>
      <c r="F49" s="49"/>
      <c r="G49" s="166">
        <f>SUM(G43:G48)</f>
        <v>0</v>
      </c>
      <c r="H49" s="49"/>
      <c r="I49" s="166">
        <f>SUM(I43:I48)</f>
        <v>0</v>
      </c>
      <c r="J49" s="49"/>
      <c r="K49" s="166">
        <f>SUM(K43:K48)</f>
        <v>0</v>
      </c>
      <c r="L49" s="49"/>
      <c r="M49" s="166">
        <f>SUM(M43:M48)</f>
        <v>0</v>
      </c>
      <c r="N49" s="49"/>
      <c r="O49" s="166">
        <f>SUM(O43:O48)</f>
        <v>0</v>
      </c>
      <c r="P49" s="49"/>
      <c r="Q49" s="166">
        <f>SUM(Q43:Q48)</f>
        <v>0</v>
      </c>
      <c r="R49" s="49"/>
      <c r="S49" s="166">
        <f>SUM(S43:S48)</f>
        <v>0</v>
      </c>
      <c r="T49" s="49"/>
      <c r="U49" s="166">
        <f>SUM(U43:U48)</f>
        <v>0</v>
      </c>
      <c r="V49" s="49"/>
      <c r="W49" s="166">
        <f>SUM(W43:W48)</f>
        <v>0</v>
      </c>
      <c r="X49" s="49"/>
      <c r="Y49" s="166">
        <f>SUM(Y43:Y48)</f>
        <v>0</v>
      </c>
      <c r="Z49" s="49"/>
      <c r="AA49" s="166">
        <f>SUM(AA43:AA48)</f>
        <v>0</v>
      </c>
      <c r="AB49" s="49"/>
      <c r="AC49" s="166">
        <f>SUM(AC43:AC48)</f>
        <v>0</v>
      </c>
      <c r="AD49" s="49"/>
      <c r="AE49" s="166">
        <f>SUM(AE43:AE48)</f>
        <v>0</v>
      </c>
      <c r="AF49" s="49"/>
      <c r="AG49" s="166">
        <f>SUM(AG43:AG48)</f>
        <v>0</v>
      </c>
      <c r="AH49" s="49"/>
      <c r="AI49" s="166">
        <f>SUM(AI43:AI48)</f>
        <v>0</v>
      </c>
      <c r="AJ49" s="49"/>
      <c r="AK49" s="166">
        <f>SUM(AK43:AK48)</f>
        <v>0</v>
      </c>
      <c r="AL49" s="49"/>
      <c r="AM49" s="166">
        <f>SUM(AM43:AM48)</f>
        <v>0</v>
      </c>
      <c r="AN49" s="49"/>
      <c r="AO49" s="166">
        <f>SUM(AO43:AO48)</f>
        <v>0</v>
      </c>
      <c r="AP49" s="49"/>
      <c r="AQ49" s="166">
        <f>SUM(AQ43:AQ48)</f>
        <v>0</v>
      </c>
      <c r="AR49" s="49"/>
      <c r="AS49" s="166">
        <f>SUM(AS43:AS48)</f>
        <v>0</v>
      </c>
      <c r="AT49" s="49"/>
      <c r="AU49" s="166">
        <f>SUM(AU43:AU48)</f>
        <v>0</v>
      </c>
      <c r="AV49" s="49"/>
      <c r="AW49" s="166">
        <f>SUM(AW43:AW48)</f>
        <v>0</v>
      </c>
      <c r="AX49" s="49"/>
      <c r="AY49" s="166">
        <f>SUM(AY43:AY48)</f>
        <v>0</v>
      </c>
      <c r="AZ49" s="49"/>
      <c r="BA49" s="166">
        <f>SUM(BA43:BA48)</f>
        <v>0</v>
      </c>
      <c r="BB49" s="49"/>
      <c r="BC49" s="166">
        <f>SUM(BC43:BC48)</f>
        <v>0</v>
      </c>
      <c r="BD49" s="49"/>
      <c r="BE49" s="166">
        <f>SUM(BE43:BE48)</f>
        <v>0</v>
      </c>
      <c r="BF49" s="49"/>
      <c r="BG49" s="166">
        <f>SUM(BG43:BG48)</f>
        <v>0</v>
      </c>
      <c r="BH49" s="49"/>
      <c r="BI49" s="166">
        <f>SUM(BI43:BI48)</f>
        <v>0</v>
      </c>
      <c r="BJ49" s="49"/>
      <c r="BK49" s="166">
        <f>SUM(BK43:BK48)</f>
        <v>0</v>
      </c>
      <c r="BL49" s="49"/>
      <c r="BM49" s="166">
        <f>SUM(BM43:BM48)</f>
        <v>0</v>
      </c>
      <c r="BN49" s="50"/>
      <c r="BO49" s="170">
        <f t="shared" si="2"/>
        <v>0</v>
      </c>
      <c r="BP49" s="49"/>
      <c r="BQ49" s="172">
        <f>IF(BM49="","",BM49)</f>
        <v>0</v>
      </c>
      <c r="BR49"/>
      <c r="BS49"/>
      <c r="BT49"/>
      <c r="BU49"/>
      <c r="BV49"/>
      <c r="BW49"/>
      <c r="BX49"/>
    </row>
    <row r="50" spans="1:76" s="1" customFormat="1" x14ac:dyDescent="0.35">
      <c r="A50" s="89" t="s">
        <v>12</v>
      </c>
      <c r="B50" s="90"/>
      <c r="C50" s="174">
        <f>IF('February 2027 Log'!BG50="","",'February 2027 Log'!BG50)</f>
        <v>0</v>
      </c>
      <c r="D50" s="47"/>
      <c r="E50" s="166">
        <f t="shared" ref="E50" si="34">+E42+E49</f>
        <v>0</v>
      </c>
      <c r="F50" s="49"/>
      <c r="G50" s="166">
        <f t="shared" ref="G50" si="35">+G42+G49</f>
        <v>0</v>
      </c>
      <c r="H50" s="49"/>
      <c r="I50" s="166">
        <f t="shared" ref="I50" si="36">+I42+I49</f>
        <v>0</v>
      </c>
      <c r="J50" s="49"/>
      <c r="K50" s="166">
        <f t="shared" ref="K50" si="37">+K42+K49</f>
        <v>0</v>
      </c>
      <c r="L50" s="49"/>
      <c r="M50" s="166">
        <f t="shared" ref="M50" si="38">+M42+M49</f>
        <v>0</v>
      </c>
      <c r="N50" s="49"/>
      <c r="O50" s="166">
        <f t="shared" ref="O50" si="39">+O42+O49</f>
        <v>0</v>
      </c>
      <c r="P50" s="49"/>
      <c r="Q50" s="166">
        <f t="shared" ref="Q50" si="40">+Q42+Q49</f>
        <v>0</v>
      </c>
      <c r="R50" s="49"/>
      <c r="S50" s="166">
        <f t="shared" ref="S50" si="41">+S42+S49</f>
        <v>0</v>
      </c>
      <c r="T50" s="49"/>
      <c r="U50" s="166">
        <f t="shared" ref="U50" si="42">+U42+U49</f>
        <v>0</v>
      </c>
      <c r="V50" s="49"/>
      <c r="W50" s="166">
        <f t="shared" ref="W50" si="43">+W42+W49</f>
        <v>0</v>
      </c>
      <c r="X50" s="49"/>
      <c r="Y50" s="166">
        <f t="shared" ref="Y50" si="44">+Y42+Y49</f>
        <v>0</v>
      </c>
      <c r="Z50" s="49"/>
      <c r="AA50" s="166">
        <f t="shared" ref="AA50" si="45">+AA42+AA49</f>
        <v>0</v>
      </c>
      <c r="AB50" s="49"/>
      <c r="AC50" s="166">
        <f t="shared" ref="AC50" si="46">+AC42+AC49</f>
        <v>0</v>
      </c>
      <c r="AD50" s="49"/>
      <c r="AE50" s="166">
        <f t="shared" ref="AE50" si="47">+AE42+AE49</f>
        <v>0</v>
      </c>
      <c r="AF50" s="49"/>
      <c r="AG50" s="166">
        <f t="shared" ref="AG50" si="48">+AG42+AG49</f>
        <v>0</v>
      </c>
      <c r="AH50" s="49"/>
      <c r="AI50" s="166">
        <f t="shared" ref="AI50" si="49">+AI42+AI49</f>
        <v>0</v>
      </c>
      <c r="AJ50" s="49"/>
      <c r="AK50" s="166">
        <f t="shared" ref="AK50" si="50">+AK42+AK49</f>
        <v>0</v>
      </c>
      <c r="AL50" s="49"/>
      <c r="AM50" s="166">
        <f t="shared" ref="AM50" si="51">+AM42+AM49</f>
        <v>0</v>
      </c>
      <c r="AN50" s="49"/>
      <c r="AO50" s="166">
        <f t="shared" ref="AO50" si="52">+AO42+AO49</f>
        <v>0</v>
      </c>
      <c r="AP50" s="49"/>
      <c r="AQ50" s="166">
        <f t="shared" ref="AQ50" si="53">+AQ42+AQ49</f>
        <v>0</v>
      </c>
      <c r="AR50" s="49"/>
      <c r="AS50" s="166">
        <f t="shared" ref="AS50" si="54">+AS42+AS49</f>
        <v>0</v>
      </c>
      <c r="AT50" s="49"/>
      <c r="AU50" s="166">
        <f t="shared" ref="AU50" si="55">+AU42+AU49</f>
        <v>0</v>
      </c>
      <c r="AV50" s="49"/>
      <c r="AW50" s="166">
        <f t="shared" ref="AW50" si="56">+AW42+AW49</f>
        <v>0</v>
      </c>
      <c r="AX50" s="49"/>
      <c r="AY50" s="166">
        <f t="shared" ref="AY50" si="57">+AY42+AY49</f>
        <v>0</v>
      </c>
      <c r="AZ50" s="49"/>
      <c r="BA50" s="166">
        <f t="shared" ref="BA50" si="58">+BA42+BA49</f>
        <v>0</v>
      </c>
      <c r="BB50" s="49"/>
      <c r="BC50" s="166">
        <f t="shared" ref="BC50" si="59">+BC42+BC49</f>
        <v>0</v>
      </c>
      <c r="BD50" s="49"/>
      <c r="BE50" s="166">
        <f t="shared" ref="BE50" si="60">+BE42+BE49</f>
        <v>0</v>
      </c>
      <c r="BF50" s="49"/>
      <c r="BG50" s="166">
        <f t="shared" ref="BG50" si="61">+BG42+BG49</f>
        <v>0</v>
      </c>
      <c r="BH50" s="49"/>
      <c r="BI50" s="166">
        <f t="shared" ref="BI50" si="62">+BI42+BI49</f>
        <v>0</v>
      </c>
      <c r="BJ50" s="49"/>
      <c r="BK50" s="166">
        <f t="shared" ref="BK50" si="63">+BK42+BK49</f>
        <v>0</v>
      </c>
      <c r="BL50" s="49"/>
      <c r="BM50" s="166">
        <f t="shared" ref="BM50" si="64">+BM42+BM49</f>
        <v>0</v>
      </c>
      <c r="BN50" s="50"/>
      <c r="BO50" s="170">
        <f t="shared" si="2"/>
        <v>0</v>
      </c>
      <c r="BP50" s="49"/>
      <c r="BQ50" s="172">
        <f>IF(BM50="","",BM50)</f>
        <v>0</v>
      </c>
      <c r="BR50"/>
      <c r="BS50"/>
      <c r="BT50"/>
      <c r="BU50"/>
      <c r="BV50"/>
      <c r="BW50"/>
      <c r="BX50"/>
    </row>
    <row r="51" spans="1:76" x14ac:dyDescent="0.35">
      <c r="A51" s="83" t="s">
        <v>13</v>
      </c>
      <c r="B51" s="54"/>
      <c r="C51" s="84"/>
      <c r="D51" s="85"/>
      <c r="E51" s="86"/>
      <c r="F51" s="87"/>
      <c r="G51" s="86"/>
      <c r="H51" s="87"/>
      <c r="I51" s="86"/>
      <c r="J51" s="87"/>
      <c r="K51" s="86"/>
      <c r="L51" s="87"/>
      <c r="M51" s="86"/>
      <c r="N51" s="87"/>
      <c r="O51" s="86"/>
      <c r="P51" s="87"/>
      <c r="Q51" s="86"/>
      <c r="R51" s="87"/>
      <c r="S51" s="86"/>
      <c r="T51" s="87"/>
      <c r="U51" s="86"/>
      <c r="V51" s="87"/>
      <c r="W51" s="86"/>
      <c r="X51" s="87"/>
      <c r="Y51" s="86"/>
      <c r="Z51" s="87"/>
      <c r="AA51" s="86"/>
      <c r="AB51" s="87"/>
      <c r="AC51" s="86"/>
      <c r="AD51" s="87"/>
      <c r="AE51" s="86"/>
      <c r="AF51" s="87"/>
      <c r="AG51" s="86"/>
      <c r="AH51" s="87"/>
      <c r="AI51" s="86"/>
      <c r="AJ51" s="87"/>
      <c r="AK51" s="86"/>
      <c r="AL51" s="87"/>
      <c r="AM51" s="86"/>
      <c r="AN51" s="87"/>
      <c r="AO51" s="86"/>
      <c r="AP51" s="87"/>
      <c r="AQ51" s="86"/>
      <c r="AR51" s="87"/>
      <c r="AS51" s="86"/>
      <c r="AT51" s="87"/>
      <c r="AU51" s="86"/>
      <c r="AV51" s="87"/>
      <c r="AW51" s="86"/>
      <c r="AX51" s="87"/>
      <c r="AY51" s="86"/>
      <c r="AZ51" s="87"/>
      <c r="BA51" s="86"/>
      <c r="BB51" s="87"/>
      <c r="BC51" s="86"/>
      <c r="BD51" s="87"/>
      <c r="BE51" s="86"/>
      <c r="BF51" s="87"/>
      <c r="BG51" s="86"/>
      <c r="BH51" s="87"/>
      <c r="BI51" s="86"/>
      <c r="BJ51" s="87"/>
      <c r="BK51" s="86"/>
      <c r="BL51" s="87"/>
      <c r="BM51" s="86"/>
      <c r="BN51" s="50"/>
      <c r="BO51" s="170" t="str">
        <f t="shared" si="2"/>
        <v/>
      </c>
      <c r="BP51" s="87"/>
      <c r="BQ51" s="88"/>
    </row>
    <row r="52" spans="1:76" x14ac:dyDescent="0.35">
      <c r="A52" s="83" t="s">
        <v>14</v>
      </c>
      <c r="B52" s="54"/>
      <c r="C52" s="84"/>
      <c r="D52" s="85"/>
      <c r="E52" s="86"/>
      <c r="F52" s="87"/>
      <c r="G52" s="86"/>
      <c r="H52" s="87"/>
      <c r="I52" s="86"/>
      <c r="J52" s="87"/>
      <c r="K52" s="86"/>
      <c r="L52" s="87"/>
      <c r="M52" s="86"/>
      <c r="N52" s="87"/>
      <c r="O52" s="86"/>
      <c r="P52" s="87"/>
      <c r="Q52" s="86"/>
      <c r="R52" s="87"/>
      <c r="S52" s="86"/>
      <c r="T52" s="87"/>
      <c r="U52" s="86"/>
      <c r="V52" s="87"/>
      <c r="W52" s="86"/>
      <c r="X52" s="87"/>
      <c r="Y52" s="86"/>
      <c r="Z52" s="87"/>
      <c r="AA52" s="86"/>
      <c r="AB52" s="87"/>
      <c r="AC52" s="86"/>
      <c r="AD52" s="87"/>
      <c r="AE52" s="86"/>
      <c r="AF52" s="87"/>
      <c r="AG52" s="86"/>
      <c r="AH52" s="87"/>
      <c r="AI52" s="86"/>
      <c r="AJ52" s="87"/>
      <c r="AK52" s="86"/>
      <c r="AL52" s="87"/>
      <c r="AM52" s="86"/>
      <c r="AN52" s="87"/>
      <c r="AO52" s="86"/>
      <c r="AP52" s="87"/>
      <c r="AQ52" s="86"/>
      <c r="AR52" s="87"/>
      <c r="AS52" s="86"/>
      <c r="AT52" s="87"/>
      <c r="AU52" s="86"/>
      <c r="AV52" s="87"/>
      <c r="AW52" s="86"/>
      <c r="AX52" s="87"/>
      <c r="AY52" s="86"/>
      <c r="AZ52" s="87"/>
      <c r="BA52" s="86"/>
      <c r="BB52" s="87"/>
      <c r="BC52" s="86"/>
      <c r="BD52" s="87"/>
      <c r="BE52" s="86"/>
      <c r="BF52" s="87"/>
      <c r="BG52" s="86"/>
      <c r="BH52" s="87"/>
      <c r="BI52" s="86"/>
      <c r="BJ52" s="87"/>
      <c r="BK52" s="86"/>
      <c r="BL52" s="87"/>
      <c r="BM52" s="86"/>
      <c r="BN52" s="50"/>
      <c r="BO52" s="170" t="str">
        <f t="shared" si="2"/>
        <v/>
      </c>
      <c r="BP52" s="87"/>
      <c r="BQ52" s="88"/>
    </row>
    <row r="53" spans="1:76" x14ac:dyDescent="0.35">
      <c r="A53" s="83" t="s">
        <v>42</v>
      </c>
      <c r="B53" s="54"/>
      <c r="C53" s="84"/>
      <c r="D53" s="85"/>
      <c r="E53" s="86"/>
      <c r="F53" s="87"/>
      <c r="G53" s="86"/>
      <c r="H53" s="87"/>
      <c r="I53" s="86"/>
      <c r="J53" s="87"/>
      <c r="K53" s="86"/>
      <c r="L53" s="87"/>
      <c r="M53" s="86"/>
      <c r="N53" s="87"/>
      <c r="O53" s="86"/>
      <c r="P53" s="87"/>
      <c r="Q53" s="86"/>
      <c r="R53" s="87"/>
      <c r="S53" s="86"/>
      <c r="T53" s="87"/>
      <c r="U53" s="86"/>
      <c r="V53" s="87"/>
      <c r="W53" s="86"/>
      <c r="X53" s="87"/>
      <c r="Y53" s="86"/>
      <c r="Z53" s="87"/>
      <c r="AA53" s="86"/>
      <c r="AB53" s="87"/>
      <c r="AC53" s="86"/>
      <c r="AD53" s="87"/>
      <c r="AE53" s="86"/>
      <c r="AF53" s="87"/>
      <c r="AG53" s="86"/>
      <c r="AH53" s="87"/>
      <c r="AI53" s="86"/>
      <c r="AJ53" s="87"/>
      <c r="AK53" s="86"/>
      <c r="AL53" s="87"/>
      <c r="AM53" s="86"/>
      <c r="AN53" s="87"/>
      <c r="AO53" s="86"/>
      <c r="AP53" s="87"/>
      <c r="AQ53" s="86"/>
      <c r="AR53" s="87"/>
      <c r="AS53" s="86"/>
      <c r="AT53" s="87"/>
      <c r="AU53" s="86"/>
      <c r="AV53" s="87"/>
      <c r="AW53" s="86"/>
      <c r="AX53" s="87"/>
      <c r="AY53" s="86"/>
      <c r="AZ53" s="87"/>
      <c r="BA53" s="86"/>
      <c r="BB53" s="87"/>
      <c r="BC53" s="86"/>
      <c r="BD53" s="87"/>
      <c r="BE53" s="86"/>
      <c r="BF53" s="87"/>
      <c r="BG53" s="86"/>
      <c r="BH53" s="87"/>
      <c r="BI53" s="86"/>
      <c r="BJ53" s="87"/>
      <c r="BK53" s="86"/>
      <c r="BL53" s="87"/>
      <c r="BM53" s="86"/>
      <c r="BN53" s="50"/>
      <c r="BO53" s="170" t="str">
        <f t="shared" si="2"/>
        <v/>
      </c>
      <c r="BP53" s="87"/>
      <c r="BQ53" s="88"/>
    </row>
    <row r="54" spans="1:76" x14ac:dyDescent="0.35">
      <c r="A54" s="89" t="s">
        <v>15</v>
      </c>
      <c r="B54" s="90"/>
      <c r="C54" s="174">
        <f>IF('February 2027 Log'!BG54="","",'February 2027 Log'!BG54)</f>
        <v>0</v>
      </c>
      <c r="D54" s="47"/>
      <c r="E54" s="166">
        <f>E22+E23+E32+E34+E50+E51+E52-E33+E24+E53+E112</f>
        <v>0</v>
      </c>
      <c r="F54" s="49"/>
      <c r="G54" s="166">
        <f>G22+G23+G32+G34+G50+G51+G52-G33+G24+G53+G112</f>
        <v>0</v>
      </c>
      <c r="H54" s="49"/>
      <c r="I54" s="166">
        <f>I22+I23+I32+I34+I50+I51+I52-I33+I24+I53+I112</f>
        <v>0</v>
      </c>
      <c r="J54" s="49"/>
      <c r="K54" s="166">
        <f>K22+K23+K32+K34+K50+K51+K52-K33+K24+K53+K112</f>
        <v>0</v>
      </c>
      <c r="L54" s="49"/>
      <c r="M54" s="166">
        <f>M22+M23+M32+M34+M50+M51+M52-M33+M24+M53+M112</f>
        <v>0</v>
      </c>
      <c r="N54" s="49"/>
      <c r="O54" s="166">
        <f>O22+O23+O32+O34+O50+O51+O52-O33+O24+O53+O112</f>
        <v>0</v>
      </c>
      <c r="P54" s="49"/>
      <c r="Q54" s="166">
        <f>Q22+Q23+Q32+Q34+Q50+Q51+Q52-Q33+Q24+Q53+Q112</f>
        <v>0</v>
      </c>
      <c r="R54" s="49"/>
      <c r="S54" s="166">
        <f>S22+S23+S32+S34+S50+S51+S52-S33+S24+S53+S112</f>
        <v>0</v>
      </c>
      <c r="T54" s="49"/>
      <c r="U54" s="166">
        <f>U22+U23+U32+U34+U50+U51+U52-U33+U24+U53+U112</f>
        <v>0</v>
      </c>
      <c r="V54" s="49"/>
      <c r="W54" s="166">
        <f>W22+W23+W32+W34+W50+W51+W52-W33+W24+W53+W112</f>
        <v>0</v>
      </c>
      <c r="X54" s="49"/>
      <c r="Y54" s="166">
        <f>Y22+Y23+Y32+Y34+Y50+Y51+Y52-Y33+Y24+Y53+Y112</f>
        <v>0</v>
      </c>
      <c r="Z54" s="49"/>
      <c r="AA54" s="166">
        <f>AA22+AA23+AA32+AA34+AA50+AA51+AA52-AA33+AA24+AA53+AA112</f>
        <v>0</v>
      </c>
      <c r="AB54" s="49"/>
      <c r="AC54" s="166">
        <f>AC22+AC23+AC32+AC34+AC50+AC51+AC52-AC33+AC24+AC53+AC112</f>
        <v>0</v>
      </c>
      <c r="AD54" s="49"/>
      <c r="AE54" s="166">
        <f>AE22+AE23+AE32+AE34+AE50+AE51+AE52-AE33+AE24+AE53+AE112</f>
        <v>0</v>
      </c>
      <c r="AF54" s="49"/>
      <c r="AG54" s="166">
        <f>AG22+AG23+AG32+AG34+AG50+AG51+AG52-AG33+AG24+AG53+AG112</f>
        <v>0</v>
      </c>
      <c r="AH54" s="49"/>
      <c r="AI54" s="166">
        <f>AI22+AI23+AI32+AI34+AI50+AI51+AI52-AI33+AI24+AI53+AI112</f>
        <v>0</v>
      </c>
      <c r="AJ54" s="49"/>
      <c r="AK54" s="166">
        <f>AK22+AK23+AK32+AK34+AK50+AK51+AK52-AK33+AK24+AK53+AK112</f>
        <v>0</v>
      </c>
      <c r="AL54" s="49"/>
      <c r="AM54" s="166">
        <f>AM22+AM23+AM32+AM34+AM50+AM51+AM52-AM33+AM24+AM53+AM112</f>
        <v>0</v>
      </c>
      <c r="AN54" s="49"/>
      <c r="AO54" s="166">
        <f>AO22+AO23+AO32+AO34+AO50+AO51+AO52-AO33+AO24+AO53+AO112</f>
        <v>0</v>
      </c>
      <c r="AP54" s="49"/>
      <c r="AQ54" s="166">
        <f>AQ22+AQ23+AQ32+AQ34+AQ50+AQ51+AQ52-AQ33+AQ24+AQ53+AQ112</f>
        <v>0</v>
      </c>
      <c r="AR54" s="49"/>
      <c r="AS54" s="166">
        <f>AS22+AS23+AS32+AS34+AS50+AS51+AS52-AS33+AS24+AS53+AS112</f>
        <v>0</v>
      </c>
      <c r="AT54" s="49"/>
      <c r="AU54" s="166">
        <f>AU22+AU23+AU32+AU34+AU50+AU51+AU52-AU33+AU24+AU53+AU112</f>
        <v>0</v>
      </c>
      <c r="AV54" s="49"/>
      <c r="AW54" s="166">
        <f>AW22+AW23+AW32+AW34+AW50+AW51+AW52-AW33+AW24+AW53+AW112</f>
        <v>0</v>
      </c>
      <c r="AX54" s="49"/>
      <c r="AY54" s="166">
        <f>AY22+AY23+AY32+AY34+AY50+AY51+AY52-AY33+AY24+AY53+AY112</f>
        <v>0</v>
      </c>
      <c r="AZ54" s="49"/>
      <c r="BA54" s="166">
        <f>BA22+BA23+BA32+BA34+BA50+BA51+BA52-BA33+BA24+BA53+BA112</f>
        <v>0</v>
      </c>
      <c r="BB54" s="49"/>
      <c r="BC54" s="166">
        <f>BC22+BC23+BC32+BC34+BC50+BC51+BC52-BC33+BC24+BC53+BC112</f>
        <v>0</v>
      </c>
      <c r="BD54" s="49"/>
      <c r="BE54" s="166">
        <f>BE22+BE23+BE32+BE34+BE50+BE51+BE52-BE33+BE24+BE53+BE112</f>
        <v>0</v>
      </c>
      <c r="BF54" s="49"/>
      <c r="BG54" s="166">
        <f>BG22+BG23+BG32+BG34+BG50+BG51+BG52-BG33+BG24+BG53+BG112</f>
        <v>0</v>
      </c>
      <c r="BH54" s="49"/>
      <c r="BI54" s="166">
        <f>BI22+BI23+BI32+BI34+BI50+BI51+BI52-BI33+BI24+BI53+BI112</f>
        <v>0</v>
      </c>
      <c r="BJ54" s="49"/>
      <c r="BK54" s="166">
        <f>BK22+BK23+BK32+BK34+BK50+BK51+BK52-BK33+BK24+BK53+BK112</f>
        <v>0</v>
      </c>
      <c r="BL54" s="49"/>
      <c r="BM54" s="166">
        <f>BM22+BM23+BM32+BM34+BM50+BM51+BM52-BM33+BM24+BM53+BM112</f>
        <v>0</v>
      </c>
      <c r="BN54" s="50"/>
      <c r="BO54" s="170">
        <f t="shared" si="2"/>
        <v>0</v>
      </c>
      <c r="BP54" s="49"/>
      <c r="BQ54" s="172">
        <f t="shared" ref="BQ54:BQ59" si="65">IF(BM54="","",BM54)</f>
        <v>0</v>
      </c>
    </row>
    <row r="55" spans="1:76" x14ac:dyDescent="0.35">
      <c r="A55" s="83" t="s">
        <v>16</v>
      </c>
      <c r="B55" s="54"/>
      <c r="C55" s="174" t="str">
        <f>IF('February 2027 Log'!BG55="","",'February 2027 Log'!BG55)</f>
        <v/>
      </c>
      <c r="D55" s="85"/>
      <c r="E55" s="86"/>
      <c r="F55" s="87"/>
      <c r="G55" s="86"/>
      <c r="H55" s="87"/>
      <c r="I55" s="86"/>
      <c r="J55" s="87"/>
      <c r="K55" s="86"/>
      <c r="L55" s="87"/>
      <c r="M55" s="86"/>
      <c r="N55" s="87"/>
      <c r="O55" s="86"/>
      <c r="P55" s="87"/>
      <c r="Q55" s="86"/>
      <c r="R55" s="87"/>
      <c r="S55" s="86"/>
      <c r="T55" s="87"/>
      <c r="U55" s="86"/>
      <c r="V55" s="87"/>
      <c r="W55" s="86"/>
      <c r="X55" s="87"/>
      <c r="Y55" s="86"/>
      <c r="Z55" s="87"/>
      <c r="AA55" s="86"/>
      <c r="AB55" s="87"/>
      <c r="AC55" s="86"/>
      <c r="AD55" s="87"/>
      <c r="AE55" s="86"/>
      <c r="AF55" s="87"/>
      <c r="AG55" s="86"/>
      <c r="AH55" s="87"/>
      <c r="AI55" s="86"/>
      <c r="AJ55" s="87"/>
      <c r="AK55" s="86"/>
      <c r="AL55" s="87"/>
      <c r="AM55" s="86"/>
      <c r="AN55" s="87"/>
      <c r="AO55" s="86"/>
      <c r="AP55" s="87"/>
      <c r="AQ55" s="86"/>
      <c r="AR55" s="87"/>
      <c r="AS55" s="86"/>
      <c r="AT55" s="87"/>
      <c r="AU55" s="86"/>
      <c r="AV55" s="87"/>
      <c r="AW55" s="86"/>
      <c r="AX55" s="87"/>
      <c r="AY55" s="86"/>
      <c r="AZ55" s="87"/>
      <c r="BA55" s="86"/>
      <c r="BB55" s="87"/>
      <c r="BC55" s="86"/>
      <c r="BD55" s="87"/>
      <c r="BE55" s="86"/>
      <c r="BF55" s="87"/>
      <c r="BG55" s="86"/>
      <c r="BH55" s="87"/>
      <c r="BI55" s="86"/>
      <c r="BJ55" s="87"/>
      <c r="BK55" s="86"/>
      <c r="BL55" s="87"/>
      <c r="BM55" s="86"/>
      <c r="BN55" s="50"/>
      <c r="BO55" s="170" t="str">
        <f t="shared" si="2"/>
        <v/>
      </c>
      <c r="BP55" s="87"/>
      <c r="BQ55" s="178" t="str">
        <f t="shared" si="65"/>
        <v/>
      </c>
    </row>
    <row r="56" spans="1:76" x14ac:dyDescent="0.35">
      <c r="A56" s="83" t="s">
        <v>17</v>
      </c>
      <c r="B56" s="54"/>
      <c r="C56" s="174" t="str">
        <f>IF('February 2027 Log'!BG56="","",'February 2027 Log'!BG56)</f>
        <v/>
      </c>
      <c r="D56" s="85"/>
      <c r="E56" s="86"/>
      <c r="F56" s="87"/>
      <c r="G56" s="86"/>
      <c r="H56" s="87"/>
      <c r="I56" s="86"/>
      <c r="J56" s="87"/>
      <c r="K56" s="86"/>
      <c r="L56" s="87"/>
      <c r="M56" s="86"/>
      <c r="N56" s="87"/>
      <c r="O56" s="86"/>
      <c r="P56" s="87"/>
      <c r="Q56" s="86"/>
      <c r="R56" s="87"/>
      <c r="S56" s="86"/>
      <c r="T56" s="87"/>
      <c r="U56" s="86"/>
      <c r="V56" s="87"/>
      <c r="W56" s="86"/>
      <c r="X56" s="87"/>
      <c r="Y56" s="86"/>
      <c r="Z56" s="87"/>
      <c r="AA56" s="86"/>
      <c r="AB56" s="87"/>
      <c r="AC56" s="86"/>
      <c r="AD56" s="87"/>
      <c r="AE56" s="86"/>
      <c r="AF56" s="87"/>
      <c r="AG56" s="86"/>
      <c r="AH56" s="87"/>
      <c r="AI56" s="86"/>
      <c r="AJ56" s="87"/>
      <c r="AK56" s="86"/>
      <c r="AL56" s="87"/>
      <c r="AM56" s="86"/>
      <c r="AN56" s="87"/>
      <c r="AO56" s="86"/>
      <c r="AP56" s="87"/>
      <c r="AQ56" s="86"/>
      <c r="AR56" s="87"/>
      <c r="AS56" s="86"/>
      <c r="AT56" s="87"/>
      <c r="AU56" s="86"/>
      <c r="AV56" s="87"/>
      <c r="AW56" s="86"/>
      <c r="AX56" s="87"/>
      <c r="AY56" s="86"/>
      <c r="AZ56" s="87"/>
      <c r="BA56" s="86"/>
      <c r="BB56" s="87"/>
      <c r="BC56" s="86"/>
      <c r="BD56" s="87"/>
      <c r="BE56" s="86"/>
      <c r="BF56" s="87"/>
      <c r="BG56" s="86"/>
      <c r="BH56" s="87"/>
      <c r="BI56" s="86"/>
      <c r="BJ56" s="87"/>
      <c r="BK56" s="86"/>
      <c r="BL56" s="87"/>
      <c r="BM56" s="86"/>
      <c r="BN56" s="50"/>
      <c r="BO56" s="170" t="str">
        <f t="shared" si="2"/>
        <v/>
      </c>
      <c r="BP56" s="87"/>
      <c r="BQ56" s="178" t="str">
        <f t="shared" si="65"/>
        <v/>
      </c>
    </row>
    <row r="57" spans="1:76" x14ac:dyDescent="0.35">
      <c r="A57" s="89" t="s">
        <v>18</v>
      </c>
      <c r="B57" s="90"/>
      <c r="C57" s="174">
        <f>IF('February 2027 Log'!BG57="","",'February 2027 Log'!BG57)</f>
        <v>0</v>
      </c>
      <c r="D57" s="47"/>
      <c r="E57" s="166">
        <f>SUM(E55:E56)</f>
        <v>0</v>
      </c>
      <c r="F57" s="49"/>
      <c r="G57" s="166">
        <f>SUM(G55:G56)</f>
        <v>0</v>
      </c>
      <c r="H57" s="49"/>
      <c r="I57" s="166">
        <f>SUM(I55:I56)</f>
        <v>0</v>
      </c>
      <c r="J57" s="49"/>
      <c r="K57" s="166">
        <f>SUM(K55:K56)</f>
        <v>0</v>
      </c>
      <c r="L57" s="49"/>
      <c r="M57" s="166">
        <f>SUM(M55:M56)</f>
        <v>0</v>
      </c>
      <c r="N57" s="49"/>
      <c r="O57" s="166">
        <f>SUM(O55:O56)</f>
        <v>0</v>
      </c>
      <c r="P57" s="49"/>
      <c r="Q57" s="166">
        <f>SUM(Q55:Q56)</f>
        <v>0</v>
      </c>
      <c r="R57" s="49"/>
      <c r="S57" s="166">
        <f>SUM(S55:S56)</f>
        <v>0</v>
      </c>
      <c r="T57" s="49"/>
      <c r="U57" s="166">
        <f>SUM(U55:U56)</f>
        <v>0</v>
      </c>
      <c r="V57" s="49"/>
      <c r="W57" s="166">
        <f>SUM(W55:W56)</f>
        <v>0</v>
      </c>
      <c r="X57" s="49"/>
      <c r="Y57" s="166">
        <f>SUM(Y55:Y56)</f>
        <v>0</v>
      </c>
      <c r="Z57" s="49"/>
      <c r="AA57" s="166">
        <f>SUM(AA55:AA56)</f>
        <v>0</v>
      </c>
      <c r="AB57" s="49"/>
      <c r="AC57" s="166">
        <f>SUM(AC55:AC56)</f>
        <v>0</v>
      </c>
      <c r="AD57" s="49"/>
      <c r="AE57" s="166">
        <f>SUM(AE55:AE56)</f>
        <v>0</v>
      </c>
      <c r="AF57" s="49"/>
      <c r="AG57" s="166">
        <f>SUM(AG55:AG56)</f>
        <v>0</v>
      </c>
      <c r="AH57" s="49"/>
      <c r="AI57" s="166">
        <f>SUM(AI55:AI56)</f>
        <v>0</v>
      </c>
      <c r="AJ57" s="49"/>
      <c r="AK57" s="166">
        <f>SUM(AK55:AK56)</f>
        <v>0</v>
      </c>
      <c r="AL57" s="49"/>
      <c r="AM57" s="166">
        <f>SUM(AM55:AM56)</f>
        <v>0</v>
      </c>
      <c r="AN57" s="49"/>
      <c r="AO57" s="166">
        <f>SUM(AO55:AO56)</f>
        <v>0</v>
      </c>
      <c r="AP57" s="49"/>
      <c r="AQ57" s="166">
        <f>SUM(AQ55:AQ56)</f>
        <v>0</v>
      </c>
      <c r="AR57" s="49"/>
      <c r="AS57" s="166">
        <f>SUM(AS55:AS56)</f>
        <v>0</v>
      </c>
      <c r="AT57" s="49"/>
      <c r="AU57" s="166">
        <f>SUM(AU55:AU56)</f>
        <v>0</v>
      </c>
      <c r="AV57" s="49"/>
      <c r="AW57" s="166">
        <f>SUM(AW55:AW56)</f>
        <v>0</v>
      </c>
      <c r="AX57" s="49"/>
      <c r="AY57" s="166">
        <f>SUM(AY55:AY56)</f>
        <v>0</v>
      </c>
      <c r="AZ57" s="49"/>
      <c r="BA57" s="166">
        <f>SUM(BA55:BA56)</f>
        <v>0</v>
      </c>
      <c r="BB57" s="49"/>
      <c r="BC57" s="166">
        <f>SUM(BC55:BC56)</f>
        <v>0</v>
      </c>
      <c r="BD57" s="49"/>
      <c r="BE57" s="166">
        <f>SUM(BE55:BE56)</f>
        <v>0</v>
      </c>
      <c r="BF57" s="49"/>
      <c r="BG57" s="166">
        <f>SUM(BG55:BG56)</f>
        <v>0</v>
      </c>
      <c r="BH57" s="49"/>
      <c r="BI57" s="166">
        <f>SUM(BI55:BI56)</f>
        <v>0</v>
      </c>
      <c r="BJ57" s="49"/>
      <c r="BK57" s="166">
        <f>SUM(BK55:BK56)</f>
        <v>0</v>
      </c>
      <c r="BL57" s="49"/>
      <c r="BM57" s="166">
        <f>SUM(BM55:BM56)</f>
        <v>0</v>
      </c>
      <c r="BN57" s="50"/>
      <c r="BO57" s="170">
        <f t="shared" si="2"/>
        <v>0</v>
      </c>
      <c r="BP57" s="49"/>
      <c r="BQ57" s="172">
        <f t="shared" si="65"/>
        <v>0</v>
      </c>
    </row>
    <row r="58" spans="1:76" x14ac:dyDescent="0.35">
      <c r="A58" s="108" t="s">
        <v>19</v>
      </c>
      <c r="B58" s="109"/>
      <c r="C58" s="174">
        <f>IF('February 2027 Log'!BG58="","",'February 2027 Log'!BG58)</f>
        <v>0</v>
      </c>
      <c r="D58" s="47"/>
      <c r="E58" s="166">
        <f>+E54-E57</f>
        <v>0</v>
      </c>
      <c r="F58" s="49"/>
      <c r="G58" s="166">
        <f>+G54-G57</f>
        <v>0</v>
      </c>
      <c r="H58" s="49"/>
      <c r="I58" s="166">
        <f>+I54-I57</f>
        <v>0</v>
      </c>
      <c r="J58" s="49"/>
      <c r="K58" s="166">
        <f>+K54-K57</f>
        <v>0</v>
      </c>
      <c r="L58" s="49"/>
      <c r="M58" s="166">
        <f>+M54-M57</f>
        <v>0</v>
      </c>
      <c r="N58" s="49"/>
      <c r="O58" s="166">
        <f>+O54-O57</f>
        <v>0</v>
      </c>
      <c r="P58" s="49"/>
      <c r="Q58" s="166">
        <f>+Q54-Q57</f>
        <v>0</v>
      </c>
      <c r="R58" s="49"/>
      <c r="S58" s="166">
        <f>+S54-S57</f>
        <v>0</v>
      </c>
      <c r="T58" s="49"/>
      <c r="U58" s="166">
        <f>+U54-U57</f>
        <v>0</v>
      </c>
      <c r="V58" s="49"/>
      <c r="W58" s="166">
        <f>+W54-W57</f>
        <v>0</v>
      </c>
      <c r="X58" s="49"/>
      <c r="Y58" s="166">
        <f>+Y54-Y57</f>
        <v>0</v>
      </c>
      <c r="Z58" s="49"/>
      <c r="AA58" s="166">
        <f>+AA54-AA57</f>
        <v>0</v>
      </c>
      <c r="AB58" s="49"/>
      <c r="AC58" s="166">
        <f>+AC54-AC57</f>
        <v>0</v>
      </c>
      <c r="AD58" s="49"/>
      <c r="AE58" s="166">
        <f>+AE54-AE57</f>
        <v>0</v>
      </c>
      <c r="AF58" s="49"/>
      <c r="AG58" s="166">
        <f>+AG54-AG57</f>
        <v>0</v>
      </c>
      <c r="AH58" s="49"/>
      <c r="AI58" s="166">
        <f>+AI54-AI57</f>
        <v>0</v>
      </c>
      <c r="AJ58" s="49"/>
      <c r="AK58" s="166">
        <f>+AK54-AK57</f>
        <v>0</v>
      </c>
      <c r="AL58" s="49"/>
      <c r="AM58" s="166">
        <f>+AM54-AM57</f>
        <v>0</v>
      </c>
      <c r="AN58" s="49"/>
      <c r="AO58" s="166">
        <f>+AO54-AO57</f>
        <v>0</v>
      </c>
      <c r="AP58" s="49"/>
      <c r="AQ58" s="166">
        <f>+AQ54-AQ57</f>
        <v>0</v>
      </c>
      <c r="AR58" s="49"/>
      <c r="AS58" s="166">
        <f>+AS54-AS57</f>
        <v>0</v>
      </c>
      <c r="AT58" s="49"/>
      <c r="AU58" s="166">
        <f>+AU54-AU57</f>
        <v>0</v>
      </c>
      <c r="AV58" s="49"/>
      <c r="AW58" s="166">
        <f>+AW54-AW57</f>
        <v>0</v>
      </c>
      <c r="AX58" s="49"/>
      <c r="AY58" s="166">
        <f>+AY54-AY57</f>
        <v>0</v>
      </c>
      <c r="AZ58" s="49"/>
      <c r="BA58" s="166">
        <f>+BA54-BA57</f>
        <v>0</v>
      </c>
      <c r="BB58" s="49"/>
      <c r="BC58" s="166">
        <f>+BC54-BC57</f>
        <v>0</v>
      </c>
      <c r="BD58" s="49"/>
      <c r="BE58" s="166">
        <f>+BE54-BE57</f>
        <v>0</v>
      </c>
      <c r="BF58" s="49"/>
      <c r="BG58" s="166">
        <f>+BG54-BG57</f>
        <v>0</v>
      </c>
      <c r="BH58" s="49"/>
      <c r="BI58" s="166">
        <f>+BI54-BI57</f>
        <v>0</v>
      </c>
      <c r="BJ58" s="49"/>
      <c r="BK58" s="166">
        <f>+BK54-BK57</f>
        <v>0</v>
      </c>
      <c r="BL58" s="49"/>
      <c r="BM58" s="166">
        <f>+BM54-BM57</f>
        <v>0</v>
      </c>
      <c r="BN58" s="50"/>
      <c r="BO58" s="170">
        <f t="shared" si="2"/>
        <v>0</v>
      </c>
      <c r="BP58" s="49"/>
      <c r="BQ58" s="172">
        <f t="shared" si="65"/>
        <v>0</v>
      </c>
    </row>
    <row r="59" spans="1:76" x14ac:dyDescent="0.35">
      <c r="A59" s="108" t="s">
        <v>20</v>
      </c>
      <c r="B59" s="109"/>
      <c r="C59" s="174">
        <f>IF('February 2027 Log'!BG59="","",'February 2027 Log'!BG59)</f>
        <v>0</v>
      </c>
      <c r="D59" s="47"/>
      <c r="E59" s="166">
        <f>-E25+E26</f>
        <v>0</v>
      </c>
      <c r="F59" s="49"/>
      <c r="G59" s="166">
        <f>-G25+G26</f>
        <v>0</v>
      </c>
      <c r="H59" s="49"/>
      <c r="I59" s="166">
        <f>-I25+I26</f>
        <v>0</v>
      </c>
      <c r="J59" s="49"/>
      <c r="K59" s="166">
        <f>-K25+K26</f>
        <v>0</v>
      </c>
      <c r="L59" s="49"/>
      <c r="M59" s="166">
        <f>-M25+M26</f>
        <v>0</v>
      </c>
      <c r="N59" s="49"/>
      <c r="O59" s="166">
        <f>-O25+O26</f>
        <v>0</v>
      </c>
      <c r="P59" s="49"/>
      <c r="Q59" s="166">
        <f>-Q25+Q26</f>
        <v>0</v>
      </c>
      <c r="R59" s="49"/>
      <c r="S59" s="166">
        <f>-S25+S26</f>
        <v>0</v>
      </c>
      <c r="T59" s="49"/>
      <c r="U59" s="166">
        <f>-U25+U26</f>
        <v>0</v>
      </c>
      <c r="V59" s="49"/>
      <c r="W59" s="166">
        <f>-W25+W26</f>
        <v>0</v>
      </c>
      <c r="X59" s="49"/>
      <c r="Y59" s="166">
        <f>-Y25+Y26</f>
        <v>0</v>
      </c>
      <c r="Z59" s="49"/>
      <c r="AA59" s="166">
        <f>-AA25+AA26</f>
        <v>0</v>
      </c>
      <c r="AB59" s="49"/>
      <c r="AC59" s="166">
        <f>-AC25+AC26</f>
        <v>0</v>
      </c>
      <c r="AD59" s="49"/>
      <c r="AE59" s="166">
        <f>-AE25+AE26</f>
        <v>0</v>
      </c>
      <c r="AF59" s="49"/>
      <c r="AG59" s="166">
        <f>-AG25+AG26</f>
        <v>0</v>
      </c>
      <c r="AH59" s="49"/>
      <c r="AI59" s="166">
        <f>-AI25+AI26</f>
        <v>0</v>
      </c>
      <c r="AJ59" s="49"/>
      <c r="AK59" s="166">
        <f>-AK25+AK26</f>
        <v>0</v>
      </c>
      <c r="AL59" s="49"/>
      <c r="AM59" s="166">
        <f>-AM25+AM26</f>
        <v>0</v>
      </c>
      <c r="AN59" s="49"/>
      <c r="AO59" s="166">
        <f>-AO25+AO26</f>
        <v>0</v>
      </c>
      <c r="AP59" s="49"/>
      <c r="AQ59" s="166">
        <f>-AQ25+AQ26</f>
        <v>0</v>
      </c>
      <c r="AR59" s="49"/>
      <c r="AS59" s="166">
        <f>-AS25+AS26</f>
        <v>0</v>
      </c>
      <c r="AT59" s="49"/>
      <c r="AU59" s="166">
        <f>-AU25+AU26</f>
        <v>0</v>
      </c>
      <c r="AV59" s="49"/>
      <c r="AW59" s="166">
        <f>-AW25+AW26</f>
        <v>0</v>
      </c>
      <c r="AX59" s="49"/>
      <c r="AY59" s="166">
        <f>-AY25+AY26</f>
        <v>0</v>
      </c>
      <c r="AZ59" s="49"/>
      <c r="BA59" s="166">
        <f>-BA25+BA26</f>
        <v>0</v>
      </c>
      <c r="BB59" s="49"/>
      <c r="BC59" s="166">
        <f>-BC25+BC26</f>
        <v>0</v>
      </c>
      <c r="BD59" s="49"/>
      <c r="BE59" s="166">
        <f>-BE25+BE26</f>
        <v>0</v>
      </c>
      <c r="BF59" s="49"/>
      <c r="BG59" s="166">
        <f>-BG25+BG26</f>
        <v>0</v>
      </c>
      <c r="BH59" s="49"/>
      <c r="BI59" s="166">
        <f>-BI25+BI26</f>
        <v>0</v>
      </c>
      <c r="BJ59" s="49"/>
      <c r="BK59" s="166">
        <f>-BK25+BK26</f>
        <v>0</v>
      </c>
      <c r="BL59" s="49"/>
      <c r="BM59" s="166">
        <f>-BM25+BM26</f>
        <v>0</v>
      </c>
      <c r="BN59" s="50"/>
      <c r="BO59" s="170">
        <f t="shared" si="2"/>
        <v>0</v>
      </c>
      <c r="BP59" s="49"/>
      <c r="BQ59" s="172">
        <f t="shared" si="65"/>
        <v>0</v>
      </c>
    </row>
    <row r="60" spans="1:76" x14ac:dyDescent="0.35">
      <c r="A60" s="74"/>
      <c r="B60" s="75"/>
      <c r="C60" s="141"/>
      <c r="D60" s="102"/>
      <c r="E60" s="142"/>
      <c r="F60" s="104"/>
      <c r="G60" s="142"/>
      <c r="H60" s="104"/>
      <c r="I60" s="142"/>
      <c r="J60" s="104"/>
      <c r="K60" s="142"/>
      <c r="L60" s="104"/>
      <c r="M60" s="142"/>
      <c r="N60" s="104"/>
      <c r="O60" s="142"/>
      <c r="P60" s="104"/>
      <c r="Q60" s="142"/>
      <c r="R60" s="104"/>
      <c r="S60" s="142"/>
      <c r="T60" s="104"/>
      <c r="U60" s="142"/>
      <c r="V60" s="104"/>
      <c r="W60" s="142"/>
      <c r="X60" s="104"/>
      <c r="Y60" s="142"/>
      <c r="Z60" s="104"/>
      <c r="AA60" s="142"/>
      <c r="AB60" s="104"/>
      <c r="AC60" s="142"/>
      <c r="AD60" s="104"/>
      <c r="AE60" s="142"/>
      <c r="AF60" s="104"/>
      <c r="AG60" s="142"/>
      <c r="AH60" s="104"/>
      <c r="AI60" s="142"/>
      <c r="AJ60" s="104"/>
      <c r="AK60" s="142"/>
      <c r="AL60" s="104"/>
      <c r="AM60" s="142"/>
      <c r="AN60" s="104"/>
      <c r="AO60" s="142"/>
      <c r="AP60" s="104"/>
      <c r="AQ60" s="142"/>
      <c r="AR60" s="104"/>
      <c r="AS60" s="142"/>
      <c r="AT60" s="104"/>
      <c r="AU60" s="142"/>
      <c r="AV60" s="104"/>
      <c r="AW60" s="142"/>
      <c r="AX60" s="104"/>
      <c r="AY60" s="142"/>
      <c r="AZ60" s="104"/>
      <c r="BA60" s="142"/>
      <c r="BB60" s="104"/>
      <c r="BC60" s="142"/>
      <c r="BD60" s="104"/>
      <c r="BE60" s="142"/>
      <c r="BF60" s="104"/>
      <c r="BG60" s="142"/>
      <c r="BH60" s="104"/>
      <c r="BI60" s="142"/>
      <c r="BJ60" s="104"/>
      <c r="BK60" s="142"/>
      <c r="BL60" s="104"/>
      <c r="BM60" s="142"/>
      <c r="BN60" s="105"/>
      <c r="BO60" s="106"/>
      <c r="BP60" s="104"/>
      <c r="BQ60" s="107"/>
    </row>
    <row r="61" spans="1:76" s="8" customFormat="1" x14ac:dyDescent="0.35">
      <c r="A61" s="213" t="s">
        <v>68</v>
      </c>
      <c r="B61" s="214"/>
      <c r="C61" s="215"/>
      <c r="D61" s="47"/>
      <c r="E61" s="166" t="e">
        <f t="shared" ref="E61" si="66">+E73-D67</f>
        <v>#VALUE!</v>
      </c>
      <c r="F61" s="49"/>
      <c r="G61" s="166">
        <f t="shared" ref="G61" si="67">+G73-F67</f>
        <v>0</v>
      </c>
      <c r="H61" s="49"/>
      <c r="I61" s="166">
        <f t="shared" ref="I61" si="68">+I73-H67</f>
        <v>0</v>
      </c>
      <c r="J61" s="49"/>
      <c r="K61" s="166">
        <f t="shared" ref="K61" si="69">+K73-J67</f>
        <v>0</v>
      </c>
      <c r="L61" s="49"/>
      <c r="M61" s="166">
        <f t="shared" ref="M61" si="70">+M73-L67</f>
        <v>0</v>
      </c>
      <c r="N61" s="49"/>
      <c r="O61" s="166">
        <f t="shared" ref="O61" si="71">+O73-N67</f>
        <v>0</v>
      </c>
      <c r="P61" s="49"/>
      <c r="Q61" s="166">
        <f t="shared" ref="Q61" si="72">+Q73-P67</f>
        <v>0</v>
      </c>
      <c r="R61" s="49"/>
      <c r="S61" s="166">
        <f t="shared" ref="S61" si="73">+S73-R67</f>
        <v>0</v>
      </c>
      <c r="T61" s="49"/>
      <c r="U61" s="166">
        <f t="shared" ref="U61" si="74">+U73-T67</f>
        <v>0</v>
      </c>
      <c r="V61" s="49"/>
      <c r="W61" s="166">
        <f t="shared" ref="W61" si="75">+W73-V67</f>
        <v>0</v>
      </c>
      <c r="X61" s="49"/>
      <c r="Y61" s="166">
        <f t="shared" ref="Y61" si="76">+Y73-X67</f>
        <v>0</v>
      </c>
      <c r="Z61" s="49"/>
      <c r="AA61" s="166">
        <f t="shared" ref="AA61" si="77">+AA73-Z67</f>
        <v>0</v>
      </c>
      <c r="AB61" s="49"/>
      <c r="AC61" s="166">
        <f t="shared" ref="AC61" si="78">+AC73-AB67</f>
        <v>0</v>
      </c>
      <c r="AD61" s="49"/>
      <c r="AE61" s="166">
        <f t="shared" ref="AE61" si="79">+AE73-AD67</f>
        <v>0</v>
      </c>
      <c r="AF61" s="49"/>
      <c r="AG61" s="166">
        <f t="shared" ref="AG61" si="80">+AG73-AF67</f>
        <v>0</v>
      </c>
      <c r="AH61" s="49"/>
      <c r="AI61" s="166">
        <f t="shared" ref="AI61" si="81">+AI73-AH67</f>
        <v>0</v>
      </c>
      <c r="AJ61" s="49"/>
      <c r="AK61" s="166">
        <f t="shared" ref="AK61" si="82">+AK73-AJ67</f>
        <v>0</v>
      </c>
      <c r="AL61" s="49"/>
      <c r="AM61" s="166">
        <f t="shared" ref="AM61" si="83">+AM73-AL67</f>
        <v>0</v>
      </c>
      <c r="AN61" s="49"/>
      <c r="AO61" s="166">
        <f t="shared" ref="AO61" si="84">+AO73-AN67</f>
        <v>0</v>
      </c>
      <c r="AP61" s="49"/>
      <c r="AQ61" s="166">
        <f t="shared" ref="AQ61" si="85">+AQ73-AP67</f>
        <v>0</v>
      </c>
      <c r="AR61" s="49"/>
      <c r="AS61" s="166">
        <f t="shared" ref="AS61" si="86">+AS73-AR67</f>
        <v>0</v>
      </c>
      <c r="AT61" s="49"/>
      <c r="AU61" s="166">
        <f t="shared" ref="AU61" si="87">+AU73-AT67</f>
        <v>0</v>
      </c>
      <c r="AV61" s="49"/>
      <c r="AW61" s="166">
        <f t="shared" ref="AW61" si="88">+AW73-AV67</f>
        <v>0</v>
      </c>
      <c r="AX61" s="49"/>
      <c r="AY61" s="166">
        <f t="shared" ref="AY61" si="89">+AY73-AX67</f>
        <v>0</v>
      </c>
      <c r="AZ61" s="49"/>
      <c r="BA61" s="166">
        <f t="shared" ref="BA61" si="90">+BA73-AZ67</f>
        <v>0</v>
      </c>
      <c r="BB61" s="49"/>
      <c r="BC61" s="166">
        <f t="shared" ref="BC61" si="91">+BC73-BB67</f>
        <v>0</v>
      </c>
      <c r="BD61" s="49"/>
      <c r="BE61" s="166">
        <f t="shared" ref="BE61" si="92">+BE73-BD67</f>
        <v>0</v>
      </c>
      <c r="BF61" s="49"/>
      <c r="BG61" s="166">
        <f>+BG73-BF67</f>
        <v>0</v>
      </c>
      <c r="BH61" s="49"/>
      <c r="BI61" s="166">
        <f>+BI73-BH67</f>
        <v>0</v>
      </c>
      <c r="BJ61" s="49"/>
      <c r="BK61" s="166">
        <f t="shared" ref="BK61" si="93">+BK73-BJ67</f>
        <v>0</v>
      </c>
      <c r="BL61" s="49"/>
      <c r="BM61" s="166">
        <f t="shared" ref="BM61" si="94">+BM73-BL67</f>
        <v>0</v>
      </c>
      <c r="BN61" s="50"/>
      <c r="BO61" s="170" t="e">
        <f>IF(COUNT(E61,G61,I61,K61,M61,O61,Q61,S61,U61,W61,Y61,AA61,AC61,AE61,AG61,AI61,AK61,AM61,AO61,AQ61,AS61,AU61,AW61,AY61,BA61,BC61,BE61,BG61,BI61,BK61,BM61)=0,"",SUM(E61,G61,I61,K61,M61,O61,Q61,S61,U61,W61,Y61,AA61,AC61,AE61,AG61,AI61,AK61,AM61,AO61,AQ61,AS61,AU61,AW61,AY61,BA61,BC61,BE61,BG61,BI61,BK61,BM61))</f>
        <v>#VALUE!</v>
      </c>
      <c r="BP61" s="49"/>
      <c r="BQ61" s="52"/>
      <c r="BR61"/>
      <c r="BS61"/>
      <c r="BT61"/>
      <c r="BU61"/>
      <c r="BV61"/>
      <c r="BW61"/>
      <c r="BX61"/>
    </row>
    <row r="62" spans="1:76" x14ac:dyDescent="0.35">
      <c r="A62" s="53" t="s">
        <v>24</v>
      </c>
      <c r="B62" s="187" t="e">
        <f>C62-C106</f>
        <v>#VALUE!</v>
      </c>
      <c r="C62" s="174" t="str">
        <f>IF('February 2027 Log'!BG62="","",'February 2027 Log'!BG62)</f>
        <v/>
      </c>
      <c r="D62" s="189" t="e">
        <f>+C62-E62+E106</f>
        <v>#VALUE!</v>
      </c>
      <c r="E62" s="48"/>
      <c r="F62" s="167">
        <f>+E62-G62+G106</f>
        <v>0</v>
      </c>
      <c r="G62" s="48"/>
      <c r="H62" s="167">
        <f>+G62-I62+I106</f>
        <v>0</v>
      </c>
      <c r="I62" s="48"/>
      <c r="J62" s="167">
        <f>+I62-K62+K106</f>
        <v>0</v>
      </c>
      <c r="K62" s="48"/>
      <c r="L62" s="167">
        <f>+K62-M62+M106</f>
        <v>0</v>
      </c>
      <c r="M62" s="48"/>
      <c r="N62" s="167">
        <f>+M62-O62+O106</f>
        <v>0</v>
      </c>
      <c r="O62" s="48"/>
      <c r="P62" s="167">
        <f>+O62-Q62+Q106</f>
        <v>0</v>
      </c>
      <c r="Q62" s="48"/>
      <c r="R62" s="167">
        <f>+Q62-S62+S106</f>
        <v>0</v>
      </c>
      <c r="S62" s="48"/>
      <c r="T62" s="167">
        <f>+S62-U62+U106</f>
        <v>0</v>
      </c>
      <c r="U62" s="48"/>
      <c r="V62" s="167">
        <f>+U62-W62+W106</f>
        <v>0</v>
      </c>
      <c r="W62" s="48"/>
      <c r="X62" s="167">
        <f>+W62-Y62+Y106</f>
        <v>0</v>
      </c>
      <c r="Y62" s="48"/>
      <c r="Z62" s="167">
        <f>+Y62-AA62+AA106</f>
        <v>0</v>
      </c>
      <c r="AA62" s="48"/>
      <c r="AB62" s="167">
        <f>+AA62-AC62+AC106</f>
        <v>0</v>
      </c>
      <c r="AC62" s="48"/>
      <c r="AD62" s="167">
        <f>+AC62-AE62+AE106</f>
        <v>0</v>
      </c>
      <c r="AE62" s="48"/>
      <c r="AF62" s="167">
        <f>+AE62-AG62+AG106</f>
        <v>0</v>
      </c>
      <c r="AG62" s="48"/>
      <c r="AH62" s="167">
        <f>+AG62-AI62+AI106</f>
        <v>0</v>
      </c>
      <c r="AI62" s="48"/>
      <c r="AJ62" s="167">
        <f>+AI62-AK62+AK106</f>
        <v>0</v>
      </c>
      <c r="AK62" s="48"/>
      <c r="AL62" s="167">
        <f>+AK62-AM62+AM106</f>
        <v>0</v>
      </c>
      <c r="AM62" s="48"/>
      <c r="AN62" s="167">
        <f>+AM62-AO62+AO106</f>
        <v>0</v>
      </c>
      <c r="AO62" s="48"/>
      <c r="AP62" s="167">
        <f>+AO62-AQ62+AQ106</f>
        <v>0</v>
      </c>
      <c r="AQ62" s="48"/>
      <c r="AR62" s="167">
        <f>+AQ62-AS62+AS106</f>
        <v>0</v>
      </c>
      <c r="AS62" s="48"/>
      <c r="AT62" s="167">
        <f>+AS62-AU62+AU106</f>
        <v>0</v>
      </c>
      <c r="AU62" s="48"/>
      <c r="AV62" s="167">
        <f>+AU62-AW62+AW106</f>
        <v>0</v>
      </c>
      <c r="AW62" s="48"/>
      <c r="AX62" s="167">
        <f>+AW62-AY62+AY106</f>
        <v>0</v>
      </c>
      <c r="AY62" s="48"/>
      <c r="AZ62" s="167">
        <f>+AY62-BA62+BA106</f>
        <v>0</v>
      </c>
      <c r="BA62" s="48"/>
      <c r="BB62" s="167">
        <f>+BA62-BC62+BC106</f>
        <v>0</v>
      </c>
      <c r="BC62" s="48"/>
      <c r="BD62" s="167">
        <f>+BC62-BE62+BE106</f>
        <v>0</v>
      </c>
      <c r="BE62" s="48"/>
      <c r="BF62" s="167">
        <f>+BE62-BG62+BG106</f>
        <v>0</v>
      </c>
      <c r="BG62" s="48"/>
      <c r="BH62" s="167">
        <f>+BG62-BI62+BI106</f>
        <v>0</v>
      </c>
      <c r="BI62" s="48"/>
      <c r="BJ62" s="167">
        <f>+BI62-BK62+BK106</f>
        <v>0</v>
      </c>
      <c r="BK62" s="48"/>
      <c r="BL62" s="167">
        <f>+BK62-BM62+BM106</f>
        <v>0</v>
      </c>
      <c r="BM62" s="48"/>
      <c r="BN62" s="50"/>
      <c r="BO62" s="170" t="e">
        <f>IF(COUNT(D62,F62,H62,J62,L62,N62,P62,R62,T62,V62,X62,Z62,AB62,AD62,AF62,AH62,AJ62,AL62,AN62,AP62,AR62,AT62,AV62,AX62,AZ62,BB62,BD62,BF62,BH62,BJ62,BL62)=0,"",SUM(D62,F62,H62,J62,L62,N62,P62,R62,T62,V62,X62,Z62,AB62,AD62,AF62,AH62,AJ62,AL62,AN62,AP62,AR62,AT62,AV62,AX62,AZ62,BB62,BD62,BF62,BH62,BJ62,BL62))</f>
        <v>#VALUE!</v>
      </c>
      <c r="BP62" s="167" t="e">
        <f>+BM62-BQ62+BQ106</f>
        <v>#VALUE!</v>
      </c>
      <c r="BQ62" s="178" t="str">
        <f>IF(BM62="","",BM62)</f>
        <v/>
      </c>
    </row>
    <row r="63" spans="1:76" x14ac:dyDescent="0.35">
      <c r="A63" s="53" t="s">
        <v>25</v>
      </c>
      <c r="B63" s="187" t="e">
        <f>C63-C107</f>
        <v>#VALUE!</v>
      </c>
      <c r="C63" s="174" t="str">
        <f>IF('February 2027 Log'!BG63="","",'February 2027 Log'!BG63)</f>
        <v/>
      </c>
      <c r="D63" s="189" t="e">
        <f>+C63-E63+E107</f>
        <v>#VALUE!</v>
      </c>
      <c r="E63" s="48"/>
      <c r="F63" s="167">
        <f>+E63-G63+G107</f>
        <v>0</v>
      </c>
      <c r="G63" s="48"/>
      <c r="H63" s="167">
        <f>+G63-I63+I107</f>
        <v>0</v>
      </c>
      <c r="I63" s="48"/>
      <c r="J63" s="167">
        <f>+I63-K63+K107</f>
        <v>0</v>
      </c>
      <c r="K63" s="48"/>
      <c r="L63" s="167">
        <f>+K63-M63+M107</f>
        <v>0</v>
      </c>
      <c r="M63" s="48"/>
      <c r="N63" s="167">
        <f>+M63-O63+O107</f>
        <v>0</v>
      </c>
      <c r="O63" s="48"/>
      <c r="P63" s="167">
        <f>+O63-Q63+Q107</f>
        <v>0</v>
      </c>
      <c r="Q63" s="48"/>
      <c r="R63" s="167">
        <f>+Q63-S63+S107</f>
        <v>0</v>
      </c>
      <c r="S63" s="48"/>
      <c r="T63" s="167">
        <f>+S63-U63+U107</f>
        <v>0</v>
      </c>
      <c r="U63" s="48"/>
      <c r="V63" s="167">
        <f>+U63-W63+W107</f>
        <v>0</v>
      </c>
      <c r="W63" s="48"/>
      <c r="X63" s="167">
        <f>+W63-Y63+Y107</f>
        <v>0</v>
      </c>
      <c r="Y63" s="48"/>
      <c r="Z63" s="167">
        <f>+Y63-AA63+AA107</f>
        <v>0</v>
      </c>
      <c r="AA63" s="48"/>
      <c r="AB63" s="167">
        <f>+AA63-AC63+AC107</f>
        <v>0</v>
      </c>
      <c r="AC63" s="48"/>
      <c r="AD63" s="167">
        <f>+AC63-AE63+AE107</f>
        <v>0</v>
      </c>
      <c r="AE63" s="48"/>
      <c r="AF63" s="167">
        <f>+AE63-AG63+AG107</f>
        <v>0</v>
      </c>
      <c r="AG63" s="48"/>
      <c r="AH63" s="167">
        <f>+AG63-AI63+AI107</f>
        <v>0</v>
      </c>
      <c r="AI63" s="48"/>
      <c r="AJ63" s="167">
        <f>+AI63-AK63+AK107</f>
        <v>0</v>
      </c>
      <c r="AK63" s="48"/>
      <c r="AL63" s="167">
        <f>+AK63-AM63+AM107</f>
        <v>0</v>
      </c>
      <c r="AM63" s="48"/>
      <c r="AN63" s="167">
        <f>+AM63-AO63+AO107</f>
        <v>0</v>
      </c>
      <c r="AO63" s="48"/>
      <c r="AP63" s="167">
        <f>+AO63-AQ63+AQ107</f>
        <v>0</v>
      </c>
      <c r="AQ63" s="48"/>
      <c r="AR63" s="167">
        <f>+AQ63-AS63+AS107</f>
        <v>0</v>
      </c>
      <c r="AS63" s="48"/>
      <c r="AT63" s="167">
        <f>+AS63-AU63+AU107</f>
        <v>0</v>
      </c>
      <c r="AU63" s="48"/>
      <c r="AV63" s="167">
        <f>+AU63-AW63+AW107</f>
        <v>0</v>
      </c>
      <c r="AW63" s="48"/>
      <c r="AX63" s="167">
        <f>+AW63-AY63+AY107</f>
        <v>0</v>
      </c>
      <c r="AY63" s="48"/>
      <c r="AZ63" s="167">
        <f>+AY63-BA63+BA107</f>
        <v>0</v>
      </c>
      <c r="BA63" s="48"/>
      <c r="BB63" s="167">
        <f>+BA63-BC63+BC107</f>
        <v>0</v>
      </c>
      <c r="BC63" s="48"/>
      <c r="BD63" s="167">
        <f>+BC63-BE63+BE107</f>
        <v>0</v>
      </c>
      <c r="BE63" s="48"/>
      <c r="BF63" s="167">
        <f>+BE63-BG63+BG107</f>
        <v>0</v>
      </c>
      <c r="BG63" s="48"/>
      <c r="BH63" s="167">
        <f>+BG63-BI63+BI107</f>
        <v>0</v>
      </c>
      <c r="BI63" s="48"/>
      <c r="BJ63" s="167">
        <f>+BI63-BK63+BK107</f>
        <v>0</v>
      </c>
      <c r="BK63" s="48"/>
      <c r="BL63" s="167">
        <f>+BK63-BM63+BM107</f>
        <v>0</v>
      </c>
      <c r="BM63" s="48"/>
      <c r="BN63" s="50"/>
      <c r="BO63" s="170" t="e">
        <f>IF(COUNT(D63,F63,H63,J63,L63,N63,P63,R63,T63,V63,X63,Z63,AB63,AD63,AF63,AH63,AJ63,AL63,AN63,AP63,AR63,AT63,AV63,AX63,AZ63,BB63,BD63,BF63,BH63,BJ63,BL63)=0,"",SUM(D63,F63,H63,J63,L63,N63,P63,R63,T63,V63,X63,Z63,AB63,AD63,AF63,AH63,AJ63,AL63,AN63,AP63,AR63,AT63,AV63,AX63,AZ63,BB63,BD63,BF63,BH63,BJ63,BL63))</f>
        <v>#VALUE!</v>
      </c>
      <c r="BP63" s="167" t="e">
        <f>+BM63-BQ63+BQ107</f>
        <v>#VALUE!</v>
      </c>
      <c r="BQ63" s="178" t="str">
        <f>IF(BM63="","",BM63)</f>
        <v/>
      </c>
    </row>
    <row r="64" spans="1:76" x14ac:dyDescent="0.35">
      <c r="A64" s="53" t="s">
        <v>25</v>
      </c>
      <c r="B64" s="187" t="e">
        <f>C64-C108</f>
        <v>#VALUE!</v>
      </c>
      <c r="C64" s="174" t="str">
        <f>IF('February 2027 Log'!BG64="","",'February 2027 Log'!BG64)</f>
        <v/>
      </c>
      <c r="D64" s="189" t="e">
        <f>+C64-E64+E108</f>
        <v>#VALUE!</v>
      </c>
      <c r="E64" s="48"/>
      <c r="F64" s="167">
        <f>+E64-G64+G108</f>
        <v>0</v>
      </c>
      <c r="G64" s="48"/>
      <c r="H64" s="167">
        <f>+G64-I64+I108</f>
        <v>0</v>
      </c>
      <c r="I64" s="48"/>
      <c r="J64" s="167">
        <f>+I64-K64+K108</f>
        <v>0</v>
      </c>
      <c r="K64" s="48"/>
      <c r="L64" s="167">
        <f>+K64-M64+M108</f>
        <v>0</v>
      </c>
      <c r="M64" s="48"/>
      <c r="N64" s="167">
        <f>+M64-O64+O108</f>
        <v>0</v>
      </c>
      <c r="O64" s="48"/>
      <c r="P64" s="167">
        <f>+O64-Q64+Q108</f>
        <v>0</v>
      </c>
      <c r="Q64" s="48"/>
      <c r="R64" s="167">
        <f>+Q64-S64+S108</f>
        <v>0</v>
      </c>
      <c r="S64" s="48"/>
      <c r="T64" s="167">
        <f>+S64-U64+U108</f>
        <v>0</v>
      </c>
      <c r="U64" s="48"/>
      <c r="V64" s="167">
        <f>+U64-W64+W108</f>
        <v>0</v>
      </c>
      <c r="W64" s="48"/>
      <c r="X64" s="167">
        <f>+W64-Y64+Y108</f>
        <v>0</v>
      </c>
      <c r="Y64" s="48"/>
      <c r="Z64" s="167">
        <f>+Y64-AA64+AA108</f>
        <v>0</v>
      </c>
      <c r="AA64" s="48"/>
      <c r="AB64" s="167">
        <f>+AA64-AC64+AC108</f>
        <v>0</v>
      </c>
      <c r="AC64" s="48"/>
      <c r="AD64" s="167">
        <f>+AC64-AE64+AE108</f>
        <v>0</v>
      </c>
      <c r="AE64" s="48"/>
      <c r="AF64" s="167">
        <f>+AE64-AG64+AG108</f>
        <v>0</v>
      </c>
      <c r="AG64" s="48"/>
      <c r="AH64" s="167">
        <f>+AG64-AI64+AI108</f>
        <v>0</v>
      </c>
      <c r="AI64" s="48"/>
      <c r="AJ64" s="167">
        <f>+AI64-AK64+AK108</f>
        <v>0</v>
      </c>
      <c r="AK64" s="48"/>
      <c r="AL64" s="167">
        <f>+AK64-AM64+AM108</f>
        <v>0</v>
      </c>
      <c r="AM64" s="48"/>
      <c r="AN64" s="167">
        <f>+AM64-AO64+AO108</f>
        <v>0</v>
      </c>
      <c r="AO64" s="48"/>
      <c r="AP64" s="167">
        <f>+AO64-AQ64+AQ108</f>
        <v>0</v>
      </c>
      <c r="AQ64" s="48"/>
      <c r="AR64" s="167">
        <f>+AQ64-AS64+AS108</f>
        <v>0</v>
      </c>
      <c r="AS64" s="48"/>
      <c r="AT64" s="167">
        <f>+AS64-AU64+AU108</f>
        <v>0</v>
      </c>
      <c r="AU64" s="48"/>
      <c r="AV64" s="167">
        <f>+AU64-AW64+AW108</f>
        <v>0</v>
      </c>
      <c r="AW64" s="48"/>
      <c r="AX64" s="167">
        <f>+AW64-AY64+AY108</f>
        <v>0</v>
      </c>
      <c r="AY64" s="48"/>
      <c r="AZ64" s="167">
        <f>+AY64-BA64+BA108</f>
        <v>0</v>
      </c>
      <c r="BA64" s="48"/>
      <c r="BB64" s="167">
        <f>+BA64-BC64+BC108</f>
        <v>0</v>
      </c>
      <c r="BC64" s="48"/>
      <c r="BD64" s="167">
        <f>+BC64-BE64+BE108</f>
        <v>0</v>
      </c>
      <c r="BE64" s="48"/>
      <c r="BF64" s="167">
        <f>+BE64-BG64+BG108</f>
        <v>0</v>
      </c>
      <c r="BG64" s="48"/>
      <c r="BH64" s="167">
        <f>+BG64-BI64+BI108</f>
        <v>0</v>
      </c>
      <c r="BI64" s="48"/>
      <c r="BJ64" s="167">
        <f>+BI64-BK64+BK108</f>
        <v>0</v>
      </c>
      <c r="BK64" s="48"/>
      <c r="BL64" s="167">
        <f>+BK64-BM64+BM108</f>
        <v>0</v>
      </c>
      <c r="BM64" s="48"/>
      <c r="BN64" s="50"/>
      <c r="BO64" s="170" t="e">
        <f>IF(COUNT(D64,F64,H64,J64,L64,N64,P64,R64,T64,V64,X64,Z64,AB64,AD64,AF64,AH64,AJ64,AL64,AN64,AP64,AR64,AT64,AV64,AX64,AZ64,BB64,BD64,BF64,BH64,BJ64,BL64)=0,"",SUM(D64,F64,H64,J64,L64,N64,P64,R64,T64,V64,X64,Z64,AB64,AD64,AF64,AH64,AJ64,AL64,AN64,AP64,AR64,AT64,AV64,AX64,AZ64,BB64,BD64,BF64,BH64,BJ64,BL64))</f>
        <v>#VALUE!</v>
      </c>
      <c r="BP64" s="167" t="e">
        <f>+BM64-BQ64+BQ108</f>
        <v>#VALUE!</v>
      </c>
      <c r="BQ64" s="178" t="str">
        <f>IF(BM64="","",BM64)</f>
        <v/>
      </c>
    </row>
    <row r="65" spans="1:69" x14ac:dyDescent="0.35">
      <c r="A65" s="53" t="s">
        <v>26</v>
      </c>
      <c r="B65" s="187" t="e">
        <f>C65-C109</f>
        <v>#VALUE!</v>
      </c>
      <c r="C65" s="174" t="str">
        <f>IF('February 2027 Log'!BG65="","",'February 2027 Log'!BG65)</f>
        <v/>
      </c>
      <c r="D65" s="189" t="e">
        <f>+C65-E65+E109</f>
        <v>#VALUE!</v>
      </c>
      <c r="E65" s="48"/>
      <c r="F65" s="167">
        <f>+E65-G65+G109</f>
        <v>0</v>
      </c>
      <c r="G65" s="48"/>
      <c r="H65" s="167">
        <f>+G65-I65+I109</f>
        <v>0</v>
      </c>
      <c r="I65" s="48"/>
      <c r="J65" s="167">
        <f>+I65-K65+K109</f>
        <v>0</v>
      </c>
      <c r="K65" s="48"/>
      <c r="L65" s="167">
        <f>+K65-M65+M109</f>
        <v>0</v>
      </c>
      <c r="M65" s="48"/>
      <c r="N65" s="167">
        <f>+M65-O65+O109</f>
        <v>0</v>
      </c>
      <c r="O65" s="48"/>
      <c r="P65" s="167">
        <f>+O65-Q65+Q109</f>
        <v>0</v>
      </c>
      <c r="Q65" s="48"/>
      <c r="R65" s="167">
        <f>+Q65-S65+S109</f>
        <v>0</v>
      </c>
      <c r="S65" s="48"/>
      <c r="T65" s="167">
        <f>+S65-U65+U109</f>
        <v>0</v>
      </c>
      <c r="U65" s="48"/>
      <c r="V65" s="167">
        <f>+U65-W65+W109</f>
        <v>0</v>
      </c>
      <c r="W65" s="48"/>
      <c r="X65" s="167">
        <f>+W65-Y65+Y109</f>
        <v>0</v>
      </c>
      <c r="Y65" s="48"/>
      <c r="Z65" s="167">
        <f>+Y65-AA65+AA109</f>
        <v>0</v>
      </c>
      <c r="AA65" s="48"/>
      <c r="AB65" s="167">
        <f>+AA65-AC65+AC109</f>
        <v>0</v>
      </c>
      <c r="AC65" s="48"/>
      <c r="AD65" s="167">
        <f>+AC65-AE65+AE109</f>
        <v>0</v>
      </c>
      <c r="AE65" s="48"/>
      <c r="AF65" s="167">
        <f>+AE65-AG65+AG109</f>
        <v>0</v>
      </c>
      <c r="AG65" s="48"/>
      <c r="AH65" s="167">
        <f>+AG65-AI65+AI109</f>
        <v>0</v>
      </c>
      <c r="AI65" s="48"/>
      <c r="AJ65" s="167">
        <f>+AI65-AK65+AK109</f>
        <v>0</v>
      </c>
      <c r="AK65" s="48"/>
      <c r="AL65" s="167">
        <f>+AK65-AM65+AM109</f>
        <v>0</v>
      </c>
      <c r="AM65" s="48"/>
      <c r="AN65" s="167">
        <f>+AM65-AO65+AO109</f>
        <v>0</v>
      </c>
      <c r="AO65" s="48"/>
      <c r="AP65" s="167">
        <f>+AO65-AQ65+AQ109</f>
        <v>0</v>
      </c>
      <c r="AQ65" s="48"/>
      <c r="AR65" s="167">
        <f>+AQ65-AS65+AS109</f>
        <v>0</v>
      </c>
      <c r="AS65" s="48"/>
      <c r="AT65" s="167">
        <f>+AS65-AU65+AU109</f>
        <v>0</v>
      </c>
      <c r="AU65" s="48"/>
      <c r="AV65" s="167">
        <f>+AU65-AW65+AW109</f>
        <v>0</v>
      </c>
      <c r="AW65" s="48"/>
      <c r="AX65" s="167">
        <f>+AW65-AY65+AY109</f>
        <v>0</v>
      </c>
      <c r="AY65" s="48"/>
      <c r="AZ65" s="167">
        <f>+AY65-BA65+BA109</f>
        <v>0</v>
      </c>
      <c r="BA65" s="48"/>
      <c r="BB65" s="167">
        <f>+BA65-BC65+BC109</f>
        <v>0</v>
      </c>
      <c r="BC65" s="48"/>
      <c r="BD65" s="167">
        <f>+BC65-BE65+BE109</f>
        <v>0</v>
      </c>
      <c r="BE65" s="48"/>
      <c r="BF65" s="167">
        <f>+BE65-BG65+BG109</f>
        <v>0</v>
      </c>
      <c r="BG65" s="48"/>
      <c r="BH65" s="167">
        <f>+BG65-BI65+BI109</f>
        <v>0</v>
      </c>
      <c r="BI65" s="48"/>
      <c r="BJ65" s="167">
        <f>+BI65-BK65+BK109</f>
        <v>0</v>
      </c>
      <c r="BK65" s="48"/>
      <c r="BL65" s="167">
        <f>+BK65-BM65+BM109</f>
        <v>0</v>
      </c>
      <c r="BM65" s="48"/>
      <c r="BN65" s="50"/>
      <c r="BO65" s="170" t="e">
        <f>IF(COUNT(D65,F65,H65,J65,L65,N65,P65,R65,T65,V65,X65,Z65,AB65,AD65,AF65,AH65,AJ65,AL65,AN65,AP65,AR65,AT65,AV65,AX65,AZ65,BB65,BD65,BF65,BH65,BJ65,BL65)=0,"",SUM(D65,F65,H65,J65,L65,N65,P65,R65,T65,V65,X65,Z65,AB65,AD65,AF65,AH65,AJ65,AL65,AN65,AP65,AR65,AT65,AV65,AX65,AZ65,BB65,BD65,BF65,BH65,BJ65,BL65))</f>
        <v>#VALUE!</v>
      </c>
      <c r="BP65" s="167" t="e">
        <f>+BM65-BQ65+BQ109</f>
        <v>#VALUE!</v>
      </c>
      <c r="BQ65" s="178" t="str">
        <f>IF(BM65="","",BM65)</f>
        <v/>
      </c>
    </row>
    <row r="66" spans="1:69" x14ac:dyDescent="0.35">
      <c r="A66" s="53" t="s">
        <v>26</v>
      </c>
      <c r="B66" s="187" t="e">
        <f>C66-C110</f>
        <v>#VALUE!</v>
      </c>
      <c r="C66" s="174" t="str">
        <f>IF('February 2027 Log'!BG66="","",'February 2027 Log'!BG66)</f>
        <v/>
      </c>
      <c r="D66" s="189" t="e">
        <f>+C66-E66+E110</f>
        <v>#VALUE!</v>
      </c>
      <c r="E66" s="48"/>
      <c r="F66" s="167">
        <f>+E66-G66+G110</f>
        <v>0</v>
      </c>
      <c r="G66" s="48"/>
      <c r="H66" s="167">
        <f>+G66-I66+I110</f>
        <v>0</v>
      </c>
      <c r="I66" s="48"/>
      <c r="J66" s="167">
        <f>+I66-K66+K110</f>
        <v>0</v>
      </c>
      <c r="K66" s="48"/>
      <c r="L66" s="167">
        <f>+K66-M66+M110</f>
        <v>0</v>
      </c>
      <c r="M66" s="48"/>
      <c r="N66" s="167">
        <f>+M66-O66+O110</f>
        <v>0</v>
      </c>
      <c r="O66" s="48"/>
      <c r="P66" s="167">
        <f>+O66-Q66+Q110</f>
        <v>0</v>
      </c>
      <c r="Q66" s="48"/>
      <c r="R66" s="167">
        <f>+Q66-S66+S110</f>
        <v>0</v>
      </c>
      <c r="S66" s="48"/>
      <c r="T66" s="167">
        <f>+S66-U66+U110</f>
        <v>0</v>
      </c>
      <c r="U66" s="48"/>
      <c r="V66" s="167">
        <f>+U66-W66+W110</f>
        <v>0</v>
      </c>
      <c r="W66" s="48"/>
      <c r="X66" s="167">
        <f>+W66-Y66+Y110</f>
        <v>0</v>
      </c>
      <c r="Y66" s="48"/>
      <c r="Z66" s="167">
        <f>+Y66-AA66+AA110</f>
        <v>0</v>
      </c>
      <c r="AA66" s="48"/>
      <c r="AB66" s="167">
        <f>+AA66-AC66+AC110</f>
        <v>0</v>
      </c>
      <c r="AC66" s="48"/>
      <c r="AD66" s="167">
        <f>+AC66-AE66+AE110</f>
        <v>0</v>
      </c>
      <c r="AE66" s="48"/>
      <c r="AF66" s="167">
        <f>+AE66-AG66+AG110</f>
        <v>0</v>
      </c>
      <c r="AG66" s="48"/>
      <c r="AH66" s="167">
        <f>+AG66-AI66+AI110</f>
        <v>0</v>
      </c>
      <c r="AI66" s="48"/>
      <c r="AJ66" s="167">
        <f>+AI66-AK66+AK110</f>
        <v>0</v>
      </c>
      <c r="AK66" s="48"/>
      <c r="AL66" s="167">
        <f>+AK66-AM66+AM110</f>
        <v>0</v>
      </c>
      <c r="AM66" s="48"/>
      <c r="AN66" s="167">
        <f>+AM66-AO66+AO110</f>
        <v>0</v>
      </c>
      <c r="AO66" s="48"/>
      <c r="AP66" s="167">
        <f>+AO66-AQ66+AQ110</f>
        <v>0</v>
      </c>
      <c r="AQ66" s="48"/>
      <c r="AR66" s="167">
        <f>+AQ66-AS66+AS110</f>
        <v>0</v>
      </c>
      <c r="AS66" s="48"/>
      <c r="AT66" s="167">
        <f>+AS66-AU66+AU110</f>
        <v>0</v>
      </c>
      <c r="AU66" s="48"/>
      <c r="AV66" s="167">
        <f>+AU66-AW66+AW110</f>
        <v>0</v>
      </c>
      <c r="AW66" s="48"/>
      <c r="AX66" s="167">
        <f>+AW66-AY66+AY110</f>
        <v>0</v>
      </c>
      <c r="AY66" s="48"/>
      <c r="AZ66" s="167">
        <f>+AY66-BA66+BA110</f>
        <v>0</v>
      </c>
      <c r="BA66" s="48"/>
      <c r="BB66" s="167">
        <f>+BA66-BC66+BC110</f>
        <v>0</v>
      </c>
      <c r="BC66" s="48"/>
      <c r="BD66" s="167">
        <f>+BC66-BE66+BE110</f>
        <v>0</v>
      </c>
      <c r="BE66" s="48"/>
      <c r="BF66" s="167">
        <f>+BE66-BG66+BG110</f>
        <v>0</v>
      </c>
      <c r="BG66" s="48"/>
      <c r="BH66" s="167">
        <f>+BG66-BI66+BI110</f>
        <v>0</v>
      </c>
      <c r="BI66" s="48"/>
      <c r="BJ66" s="167">
        <f>+BI66-BK66+BK110</f>
        <v>0</v>
      </c>
      <c r="BK66" s="48"/>
      <c r="BL66" s="167">
        <f>+BK66-BM66+BM110</f>
        <v>0</v>
      </c>
      <c r="BM66" s="48"/>
      <c r="BN66" s="50"/>
      <c r="BO66" s="170" t="e">
        <f>IF(COUNT(D66,F66,H66,J66,L66,N66,P66,R66,T66,V66,X66,Z66,AB66,AD66,AF66,AH66,AJ66,AL66,AN66,AP66,AR66,AT66,AV66,AX66,AZ66,BB66,BD66,BF66,BH66,BJ66,BL66)=0,"",SUM(D66,F66,H66,J66,L66,N66,P66,R66,T66,V66,X66,Z66,AB66,AD66,AF66,AH66,AJ66,AL66,AN66,AP66,AR66,AT66,AV66,AX66,AZ66,BB66,BD66,BF66,BH66,BJ66,BL66))</f>
        <v>#VALUE!</v>
      </c>
      <c r="BP66" s="167" t="e">
        <f>+BM66-BQ66+BQ110</f>
        <v>#VALUE!</v>
      </c>
      <c r="BQ66" s="178" t="str">
        <f>IF(BM66="","",BM66)</f>
        <v/>
      </c>
    </row>
    <row r="67" spans="1:69" x14ac:dyDescent="0.35">
      <c r="A67" s="98"/>
      <c r="B67" s="90"/>
      <c r="C67" s="131"/>
      <c r="D67" s="189" t="e">
        <f>SUM(D62:D66)</f>
        <v>#VALUE!</v>
      </c>
      <c r="E67" s="166" t="e">
        <f>+E73-D73</f>
        <v>#VALUE!</v>
      </c>
      <c r="F67" s="167">
        <f>SUM(F62:F66)</f>
        <v>0</v>
      </c>
      <c r="G67" s="166">
        <f>+G73-F73</f>
        <v>0</v>
      </c>
      <c r="H67" s="167">
        <f>SUM(H62:H66)</f>
        <v>0</v>
      </c>
      <c r="I67" s="166">
        <f>+I73-H73</f>
        <v>0</v>
      </c>
      <c r="J67" s="167">
        <f>SUM(J62:J66)</f>
        <v>0</v>
      </c>
      <c r="K67" s="166">
        <f>+K73-J73</f>
        <v>0</v>
      </c>
      <c r="L67" s="167">
        <f>SUM(L62:L66)</f>
        <v>0</v>
      </c>
      <c r="M67" s="166">
        <f>+M73-L73</f>
        <v>0</v>
      </c>
      <c r="N67" s="167">
        <f>SUM(N62:N66)</f>
        <v>0</v>
      </c>
      <c r="O67" s="166">
        <f>+O73-N73</f>
        <v>0</v>
      </c>
      <c r="P67" s="167">
        <f>SUM(P62:P66)</f>
        <v>0</v>
      </c>
      <c r="Q67" s="166">
        <f>+Q73-P73</f>
        <v>0</v>
      </c>
      <c r="R67" s="167">
        <f>SUM(R62:R66)</f>
        <v>0</v>
      </c>
      <c r="S67" s="166">
        <f>+S73-R73</f>
        <v>0</v>
      </c>
      <c r="T67" s="167">
        <f>SUM(T62:T66)</f>
        <v>0</v>
      </c>
      <c r="U67" s="166">
        <f>+U73-T73</f>
        <v>0</v>
      </c>
      <c r="V67" s="167">
        <f>SUM(V62:V66)</f>
        <v>0</v>
      </c>
      <c r="W67" s="166">
        <f>+W73-V73</f>
        <v>0</v>
      </c>
      <c r="X67" s="167">
        <f>SUM(X62:X66)</f>
        <v>0</v>
      </c>
      <c r="Y67" s="166">
        <f>+Y73-X73</f>
        <v>0</v>
      </c>
      <c r="Z67" s="167">
        <f>SUM(Z62:Z66)</f>
        <v>0</v>
      </c>
      <c r="AA67" s="166">
        <f>+AA73-Z73</f>
        <v>0</v>
      </c>
      <c r="AB67" s="167">
        <f>SUM(AB62:AB66)</f>
        <v>0</v>
      </c>
      <c r="AC67" s="166">
        <f>+AC73-AB73</f>
        <v>0</v>
      </c>
      <c r="AD67" s="167">
        <f>SUM(AD62:AD66)</f>
        <v>0</v>
      </c>
      <c r="AE67" s="166">
        <f>+AE73-AD73</f>
        <v>0</v>
      </c>
      <c r="AF67" s="167">
        <f>SUM(AF62:AF66)</f>
        <v>0</v>
      </c>
      <c r="AG67" s="166">
        <f>+AG73-AF73</f>
        <v>0</v>
      </c>
      <c r="AH67" s="167">
        <f>SUM(AH62:AH66)</f>
        <v>0</v>
      </c>
      <c r="AI67" s="166">
        <f>+AI73-AH73</f>
        <v>0</v>
      </c>
      <c r="AJ67" s="167">
        <f>SUM(AJ62:AJ66)</f>
        <v>0</v>
      </c>
      <c r="AK67" s="166">
        <f>+AK73-AJ73</f>
        <v>0</v>
      </c>
      <c r="AL67" s="167">
        <f>SUM(AL62:AL66)</f>
        <v>0</v>
      </c>
      <c r="AM67" s="166">
        <f>+AM73-AL73</f>
        <v>0</v>
      </c>
      <c r="AN67" s="167">
        <f>SUM(AN62:AN66)</f>
        <v>0</v>
      </c>
      <c r="AO67" s="166">
        <f>+AO73-AN73</f>
        <v>0</v>
      </c>
      <c r="AP67" s="167">
        <f>SUM(AP62:AP66)</f>
        <v>0</v>
      </c>
      <c r="AQ67" s="166">
        <f>+AQ73-AP73</f>
        <v>0</v>
      </c>
      <c r="AR67" s="167">
        <f>SUM(AR62:AR66)</f>
        <v>0</v>
      </c>
      <c r="AS67" s="166">
        <f>+AS73-AR73</f>
        <v>0</v>
      </c>
      <c r="AT67" s="167">
        <f>SUM(AT62:AT66)</f>
        <v>0</v>
      </c>
      <c r="AU67" s="166">
        <f>+AU73-AT73</f>
        <v>0</v>
      </c>
      <c r="AV67" s="167">
        <f>SUM(AV62:AV66)</f>
        <v>0</v>
      </c>
      <c r="AW67" s="166">
        <f>+AW73-AV73</f>
        <v>0</v>
      </c>
      <c r="AX67" s="167">
        <f>SUM(AX62:AX66)</f>
        <v>0</v>
      </c>
      <c r="AY67" s="166">
        <f>+AY73-AX73</f>
        <v>0</v>
      </c>
      <c r="AZ67" s="167">
        <f>SUM(AZ62:AZ66)</f>
        <v>0</v>
      </c>
      <c r="BA67" s="166">
        <f>+BA73-AZ73</f>
        <v>0</v>
      </c>
      <c r="BB67" s="167">
        <f>SUM(BB62:BB66)</f>
        <v>0</v>
      </c>
      <c r="BC67" s="166">
        <f>+BC73-BB73</f>
        <v>0</v>
      </c>
      <c r="BD67" s="167">
        <f>SUM(BD62:BD66)</f>
        <v>0</v>
      </c>
      <c r="BE67" s="166">
        <f>+BE73-BD73</f>
        <v>0</v>
      </c>
      <c r="BF67" s="167">
        <f>SUM(BF62:BF66)</f>
        <v>0</v>
      </c>
      <c r="BG67" s="166">
        <f>+BG73-BF73</f>
        <v>0</v>
      </c>
      <c r="BH67" s="167">
        <f>SUM(BH62:BH66)</f>
        <v>0</v>
      </c>
      <c r="BI67" s="166">
        <f>+BI73-BH73</f>
        <v>0</v>
      </c>
      <c r="BJ67" s="167">
        <f>SUM(BJ62:BJ66)</f>
        <v>0</v>
      </c>
      <c r="BK67" s="166">
        <f>+BK73-BJ73</f>
        <v>0</v>
      </c>
      <c r="BL67" s="167">
        <f>SUM(BL62:BL66)</f>
        <v>0</v>
      </c>
      <c r="BM67" s="166">
        <f>+BM73-BL73</f>
        <v>0</v>
      </c>
      <c r="BN67" s="50"/>
      <c r="BO67" s="170" t="e">
        <f t="shared" ref="BO67:BO75" si="95">IF(COUNT(E67,G67,I67,K67,M67,O67,Q67,S67,U67,W67,Y67,AA67,AC67,AE67,AG67,AI67,AK67,AM67,AO67,AQ67,AS67,AU67,AW67,AY67,BA67,BC67,BE67,BG67,BI67,BK67,BM67)=0,"",SUM(E67,G67,I67,K67,M67,O67,Q67,S67,U67,W67,Y67,AA67,AC67,AE67,AG67,AI67,AK67,AM67,AO67,AQ67,AS67,AU67,AW67,AY67,BA67,BC67,BE67,BG67,BI67,BK67,BM67))</f>
        <v>#VALUE!</v>
      </c>
      <c r="BP67" s="167" t="e">
        <f>SUM(BP62:BP66)</f>
        <v>#VALUE!</v>
      </c>
      <c r="BQ67" s="52"/>
    </row>
    <row r="68" spans="1:69" x14ac:dyDescent="0.35">
      <c r="A68" s="132" t="s">
        <v>87</v>
      </c>
      <c r="B68" s="133"/>
      <c r="C68" s="131"/>
      <c r="D68" s="189">
        <f>D91+D94</f>
        <v>0</v>
      </c>
      <c r="E68" s="166" t="e">
        <f>+E77-C77+E80-C80</f>
        <v>#VALUE!</v>
      </c>
      <c r="F68" s="167">
        <f>F91+F94</f>
        <v>0</v>
      </c>
      <c r="G68" s="166">
        <f>+G77-E77+G80-E80</f>
        <v>0</v>
      </c>
      <c r="H68" s="167">
        <f>H91+H94</f>
        <v>0</v>
      </c>
      <c r="I68" s="166">
        <f>+I77-G77+I80-G80</f>
        <v>0</v>
      </c>
      <c r="J68" s="167">
        <f>J91+J94</f>
        <v>0</v>
      </c>
      <c r="K68" s="166">
        <f>+K77-I77+K80-I80</f>
        <v>0</v>
      </c>
      <c r="L68" s="167">
        <f>L91+L94</f>
        <v>0</v>
      </c>
      <c r="M68" s="166">
        <f>+M77-K77+M80-K80</f>
        <v>0</v>
      </c>
      <c r="N68" s="167">
        <f>N91+N94</f>
        <v>0</v>
      </c>
      <c r="O68" s="166">
        <f>+O77-M77+O80-M80</f>
        <v>0</v>
      </c>
      <c r="P68" s="167">
        <f>P91+P94</f>
        <v>0</v>
      </c>
      <c r="Q68" s="166">
        <f>+Q77-O77+Q80-O80</f>
        <v>0</v>
      </c>
      <c r="R68" s="167">
        <f>R91+R94</f>
        <v>0</v>
      </c>
      <c r="S68" s="166">
        <f>+S77-Q77+S80-Q80</f>
        <v>0</v>
      </c>
      <c r="T68" s="167">
        <f>T91+T94</f>
        <v>0</v>
      </c>
      <c r="U68" s="166">
        <f>+U77-S77+U80-S80</f>
        <v>0</v>
      </c>
      <c r="V68" s="167">
        <f>V91+V94</f>
        <v>0</v>
      </c>
      <c r="W68" s="166">
        <f>+W77-U77+W80-U80</f>
        <v>0</v>
      </c>
      <c r="X68" s="167">
        <f>X91+X94</f>
        <v>0</v>
      </c>
      <c r="Y68" s="166">
        <f>+Y77-W77+Y80-W80</f>
        <v>0</v>
      </c>
      <c r="Z68" s="167">
        <f>Z91+Z94</f>
        <v>0</v>
      </c>
      <c r="AA68" s="166">
        <f>+AA77-Y77+AA80-Y80</f>
        <v>0</v>
      </c>
      <c r="AB68" s="167">
        <f>AB91+AB94</f>
        <v>0</v>
      </c>
      <c r="AC68" s="166">
        <f>+AC77-AA77+AC80-AA80</f>
        <v>0</v>
      </c>
      <c r="AD68" s="167">
        <f>AD91+AD94</f>
        <v>0</v>
      </c>
      <c r="AE68" s="166">
        <f>+AE77-AC77+AE80-AC80</f>
        <v>0</v>
      </c>
      <c r="AF68" s="167">
        <f>AF91+AF94</f>
        <v>0</v>
      </c>
      <c r="AG68" s="166">
        <f>+AG77-AE77+AG80-AE80</f>
        <v>0</v>
      </c>
      <c r="AH68" s="167">
        <f>AH91+AH94</f>
        <v>0</v>
      </c>
      <c r="AI68" s="166">
        <f>+AI77-AG77+AI80-AG80</f>
        <v>0</v>
      </c>
      <c r="AJ68" s="167">
        <f>AJ91+AJ94</f>
        <v>0</v>
      </c>
      <c r="AK68" s="166">
        <f>+AK77-AI77+AK80-AI80</f>
        <v>0</v>
      </c>
      <c r="AL68" s="167">
        <f>AL91+AL94</f>
        <v>0</v>
      </c>
      <c r="AM68" s="166">
        <f>+AM77-AK77+AM80-AK80</f>
        <v>0</v>
      </c>
      <c r="AN68" s="167">
        <f>AN91+AN94</f>
        <v>0</v>
      </c>
      <c r="AO68" s="166">
        <f>+AO77-AM77+AO80-AM80</f>
        <v>0</v>
      </c>
      <c r="AP68" s="167">
        <f>AP91+AP94</f>
        <v>0</v>
      </c>
      <c r="AQ68" s="166">
        <f>+AQ77-AO77+AQ80-AO80</f>
        <v>0</v>
      </c>
      <c r="AR68" s="167">
        <f>AR91+AR94</f>
        <v>0</v>
      </c>
      <c r="AS68" s="166">
        <f>+AS77-AQ77+AS80-AQ80</f>
        <v>0</v>
      </c>
      <c r="AT68" s="167">
        <f>AT91+AT94</f>
        <v>0</v>
      </c>
      <c r="AU68" s="166">
        <f>+AU77-AS77+AU80-AS80</f>
        <v>0</v>
      </c>
      <c r="AV68" s="167">
        <f>AV91+AV94</f>
        <v>0</v>
      </c>
      <c r="AW68" s="166">
        <f>+AW77-AU77+AW80-AU80</f>
        <v>0</v>
      </c>
      <c r="AX68" s="167">
        <f>AX91+AX94</f>
        <v>0</v>
      </c>
      <c r="AY68" s="166">
        <f>+AY77-AW77+AY80-AW80</f>
        <v>0</v>
      </c>
      <c r="AZ68" s="167">
        <f>AZ91+AZ94</f>
        <v>0</v>
      </c>
      <c r="BA68" s="166">
        <f>+BA77-AY77+BA80-AY80</f>
        <v>0</v>
      </c>
      <c r="BB68" s="167">
        <f>BB91+BB94</f>
        <v>0</v>
      </c>
      <c r="BC68" s="166">
        <f>+BC77-BA77+BC80-BA80</f>
        <v>0</v>
      </c>
      <c r="BD68" s="167">
        <f>BD91+BD94</f>
        <v>0</v>
      </c>
      <c r="BE68" s="166">
        <f>+BE77-BC77+BE80-BC80</f>
        <v>0</v>
      </c>
      <c r="BF68" s="167">
        <f>BF91+BF94</f>
        <v>0</v>
      </c>
      <c r="BG68" s="166">
        <f>+BG77-BE77+BG80-BE80</f>
        <v>0</v>
      </c>
      <c r="BH68" s="167">
        <f>BH91+BH94</f>
        <v>0</v>
      </c>
      <c r="BI68" s="166">
        <f>+BI77-BG77+BI80-BG80</f>
        <v>0</v>
      </c>
      <c r="BJ68" s="167">
        <f>BJ91+BJ94</f>
        <v>0</v>
      </c>
      <c r="BK68" s="166">
        <f>+BK77-BI77+BK80-BI80</f>
        <v>0</v>
      </c>
      <c r="BL68" s="167">
        <f>BL91+BL94</f>
        <v>0</v>
      </c>
      <c r="BM68" s="166">
        <f>+BM77-BK77+BM80-BK80</f>
        <v>0</v>
      </c>
      <c r="BN68" s="50"/>
      <c r="BO68" s="170" t="e">
        <f t="shared" si="95"/>
        <v>#VALUE!</v>
      </c>
      <c r="BP68" s="167">
        <f>BP91+BP94</f>
        <v>0</v>
      </c>
      <c r="BQ68" s="52"/>
    </row>
    <row r="69" spans="1:69" x14ac:dyDescent="0.35">
      <c r="A69" s="44" t="s">
        <v>88</v>
      </c>
      <c r="B69" s="133"/>
      <c r="C69" s="131"/>
      <c r="D69" s="189">
        <f>D99+D102</f>
        <v>0</v>
      </c>
      <c r="E69" s="166" t="e">
        <f>+E85-C85+E88-C88</f>
        <v>#VALUE!</v>
      </c>
      <c r="F69" s="167">
        <f>F99+F102</f>
        <v>0</v>
      </c>
      <c r="G69" s="166">
        <f>+G85-E85+G88-E88</f>
        <v>0</v>
      </c>
      <c r="H69" s="167">
        <f>H99+H102</f>
        <v>0</v>
      </c>
      <c r="I69" s="166">
        <f>+I85-G85+I88-G88</f>
        <v>0</v>
      </c>
      <c r="J69" s="167">
        <f>J99+J102</f>
        <v>0</v>
      </c>
      <c r="K69" s="166">
        <f>+K85-I85+K88-I88</f>
        <v>0</v>
      </c>
      <c r="L69" s="167">
        <f>L99+L102</f>
        <v>0</v>
      </c>
      <c r="M69" s="166">
        <f>+M85-K85+M88-K88</f>
        <v>0</v>
      </c>
      <c r="N69" s="167">
        <f>N99+N102</f>
        <v>0</v>
      </c>
      <c r="O69" s="166">
        <f>+O85-M85+O88-M88</f>
        <v>0</v>
      </c>
      <c r="P69" s="167">
        <f>P99+P102</f>
        <v>0</v>
      </c>
      <c r="Q69" s="166">
        <f>+Q85-O85+Q88-O88</f>
        <v>0</v>
      </c>
      <c r="R69" s="167">
        <f>R99+R102</f>
        <v>0</v>
      </c>
      <c r="S69" s="166">
        <f>+S85-Q85+S88-Q88</f>
        <v>0</v>
      </c>
      <c r="T69" s="167">
        <f>T99+T102</f>
        <v>0</v>
      </c>
      <c r="U69" s="166">
        <f>+U85-S85+U88-S88</f>
        <v>0</v>
      </c>
      <c r="V69" s="167">
        <f>V99+V102</f>
        <v>0</v>
      </c>
      <c r="W69" s="166">
        <f>+W85-U85+W88-U88</f>
        <v>0</v>
      </c>
      <c r="X69" s="167">
        <f>X99+X102</f>
        <v>0</v>
      </c>
      <c r="Y69" s="166">
        <f>+Y85-W85+Y88-W88</f>
        <v>0</v>
      </c>
      <c r="Z69" s="167">
        <f>Z99+Z102</f>
        <v>0</v>
      </c>
      <c r="AA69" s="166">
        <f>+AA85-Y85+AA88-Y88</f>
        <v>0</v>
      </c>
      <c r="AB69" s="167">
        <f>AB99+AB102</f>
        <v>0</v>
      </c>
      <c r="AC69" s="166">
        <f>+AC85-AA85+AC88-AA88</f>
        <v>0</v>
      </c>
      <c r="AD69" s="167">
        <f>AD99+AD102</f>
        <v>0</v>
      </c>
      <c r="AE69" s="166">
        <f>+AE85-AC85+AE88-AC88</f>
        <v>0</v>
      </c>
      <c r="AF69" s="167">
        <f>AF99+AF102</f>
        <v>0</v>
      </c>
      <c r="AG69" s="166">
        <f>+AG85-AE85+AG88-AE88</f>
        <v>0</v>
      </c>
      <c r="AH69" s="167">
        <f>AH99+AH102</f>
        <v>0</v>
      </c>
      <c r="AI69" s="166">
        <f>+AI85-AG85+AI88-AG88</f>
        <v>0</v>
      </c>
      <c r="AJ69" s="167">
        <f>AJ99+AJ102</f>
        <v>0</v>
      </c>
      <c r="AK69" s="166">
        <f>+AK85-AI85+AK88-AI88</f>
        <v>0</v>
      </c>
      <c r="AL69" s="167">
        <f>AL99+AL102</f>
        <v>0</v>
      </c>
      <c r="AM69" s="166">
        <f>+AM85-AK85+AM88-AK88</f>
        <v>0</v>
      </c>
      <c r="AN69" s="167">
        <f>AN99+AN102</f>
        <v>0</v>
      </c>
      <c r="AO69" s="166">
        <f>+AO85-AM85+AO88-AM88</f>
        <v>0</v>
      </c>
      <c r="AP69" s="167">
        <f>AP99+AP102</f>
        <v>0</v>
      </c>
      <c r="AQ69" s="166">
        <f>+AQ85-AO85+AQ88-AO88</f>
        <v>0</v>
      </c>
      <c r="AR69" s="167">
        <f>AR99+AR102</f>
        <v>0</v>
      </c>
      <c r="AS69" s="166">
        <f>+AS85-AQ85+AS88-AQ88</f>
        <v>0</v>
      </c>
      <c r="AT69" s="167">
        <f>AT99+AT102</f>
        <v>0</v>
      </c>
      <c r="AU69" s="166">
        <f>+AU85-AS85+AU88-AS88</f>
        <v>0</v>
      </c>
      <c r="AV69" s="167">
        <f>AV99+AV102</f>
        <v>0</v>
      </c>
      <c r="AW69" s="166">
        <f>+AW85-AU85+AW88-AU88</f>
        <v>0</v>
      </c>
      <c r="AX69" s="167">
        <f>AX99+AX102</f>
        <v>0</v>
      </c>
      <c r="AY69" s="166">
        <f>+AY85-AW85+AY88-AW88</f>
        <v>0</v>
      </c>
      <c r="AZ69" s="167">
        <f>AZ99+AZ102</f>
        <v>0</v>
      </c>
      <c r="BA69" s="166">
        <f>+BA85-AY85+BA88-AY88</f>
        <v>0</v>
      </c>
      <c r="BB69" s="167">
        <f>BB99+BB102</f>
        <v>0</v>
      </c>
      <c r="BC69" s="166">
        <f>+BC85-BA85+BC88-BA88</f>
        <v>0</v>
      </c>
      <c r="BD69" s="167">
        <f>BD99+BD102</f>
        <v>0</v>
      </c>
      <c r="BE69" s="166">
        <f>+BE85-BC85+BE88-BC88</f>
        <v>0</v>
      </c>
      <c r="BF69" s="167">
        <f>BF99+BF102</f>
        <v>0</v>
      </c>
      <c r="BG69" s="166">
        <f>+BG85-BE85+BG88-BE88</f>
        <v>0</v>
      </c>
      <c r="BH69" s="167">
        <f>BH99+BH102</f>
        <v>0</v>
      </c>
      <c r="BI69" s="166">
        <f>+BI85-BG85+BI88-BG88</f>
        <v>0</v>
      </c>
      <c r="BJ69" s="167">
        <f>BJ99+BJ102</f>
        <v>0</v>
      </c>
      <c r="BK69" s="166">
        <f>+BK85-BI85+BK88-BI88</f>
        <v>0</v>
      </c>
      <c r="BL69" s="167">
        <f>BL99+BL102</f>
        <v>0</v>
      </c>
      <c r="BM69" s="166">
        <f>+BM85-BK85+BM88-BK88</f>
        <v>0</v>
      </c>
      <c r="BN69" s="50"/>
      <c r="BO69" s="170" t="e">
        <f t="shared" si="95"/>
        <v>#VALUE!</v>
      </c>
      <c r="BP69" s="167">
        <f>BP99+BP102</f>
        <v>0</v>
      </c>
      <c r="BQ69" s="52"/>
    </row>
    <row r="70" spans="1:69" x14ac:dyDescent="0.35">
      <c r="A70" s="134" t="s">
        <v>89</v>
      </c>
      <c r="B70" s="133"/>
      <c r="C70" s="131"/>
      <c r="D70" s="189">
        <f>D93+D96</f>
        <v>0</v>
      </c>
      <c r="E70" s="166" t="e">
        <f>+E79-C79+E82-C82</f>
        <v>#VALUE!</v>
      </c>
      <c r="F70" s="167">
        <f>F93+F96</f>
        <v>0</v>
      </c>
      <c r="G70" s="166">
        <f>+G79-E79+G82-E82</f>
        <v>0</v>
      </c>
      <c r="H70" s="167">
        <f>H93+H96</f>
        <v>0</v>
      </c>
      <c r="I70" s="166">
        <f>+I79-G79+I82-G82</f>
        <v>0</v>
      </c>
      <c r="J70" s="167">
        <f>J93+J96</f>
        <v>0</v>
      </c>
      <c r="K70" s="166">
        <f>+K79-I79+K82-I82</f>
        <v>0</v>
      </c>
      <c r="L70" s="167">
        <f>L93+L96</f>
        <v>0</v>
      </c>
      <c r="M70" s="166">
        <f>+M79-K79+M82-K82</f>
        <v>0</v>
      </c>
      <c r="N70" s="167">
        <f>N93+N96</f>
        <v>0</v>
      </c>
      <c r="O70" s="166">
        <f>+O79-M79+O82-M82</f>
        <v>0</v>
      </c>
      <c r="P70" s="167">
        <f>P93+P96</f>
        <v>0</v>
      </c>
      <c r="Q70" s="166">
        <f>+Q79-O79+Q82-O82</f>
        <v>0</v>
      </c>
      <c r="R70" s="167">
        <f>R93+R96</f>
        <v>0</v>
      </c>
      <c r="S70" s="166">
        <f>+S79-Q79+S82-Q82</f>
        <v>0</v>
      </c>
      <c r="T70" s="167">
        <f>T93+T96</f>
        <v>0</v>
      </c>
      <c r="U70" s="166">
        <f>+U79-S79+U82-S82</f>
        <v>0</v>
      </c>
      <c r="V70" s="167">
        <f>V93+V96</f>
        <v>0</v>
      </c>
      <c r="W70" s="166">
        <f>+W79-U79+W82-U82</f>
        <v>0</v>
      </c>
      <c r="X70" s="167">
        <f>X93+X96</f>
        <v>0</v>
      </c>
      <c r="Y70" s="166">
        <f>+Y79-W79+Y82-W82</f>
        <v>0</v>
      </c>
      <c r="Z70" s="167">
        <f>Z93+Z96</f>
        <v>0</v>
      </c>
      <c r="AA70" s="166">
        <f>+AA79-Y79+AA82-Y82</f>
        <v>0</v>
      </c>
      <c r="AB70" s="167">
        <f>AB93+AB96</f>
        <v>0</v>
      </c>
      <c r="AC70" s="166">
        <f>+AC79-AA79+AC82-AA82</f>
        <v>0</v>
      </c>
      <c r="AD70" s="167">
        <f>AD93+AD96</f>
        <v>0</v>
      </c>
      <c r="AE70" s="166">
        <f>+AE79-AC79+AE82-AC82</f>
        <v>0</v>
      </c>
      <c r="AF70" s="167">
        <f>AF93+AF96</f>
        <v>0</v>
      </c>
      <c r="AG70" s="166">
        <f>+AG79-AE79+AG82-AE82</f>
        <v>0</v>
      </c>
      <c r="AH70" s="167">
        <f>AH93+AH96</f>
        <v>0</v>
      </c>
      <c r="AI70" s="166">
        <f>+AI79-AG79+AI82-AG82</f>
        <v>0</v>
      </c>
      <c r="AJ70" s="167">
        <f>AJ93+AJ96</f>
        <v>0</v>
      </c>
      <c r="AK70" s="166">
        <f>+AK79-AI79+AK82-AI82</f>
        <v>0</v>
      </c>
      <c r="AL70" s="167">
        <f>AL93+AL96</f>
        <v>0</v>
      </c>
      <c r="AM70" s="166">
        <f>+AM79-AK79+AM82-AK82</f>
        <v>0</v>
      </c>
      <c r="AN70" s="167">
        <f>AN93+AN96</f>
        <v>0</v>
      </c>
      <c r="AO70" s="166">
        <f>+AO79-AM79+AO82-AM82</f>
        <v>0</v>
      </c>
      <c r="AP70" s="167">
        <f>AP93+AP96</f>
        <v>0</v>
      </c>
      <c r="AQ70" s="166">
        <f>+AQ79-AO79+AQ82-AO82</f>
        <v>0</v>
      </c>
      <c r="AR70" s="167">
        <f>AR93+AR96</f>
        <v>0</v>
      </c>
      <c r="AS70" s="166">
        <f>+AS79-AQ79+AS82-AQ82</f>
        <v>0</v>
      </c>
      <c r="AT70" s="167">
        <f>AT93+AT96</f>
        <v>0</v>
      </c>
      <c r="AU70" s="166">
        <f>+AU79-AS79+AU82-AS82</f>
        <v>0</v>
      </c>
      <c r="AV70" s="167">
        <f>AV93+AV96</f>
        <v>0</v>
      </c>
      <c r="AW70" s="166">
        <f>+AW79-AU79+AW82-AU82</f>
        <v>0</v>
      </c>
      <c r="AX70" s="167">
        <f>AX93+AX96</f>
        <v>0</v>
      </c>
      <c r="AY70" s="166">
        <f>+AY79-AW79+AY82-AW82</f>
        <v>0</v>
      </c>
      <c r="AZ70" s="167">
        <f>AZ93+AZ96</f>
        <v>0</v>
      </c>
      <c r="BA70" s="166">
        <f>+BA79-AY79+BA82-AY82</f>
        <v>0</v>
      </c>
      <c r="BB70" s="167">
        <f>BB93+BB96</f>
        <v>0</v>
      </c>
      <c r="BC70" s="166">
        <f>+BC79-BA79+BC82-BA82</f>
        <v>0</v>
      </c>
      <c r="BD70" s="167">
        <f>BD93+BD96</f>
        <v>0</v>
      </c>
      <c r="BE70" s="166">
        <f>+BE79-BC79+BE82-BC82</f>
        <v>0</v>
      </c>
      <c r="BF70" s="167">
        <f>BF93+BF96</f>
        <v>0</v>
      </c>
      <c r="BG70" s="166">
        <f>+BG79-BE79+BG82-BE82</f>
        <v>0</v>
      </c>
      <c r="BH70" s="167">
        <f>BH93+BH96</f>
        <v>0</v>
      </c>
      <c r="BI70" s="166">
        <f>+BI79-BG79+BI82-BG82</f>
        <v>0</v>
      </c>
      <c r="BJ70" s="167">
        <f>BJ93+BJ96</f>
        <v>0</v>
      </c>
      <c r="BK70" s="166">
        <f>+BK79-BI79+BK82-BI82</f>
        <v>0</v>
      </c>
      <c r="BL70" s="167">
        <f>BL93+BL96</f>
        <v>0</v>
      </c>
      <c r="BM70" s="166">
        <f>+BM79-BK79+BM82-BK82</f>
        <v>0</v>
      </c>
      <c r="BN70" s="50"/>
      <c r="BO70" s="170" t="e">
        <f t="shared" si="95"/>
        <v>#VALUE!</v>
      </c>
      <c r="BP70" s="167">
        <f>BP93+BP96</f>
        <v>0</v>
      </c>
      <c r="BQ70" s="52"/>
    </row>
    <row r="71" spans="1:69" x14ac:dyDescent="0.35">
      <c r="A71" s="135" t="s">
        <v>90</v>
      </c>
      <c r="B71" s="133"/>
      <c r="C71" s="131"/>
      <c r="D71" s="189">
        <f>+D97+D100</f>
        <v>0</v>
      </c>
      <c r="E71" s="166" t="e">
        <f>+E83-C83+E86-C86</f>
        <v>#VALUE!</v>
      </c>
      <c r="F71" s="167">
        <f>+F97+F100</f>
        <v>0</v>
      </c>
      <c r="G71" s="166">
        <f>+G83-E83+G86-E86</f>
        <v>0</v>
      </c>
      <c r="H71" s="167">
        <f>+H97+H100</f>
        <v>0</v>
      </c>
      <c r="I71" s="166">
        <f>+I83-G83+I86-G86</f>
        <v>0</v>
      </c>
      <c r="J71" s="167">
        <f>+J97+J100</f>
        <v>0</v>
      </c>
      <c r="K71" s="166">
        <f>+K83-I83+K86-I86</f>
        <v>0</v>
      </c>
      <c r="L71" s="167">
        <f>+L97+L100</f>
        <v>0</v>
      </c>
      <c r="M71" s="166">
        <f>+M83-K83+M86-K86</f>
        <v>0</v>
      </c>
      <c r="N71" s="167">
        <f>+N97+N100</f>
        <v>0</v>
      </c>
      <c r="O71" s="166">
        <f>+O83-M83+O86-M86</f>
        <v>0</v>
      </c>
      <c r="P71" s="167">
        <f>+P97+P100</f>
        <v>0</v>
      </c>
      <c r="Q71" s="166">
        <f>+Q83-O83+Q86-O86</f>
        <v>0</v>
      </c>
      <c r="R71" s="167">
        <f>+R97+R100</f>
        <v>0</v>
      </c>
      <c r="S71" s="166">
        <f>+S83-Q83+S86-Q86</f>
        <v>0</v>
      </c>
      <c r="T71" s="167">
        <f>+T97+T100</f>
        <v>0</v>
      </c>
      <c r="U71" s="166">
        <f>+U83-S83+U86-S86</f>
        <v>0</v>
      </c>
      <c r="V71" s="167">
        <f>+V97+V100</f>
        <v>0</v>
      </c>
      <c r="W71" s="166">
        <f>+W83-U83+W86-U86</f>
        <v>0</v>
      </c>
      <c r="X71" s="167">
        <f>+X97+X100</f>
        <v>0</v>
      </c>
      <c r="Y71" s="166">
        <f>+Y83-W83+Y86-W86</f>
        <v>0</v>
      </c>
      <c r="Z71" s="167">
        <f>+Z97+Z100</f>
        <v>0</v>
      </c>
      <c r="AA71" s="166">
        <f>+AA83-Y83+AA86-Y86</f>
        <v>0</v>
      </c>
      <c r="AB71" s="167">
        <f>+AB97+AB100</f>
        <v>0</v>
      </c>
      <c r="AC71" s="166">
        <f>+AC83-AA83+AC86-AA86</f>
        <v>0</v>
      </c>
      <c r="AD71" s="167">
        <f>+AD97+AD100</f>
        <v>0</v>
      </c>
      <c r="AE71" s="166">
        <f>+AE83-AC83+AE86-AC86</f>
        <v>0</v>
      </c>
      <c r="AF71" s="167">
        <f>+AF97+AF100</f>
        <v>0</v>
      </c>
      <c r="AG71" s="166">
        <f>+AG83-AE83+AG86-AE86</f>
        <v>0</v>
      </c>
      <c r="AH71" s="167">
        <f>+AH97+AH100</f>
        <v>0</v>
      </c>
      <c r="AI71" s="166">
        <f>+AI83-AG83+AI86-AG86</f>
        <v>0</v>
      </c>
      <c r="AJ71" s="167">
        <f>+AJ97+AJ100</f>
        <v>0</v>
      </c>
      <c r="AK71" s="166">
        <f>+AK83-AI83+AK86-AI86</f>
        <v>0</v>
      </c>
      <c r="AL71" s="167">
        <f>+AL97+AL100</f>
        <v>0</v>
      </c>
      <c r="AM71" s="166">
        <f>+AM83-AK83+AM86-AK86</f>
        <v>0</v>
      </c>
      <c r="AN71" s="167">
        <f>+AN97+AN100</f>
        <v>0</v>
      </c>
      <c r="AO71" s="166">
        <f>+AO83-AM83+AO86-AM86</f>
        <v>0</v>
      </c>
      <c r="AP71" s="167">
        <f>+AP97+AP100</f>
        <v>0</v>
      </c>
      <c r="AQ71" s="166">
        <f>+AQ83-AO83+AQ86-AO86</f>
        <v>0</v>
      </c>
      <c r="AR71" s="167">
        <f>+AR97+AR100</f>
        <v>0</v>
      </c>
      <c r="AS71" s="166">
        <f>+AS83-AQ83+AS86-AQ86</f>
        <v>0</v>
      </c>
      <c r="AT71" s="167">
        <f>+AT97+AT100</f>
        <v>0</v>
      </c>
      <c r="AU71" s="166">
        <f>+AU83-AS83+AU86-AS86</f>
        <v>0</v>
      </c>
      <c r="AV71" s="167">
        <f>+AV97+AV100</f>
        <v>0</v>
      </c>
      <c r="AW71" s="166">
        <f>+AW83-AU83+AW86-AU86</f>
        <v>0</v>
      </c>
      <c r="AX71" s="167">
        <f>+AX97+AX100</f>
        <v>0</v>
      </c>
      <c r="AY71" s="166">
        <f>+AY83-AW83+AY86-AW86</f>
        <v>0</v>
      </c>
      <c r="AZ71" s="167">
        <f>+AZ97+AZ100</f>
        <v>0</v>
      </c>
      <c r="BA71" s="166">
        <f>+BA83-AY83+BA86-AY86</f>
        <v>0</v>
      </c>
      <c r="BB71" s="167">
        <f>+BB97+BB100</f>
        <v>0</v>
      </c>
      <c r="BC71" s="166">
        <f>+BC83-BA83+BC86-BA86</f>
        <v>0</v>
      </c>
      <c r="BD71" s="167">
        <f>+BD97+BD100</f>
        <v>0</v>
      </c>
      <c r="BE71" s="166">
        <f>+BE83-BC83+BE86-BC86</f>
        <v>0</v>
      </c>
      <c r="BF71" s="167">
        <f>+BF97+BF100</f>
        <v>0</v>
      </c>
      <c r="BG71" s="166">
        <f>+BG83-BE83+BG86-BE86</f>
        <v>0</v>
      </c>
      <c r="BH71" s="167">
        <f>+BH97+BH100</f>
        <v>0</v>
      </c>
      <c r="BI71" s="166">
        <f>+BI83-BG83+BI86-BG86</f>
        <v>0</v>
      </c>
      <c r="BJ71" s="167">
        <f>+BJ97+BJ100</f>
        <v>0</v>
      </c>
      <c r="BK71" s="166">
        <f>+BK83-BI83+BK86-BI86</f>
        <v>0</v>
      </c>
      <c r="BL71" s="167">
        <f>+BL97+BL100</f>
        <v>0</v>
      </c>
      <c r="BM71" s="166">
        <f>+BM83-BK83+BM86-BK86</f>
        <v>0</v>
      </c>
      <c r="BN71" s="50"/>
      <c r="BO71" s="170" t="e">
        <f t="shared" si="95"/>
        <v>#VALUE!</v>
      </c>
      <c r="BP71" s="167">
        <f>+BP97+BP100</f>
        <v>0</v>
      </c>
      <c r="BQ71" s="52"/>
    </row>
    <row r="72" spans="1:69" x14ac:dyDescent="0.35">
      <c r="A72" s="136" t="s">
        <v>91</v>
      </c>
      <c r="B72" s="133"/>
      <c r="C72" s="131"/>
      <c r="D72" s="189">
        <f>+D92+D95+D98+D101</f>
        <v>0</v>
      </c>
      <c r="E72" s="166" t="e">
        <f>+E78-C78+E81-C81+E84-C84+E87-C87</f>
        <v>#VALUE!</v>
      </c>
      <c r="F72" s="167">
        <f>+F92+F95+F98+F101</f>
        <v>0</v>
      </c>
      <c r="G72" s="166">
        <f>+G78-E78+G81-E81+G84-E84+G87-E87</f>
        <v>0</v>
      </c>
      <c r="H72" s="167">
        <f>+H92+H95+H98+H101</f>
        <v>0</v>
      </c>
      <c r="I72" s="166">
        <f>+I78-G78+I81-G81+I84-G84+I87-G87</f>
        <v>0</v>
      </c>
      <c r="J72" s="167">
        <f>+J92+J95+J98+J101</f>
        <v>0</v>
      </c>
      <c r="K72" s="166">
        <f>+K78-I78+K81-I81+K84-I84+K87-I87</f>
        <v>0</v>
      </c>
      <c r="L72" s="167">
        <f>+L92+L95+L98+L101</f>
        <v>0</v>
      </c>
      <c r="M72" s="166">
        <f>+M78-K78+M81-K81+M84-K84+M87-K87</f>
        <v>0</v>
      </c>
      <c r="N72" s="167">
        <f>+N92+N95+N98+N101</f>
        <v>0</v>
      </c>
      <c r="O72" s="166">
        <f>+O78-M78+O81-M81+O84-M84+O87-M87</f>
        <v>0</v>
      </c>
      <c r="P72" s="167">
        <f>+P92+P95+P98+P101</f>
        <v>0</v>
      </c>
      <c r="Q72" s="166">
        <f>+Q78-O78+Q81-O81+Q84-O84+Q87-O87</f>
        <v>0</v>
      </c>
      <c r="R72" s="167">
        <f>+R92+R95+R98+R101</f>
        <v>0</v>
      </c>
      <c r="S72" s="166">
        <f>+S78-Q78+S81-Q81+S84-Q84+S87-Q87</f>
        <v>0</v>
      </c>
      <c r="T72" s="167">
        <f>+T92+T95+T98+T101</f>
        <v>0</v>
      </c>
      <c r="U72" s="166">
        <f>+U78-S78+U81-S81+U84-S84+U87-S87</f>
        <v>0</v>
      </c>
      <c r="V72" s="167">
        <f>+V92+V95+V98+V101</f>
        <v>0</v>
      </c>
      <c r="W72" s="166">
        <f>+W78-U78+W81-U81+W84-U84+W87-U87</f>
        <v>0</v>
      </c>
      <c r="X72" s="167">
        <f>+X92+X95+X98+X101</f>
        <v>0</v>
      </c>
      <c r="Y72" s="166">
        <f>+Y78-W78+Y81-W81+Y84-W84+Y87-W87</f>
        <v>0</v>
      </c>
      <c r="Z72" s="167">
        <f>+Z92+Z95+Z98+Z101</f>
        <v>0</v>
      </c>
      <c r="AA72" s="166">
        <f>+AA78-Y78+AA81-Y81+AA84-Y84+AA87-Y87</f>
        <v>0</v>
      </c>
      <c r="AB72" s="167">
        <f>+AB92+AB95+AB98+AB101</f>
        <v>0</v>
      </c>
      <c r="AC72" s="166">
        <f>+AC78-AA78+AC81-AA81+AC84-AA84+AC87-AA87</f>
        <v>0</v>
      </c>
      <c r="AD72" s="167">
        <f>+AD92+AD95+AD98+AD101</f>
        <v>0</v>
      </c>
      <c r="AE72" s="166">
        <f>+AE78-AC78+AE81-AC81+AE84-AC84+AE87-AC87</f>
        <v>0</v>
      </c>
      <c r="AF72" s="167">
        <f>+AF92+AF95+AF98+AF101</f>
        <v>0</v>
      </c>
      <c r="AG72" s="166">
        <f>+AG78-AE78+AG81-AE81+AG84-AE84+AG87-AE87</f>
        <v>0</v>
      </c>
      <c r="AH72" s="167">
        <f>+AH92+AH95+AH98+AH101</f>
        <v>0</v>
      </c>
      <c r="AI72" s="166">
        <f>+AI78-AG78+AI81-AG81+AI84-AG84+AI87-AG87</f>
        <v>0</v>
      </c>
      <c r="AJ72" s="167">
        <f>+AJ92+AJ95+AJ98+AJ101</f>
        <v>0</v>
      </c>
      <c r="AK72" s="166">
        <f>+AK78-AI78+AK81-AI81+AK84-AI84+AK87-AI87</f>
        <v>0</v>
      </c>
      <c r="AL72" s="167">
        <f>+AL92+AL95+AL98+AL101</f>
        <v>0</v>
      </c>
      <c r="AM72" s="166">
        <f>+AM78-AK78+AM81-AK81+AM84-AK84+AM87-AK87</f>
        <v>0</v>
      </c>
      <c r="AN72" s="167">
        <f>+AN92+AN95+AN98+AN101</f>
        <v>0</v>
      </c>
      <c r="AO72" s="166">
        <f>+AO78-AM78+AO81-AM81+AO84-AM84+AO87-AM87</f>
        <v>0</v>
      </c>
      <c r="AP72" s="167">
        <f>+AP92+AP95+AP98+AP101</f>
        <v>0</v>
      </c>
      <c r="AQ72" s="166">
        <f>+AQ78-AO78+AQ81-AO81+AQ84-AO84+AQ87-AO87</f>
        <v>0</v>
      </c>
      <c r="AR72" s="167">
        <f>+AR92+AR95+AR98+AR101</f>
        <v>0</v>
      </c>
      <c r="AS72" s="166">
        <f>+AS78-AQ78+AS81-AQ81+AS84-AQ84+AS87-AQ87</f>
        <v>0</v>
      </c>
      <c r="AT72" s="167">
        <f>+AT92+AT95+AT98+AT101</f>
        <v>0</v>
      </c>
      <c r="AU72" s="166">
        <f>+AU78-AS78+AU81-AS81+AU84-AS84+AU87-AS87</f>
        <v>0</v>
      </c>
      <c r="AV72" s="167">
        <f>+AV92+AV95+AV98+AV101</f>
        <v>0</v>
      </c>
      <c r="AW72" s="166">
        <f>+AW78-AU78+AW81-AU81+AW84-AU84+AW87-AU87</f>
        <v>0</v>
      </c>
      <c r="AX72" s="167">
        <f>+AX92+AX95+AX98+AX101</f>
        <v>0</v>
      </c>
      <c r="AY72" s="166">
        <f>+AY78-AW78+AY81-AW81+AY84-AW84+AY87-AW87</f>
        <v>0</v>
      </c>
      <c r="AZ72" s="167">
        <f>+AZ92+AZ95+AZ98+AZ101</f>
        <v>0</v>
      </c>
      <c r="BA72" s="166">
        <f>+BA78-AY78+BA81-AY81+BA84-AY84+BA87-AY87</f>
        <v>0</v>
      </c>
      <c r="BB72" s="167">
        <f>+BB92+BB95+BB98+BB101</f>
        <v>0</v>
      </c>
      <c r="BC72" s="166">
        <f>+BC78-BA78+BC81-BA81+BC84-BA84+BC87-BA87</f>
        <v>0</v>
      </c>
      <c r="BD72" s="167">
        <f>+BD92+BD95+BD98+BD101</f>
        <v>0</v>
      </c>
      <c r="BE72" s="166">
        <f>+BE78-BC78+BE81-BC81+BE84-BC84+BE87-BC87</f>
        <v>0</v>
      </c>
      <c r="BF72" s="167">
        <f>+BF92+BF95+BF98+BF101</f>
        <v>0</v>
      </c>
      <c r="BG72" s="166">
        <f>+BG78-BE78+BG81-BE81+BG84-BE84+BG87-BE87</f>
        <v>0</v>
      </c>
      <c r="BH72" s="167">
        <f>+BH92+BH95+BH98+BH101</f>
        <v>0</v>
      </c>
      <c r="BI72" s="166">
        <f>+BI78-BG78+BI81-BG81+BI84-BG84+BI87-BG87</f>
        <v>0</v>
      </c>
      <c r="BJ72" s="167">
        <f>+BJ92+BJ95+BJ98+BJ101</f>
        <v>0</v>
      </c>
      <c r="BK72" s="166">
        <f>+BK78-BI78+BK81-BI81+BK84-BI84+BK87-BI87</f>
        <v>0</v>
      </c>
      <c r="BL72" s="167">
        <f>+BL92+BL95+BL98+BL101</f>
        <v>0</v>
      </c>
      <c r="BM72" s="166">
        <f>+BM78-BK78+BM81-BK81+BM84-BK84+BM87-BK87</f>
        <v>0</v>
      </c>
      <c r="BN72" s="50"/>
      <c r="BO72" s="170" t="e">
        <f t="shared" si="95"/>
        <v>#VALUE!</v>
      </c>
      <c r="BP72" s="167">
        <f>+BP92+BP95+BP98+BP101</f>
        <v>0</v>
      </c>
      <c r="BQ72" s="52"/>
    </row>
    <row r="73" spans="1:69" x14ac:dyDescent="0.35">
      <c r="A73" s="137"/>
      <c r="B73" s="138"/>
      <c r="C73" s="139"/>
      <c r="D73" s="189">
        <f t="shared" ref="D73:BM73" si="96">SUM(D68:D72)</f>
        <v>0</v>
      </c>
      <c r="E73" s="177" t="e">
        <f t="shared" si="96"/>
        <v>#VALUE!</v>
      </c>
      <c r="F73" s="167">
        <f t="shared" si="96"/>
        <v>0</v>
      </c>
      <c r="G73" s="177">
        <f t="shared" si="96"/>
        <v>0</v>
      </c>
      <c r="H73" s="167">
        <f t="shared" si="96"/>
        <v>0</v>
      </c>
      <c r="I73" s="177">
        <f t="shared" si="96"/>
        <v>0</v>
      </c>
      <c r="J73" s="167">
        <f t="shared" si="96"/>
        <v>0</v>
      </c>
      <c r="K73" s="177">
        <f t="shared" si="96"/>
        <v>0</v>
      </c>
      <c r="L73" s="167">
        <f t="shared" si="96"/>
        <v>0</v>
      </c>
      <c r="M73" s="177">
        <f t="shared" si="96"/>
        <v>0</v>
      </c>
      <c r="N73" s="167">
        <f t="shared" si="96"/>
        <v>0</v>
      </c>
      <c r="O73" s="177">
        <f t="shared" si="96"/>
        <v>0</v>
      </c>
      <c r="P73" s="167">
        <f t="shared" si="96"/>
        <v>0</v>
      </c>
      <c r="Q73" s="177">
        <f t="shared" si="96"/>
        <v>0</v>
      </c>
      <c r="R73" s="167">
        <f t="shared" si="96"/>
        <v>0</v>
      </c>
      <c r="S73" s="177">
        <f t="shared" si="96"/>
        <v>0</v>
      </c>
      <c r="T73" s="167">
        <f t="shared" si="96"/>
        <v>0</v>
      </c>
      <c r="U73" s="177">
        <f t="shared" si="96"/>
        <v>0</v>
      </c>
      <c r="V73" s="167">
        <f t="shared" si="96"/>
        <v>0</v>
      </c>
      <c r="W73" s="177">
        <f t="shared" si="96"/>
        <v>0</v>
      </c>
      <c r="X73" s="167">
        <f t="shared" si="96"/>
        <v>0</v>
      </c>
      <c r="Y73" s="177">
        <f t="shared" si="96"/>
        <v>0</v>
      </c>
      <c r="Z73" s="167">
        <f t="shared" si="96"/>
        <v>0</v>
      </c>
      <c r="AA73" s="177">
        <f t="shared" si="96"/>
        <v>0</v>
      </c>
      <c r="AB73" s="167">
        <f t="shared" si="96"/>
        <v>0</v>
      </c>
      <c r="AC73" s="177">
        <f t="shared" si="96"/>
        <v>0</v>
      </c>
      <c r="AD73" s="167">
        <f t="shared" si="96"/>
        <v>0</v>
      </c>
      <c r="AE73" s="177">
        <f t="shared" si="96"/>
        <v>0</v>
      </c>
      <c r="AF73" s="167">
        <f t="shared" si="96"/>
        <v>0</v>
      </c>
      <c r="AG73" s="177">
        <f t="shared" si="96"/>
        <v>0</v>
      </c>
      <c r="AH73" s="167">
        <f t="shared" si="96"/>
        <v>0</v>
      </c>
      <c r="AI73" s="177">
        <f t="shared" si="96"/>
        <v>0</v>
      </c>
      <c r="AJ73" s="167">
        <f t="shared" si="96"/>
        <v>0</v>
      </c>
      <c r="AK73" s="177">
        <f t="shared" si="96"/>
        <v>0</v>
      </c>
      <c r="AL73" s="167">
        <f t="shared" si="96"/>
        <v>0</v>
      </c>
      <c r="AM73" s="177">
        <f t="shared" si="96"/>
        <v>0</v>
      </c>
      <c r="AN73" s="167">
        <f t="shared" si="96"/>
        <v>0</v>
      </c>
      <c r="AO73" s="177">
        <f t="shared" si="96"/>
        <v>0</v>
      </c>
      <c r="AP73" s="167">
        <f t="shared" si="96"/>
        <v>0</v>
      </c>
      <c r="AQ73" s="177">
        <f t="shared" si="96"/>
        <v>0</v>
      </c>
      <c r="AR73" s="167">
        <f t="shared" si="96"/>
        <v>0</v>
      </c>
      <c r="AS73" s="177">
        <f t="shared" si="96"/>
        <v>0</v>
      </c>
      <c r="AT73" s="167">
        <f t="shared" si="96"/>
        <v>0</v>
      </c>
      <c r="AU73" s="177">
        <f t="shared" si="96"/>
        <v>0</v>
      </c>
      <c r="AV73" s="167">
        <f t="shared" si="96"/>
        <v>0</v>
      </c>
      <c r="AW73" s="177">
        <f t="shared" si="96"/>
        <v>0</v>
      </c>
      <c r="AX73" s="167">
        <f t="shared" si="96"/>
        <v>0</v>
      </c>
      <c r="AY73" s="177">
        <f t="shared" si="96"/>
        <v>0</v>
      </c>
      <c r="AZ73" s="167">
        <f t="shared" si="96"/>
        <v>0</v>
      </c>
      <c r="BA73" s="177">
        <f t="shared" si="96"/>
        <v>0</v>
      </c>
      <c r="BB73" s="167">
        <f t="shared" si="96"/>
        <v>0</v>
      </c>
      <c r="BC73" s="177">
        <f t="shared" si="96"/>
        <v>0</v>
      </c>
      <c r="BD73" s="167">
        <f t="shared" si="96"/>
        <v>0</v>
      </c>
      <c r="BE73" s="177">
        <f t="shared" si="96"/>
        <v>0</v>
      </c>
      <c r="BF73" s="167">
        <f t="shared" si="96"/>
        <v>0</v>
      </c>
      <c r="BG73" s="177">
        <f t="shared" si="96"/>
        <v>0</v>
      </c>
      <c r="BH73" s="167">
        <f t="shared" si="96"/>
        <v>0</v>
      </c>
      <c r="BI73" s="177">
        <f>SUM(BI68:BI72)</f>
        <v>0</v>
      </c>
      <c r="BJ73" s="167">
        <f t="shared" si="96"/>
        <v>0</v>
      </c>
      <c r="BK73" s="177">
        <f t="shared" si="96"/>
        <v>0</v>
      </c>
      <c r="BL73" s="167">
        <f t="shared" si="96"/>
        <v>0</v>
      </c>
      <c r="BM73" s="177">
        <f t="shared" si="96"/>
        <v>0</v>
      </c>
      <c r="BN73" s="92"/>
      <c r="BO73" s="170" t="e">
        <f t="shared" si="95"/>
        <v>#VALUE!</v>
      </c>
      <c r="BP73" s="167">
        <f t="shared" ref="BP73" si="97">SUM(BP68:BP72)</f>
        <v>0</v>
      </c>
      <c r="BQ73" s="93"/>
    </row>
    <row r="74" spans="1:69" x14ac:dyDescent="0.35">
      <c r="A74" s="53" t="s">
        <v>30</v>
      </c>
      <c r="B74" s="138"/>
      <c r="C74" s="210" t="str">
        <f>IF('February 2027 Log'!BG74="","",'February 2027 Log'!BG74)</f>
        <v/>
      </c>
      <c r="D74" s="47"/>
      <c r="E74" s="48"/>
      <c r="F74" s="49"/>
      <c r="G74" s="48"/>
      <c r="H74" s="49"/>
      <c r="I74" s="48"/>
      <c r="J74" s="49"/>
      <c r="K74" s="48"/>
      <c r="L74" s="49"/>
      <c r="M74" s="48"/>
      <c r="N74" s="49"/>
      <c r="O74" s="48"/>
      <c r="P74" s="49"/>
      <c r="Q74" s="48"/>
      <c r="R74" s="49"/>
      <c r="S74" s="48"/>
      <c r="T74" s="49"/>
      <c r="U74" s="48"/>
      <c r="V74" s="49"/>
      <c r="W74" s="48"/>
      <c r="X74" s="49"/>
      <c r="Y74" s="48"/>
      <c r="Z74" s="49"/>
      <c r="AA74" s="48"/>
      <c r="AB74" s="49"/>
      <c r="AC74" s="48"/>
      <c r="AD74" s="49"/>
      <c r="AE74" s="48"/>
      <c r="AF74" s="49"/>
      <c r="AG74" s="48"/>
      <c r="AH74" s="49"/>
      <c r="AI74" s="48"/>
      <c r="AJ74" s="49"/>
      <c r="AK74" s="48"/>
      <c r="AL74" s="49"/>
      <c r="AM74" s="48"/>
      <c r="AN74" s="49"/>
      <c r="AO74" s="48"/>
      <c r="AP74" s="49"/>
      <c r="AQ74" s="48"/>
      <c r="AR74" s="49"/>
      <c r="AS74" s="48"/>
      <c r="AT74" s="49"/>
      <c r="AU74" s="48"/>
      <c r="AV74" s="49"/>
      <c r="AW74" s="48"/>
      <c r="AX74" s="49"/>
      <c r="AY74" s="48"/>
      <c r="AZ74" s="49"/>
      <c r="BA74" s="48"/>
      <c r="BB74" s="49"/>
      <c r="BC74" s="48"/>
      <c r="BD74" s="49"/>
      <c r="BE74" s="48"/>
      <c r="BF74" s="49"/>
      <c r="BG74" s="48"/>
      <c r="BH74" s="49"/>
      <c r="BI74" s="48"/>
      <c r="BJ74" s="49"/>
      <c r="BK74" s="48"/>
      <c r="BL74" s="49"/>
      <c r="BM74" s="48"/>
      <c r="BN74" s="50"/>
      <c r="BO74" s="170" t="str">
        <f t="shared" si="95"/>
        <v/>
      </c>
      <c r="BP74" s="49"/>
      <c r="BQ74" s="178" t="str">
        <f>IF(BM74="","",BM74)</f>
        <v/>
      </c>
    </row>
    <row r="75" spans="1:69" x14ac:dyDescent="0.35">
      <c r="A75" s="98" t="s">
        <v>31</v>
      </c>
      <c r="B75" s="138"/>
      <c r="C75" s="211">
        <f>IF('February 2027 Log'!BG75="","",'February 2027 Log'!BG75)</f>
        <v>0</v>
      </c>
      <c r="D75" s="47"/>
      <c r="E75" s="177">
        <f>+E57-E74</f>
        <v>0</v>
      </c>
      <c r="F75" s="49"/>
      <c r="G75" s="177">
        <f>+G57-G74</f>
        <v>0</v>
      </c>
      <c r="H75" s="49"/>
      <c r="I75" s="177">
        <f>+I57-I74</f>
        <v>0</v>
      </c>
      <c r="J75" s="49"/>
      <c r="K75" s="177">
        <f>+K57-K74</f>
        <v>0</v>
      </c>
      <c r="L75" s="49"/>
      <c r="M75" s="177">
        <f>+M57-M74</f>
        <v>0</v>
      </c>
      <c r="N75" s="49"/>
      <c r="O75" s="177">
        <f>+O57-O74</f>
        <v>0</v>
      </c>
      <c r="P75" s="49"/>
      <c r="Q75" s="177">
        <f>+Q57-Q74</f>
        <v>0</v>
      </c>
      <c r="R75" s="49"/>
      <c r="S75" s="177">
        <f>+S57-S74</f>
        <v>0</v>
      </c>
      <c r="T75" s="49"/>
      <c r="U75" s="177">
        <f>+U57-U74</f>
        <v>0</v>
      </c>
      <c r="V75" s="49"/>
      <c r="W75" s="177">
        <f>+W57-W74</f>
        <v>0</v>
      </c>
      <c r="X75" s="49"/>
      <c r="Y75" s="177">
        <f>+Y57-Y74</f>
        <v>0</v>
      </c>
      <c r="Z75" s="49"/>
      <c r="AA75" s="177">
        <f>+AA57-AA74</f>
        <v>0</v>
      </c>
      <c r="AB75" s="49"/>
      <c r="AC75" s="177">
        <f>+AC57-AC74</f>
        <v>0</v>
      </c>
      <c r="AD75" s="49"/>
      <c r="AE75" s="177">
        <f>+AE57-AE74</f>
        <v>0</v>
      </c>
      <c r="AF75" s="49"/>
      <c r="AG75" s="177">
        <f>+AG57-AG74</f>
        <v>0</v>
      </c>
      <c r="AH75" s="49"/>
      <c r="AI75" s="177">
        <f>+AI57-AI74</f>
        <v>0</v>
      </c>
      <c r="AJ75" s="49"/>
      <c r="AK75" s="177">
        <f>+AK57-AK74</f>
        <v>0</v>
      </c>
      <c r="AL75" s="49"/>
      <c r="AM75" s="177">
        <f>+AM57-AM74</f>
        <v>0</v>
      </c>
      <c r="AN75" s="49"/>
      <c r="AO75" s="177">
        <f>+AO57-AO74</f>
        <v>0</v>
      </c>
      <c r="AP75" s="49"/>
      <c r="AQ75" s="177">
        <f>+AQ57-AQ74</f>
        <v>0</v>
      </c>
      <c r="AR75" s="49"/>
      <c r="AS75" s="177">
        <f>+AS57-AS74</f>
        <v>0</v>
      </c>
      <c r="AT75" s="49"/>
      <c r="AU75" s="177">
        <f>+AU57-AU74</f>
        <v>0</v>
      </c>
      <c r="AV75" s="49"/>
      <c r="AW75" s="177">
        <f>+AW57-AW74</f>
        <v>0</v>
      </c>
      <c r="AX75" s="49"/>
      <c r="AY75" s="177">
        <f>+AY57-AY74</f>
        <v>0</v>
      </c>
      <c r="AZ75" s="49"/>
      <c r="BA75" s="177">
        <f>+BA57-BA74</f>
        <v>0</v>
      </c>
      <c r="BB75" s="49"/>
      <c r="BC75" s="177">
        <f>+BC57-BC74</f>
        <v>0</v>
      </c>
      <c r="BD75" s="49"/>
      <c r="BE75" s="177">
        <f>+BE57-BE74</f>
        <v>0</v>
      </c>
      <c r="BF75" s="49"/>
      <c r="BG75" s="177">
        <f>+BG57-BG74</f>
        <v>0</v>
      </c>
      <c r="BH75" s="49"/>
      <c r="BI75" s="177">
        <f>+BI57-BI74</f>
        <v>0</v>
      </c>
      <c r="BJ75" s="49"/>
      <c r="BK75" s="177">
        <f>+BK57-BK74</f>
        <v>0</v>
      </c>
      <c r="BL75" s="49"/>
      <c r="BM75" s="177">
        <f>+BM57-BM74</f>
        <v>0</v>
      </c>
      <c r="BN75" s="92"/>
      <c r="BO75" s="170">
        <f t="shared" si="95"/>
        <v>0</v>
      </c>
      <c r="BP75" s="49"/>
      <c r="BQ75" s="179">
        <f>IF(BM75="","",BM75)</f>
        <v>0</v>
      </c>
    </row>
    <row r="76" spans="1:69" ht="28.9" customHeight="1" x14ac:dyDescent="0.35">
      <c r="A76" s="74" t="s">
        <v>92</v>
      </c>
      <c r="B76" s="75"/>
      <c r="C76" s="141"/>
      <c r="D76" s="102"/>
      <c r="E76" s="142"/>
      <c r="F76" s="104"/>
      <c r="G76" s="142"/>
      <c r="H76" s="104"/>
      <c r="I76" s="142"/>
      <c r="J76" s="104"/>
      <c r="K76" s="142"/>
      <c r="L76" s="104"/>
      <c r="M76" s="142"/>
      <c r="N76" s="104"/>
      <c r="O76" s="142"/>
      <c r="P76" s="104"/>
      <c r="Q76" s="142"/>
      <c r="R76" s="104"/>
      <c r="S76" s="142"/>
      <c r="T76" s="104"/>
      <c r="U76" s="142"/>
      <c r="V76" s="104"/>
      <c r="W76" s="142"/>
      <c r="X76" s="104"/>
      <c r="Y76" s="142"/>
      <c r="Z76" s="104"/>
      <c r="AA76" s="142"/>
      <c r="AB76" s="104"/>
      <c r="AC76" s="142"/>
      <c r="AD76" s="104"/>
      <c r="AE76" s="142"/>
      <c r="AF76" s="104"/>
      <c r="AG76" s="142"/>
      <c r="AH76" s="104"/>
      <c r="AI76" s="142"/>
      <c r="AJ76" s="104"/>
      <c r="AK76" s="142"/>
      <c r="AL76" s="104"/>
      <c r="AM76" s="142"/>
      <c r="AN76" s="104"/>
      <c r="AO76" s="142"/>
      <c r="AP76" s="104"/>
      <c r="AQ76" s="142"/>
      <c r="AR76" s="104"/>
      <c r="AS76" s="142"/>
      <c r="AT76" s="104"/>
      <c r="AU76" s="142"/>
      <c r="AV76" s="104"/>
      <c r="AW76" s="142"/>
      <c r="AX76" s="104"/>
      <c r="AY76" s="142"/>
      <c r="AZ76" s="104"/>
      <c r="BA76" s="142"/>
      <c r="BB76" s="104"/>
      <c r="BC76" s="142"/>
      <c r="BD76" s="104"/>
      <c r="BE76" s="142"/>
      <c r="BF76" s="104"/>
      <c r="BG76" s="142"/>
      <c r="BH76" s="104"/>
      <c r="BI76" s="142"/>
      <c r="BJ76" s="104"/>
      <c r="BK76" s="142"/>
      <c r="BL76" s="104"/>
      <c r="BM76" s="142"/>
      <c r="BN76" s="105"/>
      <c r="BO76" s="106"/>
      <c r="BP76" s="104"/>
      <c r="BQ76" s="107"/>
    </row>
    <row r="77" spans="1:69" x14ac:dyDescent="0.35">
      <c r="A77" s="132" t="s">
        <v>75</v>
      </c>
      <c r="B77" s="54" t="s">
        <v>65</v>
      </c>
      <c r="C77" s="174" t="str">
        <f>IF('February 2027 Log'!BG77="","",'February 2027 Log'!BG77)</f>
        <v/>
      </c>
      <c r="D77" s="189" t="e">
        <f t="shared" ref="D77:D104" si="98">+E77-C77</f>
        <v>#VALUE!</v>
      </c>
      <c r="E77" s="86"/>
      <c r="F77" s="167">
        <f t="shared" ref="F77:F104" si="99">+G77-E77</f>
        <v>0</v>
      </c>
      <c r="G77" s="86"/>
      <c r="H77" s="167">
        <f t="shared" ref="H77:H104" si="100">+I77-G77</f>
        <v>0</v>
      </c>
      <c r="I77" s="86"/>
      <c r="J77" s="167">
        <f t="shared" ref="J77:J104" si="101">+K77-I77</f>
        <v>0</v>
      </c>
      <c r="K77" s="86"/>
      <c r="L77" s="167">
        <f t="shared" ref="L77:L89" si="102">+M77-K77</f>
        <v>0</v>
      </c>
      <c r="M77" s="86"/>
      <c r="N77" s="167">
        <f t="shared" ref="N77:N89" si="103">+O77-M77</f>
        <v>0</v>
      </c>
      <c r="O77" s="86"/>
      <c r="P77" s="167">
        <f t="shared" ref="P77:P89" si="104">+Q77-O77</f>
        <v>0</v>
      </c>
      <c r="Q77" s="86"/>
      <c r="R77" s="167">
        <f t="shared" ref="R77:R89" si="105">+S77-Q77</f>
        <v>0</v>
      </c>
      <c r="S77" s="86"/>
      <c r="T77" s="167">
        <f t="shared" ref="T77:T89" si="106">+U77-S77</f>
        <v>0</v>
      </c>
      <c r="U77" s="86"/>
      <c r="V77" s="167">
        <f t="shared" ref="V77:V89" si="107">+W77-U77</f>
        <v>0</v>
      </c>
      <c r="W77" s="86"/>
      <c r="X77" s="167">
        <f t="shared" ref="X77:X89" si="108">+Y77-W77</f>
        <v>0</v>
      </c>
      <c r="Y77" s="86"/>
      <c r="Z77" s="167">
        <f t="shared" ref="Z77:Z89" si="109">+AA77-Y77</f>
        <v>0</v>
      </c>
      <c r="AA77" s="86"/>
      <c r="AB77" s="167">
        <f t="shared" ref="AB77:AB89" si="110">+AC77-AA77</f>
        <v>0</v>
      </c>
      <c r="AC77" s="86"/>
      <c r="AD77" s="167">
        <f t="shared" ref="AD77:AD89" si="111">+AE77-AC77</f>
        <v>0</v>
      </c>
      <c r="AE77" s="86"/>
      <c r="AF77" s="167">
        <f t="shared" ref="AF77:AF89" si="112">+AG77-AE77</f>
        <v>0</v>
      </c>
      <c r="AG77" s="86"/>
      <c r="AH77" s="167">
        <f t="shared" ref="AH77:AH89" si="113">+AI77-AG77</f>
        <v>0</v>
      </c>
      <c r="AI77" s="86"/>
      <c r="AJ77" s="167">
        <f t="shared" ref="AJ77:AJ89" si="114">+AK77-AI77</f>
        <v>0</v>
      </c>
      <c r="AK77" s="86"/>
      <c r="AL77" s="167">
        <f t="shared" ref="AL77:AL89" si="115">+AM77-AK77</f>
        <v>0</v>
      </c>
      <c r="AM77" s="86"/>
      <c r="AN77" s="167">
        <f t="shared" ref="AN77:AN89" si="116">+AO77-AM77</f>
        <v>0</v>
      </c>
      <c r="AO77" s="86"/>
      <c r="AP77" s="167">
        <f t="shared" ref="AP77:AP89" si="117">+AQ77-AO77</f>
        <v>0</v>
      </c>
      <c r="AQ77" s="86"/>
      <c r="AR77" s="167">
        <f t="shared" ref="AR77:AR89" si="118">+AS77-AQ77</f>
        <v>0</v>
      </c>
      <c r="AS77" s="86"/>
      <c r="AT77" s="167">
        <f t="shared" ref="AT77:AT89" si="119">+AU77-AS77</f>
        <v>0</v>
      </c>
      <c r="AU77" s="86"/>
      <c r="AV77" s="167">
        <f t="shared" ref="AV77:AV89" si="120">+AW77-AU77</f>
        <v>0</v>
      </c>
      <c r="AW77" s="86"/>
      <c r="AX77" s="167">
        <f t="shared" ref="AX77:AX89" si="121">+AY77-AW77</f>
        <v>0</v>
      </c>
      <c r="AY77" s="86"/>
      <c r="AZ77" s="167">
        <f t="shared" ref="AZ77:AZ89" si="122">+BA77-AY77</f>
        <v>0</v>
      </c>
      <c r="BA77" s="86"/>
      <c r="BB77" s="167">
        <f t="shared" ref="BB77:BB89" si="123">+BC77-BA77</f>
        <v>0</v>
      </c>
      <c r="BC77" s="86"/>
      <c r="BD77" s="167">
        <f t="shared" ref="BD77:BD89" si="124">+BE77-BC77</f>
        <v>0</v>
      </c>
      <c r="BE77" s="86"/>
      <c r="BF77" s="167">
        <f t="shared" ref="BF77:BF89" si="125">+BG77-BE77</f>
        <v>0</v>
      </c>
      <c r="BG77" s="86"/>
      <c r="BH77" s="167">
        <f t="shared" ref="BH77:BH89" si="126">+BI77-BG77</f>
        <v>0</v>
      </c>
      <c r="BI77" s="86"/>
      <c r="BJ77" s="167">
        <f t="shared" ref="BJ77:BJ89" si="127">+BK77-BI77</f>
        <v>0</v>
      </c>
      <c r="BK77" s="86"/>
      <c r="BL77" s="167">
        <f t="shared" ref="BL77:BL89" si="128">+BM77-BK77</f>
        <v>0</v>
      </c>
      <c r="BM77" s="86"/>
      <c r="BN77" s="50"/>
      <c r="BO77" s="170" t="e">
        <f t="shared" ref="BO77:BO88" si="129">IF(COUNT(D77,F77,H77,J77,L77,N77,P77,R77,T77,V77,X77,Z77,AB77,AD77,AF77,AH77,AJ77,AL77,AN77,AP77,AR77,AT77,AV77,AX77,AZ77,BB77,BD77,BF77,BH77,BJ77,BL77)=0,"",SUM(D77,F77,H77,J77,L77,N77,P77,R77,T77,V77,X77,Z77,AB77,AD77,AF77,AH77,AJ77,AL77,AN77,AP77,AR77,AT77,AV77,AX77,AZ77,BB77,BD77,BF77,BH77,BJ77,BL77))</f>
        <v>#VALUE!</v>
      </c>
      <c r="BP77" s="193" t="e">
        <f>+BQ77-BM77</f>
        <v>#VALUE!</v>
      </c>
      <c r="BQ77" s="212" t="str">
        <f t="shared" ref="BQ77:BQ88" si="130">IF(BM77="","",BM77)</f>
        <v/>
      </c>
    </row>
    <row r="78" spans="1:69" x14ac:dyDescent="0.35">
      <c r="A78" s="136" t="s">
        <v>76</v>
      </c>
      <c r="B78" s="54" t="s">
        <v>66</v>
      </c>
      <c r="C78" s="174" t="str">
        <f>IF('February 2027 Log'!BG78="","",'February 2027 Log'!BG78)</f>
        <v/>
      </c>
      <c r="D78" s="189" t="e">
        <f t="shared" si="98"/>
        <v>#VALUE!</v>
      </c>
      <c r="E78" s="86"/>
      <c r="F78" s="167">
        <f t="shared" si="99"/>
        <v>0</v>
      </c>
      <c r="G78" s="86"/>
      <c r="H78" s="167">
        <f t="shared" si="100"/>
        <v>0</v>
      </c>
      <c r="I78" s="86"/>
      <c r="J78" s="167">
        <f t="shared" si="101"/>
        <v>0</v>
      </c>
      <c r="K78" s="86"/>
      <c r="L78" s="167">
        <f t="shared" si="102"/>
        <v>0</v>
      </c>
      <c r="M78" s="86"/>
      <c r="N78" s="167">
        <f t="shared" si="103"/>
        <v>0</v>
      </c>
      <c r="O78" s="86"/>
      <c r="P78" s="167">
        <f t="shared" si="104"/>
        <v>0</v>
      </c>
      <c r="Q78" s="86"/>
      <c r="R78" s="167">
        <f t="shared" si="105"/>
        <v>0</v>
      </c>
      <c r="S78" s="86"/>
      <c r="T78" s="167">
        <f t="shared" si="106"/>
        <v>0</v>
      </c>
      <c r="U78" s="86"/>
      <c r="V78" s="167">
        <f t="shared" si="107"/>
        <v>0</v>
      </c>
      <c r="W78" s="86"/>
      <c r="X78" s="167">
        <f t="shared" si="108"/>
        <v>0</v>
      </c>
      <c r="Y78" s="86"/>
      <c r="Z78" s="167">
        <f t="shared" si="109"/>
        <v>0</v>
      </c>
      <c r="AA78" s="86"/>
      <c r="AB78" s="167">
        <f t="shared" si="110"/>
        <v>0</v>
      </c>
      <c r="AC78" s="86"/>
      <c r="AD78" s="167">
        <f t="shared" si="111"/>
        <v>0</v>
      </c>
      <c r="AE78" s="86"/>
      <c r="AF78" s="167">
        <f t="shared" si="112"/>
        <v>0</v>
      </c>
      <c r="AG78" s="86"/>
      <c r="AH78" s="167">
        <f t="shared" si="113"/>
        <v>0</v>
      </c>
      <c r="AI78" s="86"/>
      <c r="AJ78" s="167">
        <f t="shared" si="114"/>
        <v>0</v>
      </c>
      <c r="AK78" s="86"/>
      <c r="AL78" s="167">
        <f t="shared" si="115"/>
        <v>0</v>
      </c>
      <c r="AM78" s="86"/>
      <c r="AN78" s="167">
        <f t="shared" si="116"/>
        <v>0</v>
      </c>
      <c r="AO78" s="86"/>
      <c r="AP78" s="167">
        <f t="shared" si="117"/>
        <v>0</v>
      </c>
      <c r="AQ78" s="86"/>
      <c r="AR78" s="167">
        <f t="shared" si="118"/>
        <v>0</v>
      </c>
      <c r="AS78" s="86"/>
      <c r="AT78" s="167">
        <f t="shared" si="119"/>
        <v>0</v>
      </c>
      <c r="AU78" s="86"/>
      <c r="AV78" s="167">
        <f t="shared" si="120"/>
        <v>0</v>
      </c>
      <c r="AW78" s="86"/>
      <c r="AX78" s="167">
        <f t="shared" si="121"/>
        <v>0</v>
      </c>
      <c r="AY78" s="86"/>
      <c r="AZ78" s="167">
        <f t="shared" si="122"/>
        <v>0</v>
      </c>
      <c r="BA78" s="86"/>
      <c r="BB78" s="167">
        <f t="shared" si="123"/>
        <v>0</v>
      </c>
      <c r="BC78" s="86"/>
      <c r="BD78" s="167">
        <f t="shared" si="124"/>
        <v>0</v>
      </c>
      <c r="BE78" s="86"/>
      <c r="BF78" s="167">
        <f t="shared" si="125"/>
        <v>0</v>
      </c>
      <c r="BG78" s="86"/>
      <c r="BH78" s="167">
        <f t="shared" si="126"/>
        <v>0</v>
      </c>
      <c r="BI78" s="86"/>
      <c r="BJ78" s="167">
        <f t="shared" si="127"/>
        <v>0</v>
      </c>
      <c r="BK78" s="86"/>
      <c r="BL78" s="167">
        <f t="shared" si="128"/>
        <v>0</v>
      </c>
      <c r="BM78" s="86"/>
      <c r="BN78" s="50"/>
      <c r="BO78" s="170" t="e">
        <f t="shared" si="129"/>
        <v>#VALUE!</v>
      </c>
      <c r="BP78" s="167" t="e">
        <f t="shared" ref="BP78:BP89" si="131">+BQ78-BM78</f>
        <v>#VALUE!</v>
      </c>
      <c r="BQ78" s="178" t="str">
        <f t="shared" si="130"/>
        <v/>
      </c>
    </row>
    <row r="79" spans="1:69" x14ac:dyDescent="0.35">
      <c r="A79" s="134" t="s">
        <v>77</v>
      </c>
      <c r="B79" s="54" t="s">
        <v>67</v>
      </c>
      <c r="C79" s="174" t="str">
        <f>IF('February 2027 Log'!BG79="","",'February 2027 Log'!BG79)</f>
        <v/>
      </c>
      <c r="D79" s="189" t="e">
        <f t="shared" si="98"/>
        <v>#VALUE!</v>
      </c>
      <c r="E79" s="86"/>
      <c r="F79" s="167">
        <f t="shared" si="99"/>
        <v>0</v>
      </c>
      <c r="G79" s="86"/>
      <c r="H79" s="167">
        <f t="shared" si="100"/>
        <v>0</v>
      </c>
      <c r="I79" s="86"/>
      <c r="J79" s="167">
        <f t="shared" si="101"/>
        <v>0</v>
      </c>
      <c r="K79" s="86"/>
      <c r="L79" s="167">
        <f t="shared" si="102"/>
        <v>0</v>
      </c>
      <c r="M79" s="86"/>
      <c r="N79" s="167">
        <f t="shared" si="103"/>
        <v>0</v>
      </c>
      <c r="O79" s="86"/>
      <c r="P79" s="167">
        <f t="shared" si="104"/>
        <v>0</v>
      </c>
      <c r="Q79" s="86"/>
      <c r="R79" s="167">
        <f t="shared" si="105"/>
        <v>0</v>
      </c>
      <c r="S79" s="86"/>
      <c r="T79" s="167">
        <f t="shared" si="106"/>
        <v>0</v>
      </c>
      <c r="U79" s="86"/>
      <c r="V79" s="167">
        <f t="shared" si="107"/>
        <v>0</v>
      </c>
      <c r="W79" s="86"/>
      <c r="X79" s="167">
        <f t="shared" si="108"/>
        <v>0</v>
      </c>
      <c r="Y79" s="86"/>
      <c r="Z79" s="167">
        <f t="shared" si="109"/>
        <v>0</v>
      </c>
      <c r="AA79" s="86"/>
      <c r="AB79" s="167">
        <f t="shared" si="110"/>
        <v>0</v>
      </c>
      <c r="AC79" s="86"/>
      <c r="AD79" s="167">
        <f t="shared" si="111"/>
        <v>0</v>
      </c>
      <c r="AE79" s="86"/>
      <c r="AF79" s="167">
        <f t="shared" si="112"/>
        <v>0</v>
      </c>
      <c r="AG79" s="86"/>
      <c r="AH79" s="167">
        <f t="shared" si="113"/>
        <v>0</v>
      </c>
      <c r="AI79" s="86"/>
      <c r="AJ79" s="167">
        <f t="shared" si="114"/>
        <v>0</v>
      </c>
      <c r="AK79" s="86"/>
      <c r="AL79" s="167">
        <f t="shared" si="115"/>
        <v>0</v>
      </c>
      <c r="AM79" s="86"/>
      <c r="AN79" s="167">
        <f t="shared" si="116"/>
        <v>0</v>
      </c>
      <c r="AO79" s="86"/>
      <c r="AP79" s="167">
        <f t="shared" si="117"/>
        <v>0</v>
      </c>
      <c r="AQ79" s="86"/>
      <c r="AR79" s="167">
        <f t="shared" si="118"/>
        <v>0</v>
      </c>
      <c r="AS79" s="86"/>
      <c r="AT79" s="167">
        <f t="shared" si="119"/>
        <v>0</v>
      </c>
      <c r="AU79" s="86"/>
      <c r="AV79" s="167">
        <f t="shared" si="120"/>
        <v>0</v>
      </c>
      <c r="AW79" s="86"/>
      <c r="AX79" s="167">
        <f t="shared" si="121"/>
        <v>0</v>
      </c>
      <c r="AY79" s="86"/>
      <c r="AZ79" s="167">
        <f t="shared" si="122"/>
        <v>0</v>
      </c>
      <c r="BA79" s="86"/>
      <c r="BB79" s="167">
        <f t="shared" si="123"/>
        <v>0</v>
      </c>
      <c r="BC79" s="86"/>
      <c r="BD79" s="167">
        <f t="shared" si="124"/>
        <v>0</v>
      </c>
      <c r="BE79" s="86"/>
      <c r="BF79" s="167">
        <f t="shared" si="125"/>
        <v>0</v>
      </c>
      <c r="BG79" s="86"/>
      <c r="BH79" s="167">
        <f t="shared" si="126"/>
        <v>0</v>
      </c>
      <c r="BI79" s="86"/>
      <c r="BJ79" s="167">
        <f t="shared" si="127"/>
        <v>0</v>
      </c>
      <c r="BK79" s="86"/>
      <c r="BL79" s="167">
        <f t="shared" si="128"/>
        <v>0</v>
      </c>
      <c r="BM79" s="86"/>
      <c r="BN79" s="50"/>
      <c r="BO79" s="170" t="e">
        <f t="shared" si="129"/>
        <v>#VALUE!</v>
      </c>
      <c r="BP79" s="167" t="e">
        <f t="shared" si="131"/>
        <v>#VALUE!</v>
      </c>
      <c r="BQ79" s="178" t="str">
        <f t="shared" si="130"/>
        <v/>
      </c>
    </row>
    <row r="80" spans="1:69" x14ac:dyDescent="0.35">
      <c r="A80" s="132" t="s">
        <v>78</v>
      </c>
      <c r="B80" s="54" t="s">
        <v>65</v>
      </c>
      <c r="C80" s="174" t="str">
        <f>IF('February 2027 Log'!BG80="","",'February 2027 Log'!BG80)</f>
        <v/>
      </c>
      <c r="D80" s="189" t="e">
        <f t="shared" si="98"/>
        <v>#VALUE!</v>
      </c>
      <c r="E80" s="86"/>
      <c r="F80" s="167">
        <f t="shared" si="99"/>
        <v>0</v>
      </c>
      <c r="G80" s="86"/>
      <c r="H80" s="167">
        <f t="shared" si="100"/>
        <v>0</v>
      </c>
      <c r="I80" s="86"/>
      <c r="J80" s="167">
        <f t="shared" si="101"/>
        <v>0</v>
      </c>
      <c r="K80" s="86"/>
      <c r="L80" s="167">
        <f t="shared" si="102"/>
        <v>0</v>
      </c>
      <c r="M80" s="86"/>
      <c r="N80" s="167">
        <f t="shared" si="103"/>
        <v>0</v>
      </c>
      <c r="O80" s="86"/>
      <c r="P80" s="167">
        <f t="shared" si="104"/>
        <v>0</v>
      </c>
      <c r="Q80" s="86"/>
      <c r="R80" s="167">
        <f t="shared" si="105"/>
        <v>0</v>
      </c>
      <c r="S80" s="86"/>
      <c r="T80" s="167">
        <f t="shared" si="106"/>
        <v>0</v>
      </c>
      <c r="U80" s="86"/>
      <c r="V80" s="167">
        <f t="shared" si="107"/>
        <v>0</v>
      </c>
      <c r="W80" s="86"/>
      <c r="X80" s="167">
        <f t="shared" si="108"/>
        <v>0</v>
      </c>
      <c r="Y80" s="86"/>
      <c r="Z80" s="167">
        <f t="shared" si="109"/>
        <v>0</v>
      </c>
      <c r="AA80" s="86"/>
      <c r="AB80" s="167">
        <f t="shared" si="110"/>
        <v>0</v>
      </c>
      <c r="AC80" s="86"/>
      <c r="AD80" s="167">
        <f t="shared" si="111"/>
        <v>0</v>
      </c>
      <c r="AE80" s="86"/>
      <c r="AF80" s="167">
        <f t="shared" si="112"/>
        <v>0</v>
      </c>
      <c r="AG80" s="86"/>
      <c r="AH80" s="167">
        <f t="shared" si="113"/>
        <v>0</v>
      </c>
      <c r="AI80" s="86"/>
      <c r="AJ80" s="167">
        <f t="shared" si="114"/>
        <v>0</v>
      </c>
      <c r="AK80" s="86"/>
      <c r="AL80" s="167">
        <f t="shared" si="115"/>
        <v>0</v>
      </c>
      <c r="AM80" s="86"/>
      <c r="AN80" s="167">
        <f t="shared" si="116"/>
        <v>0</v>
      </c>
      <c r="AO80" s="86"/>
      <c r="AP80" s="167">
        <f t="shared" si="117"/>
        <v>0</v>
      </c>
      <c r="AQ80" s="86"/>
      <c r="AR80" s="167">
        <f t="shared" si="118"/>
        <v>0</v>
      </c>
      <c r="AS80" s="86"/>
      <c r="AT80" s="167">
        <f t="shared" si="119"/>
        <v>0</v>
      </c>
      <c r="AU80" s="86"/>
      <c r="AV80" s="167">
        <f t="shared" si="120"/>
        <v>0</v>
      </c>
      <c r="AW80" s="86"/>
      <c r="AX80" s="167">
        <f t="shared" si="121"/>
        <v>0</v>
      </c>
      <c r="AY80" s="86"/>
      <c r="AZ80" s="167">
        <f t="shared" si="122"/>
        <v>0</v>
      </c>
      <c r="BA80" s="86"/>
      <c r="BB80" s="167">
        <f t="shared" si="123"/>
        <v>0</v>
      </c>
      <c r="BC80" s="86"/>
      <c r="BD80" s="167">
        <f t="shared" si="124"/>
        <v>0</v>
      </c>
      <c r="BE80" s="86"/>
      <c r="BF80" s="167">
        <f t="shared" si="125"/>
        <v>0</v>
      </c>
      <c r="BG80" s="86"/>
      <c r="BH80" s="167">
        <f t="shared" si="126"/>
        <v>0</v>
      </c>
      <c r="BI80" s="86"/>
      <c r="BJ80" s="167">
        <f t="shared" si="127"/>
        <v>0</v>
      </c>
      <c r="BK80" s="86"/>
      <c r="BL80" s="167">
        <f t="shared" si="128"/>
        <v>0</v>
      </c>
      <c r="BM80" s="86"/>
      <c r="BN80" s="50"/>
      <c r="BO80" s="170" t="e">
        <f t="shared" si="129"/>
        <v>#VALUE!</v>
      </c>
      <c r="BP80" s="167" t="e">
        <f t="shared" si="131"/>
        <v>#VALUE!</v>
      </c>
      <c r="BQ80" s="178" t="str">
        <f t="shared" si="130"/>
        <v/>
      </c>
    </row>
    <row r="81" spans="1:69" x14ac:dyDescent="0.35">
      <c r="A81" s="136" t="s">
        <v>79</v>
      </c>
      <c r="B81" s="54" t="s">
        <v>66</v>
      </c>
      <c r="C81" s="174" t="str">
        <f>IF('February 2027 Log'!BG81="","",'February 2027 Log'!BG81)</f>
        <v/>
      </c>
      <c r="D81" s="189" t="e">
        <f t="shared" si="98"/>
        <v>#VALUE!</v>
      </c>
      <c r="E81" s="86"/>
      <c r="F81" s="167">
        <f t="shared" si="99"/>
        <v>0</v>
      </c>
      <c r="G81" s="86"/>
      <c r="H81" s="167">
        <f t="shared" si="100"/>
        <v>0</v>
      </c>
      <c r="I81" s="86"/>
      <c r="J81" s="167">
        <f t="shared" si="101"/>
        <v>0</v>
      </c>
      <c r="K81" s="86"/>
      <c r="L81" s="167">
        <f t="shared" si="102"/>
        <v>0</v>
      </c>
      <c r="M81" s="86"/>
      <c r="N81" s="167">
        <f t="shared" si="103"/>
        <v>0</v>
      </c>
      <c r="O81" s="86"/>
      <c r="P81" s="167">
        <f t="shared" si="104"/>
        <v>0</v>
      </c>
      <c r="Q81" s="86"/>
      <c r="R81" s="167">
        <f t="shared" si="105"/>
        <v>0</v>
      </c>
      <c r="S81" s="86"/>
      <c r="T81" s="167">
        <f t="shared" si="106"/>
        <v>0</v>
      </c>
      <c r="U81" s="86"/>
      <c r="V81" s="167">
        <f t="shared" si="107"/>
        <v>0</v>
      </c>
      <c r="W81" s="86"/>
      <c r="X81" s="167">
        <f t="shared" si="108"/>
        <v>0</v>
      </c>
      <c r="Y81" s="86"/>
      <c r="Z81" s="167">
        <f t="shared" si="109"/>
        <v>0</v>
      </c>
      <c r="AA81" s="86"/>
      <c r="AB81" s="167">
        <f t="shared" si="110"/>
        <v>0</v>
      </c>
      <c r="AC81" s="86"/>
      <c r="AD81" s="167">
        <f t="shared" si="111"/>
        <v>0</v>
      </c>
      <c r="AE81" s="86"/>
      <c r="AF81" s="167">
        <f t="shared" si="112"/>
        <v>0</v>
      </c>
      <c r="AG81" s="86"/>
      <c r="AH81" s="167">
        <f t="shared" si="113"/>
        <v>0</v>
      </c>
      <c r="AI81" s="86"/>
      <c r="AJ81" s="167">
        <f t="shared" si="114"/>
        <v>0</v>
      </c>
      <c r="AK81" s="86"/>
      <c r="AL81" s="167">
        <f t="shared" si="115"/>
        <v>0</v>
      </c>
      <c r="AM81" s="86"/>
      <c r="AN81" s="167">
        <f t="shared" si="116"/>
        <v>0</v>
      </c>
      <c r="AO81" s="86"/>
      <c r="AP81" s="167">
        <f t="shared" si="117"/>
        <v>0</v>
      </c>
      <c r="AQ81" s="86"/>
      <c r="AR81" s="167">
        <f t="shared" si="118"/>
        <v>0</v>
      </c>
      <c r="AS81" s="86"/>
      <c r="AT81" s="167">
        <f t="shared" si="119"/>
        <v>0</v>
      </c>
      <c r="AU81" s="86"/>
      <c r="AV81" s="167">
        <f t="shared" si="120"/>
        <v>0</v>
      </c>
      <c r="AW81" s="86"/>
      <c r="AX81" s="167">
        <f t="shared" si="121"/>
        <v>0</v>
      </c>
      <c r="AY81" s="86"/>
      <c r="AZ81" s="167">
        <f t="shared" si="122"/>
        <v>0</v>
      </c>
      <c r="BA81" s="86"/>
      <c r="BB81" s="167">
        <f t="shared" si="123"/>
        <v>0</v>
      </c>
      <c r="BC81" s="86"/>
      <c r="BD81" s="167">
        <f t="shared" si="124"/>
        <v>0</v>
      </c>
      <c r="BE81" s="86"/>
      <c r="BF81" s="167">
        <f t="shared" si="125"/>
        <v>0</v>
      </c>
      <c r="BG81" s="86"/>
      <c r="BH81" s="167">
        <f t="shared" si="126"/>
        <v>0</v>
      </c>
      <c r="BI81" s="86"/>
      <c r="BJ81" s="167">
        <f t="shared" si="127"/>
        <v>0</v>
      </c>
      <c r="BK81" s="86"/>
      <c r="BL81" s="167">
        <f t="shared" si="128"/>
        <v>0</v>
      </c>
      <c r="BM81" s="86"/>
      <c r="BN81" s="50"/>
      <c r="BO81" s="170" t="e">
        <f t="shared" si="129"/>
        <v>#VALUE!</v>
      </c>
      <c r="BP81" s="167" t="e">
        <f t="shared" si="131"/>
        <v>#VALUE!</v>
      </c>
      <c r="BQ81" s="178" t="str">
        <f t="shared" si="130"/>
        <v/>
      </c>
    </row>
    <row r="82" spans="1:69" x14ac:dyDescent="0.35">
      <c r="A82" s="134" t="s">
        <v>80</v>
      </c>
      <c r="B82" s="54" t="s">
        <v>67</v>
      </c>
      <c r="C82" s="174" t="str">
        <f>IF('February 2027 Log'!BG82="","",'February 2027 Log'!BG82)</f>
        <v/>
      </c>
      <c r="D82" s="189" t="e">
        <f t="shared" si="98"/>
        <v>#VALUE!</v>
      </c>
      <c r="E82" s="86"/>
      <c r="F82" s="167">
        <f t="shared" si="99"/>
        <v>0</v>
      </c>
      <c r="G82" s="86"/>
      <c r="H82" s="167">
        <f t="shared" si="100"/>
        <v>0</v>
      </c>
      <c r="I82" s="86"/>
      <c r="J82" s="167">
        <f t="shared" si="101"/>
        <v>0</v>
      </c>
      <c r="K82" s="86"/>
      <c r="L82" s="167">
        <f t="shared" si="102"/>
        <v>0</v>
      </c>
      <c r="M82" s="86"/>
      <c r="N82" s="167">
        <f t="shared" si="103"/>
        <v>0</v>
      </c>
      <c r="O82" s="86"/>
      <c r="P82" s="167">
        <f t="shared" si="104"/>
        <v>0</v>
      </c>
      <c r="Q82" s="86"/>
      <c r="R82" s="167">
        <f t="shared" si="105"/>
        <v>0</v>
      </c>
      <c r="S82" s="86"/>
      <c r="T82" s="167">
        <f t="shared" si="106"/>
        <v>0</v>
      </c>
      <c r="U82" s="86"/>
      <c r="V82" s="167">
        <f t="shared" si="107"/>
        <v>0</v>
      </c>
      <c r="W82" s="86"/>
      <c r="X82" s="167">
        <f t="shared" si="108"/>
        <v>0</v>
      </c>
      <c r="Y82" s="86"/>
      <c r="Z82" s="167">
        <f t="shared" si="109"/>
        <v>0</v>
      </c>
      <c r="AA82" s="86"/>
      <c r="AB82" s="167">
        <f t="shared" si="110"/>
        <v>0</v>
      </c>
      <c r="AC82" s="86"/>
      <c r="AD82" s="167">
        <f t="shared" si="111"/>
        <v>0</v>
      </c>
      <c r="AE82" s="86"/>
      <c r="AF82" s="167">
        <f t="shared" si="112"/>
        <v>0</v>
      </c>
      <c r="AG82" s="86"/>
      <c r="AH82" s="167">
        <f t="shared" si="113"/>
        <v>0</v>
      </c>
      <c r="AI82" s="86"/>
      <c r="AJ82" s="167">
        <f t="shared" si="114"/>
        <v>0</v>
      </c>
      <c r="AK82" s="86"/>
      <c r="AL82" s="167">
        <f t="shared" si="115"/>
        <v>0</v>
      </c>
      <c r="AM82" s="86"/>
      <c r="AN82" s="167">
        <f t="shared" si="116"/>
        <v>0</v>
      </c>
      <c r="AO82" s="86"/>
      <c r="AP82" s="167">
        <f t="shared" si="117"/>
        <v>0</v>
      </c>
      <c r="AQ82" s="86"/>
      <c r="AR82" s="167">
        <f t="shared" si="118"/>
        <v>0</v>
      </c>
      <c r="AS82" s="86"/>
      <c r="AT82" s="167">
        <f t="shared" si="119"/>
        <v>0</v>
      </c>
      <c r="AU82" s="86"/>
      <c r="AV82" s="167">
        <f t="shared" si="120"/>
        <v>0</v>
      </c>
      <c r="AW82" s="86"/>
      <c r="AX82" s="167">
        <f t="shared" si="121"/>
        <v>0</v>
      </c>
      <c r="AY82" s="86"/>
      <c r="AZ82" s="167">
        <f t="shared" si="122"/>
        <v>0</v>
      </c>
      <c r="BA82" s="86"/>
      <c r="BB82" s="167">
        <f t="shared" si="123"/>
        <v>0</v>
      </c>
      <c r="BC82" s="86"/>
      <c r="BD82" s="167">
        <f t="shared" si="124"/>
        <v>0</v>
      </c>
      <c r="BE82" s="86"/>
      <c r="BF82" s="167">
        <f t="shared" si="125"/>
        <v>0</v>
      </c>
      <c r="BG82" s="86"/>
      <c r="BH82" s="167">
        <f t="shared" si="126"/>
        <v>0</v>
      </c>
      <c r="BI82" s="86"/>
      <c r="BJ82" s="167">
        <f t="shared" si="127"/>
        <v>0</v>
      </c>
      <c r="BK82" s="86"/>
      <c r="BL82" s="167">
        <f t="shared" si="128"/>
        <v>0</v>
      </c>
      <c r="BM82" s="86"/>
      <c r="BN82" s="50"/>
      <c r="BO82" s="170" t="e">
        <f t="shared" si="129"/>
        <v>#VALUE!</v>
      </c>
      <c r="BP82" s="167" t="e">
        <f t="shared" si="131"/>
        <v>#VALUE!</v>
      </c>
      <c r="BQ82" s="178" t="str">
        <f t="shared" si="130"/>
        <v/>
      </c>
    </row>
    <row r="83" spans="1:69" x14ac:dyDescent="0.35">
      <c r="A83" s="135" t="s">
        <v>81</v>
      </c>
      <c r="B83" s="54" t="s">
        <v>67</v>
      </c>
      <c r="C83" s="174" t="str">
        <f>IF('February 2027 Log'!BG83="","",'February 2027 Log'!BG83)</f>
        <v/>
      </c>
      <c r="D83" s="189" t="e">
        <f t="shared" si="98"/>
        <v>#VALUE!</v>
      </c>
      <c r="E83" s="86"/>
      <c r="F83" s="167">
        <f t="shared" si="99"/>
        <v>0</v>
      </c>
      <c r="G83" s="86"/>
      <c r="H83" s="167">
        <f t="shared" si="100"/>
        <v>0</v>
      </c>
      <c r="I83" s="86"/>
      <c r="J83" s="167">
        <f t="shared" si="101"/>
        <v>0</v>
      </c>
      <c r="K83" s="86"/>
      <c r="L83" s="167">
        <f t="shared" si="102"/>
        <v>0</v>
      </c>
      <c r="M83" s="86"/>
      <c r="N83" s="167">
        <f t="shared" si="103"/>
        <v>0</v>
      </c>
      <c r="O83" s="86"/>
      <c r="P83" s="167">
        <f t="shared" si="104"/>
        <v>0</v>
      </c>
      <c r="Q83" s="86"/>
      <c r="R83" s="167">
        <f t="shared" si="105"/>
        <v>0</v>
      </c>
      <c r="S83" s="86"/>
      <c r="T83" s="167">
        <f t="shared" si="106"/>
        <v>0</v>
      </c>
      <c r="U83" s="86"/>
      <c r="V83" s="167">
        <f t="shared" si="107"/>
        <v>0</v>
      </c>
      <c r="W83" s="86"/>
      <c r="X83" s="167">
        <f t="shared" si="108"/>
        <v>0</v>
      </c>
      <c r="Y83" s="86"/>
      <c r="Z83" s="167">
        <f t="shared" si="109"/>
        <v>0</v>
      </c>
      <c r="AA83" s="86"/>
      <c r="AB83" s="167">
        <f t="shared" si="110"/>
        <v>0</v>
      </c>
      <c r="AC83" s="86"/>
      <c r="AD83" s="167">
        <f t="shared" si="111"/>
        <v>0</v>
      </c>
      <c r="AE83" s="86"/>
      <c r="AF83" s="167">
        <f t="shared" si="112"/>
        <v>0</v>
      </c>
      <c r="AG83" s="86"/>
      <c r="AH83" s="167">
        <f t="shared" si="113"/>
        <v>0</v>
      </c>
      <c r="AI83" s="86"/>
      <c r="AJ83" s="167">
        <f t="shared" si="114"/>
        <v>0</v>
      </c>
      <c r="AK83" s="86"/>
      <c r="AL83" s="167">
        <f t="shared" si="115"/>
        <v>0</v>
      </c>
      <c r="AM83" s="86"/>
      <c r="AN83" s="167">
        <f t="shared" si="116"/>
        <v>0</v>
      </c>
      <c r="AO83" s="86"/>
      <c r="AP83" s="167">
        <f t="shared" si="117"/>
        <v>0</v>
      </c>
      <c r="AQ83" s="86"/>
      <c r="AR83" s="167">
        <f t="shared" si="118"/>
        <v>0</v>
      </c>
      <c r="AS83" s="86"/>
      <c r="AT83" s="167">
        <f t="shared" si="119"/>
        <v>0</v>
      </c>
      <c r="AU83" s="86"/>
      <c r="AV83" s="167">
        <f t="shared" si="120"/>
        <v>0</v>
      </c>
      <c r="AW83" s="86"/>
      <c r="AX83" s="167">
        <f t="shared" si="121"/>
        <v>0</v>
      </c>
      <c r="AY83" s="86"/>
      <c r="AZ83" s="167">
        <f t="shared" si="122"/>
        <v>0</v>
      </c>
      <c r="BA83" s="86"/>
      <c r="BB83" s="167">
        <f t="shared" si="123"/>
        <v>0</v>
      </c>
      <c r="BC83" s="86"/>
      <c r="BD83" s="167">
        <f t="shared" si="124"/>
        <v>0</v>
      </c>
      <c r="BE83" s="86"/>
      <c r="BF83" s="167">
        <f t="shared" si="125"/>
        <v>0</v>
      </c>
      <c r="BG83" s="86"/>
      <c r="BH83" s="167">
        <f t="shared" si="126"/>
        <v>0</v>
      </c>
      <c r="BI83" s="86"/>
      <c r="BJ83" s="167">
        <f t="shared" si="127"/>
        <v>0</v>
      </c>
      <c r="BK83" s="86"/>
      <c r="BL83" s="167">
        <f t="shared" si="128"/>
        <v>0</v>
      </c>
      <c r="BM83" s="86"/>
      <c r="BN83" s="50"/>
      <c r="BO83" s="170" t="e">
        <f t="shared" si="129"/>
        <v>#VALUE!</v>
      </c>
      <c r="BP83" s="167" t="e">
        <f t="shared" si="131"/>
        <v>#VALUE!</v>
      </c>
      <c r="BQ83" s="178" t="str">
        <f t="shared" si="130"/>
        <v/>
      </c>
    </row>
    <row r="84" spans="1:69" x14ac:dyDescent="0.35">
      <c r="A84" s="136" t="s">
        <v>82</v>
      </c>
      <c r="B84" s="54" t="s">
        <v>66</v>
      </c>
      <c r="C84" s="174" t="str">
        <f>IF('February 2027 Log'!BG84="","",'February 2027 Log'!BG84)</f>
        <v/>
      </c>
      <c r="D84" s="189" t="e">
        <f t="shared" si="98"/>
        <v>#VALUE!</v>
      </c>
      <c r="E84" s="86"/>
      <c r="F84" s="167">
        <f t="shared" si="99"/>
        <v>0</v>
      </c>
      <c r="G84" s="86"/>
      <c r="H84" s="167">
        <f t="shared" si="100"/>
        <v>0</v>
      </c>
      <c r="I84" s="86"/>
      <c r="J84" s="167">
        <f t="shared" si="101"/>
        <v>0</v>
      </c>
      <c r="K84" s="86"/>
      <c r="L84" s="167">
        <f t="shared" si="102"/>
        <v>0</v>
      </c>
      <c r="M84" s="86"/>
      <c r="N84" s="167">
        <f t="shared" si="103"/>
        <v>0</v>
      </c>
      <c r="O84" s="86"/>
      <c r="P84" s="167">
        <f t="shared" si="104"/>
        <v>0</v>
      </c>
      <c r="Q84" s="86"/>
      <c r="R84" s="167">
        <f t="shared" si="105"/>
        <v>0</v>
      </c>
      <c r="S84" s="86"/>
      <c r="T84" s="167">
        <f t="shared" si="106"/>
        <v>0</v>
      </c>
      <c r="U84" s="86"/>
      <c r="V84" s="167">
        <f t="shared" si="107"/>
        <v>0</v>
      </c>
      <c r="W84" s="86"/>
      <c r="X84" s="167">
        <f t="shared" si="108"/>
        <v>0</v>
      </c>
      <c r="Y84" s="86"/>
      <c r="Z84" s="167">
        <f t="shared" si="109"/>
        <v>0</v>
      </c>
      <c r="AA84" s="86"/>
      <c r="AB84" s="167">
        <f t="shared" si="110"/>
        <v>0</v>
      </c>
      <c r="AC84" s="86"/>
      <c r="AD84" s="167">
        <f t="shared" si="111"/>
        <v>0</v>
      </c>
      <c r="AE84" s="86"/>
      <c r="AF84" s="167">
        <f t="shared" si="112"/>
        <v>0</v>
      </c>
      <c r="AG84" s="86"/>
      <c r="AH84" s="167">
        <f t="shared" si="113"/>
        <v>0</v>
      </c>
      <c r="AI84" s="86"/>
      <c r="AJ84" s="167">
        <f t="shared" si="114"/>
        <v>0</v>
      </c>
      <c r="AK84" s="86"/>
      <c r="AL84" s="167">
        <f t="shared" si="115"/>
        <v>0</v>
      </c>
      <c r="AM84" s="86"/>
      <c r="AN84" s="167">
        <f t="shared" si="116"/>
        <v>0</v>
      </c>
      <c r="AO84" s="86"/>
      <c r="AP84" s="167">
        <f t="shared" si="117"/>
        <v>0</v>
      </c>
      <c r="AQ84" s="86"/>
      <c r="AR84" s="167">
        <f t="shared" si="118"/>
        <v>0</v>
      </c>
      <c r="AS84" s="86"/>
      <c r="AT84" s="167">
        <f t="shared" si="119"/>
        <v>0</v>
      </c>
      <c r="AU84" s="86"/>
      <c r="AV84" s="167">
        <f t="shared" si="120"/>
        <v>0</v>
      </c>
      <c r="AW84" s="86"/>
      <c r="AX84" s="167">
        <f t="shared" si="121"/>
        <v>0</v>
      </c>
      <c r="AY84" s="86"/>
      <c r="AZ84" s="167">
        <f t="shared" si="122"/>
        <v>0</v>
      </c>
      <c r="BA84" s="86"/>
      <c r="BB84" s="167">
        <f t="shared" si="123"/>
        <v>0</v>
      </c>
      <c r="BC84" s="86"/>
      <c r="BD84" s="167">
        <f t="shared" si="124"/>
        <v>0</v>
      </c>
      <c r="BE84" s="86"/>
      <c r="BF84" s="167">
        <f t="shared" si="125"/>
        <v>0</v>
      </c>
      <c r="BG84" s="86"/>
      <c r="BH84" s="167">
        <f t="shared" si="126"/>
        <v>0</v>
      </c>
      <c r="BI84" s="86"/>
      <c r="BJ84" s="167">
        <f t="shared" si="127"/>
        <v>0</v>
      </c>
      <c r="BK84" s="86"/>
      <c r="BL84" s="167">
        <f t="shared" si="128"/>
        <v>0</v>
      </c>
      <c r="BM84" s="86"/>
      <c r="BN84" s="50"/>
      <c r="BO84" s="170" t="e">
        <f t="shared" si="129"/>
        <v>#VALUE!</v>
      </c>
      <c r="BP84" s="167" t="e">
        <f t="shared" si="131"/>
        <v>#VALUE!</v>
      </c>
      <c r="BQ84" s="178" t="str">
        <f t="shared" si="130"/>
        <v/>
      </c>
    </row>
    <row r="85" spans="1:69" x14ac:dyDescent="0.35">
      <c r="A85" s="44" t="s">
        <v>83</v>
      </c>
      <c r="B85" s="54" t="s">
        <v>65</v>
      </c>
      <c r="C85" s="174" t="str">
        <f>IF('February 2027 Log'!BG85="","",'February 2027 Log'!BG85)</f>
        <v/>
      </c>
      <c r="D85" s="189" t="e">
        <f t="shared" si="98"/>
        <v>#VALUE!</v>
      </c>
      <c r="E85" s="86"/>
      <c r="F85" s="167">
        <f t="shared" si="99"/>
        <v>0</v>
      </c>
      <c r="G85" s="86"/>
      <c r="H85" s="167">
        <f t="shared" si="100"/>
        <v>0</v>
      </c>
      <c r="I85" s="86"/>
      <c r="J85" s="167">
        <f t="shared" si="101"/>
        <v>0</v>
      </c>
      <c r="K85" s="86"/>
      <c r="L85" s="167">
        <f t="shared" si="102"/>
        <v>0</v>
      </c>
      <c r="M85" s="86"/>
      <c r="N85" s="167">
        <f t="shared" si="103"/>
        <v>0</v>
      </c>
      <c r="O85" s="86"/>
      <c r="P85" s="167">
        <f t="shared" si="104"/>
        <v>0</v>
      </c>
      <c r="Q85" s="86"/>
      <c r="R85" s="167">
        <f t="shared" si="105"/>
        <v>0</v>
      </c>
      <c r="S85" s="86"/>
      <c r="T85" s="167">
        <f t="shared" si="106"/>
        <v>0</v>
      </c>
      <c r="U85" s="86"/>
      <c r="V85" s="167">
        <f t="shared" si="107"/>
        <v>0</v>
      </c>
      <c r="W85" s="86"/>
      <c r="X85" s="167">
        <f t="shared" si="108"/>
        <v>0</v>
      </c>
      <c r="Y85" s="86"/>
      <c r="Z85" s="167">
        <f t="shared" si="109"/>
        <v>0</v>
      </c>
      <c r="AA85" s="86"/>
      <c r="AB85" s="167">
        <f t="shared" si="110"/>
        <v>0</v>
      </c>
      <c r="AC85" s="86"/>
      <c r="AD85" s="167">
        <f t="shared" si="111"/>
        <v>0</v>
      </c>
      <c r="AE85" s="86"/>
      <c r="AF85" s="167">
        <f t="shared" si="112"/>
        <v>0</v>
      </c>
      <c r="AG85" s="86"/>
      <c r="AH85" s="167">
        <f t="shared" si="113"/>
        <v>0</v>
      </c>
      <c r="AI85" s="86"/>
      <c r="AJ85" s="167">
        <f t="shared" si="114"/>
        <v>0</v>
      </c>
      <c r="AK85" s="86"/>
      <c r="AL85" s="167">
        <f t="shared" si="115"/>
        <v>0</v>
      </c>
      <c r="AM85" s="86"/>
      <c r="AN85" s="167">
        <f t="shared" si="116"/>
        <v>0</v>
      </c>
      <c r="AO85" s="86"/>
      <c r="AP85" s="167">
        <f t="shared" si="117"/>
        <v>0</v>
      </c>
      <c r="AQ85" s="86"/>
      <c r="AR85" s="167">
        <f t="shared" si="118"/>
        <v>0</v>
      </c>
      <c r="AS85" s="86"/>
      <c r="AT85" s="167">
        <f t="shared" si="119"/>
        <v>0</v>
      </c>
      <c r="AU85" s="86"/>
      <c r="AV85" s="167">
        <f t="shared" si="120"/>
        <v>0</v>
      </c>
      <c r="AW85" s="86"/>
      <c r="AX85" s="167">
        <f t="shared" si="121"/>
        <v>0</v>
      </c>
      <c r="AY85" s="86"/>
      <c r="AZ85" s="167">
        <f t="shared" si="122"/>
        <v>0</v>
      </c>
      <c r="BA85" s="86"/>
      <c r="BB85" s="167">
        <f t="shared" si="123"/>
        <v>0</v>
      </c>
      <c r="BC85" s="86"/>
      <c r="BD85" s="167">
        <f t="shared" si="124"/>
        <v>0</v>
      </c>
      <c r="BE85" s="86"/>
      <c r="BF85" s="167">
        <f t="shared" si="125"/>
        <v>0</v>
      </c>
      <c r="BG85" s="86"/>
      <c r="BH85" s="167">
        <f t="shared" si="126"/>
        <v>0</v>
      </c>
      <c r="BI85" s="86"/>
      <c r="BJ85" s="167">
        <f t="shared" si="127"/>
        <v>0</v>
      </c>
      <c r="BK85" s="86"/>
      <c r="BL85" s="167">
        <f t="shared" si="128"/>
        <v>0</v>
      </c>
      <c r="BM85" s="86"/>
      <c r="BN85" s="50"/>
      <c r="BO85" s="170" t="e">
        <f t="shared" si="129"/>
        <v>#VALUE!</v>
      </c>
      <c r="BP85" s="167" t="e">
        <f t="shared" si="131"/>
        <v>#VALUE!</v>
      </c>
      <c r="BQ85" s="178" t="str">
        <f t="shared" si="130"/>
        <v/>
      </c>
    </row>
    <row r="86" spans="1:69" x14ac:dyDescent="0.35">
      <c r="A86" s="135" t="s">
        <v>84</v>
      </c>
      <c r="B86" s="54" t="s">
        <v>67</v>
      </c>
      <c r="C86" s="174" t="str">
        <f>IF('February 2027 Log'!BG86="","",'February 2027 Log'!BG86)</f>
        <v/>
      </c>
      <c r="D86" s="189" t="e">
        <f t="shared" si="98"/>
        <v>#VALUE!</v>
      </c>
      <c r="E86" s="86"/>
      <c r="F86" s="167">
        <f t="shared" si="99"/>
        <v>0</v>
      </c>
      <c r="G86" s="86"/>
      <c r="H86" s="167">
        <f t="shared" si="100"/>
        <v>0</v>
      </c>
      <c r="I86" s="86"/>
      <c r="J86" s="167">
        <f t="shared" si="101"/>
        <v>0</v>
      </c>
      <c r="K86" s="86"/>
      <c r="L86" s="167">
        <f t="shared" si="102"/>
        <v>0</v>
      </c>
      <c r="M86" s="86"/>
      <c r="N86" s="167">
        <f t="shared" si="103"/>
        <v>0</v>
      </c>
      <c r="O86" s="86"/>
      <c r="P86" s="167">
        <f t="shared" si="104"/>
        <v>0</v>
      </c>
      <c r="Q86" s="86"/>
      <c r="R86" s="167">
        <f t="shared" si="105"/>
        <v>0</v>
      </c>
      <c r="S86" s="86"/>
      <c r="T86" s="167">
        <f t="shared" si="106"/>
        <v>0</v>
      </c>
      <c r="U86" s="86"/>
      <c r="V86" s="167">
        <f t="shared" si="107"/>
        <v>0</v>
      </c>
      <c r="W86" s="86"/>
      <c r="X86" s="167">
        <f t="shared" si="108"/>
        <v>0</v>
      </c>
      <c r="Y86" s="86"/>
      <c r="Z86" s="167">
        <f t="shared" si="109"/>
        <v>0</v>
      </c>
      <c r="AA86" s="86"/>
      <c r="AB86" s="167">
        <f t="shared" si="110"/>
        <v>0</v>
      </c>
      <c r="AC86" s="86"/>
      <c r="AD86" s="167">
        <f t="shared" si="111"/>
        <v>0</v>
      </c>
      <c r="AE86" s="86"/>
      <c r="AF86" s="167">
        <f t="shared" si="112"/>
        <v>0</v>
      </c>
      <c r="AG86" s="86"/>
      <c r="AH86" s="167">
        <f t="shared" si="113"/>
        <v>0</v>
      </c>
      <c r="AI86" s="86"/>
      <c r="AJ86" s="167">
        <f t="shared" si="114"/>
        <v>0</v>
      </c>
      <c r="AK86" s="86"/>
      <c r="AL86" s="167">
        <f t="shared" si="115"/>
        <v>0</v>
      </c>
      <c r="AM86" s="86"/>
      <c r="AN86" s="167">
        <f t="shared" si="116"/>
        <v>0</v>
      </c>
      <c r="AO86" s="86"/>
      <c r="AP86" s="167">
        <f t="shared" si="117"/>
        <v>0</v>
      </c>
      <c r="AQ86" s="86"/>
      <c r="AR86" s="167">
        <f t="shared" si="118"/>
        <v>0</v>
      </c>
      <c r="AS86" s="86"/>
      <c r="AT86" s="167">
        <f t="shared" si="119"/>
        <v>0</v>
      </c>
      <c r="AU86" s="86"/>
      <c r="AV86" s="167">
        <f t="shared" si="120"/>
        <v>0</v>
      </c>
      <c r="AW86" s="86"/>
      <c r="AX86" s="167">
        <f t="shared" si="121"/>
        <v>0</v>
      </c>
      <c r="AY86" s="86"/>
      <c r="AZ86" s="167">
        <f t="shared" si="122"/>
        <v>0</v>
      </c>
      <c r="BA86" s="86"/>
      <c r="BB86" s="167">
        <f t="shared" si="123"/>
        <v>0</v>
      </c>
      <c r="BC86" s="86"/>
      <c r="BD86" s="167">
        <f t="shared" si="124"/>
        <v>0</v>
      </c>
      <c r="BE86" s="86"/>
      <c r="BF86" s="167">
        <f t="shared" si="125"/>
        <v>0</v>
      </c>
      <c r="BG86" s="86"/>
      <c r="BH86" s="167">
        <f t="shared" si="126"/>
        <v>0</v>
      </c>
      <c r="BI86" s="86"/>
      <c r="BJ86" s="167">
        <f t="shared" si="127"/>
        <v>0</v>
      </c>
      <c r="BK86" s="86"/>
      <c r="BL86" s="167">
        <f t="shared" si="128"/>
        <v>0</v>
      </c>
      <c r="BM86" s="86"/>
      <c r="BN86" s="50"/>
      <c r="BO86" s="170" t="e">
        <f t="shared" si="129"/>
        <v>#VALUE!</v>
      </c>
      <c r="BP86" s="167" t="e">
        <f t="shared" si="131"/>
        <v>#VALUE!</v>
      </c>
      <c r="BQ86" s="178" t="str">
        <f t="shared" si="130"/>
        <v/>
      </c>
    </row>
    <row r="87" spans="1:69" x14ac:dyDescent="0.35">
      <c r="A87" s="136" t="s">
        <v>85</v>
      </c>
      <c r="B87" s="54" t="s">
        <v>66</v>
      </c>
      <c r="C87" s="174" t="str">
        <f>IF('February 2027 Log'!BG87="","",'February 2027 Log'!BG87)</f>
        <v/>
      </c>
      <c r="D87" s="189" t="e">
        <f t="shared" si="98"/>
        <v>#VALUE!</v>
      </c>
      <c r="E87" s="86"/>
      <c r="F87" s="167">
        <f t="shared" si="99"/>
        <v>0</v>
      </c>
      <c r="G87" s="86"/>
      <c r="H87" s="167">
        <f t="shared" si="100"/>
        <v>0</v>
      </c>
      <c r="I87" s="86"/>
      <c r="J87" s="167">
        <f t="shared" si="101"/>
        <v>0</v>
      </c>
      <c r="K87" s="86"/>
      <c r="L87" s="167">
        <f t="shared" si="102"/>
        <v>0</v>
      </c>
      <c r="M87" s="86"/>
      <c r="N87" s="167">
        <f t="shared" si="103"/>
        <v>0</v>
      </c>
      <c r="O87" s="86"/>
      <c r="P87" s="167">
        <f t="shared" si="104"/>
        <v>0</v>
      </c>
      <c r="Q87" s="86"/>
      <c r="R87" s="167">
        <f t="shared" si="105"/>
        <v>0</v>
      </c>
      <c r="S87" s="86"/>
      <c r="T87" s="167">
        <f t="shared" si="106"/>
        <v>0</v>
      </c>
      <c r="U87" s="86"/>
      <c r="V87" s="167">
        <f t="shared" si="107"/>
        <v>0</v>
      </c>
      <c r="W87" s="86"/>
      <c r="X87" s="167">
        <f t="shared" si="108"/>
        <v>0</v>
      </c>
      <c r="Y87" s="86"/>
      <c r="Z87" s="167">
        <f t="shared" si="109"/>
        <v>0</v>
      </c>
      <c r="AA87" s="86"/>
      <c r="AB87" s="167">
        <f t="shared" si="110"/>
        <v>0</v>
      </c>
      <c r="AC87" s="86"/>
      <c r="AD87" s="167">
        <f t="shared" si="111"/>
        <v>0</v>
      </c>
      <c r="AE87" s="86"/>
      <c r="AF87" s="167">
        <f t="shared" si="112"/>
        <v>0</v>
      </c>
      <c r="AG87" s="86"/>
      <c r="AH87" s="167">
        <f t="shared" si="113"/>
        <v>0</v>
      </c>
      <c r="AI87" s="86"/>
      <c r="AJ87" s="167">
        <f t="shared" si="114"/>
        <v>0</v>
      </c>
      <c r="AK87" s="86"/>
      <c r="AL87" s="167">
        <f t="shared" si="115"/>
        <v>0</v>
      </c>
      <c r="AM87" s="86"/>
      <c r="AN87" s="167">
        <f t="shared" si="116"/>
        <v>0</v>
      </c>
      <c r="AO87" s="86"/>
      <c r="AP87" s="167">
        <f t="shared" si="117"/>
        <v>0</v>
      </c>
      <c r="AQ87" s="86"/>
      <c r="AR87" s="167">
        <f t="shared" si="118"/>
        <v>0</v>
      </c>
      <c r="AS87" s="86"/>
      <c r="AT87" s="167">
        <f t="shared" si="119"/>
        <v>0</v>
      </c>
      <c r="AU87" s="86"/>
      <c r="AV87" s="167">
        <f t="shared" si="120"/>
        <v>0</v>
      </c>
      <c r="AW87" s="86"/>
      <c r="AX87" s="167">
        <f t="shared" si="121"/>
        <v>0</v>
      </c>
      <c r="AY87" s="86"/>
      <c r="AZ87" s="167">
        <f t="shared" si="122"/>
        <v>0</v>
      </c>
      <c r="BA87" s="86"/>
      <c r="BB87" s="167">
        <f t="shared" si="123"/>
        <v>0</v>
      </c>
      <c r="BC87" s="86"/>
      <c r="BD87" s="167">
        <f t="shared" si="124"/>
        <v>0</v>
      </c>
      <c r="BE87" s="86"/>
      <c r="BF87" s="167">
        <f t="shared" si="125"/>
        <v>0</v>
      </c>
      <c r="BG87" s="86"/>
      <c r="BH87" s="167">
        <f t="shared" si="126"/>
        <v>0</v>
      </c>
      <c r="BI87" s="86"/>
      <c r="BJ87" s="167">
        <f t="shared" si="127"/>
        <v>0</v>
      </c>
      <c r="BK87" s="86"/>
      <c r="BL87" s="167">
        <f t="shared" si="128"/>
        <v>0</v>
      </c>
      <c r="BM87" s="86"/>
      <c r="BN87" s="50"/>
      <c r="BO87" s="170" t="e">
        <f t="shared" si="129"/>
        <v>#VALUE!</v>
      </c>
      <c r="BP87" s="167" t="e">
        <f t="shared" si="131"/>
        <v>#VALUE!</v>
      </c>
      <c r="BQ87" s="178" t="str">
        <f t="shared" si="130"/>
        <v/>
      </c>
    </row>
    <row r="88" spans="1:69" x14ac:dyDescent="0.35">
      <c r="A88" s="44" t="s">
        <v>86</v>
      </c>
      <c r="B88" s="54" t="s">
        <v>65</v>
      </c>
      <c r="C88" s="174" t="str">
        <f>IF('February 2027 Log'!BG88="","",'February 2027 Log'!BG88)</f>
        <v/>
      </c>
      <c r="D88" s="189" t="e">
        <f t="shared" si="98"/>
        <v>#VALUE!</v>
      </c>
      <c r="E88" s="86"/>
      <c r="F88" s="167">
        <f t="shared" si="99"/>
        <v>0</v>
      </c>
      <c r="G88" s="86"/>
      <c r="H88" s="167">
        <f t="shared" si="100"/>
        <v>0</v>
      </c>
      <c r="I88" s="86"/>
      <c r="J88" s="167">
        <f t="shared" si="101"/>
        <v>0</v>
      </c>
      <c r="K88" s="86"/>
      <c r="L88" s="167">
        <f t="shared" si="102"/>
        <v>0</v>
      </c>
      <c r="M88" s="86"/>
      <c r="N88" s="167">
        <f t="shared" si="103"/>
        <v>0</v>
      </c>
      <c r="O88" s="86"/>
      <c r="P88" s="167">
        <f t="shared" si="104"/>
        <v>0</v>
      </c>
      <c r="Q88" s="86"/>
      <c r="R88" s="167">
        <f t="shared" si="105"/>
        <v>0</v>
      </c>
      <c r="S88" s="86"/>
      <c r="T88" s="167">
        <f t="shared" si="106"/>
        <v>0</v>
      </c>
      <c r="U88" s="86"/>
      <c r="V88" s="167">
        <f t="shared" si="107"/>
        <v>0</v>
      </c>
      <c r="W88" s="86"/>
      <c r="X88" s="167">
        <f t="shared" si="108"/>
        <v>0</v>
      </c>
      <c r="Y88" s="86"/>
      <c r="Z88" s="167">
        <f t="shared" si="109"/>
        <v>0</v>
      </c>
      <c r="AA88" s="86"/>
      <c r="AB88" s="167">
        <f t="shared" si="110"/>
        <v>0</v>
      </c>
      <c r="AC88" s="86"/>
      <c r="AD88" s="167">
        <f t="shared" si="111"/>
        <v>0</v>
      </c>
      <c r="AE88" s="86"/>
      <c r="AF88" s="167">
        <f t="shared" si="112"/>
        <v>0</v>
      </c>
      <c r="AG88" s="86"/>
      <c r="AH88" s="167">
        <f t="shared" si="113"/>
        <v>0</v>
      </c>
      <c r="AI88" s="86"/>
      <c r="AJ88" s="167">
        <f t="shared" si="114"/>
        <v>0</v>
      </c>
      <c r="AK88" s="86"/>
      <c r="AL88" s="167">
        <f t="shared" si="115"/>
        <v>0</v>
      </c>
      <c r="AM88" s="86"/>
      <c r="AN88" s="167">
        <f t="shared" si="116"/>
        <v>0</v>
      </c>
      <c r="AO88" s="86"/>
      <c r="AP88" s="167">
        <f t="shared" si="117"/>
        <v>0</v>
      </c>
      <c r="AQ88" s="86"/>
      <c r="AR88" s="167">
        <f t="shared" si="118"/>
        <v>0</v>
      </c>
      <c r="AS88" s="86"/>
      <c r="AT88" s="167">
        <f t="shared" si="119"/>
        <v>0</v>
      </c>
      <c r="AU88" s="86"/>
      <c r="AV88" s="167">
        <f t="shared" si="120"/>
        <v>0</v>
      </c>
      <c r="AW88" s="86"/>
      <c r="AX88" s="167">
        <f t="shared" si="121"/>
        <v>0</v>
      </c>
      <c r="AY88" s="86"/>
      <c r="AZ88" s="167">
        <f t="shared" si="122"/>
        <v>0</v>
      </c>
      <c r="BA88" s="86"/>
      <c r="BB88" s="167">
        <f t="shared" si="123"/>
        <v>0</v>
      </c>
      <c r="BC88" s="86"/>
      <c r="BD88" s="167">
        <f t="shared" si="124"/>
        <v>0</v>
      </c>
      <c r="BE88" s="86"/>
      <c r="BF88" s="167">
        <f t="shared" si="125"/>
        <v>0</v>
      </c>
      <c r="BG88" s="86"/>
      <c r="BH88" s="167">
        <f t="shared" si="126"/>
        <v>0</v>
      </c>
      <c r="BI88" s="86"/>
      <c r="BJ88" s="167">
        <f t="shared" si="127"/>
        <v>0</v>
      </c>
      <c r="BK88" s="86"/>
      <c r="BL88" s="167">
        <f t="shared" si="128"/>
        <v>0</v>
      </c>
      <c r="BM88" s="86"/>
      <c r="BN88" s="50"/>
      <c r="BO88" s="170" t="e">
        <f t="shared" si="129"/>
        <v>#VALUE!</v>
      </c>
      <c r="BP88" s="167" t="e">
        <f t="shared" si="131"/>
        <v>#VALUE!</v>
      </c>
      <c r="BQ88" s="178" t="str">
        <f t="shared" si="130"/>
        <v/>
      </c>
    </row>
    <row r="89" spans="1:69" x14ac:dyDescent="0.35">
      <c r="A89" s="53"/>
      <c r="B89" s="54"/>
      <c r="C89" s="144"/>
      <c r="D89" s="192">
        <f t="shared" si="98"/>
        <v>0</v>
      </c>
      <c r="E89" s="145"/>
      <c r="F89" s="173">
        <f t="shared" si="99"/>
        <v>0</v>
      </c>
      <c r="G89" s="145"/>
      <c r="H89" s="173">
        <f t="shared" si="100"/>
        <v>0</v>
      </c>
      <c r="I89" s="145"/>
      <c r="J89" s="173">
        <f t="shared" si="101"/>
        <v>0</v>
      </c>
      <c r="K89" s="145"/>
      <c r="L89" s="173">
        <f t="shared" si="102"/>
        <v>0</v>
      </c>
      <c r="M89" s="145"/>
      <c r="N89" s="173">
        <f t="shared" si="103"/>
        <v>0</v>
      </c>
      <c r="O89" s="145"/>
      <c r="P89" s="173">
        <f t="shared" si="104"/>
        <v>0</v>
      </c>
      <c r="Q89" s="145"/>
      <c r="R89" s="173">
        <f t="shared" si="105"/>
        <v>0</v>
      </c>
      <c r="S89" s="145"/>
      <c r="T89" s="173">
        <f t="shared" si="106"/>
        <v>0</v>
      </c>
      <c r="U89" s="145"/>
      <c r="V89" s="173">
        <f t="shared" si="107"/>
        <v>0</v>
      </c>
      <c r="W89" s="145"/>
      <c r="X89" s="173">
        <f t="shared" si="108"/>
        <v>0</v>
      </c>
      <c r="Y89" s="145"/>
      <c r="Z89" s="173">
        <f t="shared" si="109"/>
        <v>0</v>
      </c>
      <c r="AA89" s="145"/>
      <c r="AB89" s="173">
        <f t="shared" si="110"/>
        <v>0</v>
      </c>
      <c r="AC89" s="145"/>
      <c r="AD89" s="173">
        <f t="shared" si="111"/>
        <v>0</v>
      </c>
      <c r="AE89" s="145"/>
      <c r="AF89" s="173">
        <f t="shared" si="112"/>
        <v>0</v>
      </c>
      <c r="AG89" s="145"/>
      <c r="AH89" s="173">
        <f t="shared" si="113"/>
        <v>0</v>
      </c>
      <c r="AI89" s="145"/>
      <c r="AJ89" s="173">
        <f t="shared" si="114"/>
        <v>0</v>
      </c>
      <c r="AK89" s="145"/>
      <c r="AL89" s="173">
        <f t="shared" si="115"/>
        <v>0</v>
      </c>
      <c r="AM89" s="145"/>
      <c r="AN89" s="173">
        <f t="shared" si="116"/>
        <v>0</v>
      </c>
      <c r="AO89" s="145"/>
      <c r="AP89" s="173">
        <f t="shared" si="117"/>
        <v>0</v>
      </c>
      <c r="AQ89" s="145"/>
      <c r="AR89" s="173">
        <f t="shared" si="118"/>
        <v>0</v>
      </c>
      <c r="AS89" s="145"/>
      <c r="AT89" s="173">
        <f t="shared" si="119"/>
        <v>0</v>
      </c>
      <c r="AU89" s="145"/>
      <c r="AV89" s="173">
        <f t="shared" si="120"/>
        <v>0</v>
      </c>
      <c r="AW89" s="145"/>
      <c r="AX89" s="173">
        <f t="shared" si="121"/>
        <v>0</v>
      </c>
      <c r="AY89" s="145"/>
      <c r="AZ89" s="173">
        <f t="shared" si="122"/>
        <v>0</v>
      </c>
      <c r="BA89" s="145"/>
      <c r="BB89" s="173">
        <f t="shared" si="123"/>
        <v>0</v>
      </c>
      <c r="BC89" s="145"/>
      <c r="BD89" s="173">
        <f t="shared" si="124"/>
        <v>0</v>
      </c>
      <c r="BE89" s="145"/>
      <c r="BF89" s="173">
        <f t="shared" si="125"/>
        <v>0</v>
      </c>
      <c r="BG89" s="145"/>
      <c r="BH89" s="173">
        <f t="shared" si="126"/>
        <v>0</v>
      </c>
      <c r="BI89" s="145"/>
      <c r="BJ89" s="173">
        <f t="shared" si="127"/>
        <v>0</v>
      </c>
      <c r="BK89" s="145"/>
      <c r="BL89" s="173">
        <f t="shared" si="128"/>
        <v>0</v>
      </c>
      <c r="BM89" s="145"/>
      <c r="BN89" s="50"/>
      <c r="BO89" s="51"/>
      <c r="BP89" s="173">
        <f t="shared" si="131"/>
        <v>0</v>
      </c>
      <c r="BQ89" s="88"/>
    </row>
    <row r="90" spans="1:69" x14ac:dyDescent="0.35">
      <c r="A90" s="74" t="s">
        <v>93</v>
      </c>
      <c r="B90" s="75"/>
      <c r="C90" s="141"/>
      <c r="D90" s="102"/>
      <c r="E90" s="142"/>
      <c r="F90" s="104"/>
      <c r="G90" s="142"/>
      <c r="H90" s="104"/>
      <c r="I90" s="142"/>
      <c r="J90" s="104"/>
      <c r="K90" s="142"/>
      <c r="L90" s="104"/>
      <c r="M90" s="142"/>
      <c r="N90" s="104"/>
      <c r="O90" s="142"/>
      <c r="P90" s="104"/>
      <c r="Q90" s="142"/>
      <c r="R90" s="104"/>
      <c r="S90" s="142"/>
      <c r="T90" s="104"/>
      <c r="U90" s="142"/>
      <c r="V90" s="104"/>
      <c r="W90" s="142"/>
      <c r="X90" s="104"/>
      <c r="Y90" s="142"/>
      <c r="Z90" s="104"/>
      <c r="AA90" s="142"/>
      <c r="AB90" s="104"/>
      <c r="AC90" s="142"/>
      <c r="AD90" s="104"/>
      <c r="AE90" s="142"/>
      <c r="AF90" s="104"/>
      <c r="AG90" s="142"/>
      <c r="AH90" s="104"/>
      <c r="AI90" s="142"/>
      <c r="AJ90" s="104"/>
      <c r="AK90" s="142"/>
      <c r="AL90" s="104"/>
      <c r="AM90" s="142"/>
      <c r="AN90" s="104"/>
      <c r="AO90" s="142"/>
      <c r="AP90" s="104"/>
      <c r="AQ90" s="142"/>
      <c r="AR90" s="104"/>
      <c r="AS90" s="142"/>
      <c r="AT90" s="104"/>
      <c r="AU90" s="142"/>
      <c r="AV90" s="104"/>
      <c r="AW90" s="142"/>
      <c r="AX90" s="104"/>
      <c r="AY90" s="142"/>
      <c r="AZ90" s="104"/>
      <c r="BA90" s="142"/>
      <c r="BB90" s="104"/>
      <c r="BC90" s="142"/>
      <c r="BD90" s="104"/>
      <c r="BE90" s="142"/>
      <c r="BF90" s="104"/>
      <c r="BG90" s="142"/>
      <c r="BH90" s="104"/>
      <c r="BI90" s="142"/>
      <c r="BJ90" s="104"/>
      <c r="BK90" s="142"/>
      <c r="BL90" s="104"/>
      <c r="BM90" s="142"/>
      <c r="BN90" s="105"/>
      <c r="BO90" s="106"/>
      <c r="BP90" s="104"/>
      <c r="BQ90" s="107"/>
    </row>
    <row r="91" spans="1:69" x14ac:dyDescent="0.35">
      <c r="A91" s="132" t="s">
        <v>75</v>
      </c>
      <c r="B91" s="54" t="s">
        <v>65</v>
      </c>
      <c r="C91" s="144"/>
      <c r="D91" s="146"/>
      <c r="E91" s="166" t="e">
        <f>+D91-D77</f>
        <v>#VALUE!</v>
      </c>
      <c r="F91" s="147"/>
      <c r="G91" s="166">
        <f>+F91-F77</f>
        <v>0</v>
      </c>
      <c r="H91" s="147"/>
      <c r="I91" s="166">
        <f>+H91-H77</f>
        <v>0</v>
      </c>
      <c r="J91" s="147"/>
      <c r="K91" s="166">
        <f>+J91-J77</f>
        <v>0</v>
      </c>
      <c r="L91" s="147"/>
      <c r="M91" s="166">
        <f>+L91-L77</f>
        <v>0</v>
      </c>
      <c r="N91" s="147"/>
      <c r="O91" s="166">
        <f>+N91-N77</f>
        <v>0</v>
      </c>
      <c r="P91" s="147"/>
      <c r="Q91" s="166">
        <f>+P91-P77</f>
        <v>0</v>
      </c>
      <c r="R91" s="147"/>
      <c r="S91" s="166">
        <f>+R91-R77</f>
        <v>0</v>
      </c>
      <c r="T91" s="147"/>
      <c r="U91" s="166">
        <f>+T91-T77</f>
        <v>0</v>
      </c>
      <c r="V91" s="147"/>
      <c r="W91" s="166">
        <f>+V91-V77</f>
        <v>0</v>
      </c>
      <c r="X91" s="147"/>
      <c r="Y91" s="166">
        <f>+X91-X77</f>
        <v>0</v>
      </c>
      <c r="Z91" s="147"/>
      <c r="AA91" s="166">
        <f>+Z91-Z77</f>
        <v>0</v>
      </c>
      <c r="AB91" s="147"/>
      <c r="AC91" s="166">
        <f>+AB91-AB77</f>
        <v>0</v>
      </c>
      <c r="AD91" s="147"/>
      <c r="AE91" s="166">
        <f>+AD91-AD77</f>
        <v>0</v>
      </c>
      <c r="AF91" s="147"/>
      <c r="AG91" s="166">
        <f>+AF91-AF77</f>
        <v>0</v>
      </c>
      <c r="AH91" s="147"/>
      <c r="AI91" s="166">
        <f>+AH91-AH77</f>
        <v>0</v>
      </c>
      <c r="AJ91" s="147"/>
      <c r="AK91" s="166">
        <f>+AJ91-AJ77</f>
        <v>0</v>
      </c>
      <c r="AL91" s="147"/>
      <c r="AM91" s="166">
        <f>+AL91-AL77</f>
        <v>0</v>
      </c>
      <c r="AN91" s="147"/>
      <c r="AO91" s="166">
        <f>+AN91-AN77</f>
        <v>0</v>
      </c>
      <c r="AP91" s="147"/>
      <c r="AQ91" s="166">
        <f>+AP91-AP77</f>
        <v>0</v>
      </c>
      <c r="AR91" s="147"/>
      <c r="AS91" s="166">
        <f>+AR91-AR77</f>
        <v>0</v>
      </c>
      <c r="AT91" s="147"/>
      <c r="AU91" s="166">
        <f>+AT91-AT77</f>
        <v>0</v>
      </c>
      <c r="AV91" s="147"/>
      <c r="AW91" s="166">
        <f>+AV91-AV77</f>
        <v>0</v>
      </c>
      <c r="AX91" s="147"/>
      <c r="AY91" s="166">
        <f>+AX91-AX77</f>
        <v>0</v>
      </c>
      <c r="AZ91" s="147"/>
      <c r="BA91" s="166">
        <f>+AZ91-AZ77</f>
        <v>0</v>
      </c>
      <c r="BB91" s="147"/>
      <c r="BC91" s="166">
        <f>+BB91-BB77</f>
        <v>0</v>
      </c>
      <c r="BD91" s="147"/>
      <c r="BE91" s="166">
        <f>+BD91-BD77</f>
        <v>0</v>
      </c>
      <c r="BF91" s="147"/>
      <c r="BG91" s="166">
        <f>+BF91-BF77</f>
        <v>0</v>
      </c>
      <c r="BH91" s="147"/>
      <c r="BI91" s="166">
        <f>+BH91-BH77</f>
        <v>0</v>
      </c>
      <c r="BJ91" s="147"/>
      <c r="BK91" s="166">
        <f>+BJ91-BJ77</f>
        <v>0</v>
      </c>
      <c r="BL91" s="147"/>
      <c r="BM91" s="166">
        <f>+BL91-BL77</f>
        <v>0</v>
      </c>
      <c r="BN91" s="50"/>
      <c r="BO91" s="170" t="e">
        <f t="shared" ref="BO91:BO103" si="132">IF(COUNT(E91,G91,I91,K91,M91,O91,Q91,S91,U91,W91,Y91,AA91,AC91,AE91,AG91,AI91,AK91,AM91,AO91,AQ91,AS91,AU91,AW91,AY91,BA91,BC91,BE91,BG91,BI91,BK91,BM91)=0,"",SUM(E91,G91,I91,K91,M91,O91,Q91,S91,U91,W91,Y91,AA91,AC91,AE91,AG91,AI91,AK91,AM91,AO91,AQ91,AS91,AU91,AW91,AY91,BA91,BC91,BE91,BG91,BI91,BK91,BM91))</f>
        <v>#VALUE!</v>
      </c>
      <c r="BP91" s="87"/>
      <c r="BQ91" s="52"/>
    </row>
    <row r="92" spans="1:69" x14ac:dyDescent="0.35">
      <c r="A92" s="136"/>
      <c r="B92" s="54" t="s">
        <v>66</v>
      </c>
      <c r="C92" s="144"/>
      <c r="D92" s="146"/>
      <c r="E92" s="166" t="e">
        <f t="shared" ref="E92:K102" si="133">+D92-D78</f>
        <v>#VALUE!</v>
      </c>
      <c r="F92" s="147"/>
      <c r="G92" s="166">
        <f t="shared" si="133"/>
        <v>0</v>
      </c>
      <c r="H92" s="147"/>
      <c r="I92" s="166">
        <f t="shared" si="133"/>
        <v>0</v>
      </c>
      <c r="J92" s="147"/>
      <c r="K92" s="166">
        <f t="shared" si="133"/>
        <v>0</v>
      </c>
      <c r="L92" s="147"/>
      <c r="M92" s="166">
        <f t="shared" ref="M92:M102" si="134">+L92-L78</f>
        <v>0</v>
      </c>
      <c r="N92" s="147"/>
      <c r="O92" s="166">
        <f t="shared" ref="O92:O102" si="135">+N92-N78</f>
        <v>0</v>
      </c>
      <c r="P92" s="147"/>
      <c r="Q92" s="166">
        <f t="shared" ref="Q92:Q102" si="136">+P92-P78</f>
        <v>0</v>
      </c>
      <c r="R92" s="147"/>
      <c r="S92" s="166">
        <f t="shared" ref="S92:S102" si="137">+R92-R78</f>
        <v>0</v>
      </c>
      <c r="T92" s="147"/>
      <c r="U92" s="166">
        <f t="shared" ref="U92:U102" si="138">+T92-T78</f>
        <v>0</v>
      </c>
      <c r="V92" s="147"/>
      <c r="W92" s="166">
        <f t="shared" ref="W92:W102" si="139">+V92-V78</f>
        <v>0</v>
      </c>
      <c r="X92" s="147"/>
      <c r="Y92" s="166">
        <f t="shared" ref="Y92:Y102" si="140">+X92-X78</f>
        <v>0</v>
      </c>
      <c r="Z92" s="147"/>
      <c r="AA92" s="166">
        <f t="shared" ref="AA92:AA102" si="141">+Z92-Z78</f>
        <v>0</v>
      </c>
      <c r="AB92" s="147"/>
      <c r="AC92" s="166">
        <f t="shared" ref="AC92:AC102" si="142">+AB92-AB78</f>
        <v>0</v>
      </c>
      <c r="AD92" s="147"/>
      <c r="AE92" s="166">
        <f t="shared" ref="AE92:AE102" si="143">+AD92-AD78</f>
        <v>0</v>
      </c>
      <c r="AF92" s="147"/>
      <c r="AG92" s="166">
        <f t="shared" ref="AG92:AG102" si="144">+AF92-AF78</f>
        <v>0</v>
      </c>
      <c r="AH92" s="147"/>
      <c r="AI92" s="166">
        <f t="shared" ref="AI92:AI102" si="145">+AH92-AH78</f>
        <v>0</v>
      </c>
      <c r="AJ92" s="147"/>
      <c r="AK92" s="166">
        <f t="shared" ref="AK92:AK102" si="146">+AJ92-AJ78</f>
        <v>0</v>
      </c>
      <c r="AL92" s="147"/>
      <c r="AM92" s="166">
        <f t="shared" ref="AM92:AM102" si="147">+AL92-AL78</f>
        <v>0</v>
      </c>
      <c r="AN92" s="147"/>
      <c r="AO92" s="166">
        <f t="shared" ref="AO92:AO102" si="148">+AN92-AN78</f>
        <v>0</v>
      </c>
      <c r="AP92" s="147"/>
      <c r="AQ92" s="166">
        <f t="shared" ref="AQ92:AQ102" si="149">+AP92-AP78</f>
        <v>0</v>
      </c>
      <c r="AR92" s="147"/>
      <c r="AS92" s="166">
        <f t="shared" ref="AS92:AS102" si="150">+AR92-AR78</f>
        <v>0</v>
      </c>
      <c r="AT92" s="147"/>
      <c r="AU92" s="166">
        <f t="shared" ref="AU92:AU102" si="151">+AT92-AT78</f>
        <v>0</v>
      </c>
      <c r="AV92" s="147"/>
      <c r="AW92" s="166">
        <f t="shared" ref="AW92:AW102" si="152">+AV92-AV78</f>
        <v>0</v>
      </c>
      <c r="AX92" s="147"/>
      <c r="AY92" s="166">
        <f t="shared" ref="AY92:AY102" si="153">+AX92-AX78</f>
        <v>0</v>
      </c>
      <c r="AZ92" s="147"/>
      <c r="BA92" s="166">
        <f t="shared" ref="BA92:BA102" si="154">+AZ92-AZ78</f>
        <v>0</v>
      </c>
      <c r="BB92" s="147"/>
      <c r="BC92" s="166">
        <f t="shared" ref="BC92:BC102" si="155">+BB92-BB78</f>
        <v>0</v>
      </c>
      <c r="BD92" s="147"/>
      <c r="BE92" s="166">
        <f t="shared" ref="BE92:BE102" si="156">+BD92-BD78</f>
        <v>0</v>
      </c>
      <c r="BF92" s="147"/>
      <c r="BG92" s="166">
        <f t="shared" ref="BG92:BG102" si="157">+BF92-BF78</f>
        <v>0</v>
      </c>
      <c r="BH92" s="147"/>
      <c r="BI92" s="166">
        <f t="shared" ref="BI92:BI102" si="158">+BH92-BH78</f>
        <v>0</v>
      </c>
      <c r="BJ92" s="147"/>
      <c r="BK92" s="166">
        <f t="shared" ref="BK92:BK102" si="159">+BJ92-BJ78</f>
        <v>0</v>
      </c>
      <c r="BL92" s="147"/>
      <c r="BM92" s="166">
        <f t="shared" ref="BM92:BM102" si="160">+BL92-BL78</f>
        <v>0</v>
      </c>
      <c r="BN92" s="50"/>
      <c r="BO92" s="170" t="e">
        <f t="shared" si="132"/>
        <v>#VALUE!</v>
      </c>
      <c r="BP92" s="87"/>
      <c r="BQ92" s="52"/>
    </row>
    <row r="93" spans="1:69" x14ac:dyDescent="0.35">
      <c r="A93" s="134" t="s">
        <v>77</v>
      </c>
      <c r="B93" s="54" t="s">
        <v>67</v>
      </c>
      <c r="C93" s="144"/>
      <c r="D93" s="146"/>
      <c r="E93" s="166" t="e">
        <f t="shared" si="133"/>
        <v>#VALUE!</v>
      </c>
      <c r="F93" s="147"/>
      <c r="G93" s="166">
        <f t="shared" si="133"/>
        <v>0</v>
      </c>
      <c r="H93" s="147"/>
      <c r="I93" s="166">
        <f t="shared" si="133"/>
        <v>0</v>
      </c>
      <c r="J93" s="147"/>
      <c r="K93" s="166">
        <f t="shared" si="133"/>
        <v>0</v>
      </c>
      <c r="L93" s="147"/>
      <c r="M93" s="166">
        <f t="shared" si="134"/>
        <v>0</v>
      </c>
      <c r="N93" s="147"/>
      <c r="O93" s="166">
        <f t="shared" si="135"/>
        <v>0</v>
      </c>
      <c r="P93" s="147"/>
      <c r="Q93" s="166">
        <f t="shared" si="136"/>
        <v>0</v>
      </c>
      <c r="R93" s="147"/>
      <c r="S93" s="166">
        <f t="shared" si="137"/>
        <v>0</v>
      </c>
      <c r="T93" s="147"/>
      <c r="U93" s="166">
        <f t="shared" si="138"/>
        <v>0</v>
      </c>
      <c r="V93" s="147"/>
      <c r="W93" s="166">
        <f t="shared" si="139"/>
        <v>0</v>
      </c>
      <c r="X93" s="147"/>
      <c r="Y93" s="166">
        <f t="shared" si="140"/>
        <v>0</v>
      </c>
      <c r="Z93" s="147"/>
      <c r="AA93" s="166">
        <f t="shared" si="141"/>
        <v>0</v>
      </c>
      <c r="AB93" s="147"/>
      <c r="AC93" s="166">
        <f t="shared" si="142"/>
        <v>0</v>
      </c>
      <c r="AD93" s="147"/>
      <c r="AE93" s="166">
        <f t="shared" si="143"/>
        <v>0</v>
      </c>
      <c r="AF93" s="147"/>
      <c r="AG93" s="166">
        <f t="shared" si="144"/>
        <v>0</v>
      </c>
      <c r="AH93" s="147"/>
      <c r="AI93" s="166">
        <f t="shared" si="145"/>
        <v>0</v>
      </c>
      <c r="AJ93" s="147"/>
      <c r="AK93" s="166">
        <f t="shared" si="146"/>
        <v>0</v>
      </c>
      <c r="AL93" s="147"/>
      <c r="AM93" s="166">
        <f t="shared" si="147"/>
        <v>0</v>
      </c>
      <c r="AN93" s="147"/>
      <c r="AO93" s="48"/>
      <c r="AP93" s="147"/>
      <c r="AQ93" s="166">
        <f t="shared" si="149"/>
        <v>0</v>
      </c>
      <c r="AR93" s="147"/>
      <c r="AS93" s="166">
        <f t="shared" si="150"/>
        <v>0</v>
      </c>
      <c r="AT93" s="147"/>
      <c r="AU93" s="166">
        <f t="shared" si="151"/>
        <v>0</v>
      </c>
      <c r="AV93" s="147"/>
      <c r="AW93" s="166">
        <f t="shared" si="152"/>
        <v>0</v>
      </c>
      <c r="AX93" s="147"/>
      <c r="AY93" s="166">
        <f t="shared" si="153"/>
        <v>0</v>
      </c>
      <c r="AZ93" s="147"/>
      <c r="BA93" s="166">
        <f t="shared" si="154"/>
        <v>0</v>
      </c>
      <c r="BB93" s="147"/>
      <c r="BC93" s="166">
        <f t="shared" si="155"/>
        <v>0</v>
      </c>
      <c r="BD93" s="147"/>
      <c r="BE93" s="166">
        <f t="shared" si="156"/>
        <v>0</v>
      </c>
      <c r="BF93" s="147"/>
      <c r="BG93" s="166">
        <f t="shared" si="157"/>
        <v>0</v>
      </c>
      <c r="BH93" s="147"/>
      <c r="BI93" s="166">
        <f t="shared" si="158"/>
        <v>0</v>
      </c>
      <c r="BJ93" s="147"/>
      <c r="BK93" s="166">
        <f t="shared" si="159"/>
        <v>0</v>
      </c>
      <c r="BL93" s="147"/>
      <c r="BM93" s="166">
        <f t="shared" si="160"/>
        <v>0</v>
      </c>
      <c r="BN93" s="50"/>
      <c r="BO93" s="170" t="e">
        <f t="shared" si="132"/>
        <v>#VALUE!</v>
      </c>
      <c r="BP93" s="87"/>
      <c r="BQ93" s="52"/>
    </row>
    <row r="94" spans="1:69" x14ac:dyDescent="0.35">
      <c r="A94" s="132" t="s">
        <v>78</v>
      </c>
      <c r="B94" s="54" t="s">
        <v>65</v>
      </c>
      <c r="C94" s="144"/>
      <c r="D94" s="146"/>
      <c r="E94" s="166" t="e">
        <f t="shared" si="133"/>
        <v>#VALUE!</v>
      </c>
      <c r="F94" s="147"/>
      <c r="G94" s="166">
        <f t="shared" si="133"/>
        <v>0</v>
      </c>
      <c r="H94" s="147"/>
      <c r="I94" s="166">
        <f t="shared" si="133"/>
        <v>0</v>
      </c>
      <c r="J94" s="147"/>
      <c r="K94" s="166">
        <f t="shared" si="133"/>
        <v>0</v>
      </c>
      <c r="L94" s="147"/>
      <c r="M94" s="166">
        <f t="shared" si="134"/>
        <v>0</v>
      </c>
      <c r="N94" s="147"/>
      <c r="O94" s="166">
        <f t="shared" si="135"/>
        <v>0</v>
      </c>
      <c r="P94" s="147"/>
      <c r="Q94" s="166">
        <f t="shared" si="136"/>
        <v>0</v>
      </c>
      <c r="R94" s="147"/>
      <c r="S94" s="166">
        <f t="shared" si="137"/>
        <v>0</v>
      </c>
      <c r="T94" s="147"/>
      <c r="U94" s="166">
        <f t="shared" si="138"/>
        <v>0</v>
      </c>
      <c r="V94" s="147"/>
      <c r="W94" s="166">
        <f t="shared" si="139"/>
        <v>0</v>
      </c>
      <c r="X94" s="147"/>
      <c r="Y94" s="166">
        <f t="shared" si="140"/>
        <v>0</v>
      </c>
      <c r="Z94" s="147"/>
      <c r="AA94" s="166">
        <f t="shared" si="141"/>
        <v>0</v>
      </c>
      <c r="AB94" s="147"/>
      <c r="AC94" s="166">
        <f t="shared" si="142"/>
        <v>0</v>
      </c>
      <c r="AD94" s="147"/>
      <c r="AE94" s="166">
        <f t="shared" si="143"/>
        <v>0</v>
      </c>
      <c r="AF94" s="147"/>
      <c r="AG94" s="166">
        <f t="shared" si="144"/>
        <v>0</v>
      </c>
      <c r="AH94" s="147"/>
      <c r="AI94" s="166">
        <f t="shared" si="145"/>
        <v>0</v>
      </c>
      <c r="AJ94" s="147"/>
      <c r="AK94" s="166">
        <f t="shared" si="146"/>
        <v>0</v>
      </c>
      <c r="AL94" s="147"/>
      <c r="AM94" s="166">
        <f t="shared" si="147"/>
        <v>0</v>
      </c>
      <c r="AN94" s="147"/>
      <c r="AO94" s="166">
        <f t="shared" si="148"/>
        <v>0</v>
      </c>
      <c r="AP94" s="147"/>
      <c r="AQ94" s="166">
        <f t="shared" si="149"/>
        <v>0</v>
      </c>
      <c r="AR94" s="147"/>
      <c r="AS94" s="166">
        <f t="shared" si="150"/>
        <v>0</v>
      </c>
      <c r="AT94" s="147"/>
      <c r="AU94" s="166">
        <f t="shared" si="151"/>
        <v>0</v>
      </c>
      <c r="AV94" s="147"/>
      <c r="AW94" s="166">
        <f t="shared" si="152"/>
        <v>0</v>
      </c>
      <c r="AX94" s="147"/>
      <c r="AY94" s="166">
        <f t="shared" si="153"/>
        <v>0</v>
      </c>
      <c r="AZ94" s="147"/>
      <c r="BA94" s="166">
        <f t="shared" si="154"/>
        <v>0</v>
      </c>
      <c r="BB94" s="147"/>
      <c r="BC94" s="166">
        <f t="shared" si="155"/>
        <v>0</v>
      </c>
      <c r="BD94" s="147"/>
      <c r="BE94" s="166">
        <f t="shared" si="156"/>
        <v>0</v>
      </c>
      <c r="BF94" s="147"/>
      <c r="BG94" s="166">
        <f t="shared" si="157"/>
        <v>0</v>
      </c>
      <c r="BH94" s="147"/>
      <c r="BI94" s="166">
        <f t="shared" si="158"/>
        <v>0</v>
      </c>
      <c r="BJ94" s="147"/>
      <c r="BK94" s="166">
        <f t="shared" si="159"/>
        <v>0</v>
      </c>
      <c r="BL94" s="147"/>
      <c r="BM94" s="166">
        <f t="shared" si="160"/>
        <v>0</v>
      </c>
      <c r="BN94" s="50"/>
      <c r="BO94" s="170" t="e">
        <f t="shared" si="132"/>
        <v>#VALUE!</v>
      </c>
      <c r="BP94" s="87"/>
      <c r="BQ94" s="52"/>
    </row>
    <row r="95" spans="1:69" x14ac:dyDescent="0.35">
      <c r="A95" s="136"/>
      <c r="B95" s="54" t="s">
        <v>66</v>
      </c>
      <c r="C95" s="144"/>
      <c r="D95" s="146"/>
      <c r="E95" s="166" t="e">
        <f t="shared" si="133"/>
        <v>#VALUE!</v>
      </c>
      <c r="F95" s="147"/>
      <c r="G95" s="166">
        <f t="shared" si="133"/>
        <v>0</v>
      </c>
      <c r="H95" s="147"/>
      <c r="I95" s="166">
        <f t="shared" si="133"/>
        <v>0</v>
      </c>
      <c r="J95" s="147"/>
      <c r="K95" s="166">
        <f t="shared" si="133"/>
        <v>0</v>
      </c>
      <c r="L95" s="147"/>
      <c r="M95" s="166">
        <f t="shared" si="134"/>
        <v>0</v>
      </c>
      <c r="N95" s="147"/>
      <c r="O95" s="166">
        <f t="shared" si="135"/>
        <v>0</v>
      </c>
      <c r="P95" s="147"/>
      <c r="Q95" s="166">
        <f t="shared" si="136"/>
        <v>0</v>
      </c>
      <c r="R95" s="147"/>
      <c r="S95" s="166">
        <f t="shared" si="137"/>
        <v>0</v>
      </c>
      <c r="T95" s="147"/>
      <c r="U95" s="166">
        <f t="shared" si="138"/>
        <v>0</v>
      </c>
      <c r="V95" s="147"/>
      <c r="W95" s="166">
        <f t="shared" si="139"/>
        <v>0</v>
      </c>
      <c r="X95" s="147"/>
      <c r="Y95" s="166">
        <f t="shared" si="140"/>
        <v>0</v>
      </c>
      <c r="Z95" s="147"/>
      <c r="AA95" s="166">
        <f t="shared" si="141"/>
        <v>0</v>
      </c>
      <c r="AB95" s="147"/>
      <c r="AC95" s="166">
        <f t="shared" si="142"/>
        <v>0</v>
      </c>
      <c r="AD95" s="147"/>
      <c r="AE95" s="166">
        <f t="shared" si="143"/>
        <v>0</v>
      </c>
      <c r="AF95" s="147"/>
      <c r="AG95" s="166">
        <f t="shared" si="144"/>
        <v>0</v>
      </c>
      <c r="AH95" s="147"/>
      <c r="AI95" s="166">
        <f t="shared" si="145"/>
        <v>0</v>
      </c>
      <c r="AJ95" s="147"/>
      <c r="AK95" s="166">
        <f t="shared" si="146"/>
        <v>0</v>
      </c>
      <c r="AL95" s="147"/>
      <c r="AM95" s="166">
        <f t="shared" si="147"/>
        <v>0</v>
      </c>
      <c r="AN95" s="147"/>
      <c r="AO95" s="166">
        <f t="shared" si="148"/>
        <v>0</v>
      </c>
      <c r="AP95" s="147"/>
      <c r="AQ95" s="166">
        <f t="shared" si="149"/>
        <v>0</v>
      </c>
      <c r="AR95" s="147"/>
      <c r="AS95" s="166">
        <f t="shared" si="150"/>
        <v>0</v>
      </c>
      <c r="AT95" s="147"/>
      <c r="AU95" s="166">
        <f t="shared" si="151"/>
        <v>0</v>
      </c>
      <c r="AV95" s="147"/>
      <c r="AW95" s="166">
        <f t="shared" si="152"/>
        <v>0</v>
      </c>
      <c r="AX95" s="147"/>
      <c r="AY95" s="166">
        <f t="shared" si="153"/>
        <v>0</v>
      </c>
      <c r="AZ95" s="147"/>
      <c r="BA95" s="166">
        <f t="shared" si="154"/>
        <v>0</v>
      </c>
      <c r="BB95" s="147"/>
      <c r="BC95" s="166">
        <f t="shared" si="155"/>
        <v>0</v>
      </c>
      <c r="BD95" s="147"/>
      <c r="BE95" s="166">
        <f t="shared" si="156"/>
        <v>0</v>
      </c>
      <c r="BF95" s="147"/>
      <c r="BG95" s="166">
        <f t="shared" si="157"/>
        <v>0</v>
      </c>
      <c r="BH95" s="147"/>
      <c r="BI95" s="166">
        <f t="shared" si="158"/>
        <v>0</v>
      </c>
      <c r="BJ95" s="147"/>
      <c r="BK95" s="166">
        <f t="shared" si="159"/>
        <v>0</v>
      </c>
      <c r="BL95" s="147"/>
      <c r="BM95" s="166">
        <f t="shared" si="160"/>
        <v>0</v>
      </c>
      <c r="BN95" s="50"/>
      <c r="BO95" s="170" t="e">
        <f t="shared" si="132"/>
        <v>#VALUE!</v>
      </c>
      <c r="BP95" s="87"/>
      <c r="BQ95" s="52"/>
    </row>
    <row r="96" spans="1:69" x14ac:dyDescent="0.35">
      <c r="A96" s="134" t="s">
        <v>80</v>
      </c>
      <c r="B96" s="54" t="s">
        <v>67</v>
      </c>
      <c r="C96" s="144"/>
      <c r="D96" s="146"/>
      <c r="E96" s="166" t="e">
        <f t="shared" si="133"/>
        <v>#VALUE!</v>
      </c>
      <c r="F96" s="147"/>
      <c r="G96" s="166">
        <f t="shared" si="133"/>
        <v>0</v>
      </c>
      <c r="H96" s="147"/>
      <c r="I96" s="166">
        <f t="shared" si="133"/>
        <v>0</v>
      </c>
      <c r="J96" s="147"/>
      <c r="K96" s="166">
        <f t="shared" si="133"/>
        <v>0</v>
      </c>
      <c r="L96" s="147"/>
      <c r="M96" s="166">
        <f t="shared" si="134"/>
        <v>0</v>
      </c>
      <c r="N96" s="147"/>
      <c r="O96" s="166">
        <f t="shared" si="135"/>
        <v>0</v>
      </c>
      <c r="P96" s="147"/>
      <c r="Q96" s="166">
        <f t="shared" si="136"/>
        <v>0</v>
      </c>
      <c r="R96" s="147"/>
      <c r="S96" s="166">
        <f t="shared" si="137"/>
        <v>0</v>
      </c>
      <c r="T96" s="147"/>
      <c r="U96" s="166">
        <f t="shared" si="138"/>
        <v>0</v>
      </c>
      <c r="V96" s="147"/>
      <c r="W96" s="166">
        <f t="shared" si="139"/>
        <v>0</v>
      </c>
      <c r="X96" s="147"/>
      <c r="Y96" s="166">
        <f t="shared" si="140"/>
        <v>0</v>
      </c>
      <c r="Z96" s="147"/>
      <c r="AA96" s="166">
        <f t="shared" si="141"/>
        <v>0</v>
      </c>
      <c r="AB96" s="147"/>
      <c r="AC96" s="166">
        <f t="shared" si="142"/>
        <v>0</v>
      </c>
      <c r="AD96" s="147"/>
      <c r="AE96" s="166">
        <f t="shared" si="143"/>
        <v>0</v>
      </c>
      <c r="AF96" s="147"/>
      <c r="AG96" s="166">
        <f t="shared" si="144"/>
        <v>0</v>
      </c>
      <c r="AH96" s="147"/>
      <c r="AI96" s="166">
        <f t="shared" si="145"/>
        <v>0</v>
      </c>
      <c r="AJ96" s="147"/>
      <c r="AK96" s="166">
        <f t="shared" si="146"/>
        <v>0</v>
      </c>
      <c r="AL96" s="147"/>
      <c r="AM96" s="166">
        <f t="shared" si="147"/>
        <v>0</v>
      </c>
      <c r="AN96" s="147"/>
      <c r="AO96" s="166">
        <f t="shared" si="148"/>
        <v>0</v>
      </c>
      <c r="AP96" s="147"/>
      <c r="AQ96" s="166">
        <f t="shared" si="149"/>
        <v>0</v>
      </c>
      <c r="AR96" s="147"/>
      <c r="AS96" s="166">
        <f t="shared" si="150"/>
        <v>0</v>
      </c>
      <c r="AT96" s="147"/>
      <c r="AU96" s="166">
        <f t="shared" si="151"/>
        <v>0</v>
      </c>
      <c r="AV96" s="147"/>
      <c r="AW96" s="166">
        <f t="shared" si="152"/>
        <v>0</v>
      </c>
      <c r="AX96" s="147"/>
      <c r="AY96" s="166">
        <f t="shared" si="153"/>
        <v>0</v>
      </c>
      <c r="AZ96" s="147"/>
      <c r="BA96" s="166">
        <f t="shared" si="154"/>
        <v>0</v>
      </c>
      <c r="BB96" s="147"/>
      <c r="BC96" s="166">
        <f t="shared" si="155"/>
        <v>0</v>
      </c>
      <c r="BD96" s="147"/>
      <c r="BE96" s="166">
        <f t="shared" si="156"/>
        <v>0</v>
      </c>
      <c r="BF96" s="147"/>
      <c r="BG96" s="166">
        <f t="shared" si="157"/>
        <v>0</v>
      </c>
      <c r="BH96" s="147"/>
      <c r="BI96" s="166">
        <f t="shared" si="158"/>
        <v>0</v>
      </c>
      <c r="BJ96" s="147"/>
      <c r="BK96" s="166">
        <f t="shared" si="159"/>
        <v>0</v>
      </c>
      <c r="BL96" s="147"/>
      <c r="BM96" s="166">
        <f t="shared" si="160"/>
        <v>0</v>
      </c>
      <c r="BN96" s="50"/>
      <c r="BO96" s="170" t="e">
        <f t="shared" si="132"/>
        <v>#VALUE!</v>
      </c>
      <c r="BP96" s="87"/>
      <c r="BQ96" s="52"/>
    </row>
    <row r="97" spans="1:76" x14ac:dyDescent="0.35">
      <c r="A97" s="135"/>
      <c r="B97" s="54" t="s">
        <v>67</v>
      </c>
      <c r="C97" s="144"/>
      <c r="D97" s="146"/>
      <c r="E97" s="166" t="e">
        <f t="shared" si="133"/>
        <v>#VALUE!</v>
      </c>
      <c r="F97" s="147"/>
      <c r="G97" s="166">
        <f t="shared" si="133"/>
        <v>0</v>
      </c>
      <c r="H97" s="147"/>
      <c r="I97" s="166">
        <f t="shared" si="133"/>
        <v>0</v>
      </c>
      <c r="J97" s="147"/>
      <c r="K97" s="166">
        <f t="shared" si="133"/>
        <v>0</v>
      </c>
      <c r="L97" s="147"/>
      <c r="M97" s="166">
        <f t="shared" si="134"/>
        <v>0</v>
      </c>
      <c r="N97" s="147"/>
      <c r="O97" s="166">
        <f t="shared" si="135"/>
        <v>0</v>
      </c>
      <c r="P97" s="147"/>
      <c r="Q97" s="166">
        <f t="shared" si="136"/>
        <v>0</v>
      </c>
      <c r="R97" s="147"/>
      <c r="S97" s="166">
        <f t="shared" si="137"/>
        <v>0</v>
      </c>
      <c r="T97" s="147"/>
      <c r="U97" s="166">
        <f t="shared" si="138"/>
        <v>0</v>
      </c>
      <c r="V97" s="147"/>
      <c r="W97" s="166">
        <f t="shared" si="139"/>
        <v>0</v>
      </c>
      <c r="X97" s="147"/>
      <c r="Y97" s="166">
        <f t="shared" si="140"/>
        <v>0</v>
      </c>
      <c r="Z97" s="147"/>
      <c r="AA97" s="166">
        <f t="shared" si="141"/>
        <v>0</v>
      </c>
      <c r="AB97" s="147"/>
      <c r="AC97" s="166">
        <f t="shared" si="142"/>
        <v>0</v>
      </c>
      <c r="AD97" s="147"/>
      <c r="AE97" s="166">
        <f t="shared" si="143"/>
        <v>0</v>
      </c>
      <c r="AF97" s="147"/>
      <c r="AG97" s="166">
        <f t="shared" si="144"/>
        <v>0</v>
      </c>
      <c r="AH97" s="147"/>
      <c r="AI97" s="166">
        <f t="shared" si="145"/>
        <v>0</v>
      </c>
      <c r="AJ97" s="147"/>
      <c r="AK97" s="166">
        <f t="shared" si="146"/>
        <v>0</v>
      </c>
      <c r="AL97" s="147"/>
      <c r="AM97" s="166">
        <f t="shared" si="147"/>
        <v>0</v>
      </c>
      <c r="AN97" s="147"/>
      <c r="AO97" s="166">
        <f t="shared" si="148"/>
        <v>0</v>
      </c>
      <c r="AP97" s="147"/>
      <c r="AQ97" s="166">
        <f t="shared" si="149"/>
        <v>0</v>
      </c>
      <c r="AR97" s="147"/>
      <c r="AS97" s="166">
        <f t="shared" si="150"/>
        <v>0</v>
      </c>
      <c r="AT97" s="147"/>
      <c r="AU97" s="166">
        <f t="shared" si="151"/>
        <v>0</v>
      </c>
      <c r="AV97" s="147"/>
      <c r="AW97" s="166">
        <f t="shared" si="152"/>
        <v>0</v>
      </c>
      <c r="AX97" s="147"/>
      <c r="AY97" s="166">
        <f t="shared" si="153"/>
        <v>0</v>
      </c>
      <c r="AZ97" s="147"/>
      <c r="BA97" s="166">
        <f t="shared" si="154"/>
        <v>0</v>
      </c>
      <c r="BB97" s="147"/>
      <c r="BC97" s="166">
        <f t="shared" si="155"/>
        <v>0</v>
      </c>
      <c r="BD97" s="147"/>
      <c r="BE97" s="166">
        <f t="shared" si="156"/>
        <v>0</v>
      </c>
      <c r="BF97" s="147"/>
      <c r="BG97" s="166">
        <f t="shared" si="157"/>
        <v>0</v>
      </c>
      <c r="BH97" s="147"/>
      <c r="BI97" s="166">
        <f t="shared" si="158"/>
        <v>0</v>
      </c>
      <c r="BJ97" s="147"/>
      <c r="BK97" s="166">
        <f t="shared" si="159"/>
        <v>0</v>
      </c>
      <c r="BL97" s="147"/>
      <c r="BM97" s="166">
        <f t="shared" si="160"/>
        <v>0</v>
      </c>
      <c r="BN97" s="50"/>
      <c r="BO97" s="170" t="e">
        <f t="shared" si="132"/>
        <v>#VALUE!</v>
      </c>
      <c r="BP97" s="87"/>
      <c r="BQ97" s="52"/>
    </row>
    <row r="98" spans="1:76" x14ac:dyDescent="0.35">
      <c r="A98" s="136" t="s">
        <v>82</v>
      </c>
      <c r="B98" s="54" t="s">
        <v>66</v>
      </c>
      <c r="C98" s="144"/>
      <c r="D98" s="146"/>
      <c r="E98" s="166" t="e">
        <f t="shared" si="133"/>
        <v>#VALUE!</v>
      </c>
      <c r="F98" s="147"/>
      <c r="G98" s="166">
        <f t="shared" si="133"/>
        <v>0</v>
      </c>
      <c r="H98" s="147"/>
      <c r="I98" s="166">
        <f t="shared" si="133"/>
        <v>0</v>
      </c>
      <c r="J98" s="147"/>
      <c r="K98" s="166">
        <f t="shared" si="133"/>
        <v>0</v>
      </c>
      <c r="L98" s="147"/>
      <c r="M98" s="166">
        <f t="shared" si="134"/>
        <v>0</v>
      </c>
      <c r="N98" s="147"/>
      <c r="O98" s="166">
        <f t="shared" si="135"/>
        <v>0</v>
      </c>
      <c r="P98" s="147"/>
      <c r="Q98" s="166">
        <f t="shared" si="136"/>
        <v>0</v>
      </c>
      <c r="R98" s="147"/>
      <c r="S98" s="166">
        <f t="shared" si="137"/>
        <v>0</v>
      </c>
      <c r="T98" s="147"/>
      <c r="U98" s="166">
        <f t="shared" si="138"/>
        <v>0</v>
      </c>
      <c r="V98" s="147"/>
      <c r="W98" s="166">
        <f t="shared" si="139"/>
        <v>0</v>
      </c>
      <c r="X98" s="147"/>
      <c r="Y98" s="166">
        <f t="shared" si="140"/>
        <v>0</v>
      </c>
      <c r="Z98" s="147"/>
      <c r="AA98" s="166">
        <f t="shared" si="141"/>
        <v>0</v>
      </c>
      <c r="AB98" s="147"/>
      <c r="AC98" s="166">
        <f t="shared" si="142"/>
        <v>0</v>
      </c>
      <c r="AD98" s="147"/>
      <c r="AE98" s="166">
        <f t="shared" si="143"/>
        <v>0</v>
      </c>
      <c r="AF98" s="147"/>
      <c r="AG98" s="166">
        <f t="shared" si="144"/>
        <v>0</v>
      </c>
      <c r="AH98" s="147"/>
      <c r="AI98" s="166">
        <f t="shared" si="145"/>
        <v>0</v>
      </c>
      <c r="AJ98" s="147"/>
      <c r="AK98" s="166">
        <f t="shared" si="146"/>
        <v>0</v>
      </c>
      <c r="AL98" s="147"/>
      <c r="AM98" s="166">
        <f t="shared" si="147"/>
        <v>0</v>
      </c>
      <c r="AN98" s="147"/>
      <c r="AO98" s="166">
        <f t="shared" si="148"/>
        <v>0</v>
      </c>
      <c r="AP98" s="147"/>
      <c r="AQ98" s="166">
        <f t="shared" si="149"/>
        <v>0</v>
      </c>
      <c r="AR98" s="147"/>
      <c r="AS98" s="166">
        <f t="shared" si="150"/>
        <v>0</v>
      </c>
      <c r="AT98" s="147"/>
      <c r="AU98" s="166">
        <f t="shared" si="151"/>
        <v>0</v>
      </c>
      <c r="AV98" s="147"/>
      <c r="AW98" s="166">
        <f t="shared" si="152"/>
        <v>0</v>
      </c>
      <c r="AX98" s="147"/>
      <c r="AY98" s="166">
        <f t="shared" si="153"/>
        <v>0</v>
      </c>
      <c r="AZ98" s="147"/>
      <c r="BA98" s="166">
        <f t="shared" si="154"/>
        <v>0</v>
      </c>
      <c r="BB98" s="147"/>
      <c r="BC98" s="166">
        <f t="shared" si="155"/>
        <v>0</v>
      </c>
      <c r="BD98" s="147"/>
      <c r="BE98" s="166">
        <f t="shared" si="156"/>
        <v>0</v>
      </c>
      <c r="BF98" s="147"/>
      <c r="BG98" s="166">
        <f t="shared" si="157"/>
        <v>0</v>
      </c>
      <c r="BH98" s="147"/>
      <c r="BI98" s="166">
        <f t="shared" si="158"/>
        <v>0</v>
      </c>
      <c r="BJ98" s="147"/>
      <c r="BK98" s="166">
        <f t="shared" si="159"/>
        <v>0</v>
      </c>
      <c r="BL98" s="147"/>
      <c r="BM98" s="166">
        <f t="shared" si="160"/>
        <v>0</v>
      </c>
      <c r="BN98" s="50"/>
      <c r="BO98" s="170" t="e">
        <f t="shared" si="132"/>
        <v>#VALUE!</v>
      </c>
      <c r="BP98" s="87"/>
      <c r="BQ98" s="52"/>
    </row>
    <row r="99" spans="1:76" x14ac:dyDescent="0.35">
      <c r="A99" s="44"/>
      <c r="B99" s="54" t="s">
        <v>65</v>
      </c>
      <c r="C99" s="144"/>
      <c r="D99" s="146"/>
      <c r="E99" s="166" t="e">
        <f t="shared" si="133"/>
        <v>#VALUE!</v>
      </c>
      <c r="F99" s="147"/>
      <c r="G99" s="166">
        <f t="shared" si="133"/>
        <v>0</v>
      </c>
      <c r="H99" s="147"/>
      <c r="I99" s="166">
        <f t="shared" si="133"/>
        <v>0</v>
      </c>
      <c r="J99" s="147"/>
      <c r="K99" s="166">
        <f t="shared" si="133"/>
        <v>0</v>
      </c>
      <c r="L99" s="147"/>
      <c r="M99" s="166">
        <f t="shared" si="134"/>
        <v>0</v>
      </c>
      <c r="N99" s="147"/>
      <c r="O99" s="166">
        <f t="shared" si="135"/>
        <v>0</v>
      </c>
      <c r="P99" s="147"/>
      <c r="Q99" s="166">
        <f t="shared" si="136"/>
        <v>0</v>
      </c>
      <c r="R99" s="147"/>
      <c r="S99" s="166">
        <f t="shared" si="137"/>
        <v>0</v>
      </c>
      <c r="T99" s="147"/>
      <c r="U99" s="166">
        <f t="shared" si="138"/>
        <v>0</v>
      </c>
      <c r="V99" s="147"/>
      <c r="W99" s="166">
        <f t="shared" si="139"/>
        <v>0</v>
      </c>
      <c r="X99" s="147"/>
      <c r="Y99" s="166">
        <f t="shared" si="140"/>
        <v>0</v>
      </c>
      <c r="Z99" s="147"/>
      <c r="AA99" s="166">
        <f t="shared" si="141"/>
        <v>0</v>
      </c>
      <c r="AB99" s="147"/>
      <c r="AC99" s="166">
        <f t="shared" si="142"/>
        <v>0</v>
      </c>
      <c r="AD99" s="147"/>
      <c r="AE99" s="166">
        <f t="shared" si="143"/>
        <v>0</v>
      </c>
      <c r="AF99" s="147"/>
      <c r="AG99" s="166">
        <f t="shared" si="144"/>
        <v>0</v>
      </c>
      <c r="AH99" s="147"/>
      <c r="AI99" s="166">
        <f t="shared" si="145"/>
        <v>0</v>
      </c>
      <c r="AJ99" s="147"/>
      <c r="AK99" s="166">
        <f t="shared" si="146"/>
        <v>0</v>
      </c>
      <c r="AL99" s="147"/>
      <c r="AM99" s="166">
        <f t="shared" si="147"/>
        <v>0</v>
      </c>
      <c r="AN99" s="147"/>
      <c r="AO99" s="166">
        <f t="shared" si="148"/>
        <v>0</v>
      </c>
      <c r="AP99" s="147"/>
      <c r="AQ99" s="166">
        <f t="shared" si="149"/>
        <v>0</v>
      </c>
      <c r="AR99" s="147"/>
      <c r="AS99" s="166">
        <f t="shared" si="150"/>
        <v>0</v>
      </c>
      <c r="AT99" s="147"/>
      <c r="AU99" s="166">
        <f t="shared" si="151"/>
        <v>0</v>
      </c>
      <c r="AV99" s="147"/>
      <c r="AW99" s="166">
        <f t="shared" si="152"/>
        <v>0</v>
      </c>
      <c r="AX99" s="147"/>
      <c r="AY99" s="166">
        <f t="shared" si="153"/>
        <v>0</v>
      </c>
      <c r="AZ99" s="147"/>
      <c r="BA99" s="166">
        <f t="shared" si="154"/>
        <v>0</v>
      </c>
      <c r="BB99" s="147"/>
      <c r="BC99" s="166">
        <f t="shared" si="155"/>
        <v>0</v>
      </c>
      <c r="BD99" s="147"/>
      <c r="BE99" s="166">
        <f t="shared" si="156"/>
        <v>0</v>
      </c>
      <c r="BF99" s="147"/>
      <c r="BG99" s="166">
        <f t="shared" si="157"/>
        <v>0</v>
      </c>
      <c r="BH99" s="147"/>
      <c r="BI99" s="166">
        <f t="shared" si="158"/>
        <v>0</v>
      </c>
      <c r="BJ99" s="147"/>
      <c r="BK99" s="166">
        <f t="shared" si="159"/>
        <v>0</v>
      </c>
      <c r="BL99" s="147"/>
      <c r="BM99" s="166">
        <f t="shared" si="160"/>
        <v>0</v>
      </c>
      <c r="BN99" s="50"/>
      <c r="BO99" s="170" t="e">
        <f t="shared" si="132"/>
        <v>#VALUE!</v>
      </c>
      <c r="BP99" s="87"/>
      <c r="BQ99" s="52"/>
    </row>
    <row r="100" spans="1:76" x14ac:dyDescent="0.35">
      <c r="A100" s="135" t="s">
        <v>84</v>
      </c>
      <c r="B100" s="54" t="s">
        <v>67</v>
      </c>
      <c r="C100" s="144"/>
      <c r="D100" s="146"/>
      <c r="E100" s="166" t="e">
        <f t="shared" si="133"/>
        <v>#VALUE!</v>
      </c>
      <c r="F100" s="147"/>
      <c r="G100" s="166">
        <f t="shared" si="133"/>
        <v>0</v>
      </c>
      <c r="H100" s="147"/>
      <c r="I100" s="166">
        <f t="shared" si="133"/>
        <v>0</v>
      </c>
      <c r="J100" s="147"/>
      <c r="K100" s="166">
        <f t="shared" si="133"/>
        <v>0</v>
      </c>
      <c r="L100" s="147"/>
      <c r="M100" s="166">
        <f t="shared" si="134"/>
        <v>0</v>
      </c>
      <c r="N100" s="147"/>
      <c r="O100" s="166">
        <f t="shared" si="135"/>
        <v>0</v>
      </c>
      <c r="P100" s="147"/>
      <c r="Q100" s="166">
        <f t="shared" si="136"/>
        <v>0</v>
      </c>
      <c r="R100" s="147"/>
      <c r="S100" s="166">
        <f t="shared" si="137"/>
        <v>0</v>
      </c>
      <c r="T100" s="147"/>
      <c r="U100" s="166">
        <f t="shared" si="138"/>
        <v>0</v>
      </c>
      <c r="V100" s="147"/>
      <c r="W100" s="166">
        <f t="shared" si="139"/>
        <v>0</v>
      </c>
      <c r="X100" s="147"/>
      <c r="Y100" s="166">
        <f t="shared" si="140"/>
        <v>0</v>
      </c>
      <c r="Z100" s="147"/>
      <c r="AA100" s="166">
        <f t="shared" si="141"/>
        <v>0</v>
      </c>
      <c r="AB100" s="147"/>
      <c r="AC100" s="166">
        <f t="shared" si="142"/>
        <v>0</v>
      </c>
      <c r="AD100" s="147"/>
      <c r="AE100" s="166">
        <f t="shared" si="143"/>
        <v>0</v>
      </c>
      <c r="AF100" s="147"/>
      <c r="AG100" s="166">
        <f t="shared" si="144"/>
        <v>0</v>
      </c>
      <c r="AH100" s="147"/>
      <c r="AI100" s="166">
        <f t="shared" si="145"/>
        <v>0</v>
      </c>
      <c r="AJ100" s="147"/>
      <c r="AK100" s="166">
        <f t="shared" si="146"/>
        <v>0</v>
      </c>
      <c r="AL100" s="147"/>
      <c r="AM100" s="166">
        <f t="shared" si="147"/>
        <v>0</v>
      </c>
      <c r="AN100" s="147"/>
      <c r="AO100" s="166">
        <f t="shared" si="148"/>
        <v>0</v>
      </c>
      <c r="AP100" s="147"/>
      <c r="AQ100" s="166">
        <f t="shared" si="149"/>
        <v>0</v>
      </c>
      <c r="AR100" s="147"/>
      <c r="AS100" s="166">
        <f t="shared" si="150"/>
        <v>0</v>
      </c>
      <c r="AT100" s="147"/>
      <c r="AU100" s="166">
        <f t="shared" si="151"/>
        <v>0</v>
      </c>
      <c r="AV100" s="147"/>
      <c r="AW100" s="166">
        <f t="shared" si="152"/>
        <v>0</v>
      </c>
      <c r="AX100" s="147"/>
      <c r="AY100" s="166">
        <f t="shared" si="153"/>
        <v>0</v>
      </c>
      <c r="AZ100" s="147"/>
      <c r="BA100" s="166">
        <f t="shared" si="154"/>
        <v>0</v>
      </c>
      <c r="BB100" s="147"/>
      <c r="BC100" s="166">
        <f t="shared" si="155"/>
        <v>0</v>
      </c>
      <c r="BD100" s="147"/>
      <c r="BE100" s="166">
        <f t="shared" si="156"/>
        <v>0</v>
      </c>
      <c r="BF100" s="147"/>
      <c r="BG100" s="166">
        <f t="shared" si="157"/>
        <v>0</v>
      </c>
      <c r="BH100" s="147"/>
      <c r="BI100" s="166">
        <f t="shared" si="158"/>
        <v>0</v>
      </c>
      <c r="BJ100" s="147"/>
      <c r="BK100" s="166">
        <f t="shared" si="159"/>
        <v>0</v>
      </c>
      <c r="BL100" s="147"/>
      <c r="BM100" s="166">
        <f t="shared" si="160"/>
        <v>0</v>
      </c>
      <c r="BN100" s="50"/>
      <c r="BO100" s="170" t="e">
        <f t="shared" si="132"/>
        <v>#VALUE!</v>
      </c>
      <c r="BP100" s="87"/>
      <c r="BQ100" s="52"/>
    </row>
    <row r="101" spans="1:76" x14ac:dyDescent="0.35">
      <c r="A101" s="136" t="s">
        <v>85</v>
      </c>
      <c r="B101" s="54" t="s">
        <v>66</v>
      </c>
      <c r="C101" s="144"/>
      <c r="D101" s="146"/>
      <c r="E101" s="166" t="e">
        <f t="shared" si="133"/>
        <v>#VALUE!</v>
      </c>
      <c r="F101" s="147"/>
      <c r="G101" s="166">
        <f t="shared" si="133"/>
        <v>0</v>
      </c>
      <c r="H101" s="147"/>
      <c r="I101" s="166">
        <f t="shared" si="133"/>
        <v>0</v>
      </c>
      <c r="J101" s="147"/>
      <c r="K101" s="166">
        <f t="shared" si="133"/>
        <v>0</v>
      </c>
      <c r="L101" s="147"/>
      <c r="M101" s="166">
        <f t="shared" si="134"/>
        <v>0</v>
      </c>
      <c r="N101" s="147"/>
      <c r="O101" s="166">
        <f t="shared" si="135"/>
        <v>0</v>
      </c>
      <c r="P101" s="147"/>
      <c r="Q101" s="166">
        <f t="shared" si="136"/>
        <v>0</v>
      </c>
      <c r="R101" s="147"/>
      <c r="S101" s="166">
        <f t="shared" si="137"/>
        <v>0</v>
      </c>
      <c r="T101" s="147"/>
      <c r="U101" s="166">
        <f t="shared" si="138"/>
        <v>0</v>
      </c>
      <c r="V101" s="147"/>
      <c r="W101" s="166">
        <f t="shared" si="139"/>
        <v>0</v>
      </c>
      <c r="X101" s="147"/>
      <c r="Y101" s="166">
        <f t="shared" si="140"/>
        <v>0</v>
      </c>
      <c r="Z101" s="147"/>
      <c r="AA101" s="166">
        <f t="shared" si="141"/>
        <v>0</v>
      </c>
      <c r="AB101" s="147"/>
      <c r="AC101" s="166">
        <f t="shared" si="142"/>
        <v>0</v>
      </c>
      <c r="AD101" s="147"/>
      <c r="AE101" s="166">
        <f t="shared" si="143"/>
        <v>0</v>
      </c>
      <c r="AF101" s="147"/>
      <c r="AG101" s="166">
        <f t="shared" si="144"/>
        <v>0</v>
      </c>
      <c r="AH101" s="147"/>
      <c r="AI101" s="166">
        <f t="shared" si="145"/>
        <v>0</v>
      </c>
      <c r="AJ101" s="147"/>
      <c r="AK101" s="166">
        <f t="shared" si="146"/>
        <v>0</v>
      </c>
      <c r="AL101" s="147"/>
      <c r="AM101" s="166">
        <f t="shared" si="147"/>
        <v>0</v>
      </c>
      <c r="AN101" s="147"/>
      <c r="AO101" s="166">
        <f t="shared" si="148"/>
        <v>0</v>
      </c>
      <c r="AP101" s="147"/>
      <c r="AQ101" s="166">
        <f t="shared" si="149"/>
        <v>0</v>
      </c>
      <c r="AR101" s="147"/>
      <c r="AS101" s="166">
        <f t="shared" si="150"/>
        <v>0</v>
      </c>
      <c r="AT101" s="147"/>
      <c r="AU101" s="166">
        <f t="shared" si="151"/>
        <v>0</v>
      </c>
      <c r="AV101" s="147"/>
      <c r="AW101" s="166">
        <f t="shared" si="152"/>
        <v>0</v>
      </c>
      <c r="AX101" s="147"/>
      <c r="AY101" s="166">
        <f t="shared" si="153"/>
        <v>0</v>
      </c>
      <c r="AZ101" s="147"/>
      <c r="BA101" s="166">
        <f t="shared" si="154"/>
        <v>0</v>
      </c>
      <c r="BB101" s="147"/>
      <c r="BC101" s="166">
        <f t="shared" si="155"/>
        <v>0</v>
      </c>
      <c r="BD101" s="147"/>
      <c r="BE101" s="166">
        <f t="shared" si="156"/>
        <v>0</v>
      </c>
      <c r="BF101" s="147"/>
      <c r="BG101" s="166">
        <f t="shared" si="157"/>
        <v>0</v>
      </c>
      <c r="BH101" s="147"/>
      <c r="BI101" s="166">
        <f t="shared" si="158"/>
        <v>0</v>
      </c>
      <c r="BJ101" s="147"/>
      <c r="BK101" s="166">
        <f t="shared" si="159"/>
        <v>0</v>
      </c>
      <c r="BL101" s="147"/>
      <c r="BM101" s="166">
        <f t="shared" si="160"/>
        <v>0</v>
      </c>
      <c r="BN101" s="50"/>
      <c r="BO101" s="170" t="e">
        <f t="shared" si="132"/>
        <v>#VALUE!</v>
      </c>
      <c r="BP101" s="87"/>
      <c r="BQ101" s="52"/>
    </row>
    <row r="102" spans="1:76" x14ac:dyDescent="0.35">
      <c r="A102" s="44" t="s">
        <v>86</v>
      </c>
      <c r="B102" s="54" t="s">
        <v>65</v>
      </c>
      <c r="C102" s="144"/>
      <c r="D102" s="146"/>
      <c r="E102" s="166" t="e">
        <f t="shared" si="133"/>
        <v>#VALUE!</v>
      </c>
      <c r="F102" s="147"/>
      <c r="G102" s="166">
        <f t="shared" si="133"/>
        <v>0</v>
      </c>
      <c r="H102" s="147"/>
      <c r="I102" s="166">
        <f t="shared" si="133"/>
        <v>0</v>
      </c>
      <c r="J102" s="147"/>
      <c r="K102" s="166">
        <f t="shared" si="133"/>
        <v>0</v>
      </c>
      <c r="L102" s="147"/>
      <c r="M102" s="166">
        <f t="shared" si="134"/>
        <v>0</v>
      </c>
      <c r="N102" s="147"/>
      <c r="O102" s="166">
        <f t="shared" si="135"/>
        <v>0</v>
      </c>
      <c r="P102" s="147"/>
      <c r="Q102" s="166">
        <f t="shared" si="136"/>
        <v>0</v>
      </c>
      <c r="R102" s="147"/>
      <c r="S102" s="166">
        <f t="shared" si="137"/>
        <v>0</v>
      </c>
      <c r="T102" s="147"/>
      <c r="U102" s="166">
        <f t="shared" si="138"/>
        <v>0</v>
      </c>
      <c r="V102" s="147"/>
      <c r="W102" s="166">
        <f t="shared" si="139"/>
        <v>0</v>
      </c>
      <c r="X102" s="147"/>
      <c r="Y102" s="166">
        <f t="shared" si="140"/>
        <v>0</v>
      </c>
      <c r="Z102" s="147"/>
      <c r="AA102" s="166">
        <f t="shared" si="141"/>
        <v>0</v>
      </c>
      <c r="AB102" s="147"/>
      <c r="AC102" s="166">
        <f t="shared" si="142"/>
        <v>0</v>
      </c>
      <c r="AD102" s="147"/>
      <c r="AE102" s="166">
        <f t="shared" si="143"/>
        <v>0</v>
      </c>
      <c r="AF102" s="147"/>
      <c r="AG102" s="166">
        <f t="shared" si="144"/>
        <v>0</v>
      </c>
      <c r="AH102" s="147"/>
      <c r="AI102" s="166">
        <f t="shared" si="145"/>
        <v>0</v>
      </c>
      <c r="AJ102" s="147"/>
      <c r="AK102" s="166">
        <f t="shared" si="146"/>
        <v>0</v>
      </c>
      <c r="AL102" s="147"/>
      <c r="AM102" s="166">
        <f t="shared" si="147"/>
        <v>0</v>
      </c>
      <c r="AN102" s="147"/>
      <c r="AO102" s="166">
        <f t="shared" si="148"/>
        <v>0</v>
      </c>
      <c r="AP102" s="147"/>
      <c r="AQ102" s="166">
        <f t="shared" si="149"/>
        <v>0</v>
      </c>
      <c r="AR102" s="147"/>
      <c r="AS102" s="166">
        <f t="shared" si="150"/>
        <v>0</v>
      </c>
      <c r="AT102" s="147"/>
      <c r="AU102" s="166">
        <f t="shared" si="151"/>
        <v>0</v>
      </c>
      <c r="AV102" s="147"/>
      <c r="AW102" s="166">
        <f t="shared" si="152"/>
        <v>0</v>
      </c>
      <c r="AX102" s="147"/>
      <c r="AY102" s="166">
        <f t="shared" si="153"/>
        <v>0</v>
      </c>
      <c r="AZ102" s="147"/>
      <c r="BA102" s="166">
        <f t="shared" si="154"/>
        <v>0</v>
      </c>
      <c r="BB102" s="147"/>
      <c r="BC102" s="166">
        <f t="shared" si="155"/>
        <v>0</v>
      </c>
      <c r="BD102" s="147"/>
      <c r="BE102" s="166">
        <f t="shared" si="156"/>
        <v>0</v>
      </c>
      <c r="BF102" s="147"/>
      <c r="BG102" s="166">
        <f t="shared" si="157"/>
        <v>0</v>
      </c>
      <c r="BH102" s="147"/>
      <c r="BI102" s="166">
        <f t="shared" si="158"/>
        <v>0</v>
      </c>
      <c r="BJ102" s="147"/>
      <c r="BK102" s="166">
        <f t="shared" si="159"/>
        <v>0</v>
      </c>
      <c r="BL102" s="147"/>
      <c r="BM102" s="166">
        <f t="shared" si="160"/>
        <v>0</v>
      </c>
      <c r="BN102" s="50"/>
      <c r="BO102" s="170" t="e">
        <f t="shared" si="132"/>
        <v>#VALUE!</v>
      </c>
      <c r="BP102" s="87"/>
      <c r="BQ102" s="52"/>
    </row>
    <row r="103" spans="1:76" x14ac:dyDescent="0.35">
      <c r="A103" s="53"/>
      <c r="B103" s="54"/>
      <c r="C103" s="144"/>
      <c r="D103" s="189">
        <f>SUM(D91:D102)</f>
        <v>0</v>
      </c>
      <c r="E103" s="166" t="e">
        <f t="shared" ref="E103:BP103" si="161">SUM(E91:E102)</f>
        <v>#VALUE!</v>
      </c>
      <c r="F103" s="167">
        <f t="shared" si="161"/>
        <v>0</v>
      </c>
      <c r="G103" s="166">
        <f t="shared" si="161"/>
        <v>0</v>
      </c>
      <c r="H103" s="167">
        <f t="shared" si="161"/>
        <v>0</v>
      </c>
      <c r="I103" s="166">
        <f t="shared" si="161"/>
        <v>0</v>
      </c>
      <c r="J103" s="167">
        <f t="shared" si="161"/>
        <v>0</v>
      </c>
      <c r="K103" s="166">
        <f t="shared" si="161"/>
        <v>0</v>
      </c>
      <c r="L103" s="167">
        <f t="shared" si="161"/>
        <v>0</v>
      </c>
      <c r="M103" s="166">
        <f t="shared" si="161"/>
        <v>0</v>
      </c>
      <c r="N103" s="167">
        <f t="shared" si="161"/>
        <v>0</v>
      </c>
      <c r="O103" s="166">
        <f t="shared" si="161"/>
        <v>0</v>
      </c>
      <c r="P103" s="167">
        <f t="shared" si="161"/>
        <v>0</v>
      </c>
      <c r="Q103" s="166">
        <f t="shared" si="161"/>
        <v>0</v>
      </c>
      <c r="R103" s="167">
        <f t="shared" si="161"/>
        <v>0</v>
      </c>
      <c r="S103" s="166">
        <f t="shared" si="161"/>
        <v>0</v>
      </c>
      <c r="T103" s="167">
        <f t="shared" si="161"/>
        <v>0</v>
      </c>
      <c r="U103" s="166">
        <f t="shared" si="161"/>
        <v>0</v>
      </c>
      <c r="V103" s="167">
        <f t="shared" si="161"/>
        <v>0</v>
      </c>
      <c r="W103" s="166">
        <f t="shared" si="161"/>
        <v>0</v>
      </c>
      <c r="X103" s="167">
        <f t="shared" si="161"/>
        <v>0</v>
      </c>
      <c r="Y103" s="166">
        <f t="shared" si="161"/>
        <v>0</v>
      </c>
      <c r="Z103" s="167">
        <f t="shared" si="161"/>
        <v>0</v>
      </c>
      <c r="AA103" s="166">
        <f t="shared" si="161"/>
        <v>0</v>
      </c>
      <c r="AB103" s="167">
        <f t="shared" si="161"/>
        <v>0</v>
      </c>
      <c r="AC103" s="166">
        <f t="shared" si="161"/>
        <v>0</v>
      </c>
      <c r="AD103" s="167">
        <f t="shared" si="161"/>
        <v>0</v>
      </c>
      <c r="AE103" s="166">
        <f t="shared" si="161"/>
        <v>0</v>
      </c>
      <c r="AF103" s="167">
        <f t="shared" si="161"/>
        <v>0</v>
      </c>
      <c r="AG103" s="166">
        <f t="shared" si="161"/>
        <v>0</v>
      </c>
      <c r="AH103" s="167">
        <f t="shared" si="161"/>
        <v>0</v>
      </c>
      <c r="AI103" s="166">
        <f t="shared" si="161"/>
        <v>0</v>
      </c>
      <c r="AJ103" s="167">
        <f t="shared" si="161"/>
        <v>0</v>
      </c>
      <c r="AK103" s="166">
        <f t="shared" si="161"/>
        <v>0</v>
      </c>
      <c r="AL103" s="167">
        <f t="shared" si="161"/>
        <v>0</v>
      </c>
      <c r="AM103" s="166">
        <f t="shared" si="161"/>
        <v>0</v>
      </c>
      <c r="AN103" s="167">
        <f t="shared" si="161"/>
        <v>0</v>
      </c>
      <c r="AO103" s="166">
        <f t="shared" si="161"/>
        <v>0</v>
      </c>
      <c r="AP103" s="167">
        <f t="shared" si="161"/>
        <v>0</v>
      </c>
      <c r="AQ103" s="194">
        <f t="shared" si="161"/>
        <v>0</v>
      </c>
      <c r="AR103" s="167">
        <f t="shared" si="161"/>
        <v>0</v>
      </c>
      <c r="AS103" s="166">
        <f t="shared" si="161"/>
        <v>0</v>
      </c>
      <c r="AT103" s="167">
        <f t="shared" si="161"/>
        <v>0</v>
      </c>
      <c r="AU103" s="166">
        <f t="shared" si="161"/>
        <v>0</v>
      </c>
      <c r="AV103" s="167">
        <f t="shared" si="161"/>
        <v>0</v>
      </c>
      <c r="AW103" s="166">
        <f t="shared" si="161"/>
        <v>0</v>
      </c>
      <c r="AX103" s="167">
        <f t="shared" si="161"/>
        <v>0</v>
      </c>
      <c r="AY103" s="166">
        <f t="shared" si="161"/>
        <v>0</v>
      </c>
      <c r="AZ103" s="167">
        <f t="shared" si="161"/>
        <v>0</v>
      </c>
      <c r="BA103" s="166">
        <f t="shared" si="161"/>
        <v>0</v>
      </c>
      <c r="BB103" s="167">
        <f t="shared" si="161"/>
        <v>0</v>
      </c>
      <c r="BC103" s="166">
        <f t="shared" si="161"/>
        <v>0</v>
      </c>
      <c r="BD103" s="167">
        <f t="shared" si="161"/>
        <v>0</v>
      </c>
      <c r="BE103" s="166">
        <f t="shared" si="161"/>
        <v>0</v>
      </c>
      <c r="BF103" s="167">
        <f t="shared" si="161"/>
        <v>0</v>
      </c>
      <c r="BG103" s="166">
        <f t="shared" si="161"/>
        <v>0</v>
      </c>
      <c r="BH103" s="167">
        <f t="shared" si="161"/>
        <v>0</v>
      </c>
      <c r="BI103" s="166">
        <f t="shared" si="161"/>
        <v>0</v>
      </c>
      <c r="BJ103" s="167">
        <f t="shared" si="161"/>
        <v>0</v>
      </c>
      <c r="BK103" s="166">
        <f t="shared" si="161"/>
        <v>0</v>
      </c>
      <c r="BL103" s="167">
        <f t="shared" si="161"/>
        <v>0</v>
      </c>
      <c r="BM103" s="166">
        <f t="shared" si="161"/>
        <v>0</v>
      </c>
      <c r="BN103" s="50"/>
      <c r="BO103" s="170" t="e">
        <f t="shared" si="132"/>
        <v>#VALUE!</v>
      </c>
      <c r="BP103" s="173">
        <f t="shared" si="161"/>
        <v>0</v>
      </c>
      <c r="BQ103" s="52"/>
    </row>
    <row r="104" spans="1:76" x14ac:dyDescent="0.35">
      <c r="A104" s="53"/>
      <c r="B104" s="54"/>
      <c r="C104" s="144"/>
      <c r="D104" s="189">
        <f t="shared" si="98"/>
        <v>0</v>
      </c>
      <c r="E104" s="48"/>
      <c r="F104" s="167">
        <f t="shared" si="99"/>
        <v>0</v>
      </c>
      <c r="G104" s="48"/>
      <c r="H104" s="167">
        <f t="shared" si="100"/>
        <v>0</v>
      </c>
      <c r="I104" s="48"/>
      <c r="J104" s="167">
        <f t="shared" si="101"/>
        <v>0</v>
      </c>
      <c r="K104" s="48"/>
      <c r="L104" s="167">
        <f t="shared" ref="L104" si="162">+M104-K104</f>
        <v>0</v>
      </c>
      <c r="M104" s="48"/>
      <c r="N104" s="167">
        <f t="shared" ref="N104" si="163">+O104-M104</f>
        <v>0</v>
      </c>
      <c r="O104" s="48"/>
      <c r="P104" s="167">
        <f t="shared" ref="P104" si="164">+Q104-O104</f>
        <v>0</v>
      </c>
      <c r="Q104" s="48"/>
      <c r="R104" s="167">
        <f t="shared" ref="R104" si="165">+S104-Q104</f>
        <v>0</v>
      </c>
      <c r="S104" s="48"/>
      <c r="T104" s="167">
        <f t="shared" ref="T104" si="166">+U104-S104</f>
        <v>0</v>
      </c>
      <c r="U104" s="48"/>
      <c r="V104" s="167">
        <f t="shared" ref="V104" si="167">+W104-U104</f>
        <v>0</v>
      </c>
      <c r="W104" s="48"/>
      <c r="X104" s="167">
        <f t="shared" ref="X104" si="168">+Y104-W104</f>
        <v>0</v>
      </c>
      <c r="Y104" s="48"/>
      <c r="Z104" s="167">
        <f t="shared" ref="Z104" si="169">+AA104-Y104</f>
        <v>0</v>
      </c>
      <c r="AA104" s="48"/>
      <c r="AB104" s="167">
        <f t="shared" ref="AB104" si="170">+AC104-AA104</f>
        <v>0</v>
      </c>
      <c r="AC104" s="48"/>
      <c r="AD104" s="167">
        <f t="shared" ref="AD104" si="171">+AE104-AC104</f>
        <v>0</v>
      </c>
      <c r="AE104" s="48"/>
      <c r="AF104" s="167">
        <f t="shared" ref="AF104" si="172">+AG104-AE104</f>
        <v>0</v>
      </c>
      <c r="AG104" s="48"/>
      <c r="AH104" s="167">
        <f t="shared" ref="AH104" si="173">+AI104-AG104</f>
        <v>0</v>
      </c>
      <c r="AI104" s="48"/>
      <c r="AJ104" s="167">
        <f t="shared" ref="AJ104" si="174">+AK104-AI104</f>
        <v>0</v>
      </c>
      <c r="AK104" s="48"/>
      <c r="AL104" s="167">
        <f t="shared" ref="AL104" si="175">+AM104-AK104</f>
        <v>0</v>
      </c>
      <c r="AM104" s="48"/>
      <c r="AN104" s="167">
        <f t="shared" ref="AN104" si="176">+AO104-AM104</f>
        <v>0</v>
      </c>
      <c r="AO104" s="48"/>
      <c r="AP104" s="167">
        <f t="shared" ref="AP104" si="177">+AQ104-AO104</f>
        <v>0</v>
      </c>
      <c r="AQ104" s="48"/>
      <c r="AR104" s="167">
        <f t="shared" ref="AR104" si="178">+AS104-AQ104</f>
        <v>0</v>
      </c>
      <c r="AS104" s="48"/>
      <c r="AT104" s="167">
        <f t="shared" ref="AT104" si="179">+AU104-AS104</f>
        <v>0</v>
      </c>
      <c r="AU104" s="48"/>
      <c r="AV104" s="167">
        <f t="shared" ref="AV104" si="180">+AW104-AU104</f>
        <v>0</v>
      </c>
      <c r="AW104" s="48"/>
      <c r="AX104" s="167">
        <f t="shared" ref="AX104" si="181">+AY104-AW104</f>
        <v>0</v>
      </c>
      <c r="AY104" s="48"/>
      <c r="AZ104" s="167">
        <f t="shared" ref="AZ104" si="182">+BA104-AY104</f>
        <v>0</v>
      </c>
      <c r="BA104" s="48"/>
      <c r="BB104" s="167">
        <f t="shared" ref="BB104" si="183">+BC104-BA104</f>
        <v>0</v>
      </c>
      <c r="BC104" s="48"/>
      <c r="BD104" s="167">
        <f t="shared" ref="BD104" si="184">+BE104-BC104</f>
        <v>0</v>
      </c>
      <c r="BE104" s="48"/>
      <c r="BF104" s="167">
        <f t="shared" ref="BF104" si="185">+BG104-BE104</f>
        <v>0</v>
      </c>
      <c r="BG104" s="48"/>
      <c r="BH104" s="167">
        <f t="shared" ref="BH104" si="186">+BI104-BG104</f>
        <v>0</v>
      </c>
      <c r="BI104" s="48"/>
      <c r="BJ104" s="167">
        <f t="shared" ref="BJ104" si="187">+BK104-BI104</f>
        <v>0</v>
      </c>
      <c r="BK104" s="48"/>
      <c r="BL104" s="167">
        <f t="shared" ref="BL104" si="188">+BM104-BK104</f>
        <v>0</v>
      </c>
      <c r="BM104" s="48"/>
      <c r="BN104" s="50"/>
      <c r="BO104" s="51"/>
      <c r="BP104" s="173">
        <f t="shared" ref="BP104" si="189">+BQ104-BM104</f>
        <v>0</v>
      </c>
      <c r="BQ104" s="52"/>
    </row>
    <row r="105" spans="1:76" x14ac:dyDescent="0.35">
      <c r="A105" s="74"/>
      <c r="B105" s="75"/>
      <c r="C105" s="76"/>
      <c r="D105" s="77"/>
      <c r="E105" s="148"/>
      <c r="F105" s="79"/>
      <c r="G105" s="148"/>
      <c r="H105" s="79"/>
      <c r="I105" s="148"/>
      <c r="J105" s="79"/>
      <c r="K105" s="148"/>
      <c r="L105" s="79"/>
      <c r="M105" s="148"/>
      <c r="N105" s="79"/>
      <c r="O105" s="148"/>
      <c r="P105" s="79"/>
      <c r="Q105" s="148"/>
      <c r="R105" s="79"/>
      <c r="S105" s="148"/>
      <c r="T105" s="79"/>
      <c r="U105" s="148"/>
      <c r="V105" s="79"/>
      <c r="W105" s="148"/>
      <c r="X105" s="79"/>
      <c r="Y105" s="148"/>
      <c r="Z105" s="79"/>
      <c r="AA105" s="148"/>
      <c r="AB105" s="79"/>
      <c r="AC105" s="148"/>
      <c r="AD105" s="79"/>
      <c r="AE105" s="148"/>
      <c r="AF105" s="79"/>
      <c r="AG105" s="148"/>
      <c r="AH105" s="79"/>
      <c r="AI105" s="148"/>
      <c r="AJ105" s="79"/>
      <c r="AK105" s="148"/>
      <c r="AL105" s="79"/>
      <c r="AM105" s="148"/>
      <c r="AN105" s="79"/>
      <c r="AO105" s="148"/>
      <c r="AP105" s="79"/>
      <c r="AQ105" s="148"/>
      <c r="AR105" s="79"/>
      <c r="AS105" s="148"/>
      <c r="AT105" s="79"/>
      <c r="AU105" s="148"/>
      <c r="AV105" s="79"/>
      <c r="AW105" s="148"/>
      <c r="AX105" s="79"/>
      <c r="AY105" s="148"/>
      <c r="AZ105" s="79"/>
      <c r="BA105" s="148"/>
      <c r="BB105" s="79"/>
      <c r="BC105" s="148"/>
      <c r="BD105" s="79"/>
      <c r="BE105" s="148"/>
      <c r="BF105" s="79"/>
      <c r="BG105" s="148"/>
      <c r="BH105" s="79"/>
      <c r="BI105" s="148"/>
      <c r="BJ105" s="79"/>
      <c r="BK105" s="148"/>
      <c r="BL105" s="79"/>
      <c r="BM105" s="148"/>
      <c r="BN105" s="80"/>
      <c r="BO105" s="81"/>
      <c r="BP105" s="79"/>
      <c r="BQ105" s="82"/>
    </row>
    <row r="106" spans="1:76" x14ac:dyDescent="0.35">
      <c r="A106" s="53" t="s">
        <v>32</v>
      </c>
      <c r="B106" s="54"/>
      <c r="C106" s="67"/>
      <c r="D106" s="68"/>
      <c r="E106" s="69"/>
      <c r="F106" s="70"/>
      <c r="G106" s="69"/>
      <c r="H106" s="70"/>
      <c r="I106" s="69"/>
      <c r="J106" s="70"/>
      <c r="K106" s="69"/>
      <c r="L106" s="70"/>
      <c r="M106" s="69"/>
      <c r="N106" s="70"/>
      <c r="O106" s="69"/>
      <c r="P106" s="70"/>
      <c r="Q106" s="69"/>
      <c r="R106" s="70"/>
      <c r="S106" s="69"/>
      <c r="T106" s="70"/>
      <c r="U106" s="69"/>
      <c r="V106" s="70"/>
      <c r="W106" s="69"/>
      <c r="X106" s="70"/>
      <c r="Y106" s="69"/>
      <c r="Z106" s="70"/>
      <c r="AA106" s="69"/>
      <c r="AB106" s="70"/>
      <c r="AC106" s="69"/>
      <c r="AD106" s="70"/>
      <c r="AE106" s="69"/>
      <c r="AF106" s="70"/>
      <c r="AG106" s="69"/>
      <c r="AH106" s="70"/>
      <c r="AI106" s="69"/>
      <c r="AJ106" s="70"/>
      <c r="AK106" s="69"/>
      <c r="AL106" s="70"/>
      <c r="AM106" s="69"/>
      <c r="AN106" s="70"/>
      <c r="AO106" s="69"/>
      <c r="AP106" s="70"/>
      <c r="AQ106" s="69"/>
      <c r="AR106" s="70"/>
      <c r="AS106" s="69"/>
      <c r="AT106" s="70"/>
      <c r="AU106" s="69"/>
      <c r="AV106" s="70"/>
      <c r="AW106" s="69"/>
      <c r="AX106" s="70"/>
      <c r="AY106" s="69"/>
      <c r="AZ106" s="70"/>
      <c r="BA106" s="69"/>
      <c r="BB106" s="70"/>
      <c r="BC106" s="69"/>
      <c r="BD106" s="70"/>
      <c r="BE106" s="69"/>
      <c r="BF106" s="70"/>
      <c r="BG106" s="69"/>
      <c r="BH106" s="70"/>
      <c r="BI106" s="69"/>
      <c r="BJ106" s="70"/>
      <c r="BK106" s="69"/>
      <c r="BL106" s="70"/>
      <c r="BM106" s="69"/>
      <c r="BN106" s="71"/>
      <c r="BO106" s="182" t="str">
        <f t="shared" ref="BO106:BO120" si="190">IF(COUNT(E106,G106,I106,K106,M106,O106,Q106,S106,U106,W106,Y106,AA106,AC106,AE106,AG106,AI106,AK106,AM106,AO106,AQ106,AS106,AU106,AW106,AY106,BA106,BC106,BE106,BG106,BI106,BK106,BM106)=0,"",SUM(E106,G106,I106,K106,M106,O106,Q106,S106,U106,W106,Y106,AA106,AC106,AE106,AG106,AI106,AK106,AM106,AO106,AQ106,AS106,AU106,AW106,AY106,BA106,BC106,BE106,BG106,BI106,BK106,BM106))</f>
        <v/>
      </c>
      <c r="BP106" s="70"/>
      <c r="BQ106" s="73"/>
    </row>
    <row r="107" spans="1:76" x14ac:dyDescent="0.35">
      <c r="A107" s="53" t="s">
        <v>33</v>
      </c>
      <c r="B107" s="54"/>
      <c r="C107" s="67"/>
      <c r="D107" s="68"/>
      <c r="E107" s="69"/>
      <c r="F107" s="70"/>
      <c r="G107" s="69"/>
      <c r="H107" s="70"/>
      <c r="I107" s="69"/>
      <c r="J107" s="70"/>
      <c r="K107" s="69"/>
      <c r="L107" s="70"/>
      <c r="M107" s="69"/>
      <c r="N107" s="70"/>
      <c r="O107" s="69"/>
      <c r="P107" s="70"/>
      <c r="Q107" s="69"/>
      <c r="R107" s="70"/>
      <c r="S107" s="69"/>
      <c r="T107" s="70"/>
      <c r="U107" s="69"/>
      <c r="V107" s="70"/>
      <c r="W107" s="69"/>
      <c r="X107" s="70"/>
      <c r="Y107" s="69"/>
      <c r="Z107" s="70"/>
      <c r="AA107" s="69"/>
      <c r="AB107" s="70"/>
      <c r="AC107" s="69"/>
      <c r="AD107" s="70"/>
      <c r="AE107" s="69"/>
      <c r="AF107" s="70"/>
      <c r="AG107" s="69"/>
      <c r="AH107" s="70"/>
      <c r="AI107" s="69"/>
      <c r="AJ107" s="70"/>
      <c r="AK107" s="69"/>
      <c r="AL107" s="70"/>
      <c r="AM107" s="69"/>
      <c r="AN107" s="70"/>
      <c r="AO107" s="69"/>
      <c r="AP107" s="70"/>
      <c r="AQ107" s="69"/>
      <c r="AR107" s="70"/>
      <c r="AS107" s="69"/>
      <c r="AT107" s="70"/>
      <c r="AU107" s="69"/>
      <c r="AV107" s="70"/>
      <c r="AW107" s="69"/>
      <c r="AX107" s="70"/>
      <c r="AY107" s="69"/>
      <c r="AZ107" s="70"/>
      <c r="BA107" s="69"/>
      <c r="BB107" s="70"/>
      <c r="BC107" s="69"/>
      <c r="BD107" s="70"/>
      <c r="BE107" s="69"/>
      <c r="BF107" s="70"/>
      <c r="BG107" s="69"/>
      <c r="BH107" s="70"/>
      <c r="BI107" s="69"/>
      <c r="BJ107" s="70"/>
      <c r="BK107" s="69"/>
      <c r="BL107" s="70"/>
      <c r="BM107" s="69"/>
      <c r="BN107" s="71"/>
      <c r="BO107" s="182" t="str">
        <f t="shared" si="190"/>
        <v/>
      </c>
      <c r="BP107" s="70"/>
      <c r="BQ107" s="73"/>
    </row>
    <row r="108" spans="1:76" x14ac:dyDescent="0.35">
      <c r="A108" s="53" t="s">
        <v>33</v>
      </c>
      <c r="B108" s="54"/>
      <c r="C108" s="67"/>
      <c r="D108" s="68"/>
      <c r="E108" s="69"/>
      <c r="F108" s="70"/>
      <c r="G108" s="69"/>
      <c r="H108" s="70"/>
      <c r="I108" s="69"/>
      <c r="J108" s="70"/>
      <c r="K108" s="69"/>
      <c r="L108" s="70"/>
      <c r="M108" s="69"/>
      <c r="N108" s="70"/>
      <c r="O108" s="69"/>
      <c r="P108" s="70"/>
      <c r="Q108" s="69"/>
      <c r="R108" s="70"/>
      <c r="S108" s="69"/>
      <c r="T108" s="70"/>
      <c r="U108" s="69"/>
      <c r="V108" s="70"/>
      <c r="W108" s="69"/>
      <c r="X108" s="70"/>
      <c r="Y108" s="69"/>
      <c r="Z108" s="70"/>
      <c r="AA108" s="69"/>
      <c r="AB108" s="70"/>
      <c r="AC108" s="69"/>
      <c r="AD108" s="70"/>
      <c r="AE108" s="69"/>
      <c r="AF108" s="70"/>
      <c r="AG108" s="69"/>
      <c r="AH108" s="70"/>
      <c r="AI108" s="69"/>
      <c r="AJ108" s="70"/>
      <c r="AK108" s="69"/>
      <c r="AL108" s="70"/>
      <c r="AM108" s="69"/>
      <c r="AN108" s="70"/>
      <c r="AO108" s="69"/>
      <c r="AP108" s="70"/>
      <c r="AQ108" s="69"/>
      <c r="AR108" s="70"/>
      <c r="AS108" s="69"/>
      <c r="AT108" s="70"/>
      <c r="AU108" s="69"/>
      <c r="AV108" s="70"/>
      <c r="AW108" s="69"/>
      <c r="AX108" s="70"/>
      <c r="AY108" s="69"/>
      <c r="AZ108" s="70"/>
      <c r="BA108" s="69"/>
      <c r="BB108" s="70"/>
      <c r="BC108" s="69"/>
      <c r="BD108" s="70"/>
      <c r="BE108" s="69"/>
      <c r="BF108" s="70"/>
      <c r="BG108" s="69"/>
      <c r="BH108" s="70"/>
      <c r="BI108" s="69"/>
      <c r="BJ108" s="70"/>
      <c r="BK108" s="69"/>
      <c r="BL108" s="70"/>
      <c r="BM108" s="69"/>
      <c r="BN108" s="71"/>
      <c r="BO108" s="182" t="str">
        <f t="shared" si="190"/>
        <v/>
      </c>
      <c r="BP108" s="70"/>
      <c r="BQ108" s="73"/>
    </row>
    <row r="109" spans="1:76" x14ac:dyDescent="0.35">
      <c r="A109" s="53" t="s">
        <v>34</v>
      </c>
      <c r="B109" s="54"/>
      <c r="C109" s="67"/>
      <c r="D109" s="68"/>
      <c r="E109" s="69"/>
      <c r="F109" s="70"/>
      <c r="G109" s="69"/>
      <c r="H109" s="70"/>
      <c r="I109" s="69"/>
      <c r="J109" s="70"/>
      <c r="K109" s="69"/>
      <c r="L109" s="70"/>
      <c r="M109" s="69"/>
      <c r="N109" s="70"/>
      <c r="O109" s="69"/>
      <c r="P109" s="70"/>
      <c r="Q109" s="69"/>
      <c r="R109" s="70"/>
      <c r="S109" s="69"/>
      <c r="T109" s="70"/>
      <c r="U109" s="69"/>
      <c r="V109" s="70"/>
      <c r="W109" s="69"/>
      <c r="X109" s="70"/>
      <c r="Y109" s="69"/>
      <c r="Z109" s="70"/>
      <c r="AA109" s="69"/>
      <c r="AB109" s="70"/>
      <c r="AC109" s="69"/>
      <c r="AD109" s="70"/>
      <c r="AE109" s="69"/>
      <c r="AF109" s="70"/>
      <c r="AG109" s="69"/>
      <c r="AH109" s="70"/>
      <c r="AI109" s="69"/>
      <c r="AJ109" s="70"/>
      <c r="AK109" s="69"/>
      <c r="AL109" s="70"/>
      <c r="AM109" s="69"/>
      <c r="AN109" s="70"/>
      <c r="AO109" s="69"/>
      <c r="AP109" s="70"/>
      <c r="AQ109" s="69"/>
      <c r="AR109" s="70"/>
      <c r="AS109" s="69"/>
      <c r="AT109" s="70"/>
      <c r="AU109" s="69"/>
      <c r="AV109" s="70"/>
      <c r="AW109" s="69"/>
      <c r="AX109" s="70"/>
      <c r="AY109" s="69"/>
      <c r="AZ109" s="70"/>
      <c r="BA109" s="69"/>
      <c r="BB109" s="70"/>
      <c r="BC109" s="69"/>
      <c r="BD109" s="70"/>
      <c r="BE109" s="69"/>
      <c r="BF109" s="70"/>
      <c r="BG109" s="69"/>
      <c r="BH109" s="70"/>
      <c r="BI109" s="69"/>
      <c r="BJ109" s="70"/>
      <c r="BK109" s="69"/>
      <c r="BL109" s="70"/>
      <c r="BM109" s="69"/>
      <c r="BN109" s="71"/>
      <c r="BO109" s="182" t="str">
        <f t="shared" si="190"/>
        <v/>
      </c>
      <c r="BP109" s="70"/>
      <c r="BQ109" s="73"/>
    </row>
    <row r="110" spans="1:76" x14ac:dyDescent="0.35">
      <c r="A110" s="53" t="s">
        <v>34</v>
      </c>
      <c r="B110" s="54"/>
      <c r="C110" s="67"/>
      <c r="D110" s="68"/>
      <c r="E110" s="69"/>
      <c r="F110" s="70"/>
      <c r="G110" s="69"/>
      <c r="H110" s="70"/>
      <c r="I110" s="69"/>
      <c r="J110" s="70"/>
      <c r="K110" s="69"/>
      <c r="L110" s="70"/>
      <c r="M110" s="69"/>
      <c r="N110" s="70"/>
      <c r="O110" s="69"/>
      <c r="P110" s="70"/>
      <c r="Q110" s="69"/>
      <c r="R110" s="70"/>
      <c r="S110" s="69"/>
      <c r="T110" s="70"/>
      <c r="U110" s="69"/>
      <c r="V110" s="70"/>
      <c r="W110" s="69"/>
      <c r="X110" s="70"/>
      <c r="Y110" s="69"/>
      <c r="Z110" s="70"/>
      <c r="AA110" s="69"/>
      <c r="AB110" s="70"/>
      <c r="AC110" s="69"/>
      <c r="AD110" s="70"/>
      <c r="AE110" s="69"/>
      <c r="AF110" s="70"/>
      <c r="AG110" s="69"/>
      <c r="AH110" s="70"/>
      <c r="AI110" s="69"/>
      <c r="AJ110" s="70"/>
      <c r="AK110" s="69"/>
      <c r="AL110" s="70"/>
      <c r="AM110" s="69"/>
      <c r="AN110" s="70"/>
      <c r="AO110" s="69"/>
      <c r="AP110" s="70"/>
      <c r="AQ110" s="69"/>
      <c r="AR110" s="70"/>
      <c r="AS110" s="69"/>
      <c r="AT110" s="70"/>
      <c r="AU110" s="69"/>
      <c r="AV110" s="70"/>
      <c r="AW110" s="69"/>
      <c r="AX110" s="70"/>
      <c r="AY110" s="69"/>
      <c r="AZ110" s="70"/>
      <c r="BA110" s="69"/>
      <c r="BB110" s="70"/>
      <c r="BC110" s="69"/>
      <c r="BD110" s="70"/>
      <c r="BE110" s="69"/>
      <c r="BF110" s="70"/>
      <c r="BG110" s="69"/>
      <c r="BH110" s="70"/>
      <c r="BI110" s="69"/>
      <c r="BJ110" s="70"/>
      <c r="BK110" s="69"/>
      <c r="BL110" s="70"/>
      <c r="BM110" s="69"/>
      <c r="BN110" s="71"/>
      <c r="BO110" s="182" t="str">
        <f t="shared" si="190"/>
        <v/>
      </c>
      <c r="BP110" s="70"/>
      <c r="BQ110" s="73"/>
    </row>
    <row r="111" spans="1:76" s="6" customFormat="1" x14ac:dyDescent="0.35">
      <c r="A111" s="149" t="s">
        <v>71</v>
      </c>
      <c r="B111" s="150"/>
      <c r="C111" s="67"/>
      <c r="D111" s="151"/>
      <c r="E111" s="69"/>
      <c r="F111" s="152"/>
      <c r="G111" s="69"/>
      <c r="H111" s="152"/>
      <c r="I111" s="69"/>
      <c r="J111" s="152"/>
      <c r="K111" s="69"/>
      <c r="L111" s="152"/>
      <c r="M111" s="69"/>
      <c r="N111" s="152"/>
      <c r="O111" s="69"/>
      <c r="P111" s="152"/>
      <c r="Q111" s="69"/>
      <c r="R111" s="152"/>
      <c r="S111" s="69"/>
      <c r="T111" s="152"/>
      <c r="U111" s="69"/>
      <c r="V111" s="152"/>
      <c r="W111" s="69"/>
      <c r="X111" s="152"/>
      <c r="Y111" s="69"/>
      <c r="Z111" s="152"/>
      <c r="AA111" s="69"/>
      <c r="AB111" s="152"/>
      <c r="AC111" s="69"/>
      <c r="AD111" s="152"/>
      <c r="AE111" s="69"/>
      <c r="AF111" s="152"/>
      <c r="AG111" s="69"/>
      <c r="AH111" s="152"/>
      <c r="AI111" s="69"/>
      <c r="AJ111" s="152"/>
      <c r="AK111" s="69"/>
      <c r="AL111" s="152"/>
      <c r="AM111" s="69"/>
      <c r="AN111" s="152"/>
      <c r="AO111" s="69"/>
      <c r="AP111" s="152"/>
      <c r="AQ111" s="69"/>
      <c r="AR111" s="152"/>
      <c r="AS111" s="69"/>
      <c r="AT111" s="152"/>
      <c r="AU111" s="69"/>
      <c r="AV111" s="152"/>
      <c r="AW111" s="69"/>
      <c r="AX111" s="152"/>
      <c r="AY111" s="69"/>
      <c r="AZ111" s="152"/>
      <c r="BA111" s="69"/>
      <c r="BB111" s="152"/>
      <c r="BC111" s="69"/>
      <c r="BD111" s="152"/>
      <c r="BE111" s="69"/>
      <c r="BF111" s="152"/>
      <c r="BG111" s="69"/>
      <c r="BH111" s="152"/>
      <c r="BI111" s="69"/>
      <c r="BJ111" s="152"/>
      <c r="BK111" s="69"/>
      <c r="BL111" s="152"/>
      <c r="BM111" s="69"/>
      <c r="BN111" s="71"/>
      <c r="BO111" s="182" t="str">
        <f t="shared" si="190"/>
        <v/>
      </c>
      <c r="BP111" s="152"/>
      <c r="BQ111" s="73"/>
      <c r="BR111"/>
      <c r="BS111"/>
      <c r="BT111"/>
      <c r="BU111"/>
      <c r="BV111"/>
      <c r="BW111"/>
      <c r="BX111"/>
    </row>
    <row r="112" spans="1:76" x14ac:dyDescent="0.35">
      <c r="A112" s="53" t="s">
        <v>72</v>
      </c>
      <c r="B112" s="54"/>
      <c r="C112" s="67"/>
      <c r="D112" s="68"/>
      <c r="E112" s="69"/>
      <c r="F112" s="70"/>
      <c r="G112" s="69"/>
      <c r="H112" s="70"/>
      <c r="I112" s="69"/>
      <c r="J112" s="70"/>
      <c r="K112" s="69"/>
      <c r="L112" s="70"/>
      <c r="M112" s="69"/>
      <c r="N112" s="70"/>
      <c r="O112" s="69"/>
      <c r="P112" s="70"/>
      <c r="Q112" s="69"/>
      <c r="R112" s="70"/>
      <c r="S112" s="69"/>
      <c r="T112" s="70"/>
      <c r="U112" s="69"/>
      <c r="V112" s="70"/>
      <c r="W112" s="69"/>
      <c r="X112" s="70"/>
      <c r="Y112" s="69"/>
      <c r="Z112" s="70"/>
      <c r="AA112" s="69"/>
      <c r="AB112" s="70"/>
      <c r="AC112" s="69"/>
      <c r="AD112" s="70"/>
      <c r="AE112" s="69"/>
      <c r="AF112" s="70"/>
      <c r="AG112" s="69"/>
      <c r="AH112" s="70"/>
      <c r="AI112" s="69"/>
      <c r="AJ112" s="70"/>
      <c r="AK112" s="69"/>
      <c r="AL112" s="70"/>
      <c r="AM112" s="69"/>
      <c r="AN112" s="70"/>
      <c r="AO112" s="69"/>
      <c r="AP112" s="70"/>
      <c r="AQ112" s="69"/>
      <c r="AR112" s="70"/>
      <c r="AS112" s="69"/>
      <c r="AT112" s="70"/>
      <c r="AU112" s="69"/>
      <c r="AV112" s="70"/>
      <c r="AW112" s="69"/>
      <c r="AX112" s="70"/>
      <c r="AY112" s="69"/>
      <c r="AZ112" s="70"/>
      <c r="BA112" s="69"/>
      <c r="BB112" s="70"/>
      <c r="BC112" s="69"/>
      <c r="BD112" s="70"/>
      <c r="BE112" s="69"/>
      <c r="BF112" s="70"/>
      <c r="BG112" s="69"/>
      <c r="BH112" s="70"/>
      <c r="BI112" s="69"/>
      <c r="BJ112" s="70"/>
      <c r="BK112" s="69"/>
      <c r="BL112" s="70"/>
      <c r="BM112" s="69"/>
      <c r="BN112" s="71"/>
      <c r="BO112" s="182" t="str">
        <f t="shared" si="190"/>
        <v/>
      </c>
      <c r="BP112" s="70"/>
      <c r="BQ112" s="73"/>
    </row>
    <row r="113" spans="1:69" x14ac:dyDescent="0.35">
      <c r="A113" s="53" t="s">
        <v>73</v>
      </c>
      <c r="B113" s="54"/>
      <c r="C113" s="67"/>
      <c r="D113" s="68"/>
      <c r="E113" s="69"/>
      <c r="F113" s="70"/>
      <c r="G113" s="69"/>
      <c r="H113" s="70"/>
      <c r="I113" s="69"/>
      <c r="J113" s="70"/>
      <c r="K113" s="69"/>
      <c r="L113" s="70"/>
      <c r="M113" s="69"/>
      <c r="N113" s="70"/>
      <c r="O113" s="69"/>
      <c r="P113" s="70"/>
      <c r="Q113" s="69"/>
      <c r="R113" s="70"/>
      <c r="S113" s="69"/>
      <c r="T113" s="70"/>
      <c r="U113" s="69"/>
      <c r="V113" s="70"/>
      <c r="W113" s="69"/>
      <c r="X113" s="70"/>
      <c r="Y113" s="69"/>
      <c r="Z113" s="70"/>
      <c r="AA113" s="69"/>
      <c r="AB113" s="70"/>
      <c r="AC113" s="69"/>
      <c r="AD113" s="70"/>
      <c r="AE113" s="69"/>
      <c r="AF113" s="70"/>
      <c r="AG113" s="69"/>
      <c r="AH113" s="70"/>
      <c r="AI113" s="69"/>
      <c r="AJ113" s="70"/>
      <c r="AK113" s="69"/>
      <c r="AL113" s="70"/>
      <c r="AM113" s="69"/>
      <c r="AN113" s="70"/>
      <c r="AO113" s="69"/>
      <c r="AP113" s="70"/>
      <c r="AQ113" s="69"/>
      <c r="AR113" s="70"/>
      <c r="AS113" s="69"/>
      <c r="AT113" s="70"/>
      <c r="AU113" s="69"/>
      <c r="AV113" s="70"/>
      <c r="AW113" s="69"/>
      <c r="AX113" s="70"/>
      <c r="AY113" s="69"/>
      <c r="AZ113" s="70"/>
      <c r="BA113" s="69"/>
      <c r="BB113" s="70"/>
      <c r="BC113" s="69"/>
      <c r="BD113" s="70"/>
      <c r="BE113" s="69"/>
      <c r="BF113" s="70"/>
      <c r="BG113" s="69"/>
      <c r="BH113" s="70"/>
      <c r="BI113" s="69"/>
      <c r="BJ113" s="70"/>
      <c r="BK113" s="69"/>
      <c r="BL113" s="70"/>
      <c r="BM113" s="69"/>
      <c r="BN113" s="71"/>
      <c r="BO113" s="182" t="str">
        <f t="shared" si="190"/>
        <v/>
      </c>
      <c r="BP113" s="70"/>
      <c r="BQ113" s="73"/>
    </row>
    <row r="114" spans="1:69" x14ac:dyDescent="0.35">
      <c r="A114" s="53" t="s">
        <v>70</v>
      </c>
      <c r="B114" s="54"/>
      <c r="C114" s="67"/>
      <c r="D114" s="68"/>
      <c r="E114" s="69"/>
      <c r="F114" s="70"/>
      <c r="G114" s="69"/>
      <c r="H114" s="70"/>
      <c r="I114" s="69"/>
      <c r="J114" s="70"/>
      <c r="K114" s="69"/>
      <c r="L114" s="70"/>
      <c r="M114" s="69"/>
      <c r="N114" s="70"/>
      <c r="O114" s="69"/>
      <c r="P114" s="70"/>
      <c r="Q114" s="69"/>
      <c r="R114" s="70"/>
      <c r="S114" s="69"/>
      <c r="T114" s="70"/>
      <c r="U114" s="69"/>
      <c r="V114" s="70"/>
      <c r="W114" s="69"/>
      <c r="X114" s="70"/>
      <c r="Y114" s="69"/>
      <c r="Z114" s="70"/>
      <c r="AA114" s="69"/>
      <c r="AB114" s="70"/>
      <c r="AC114" s="69"/>
      <c r="AD114" s="70"/>
      <c r="AE114" s="69"/>
      <c r="AF114" s="70"/>
      <c r="AG114" s="69"/>
      <c r="AH114" s="70"/>
      <c r="AI114" s="69"/>
      <c r="AJ114" s="70"/>
      <c r="AK114" s="69"/>
      <c r="AL114" s="70"/>
      <c r="AM114" s="69"/>
      <c r="AN114" s="70"/>
      <c r="AO114" s="69"/>
      <c r="AP114" s="70"/>
      <c r="AQ114" s="69"/>
      <c r="AR114" s="70"/>
      <c r="AS114" s="69"/>
      <c r="AT114" s="70"/>
      <c r="AU114" s="69"/>
      <c r="AV114" s="70"/>
      <c r="AW114" s="69"/>
      <c r="AX114" s="70"/>
      <c r="AY114" s="69"/>
      <c r="AZ114" s="70"/>
      <c r="BA114" s="69"/>
      <c r="BB114" s="70"/>
      <c r="BC114" s="69"/>
      <c r="BD114" s="70"/>
      <c r="BE114" s="69"/>
      <c r="BF114" s="70"/>
      <c r="BG114" s="69"/>
      <c r="BH114" s="70"/>
      <c r="BI114" s="69"/>
      <c r="BJ114" s="70"/>
      <c r="BK114" s="69"/>
      <c r="BL114" s="70"/>
      <c r="BM114" s="69"/>
      <c r="BN114" s="71"/>
      <c r="BO114" s="182" t="str">
        <f t="shared" si="190"/>
        <v/>
      </c>
      <c r="BP114" s="70"/>
      <c r="BQ114" s="73"/>
    </row>
    <row r="115" spans="1:69" x14ac:dyDescent="0.35">
      <c r="A115" s="53" t="s">
        <v>27</v>
      </c>
      <c r="B115" s="54"/>
      <c r="C115" s="67"/>
      <c r="D115" s="68"/>
      <c r="E115" s="69"/>
      <c r="F115" s="70"/>
      <c r="G115" s="69"/>
      <c r="H115" s="70"/>
      <c r="I115" s="69"/>
      <c r="J115" s="70"/>
      <c r="K115" s="69"/>
      <c r="L115" s="70"/>
      <c r="M115" s="69"/>
      <c r="N115" s="70"/>
      <c r="O115" s="69"/>
      <c r="P115" s="70"/>
      <c r="Q115" s="69"/>
      <c r="R115" s="70"/>
      <c r="S115" s="69"/>
      <c r="T115" s="70"/>
      <c r="U115" s="69"/>
      <c r="V115" s="70"/>
      <c r="W115" s="69"/>
      <c r="X115" s="70"/>
      <c r="Y115" s="69"/>
      <c r="Z115" s="70"/>
      <c r="AA115" s="69"/>
      <c r="AB115" s="70"/>
      <c r="AC115" s="69"/>
      <c r="AD115" s="70"/>
      <c r="AE115" s="69"/>
      <c r="AF115" s="70"/>
      <c r="AG115" s="69"/>
      <c r="AH115" s="70"/>
      <c r="AI115" s="69"/>
      <c r="AJ115" s="70"/>
      <c r="AK115" s="69"/>
      <c r="AL115" s="70"/>
      <c r="AM115" s="69"/>
      <c r="AN115" s="70"/>
      <c r="AO115" s="69"/>
      <c r="AP115" s="70"/>
      <c r="AQ115" s="69"/>
      <c r="AR115" s="70"/>
      <c r="AS115" s="69"/>
      <c r="AT115" s="70"/>
      <c r="AU115" s="69"/>
      <c r="AV115" s="70"/>
      <c r="AW115" s="69"/>
      <c r="AX115" s="70"/>
      <c r="AY115" s="69"/>
      <c r="AZ115" s="70"/>
      <c r="BA115" s="69"/>
      <c r="BB115" s="70"/>
      <c r="BC115" s="69"/>
      <c r="BD115" s="70"/>
      <c r="BE115" s="69"/>
      <c r="BF115" s="70"/>
      <c r="BG115" s="69"/>
      <c r="BH115" s="70"/>
      <c r="BI115" s="69"/>
      <c r="BJ115" s="70"/>
      <c r="BK115" s="69"/>
      <c r="BL115" s="70"/>
      <c r="BM115" s="69"/>
      <c r="BN115" s="71"/>
      <c r="BO115" s="182" t="str">
        <f t="shared" si="190"/>
        <v/>
      </c>
      <c r="BP115" s="70"/>
      <c r="BQ115" s="73"/>
    </row>
    <row r="116" spans="1:69" x14ac:dyDescent="0.35">
      <c r="A116" s="53" t="s">
        <v>28</v>
      </c>
      <c r="B116" s="54"/>
      <c r="C116" s="67"/>
      <c r="D116" s="68"/>
      <c r="E116" s="69"/>
      <c r="F116" s="70"/>
      <c r="G116" s="69"/>
      <c r="H116" s="70"/>
      <c r="I116" s="69"/>
      <c r="J116" s="70"/>
      <c r="K116" s="69"/>
      <c r="L116" s="70"/>
      <c r="M116" s="69"/>
      <c r="N116" s="70"/>
      <c r="O116" s="69"/>
      <c r="P116" s="70"/>
      <c r="Q116" s="69"/>
      <c r="R116" s="70"/>
      <c r="S116" s="69"/>
      <c r="T116" s="70"/>
      <c r="U116" s="69"/>
      <c r="V116" s="70"/>
      <c r="W116" s="69"/>
      <c r="X116" s="70"/>
      <c r="Y116" s="69"/>
      <c r="Z116" s="70"/>
      <c r="AA116" s="69"/>
      <c r="AB116" s="70"/>
      <c r="AC116" s="69"/>
      <c r="AD116" s="70"/>
      <c r="AE116" s="69"/>
      <c r="AF116" s="70"/>
      <c r="AG116" s="69"/>
      <c r="AH116" s="70"/>
      <c r="AI116" s="69"/>
      <c r="AJ116" s="70"/>
      <c r="AK116" s="69"/>
      <c r="AL116" s="70"/>
      <c r="AM116" s="69"/>
      <c r="AN116" s="70"/>
      <c r="AO116" s="69"/>
      <c r="AP116" s="70"/>
      <c r="AQ116" s="69"/>
      <c r="AR116" s="70"/>
      <c r="AS116" s="69"/>
      <c r="AT116" s="70"/>
      <c r="AU116" s="69"/>
      <c r="AV116" s="70"/>
      <c r="AW116" s="69"/>
      <c r="AX116" s="70"/>
      <c r="AY116" s="69"/>
      <c r="AZ116" s="70"/>
      <c r="BA116" s="69"/>
      <c r="BB116" s="70"/>
      <c r="BC116" s="69"/>
      <c r="BD116" s="70"/>
      <c r="BE116" s="69"/>
      <c r="BF116" s="70"/>
      <c r="BG116" s="69"/>
      <c r="BH116" s="70"/>
      <c r="BI116" s="69"/>
      <c r="BJ116" s="70"/>
      <c r="BK116" s="69"/>
      <c r="BL116" s="70"/>
      <c r="BM116" s="69"/>
      <c r="BN116" s="71"/>
      <c r="BO116" s="182" t="str">
        <f t="shared" si="190"/>
        <v/>
      </c>
      <c r="BP116" s="70"/>
      <c r="BQ116" s="73"/>
    </row>
    <row r="117" spans="1:69" x14ac:dyDescent="0.35">
      <c r="A117" s="53" t="s">
        <v>29</v>
      </c>
      <c r="B117" s="54"/>
      <c r="C117" s="67"/>
      <c r="D117" s="68"/>
      <c r="E117" s="69"/>
      <c r="F117" s="70"/>
      <c r="G117" s="69"/>
      <c r="H117" s="70"/>
      <c r="I117" s="69"/>
      <c r="J117" s="70"/>
      <c r="K117" s="69"/>
      <c r="L117" s="70"/>
      <c r="M117" s="69"/>
      <c r="N117" s="70"/>
      <c r="O117" s="69"/>
      <c r="P117" s="70"/>
      <c r="Q117" s="69"/>
      <c r="R117" s="70"/>
      <c r="S117" s="69"/>
      <c r="T117" s="70"/>
      <c r="U117" s="69"/>
      <c r="V117" s="70"/>
      <c r="W117" s="69"/>
      <c r="X117" s="70"/>
      <c r="Y117" s="69"/>
      <c r="Z117" s="70"/>
      <c r="AA117" s="69"/>
      <c r="AB117" s="70"/>
      <c r="AC117" s="69"/>
      <c r="AD117" s="70"/>
      <c r="AE117" s="69"/>
      <c r="AF117" s="70"/>
      <c r="AG117" s="69"/>
      <c r="AH117" s="70"/>
      <c r="AI117" s="69"/>
      <c r="AJ117" s="70"/>
      <c r="AK117" s="69"/>
      <c r="AL117" s="70"/>
      <c r="AM117" s="69"/>
      <c r="AN117" s="70"/>
      <c r="AO117" s="69"/>
      <c r="AP117" s="70"/>
      <c r="AQ117" s="69"/>
      <c r="AR117" s="70"/>
      <c r="AS117" s="69"/>
      <c r="AT117" s="70"/>
      <c r="AU117" s="69"/>
      <c r="AV117" s="70"/>
      <c r="AW117" s="69"/>
      <c r="AX117" s="70"/>
      <c r="AY117" s="69"/>
      <c r="AZ117" s="70"/>
      <c r="BA117" s="69"/>
      <c r="BB117" s="70"/>
      <c r="BC117" s="69"/>
      <c r="BD117" s="70"/>
      <c r="BE117" s="69"/>
      <c r="BF117" s="70"/>
      <c r="BG117" s="69"/>
      <c r="BH117" s="70"/>
      <c r="BI117" s="69"/>
      <c r="BJ117" s="70"/>
      <c r="BK117" s="69"/>
      <c r="BL117" s="70"/>
      <c r="BM117" s="69"/>
      <c r="BN117" s="71"/>
      <c r="BO117" s="182" t="str">
        <f t="shared" si="190"/>
        <v/>
      </c>
      <c r="BP117" s="70"/>
      <c r="BQ117" s="73"/>
    </row>
    <row r="118" spans="1:69" x14ac:dyDescent="0.35">
      <c r="A118" s="74"/>
      <c r="B118" s="75"/>
      <c r="C118" s="153"/>
      <c r="D118" s="77"/>
      <c r="E118" s="78"/>
      <c r="F118" s="79"/>
      <c r="G118" s="78"/>
      <c r="H118" s="79"/>
      <c r="I118" s="78"/>
      <c r="J118" s="79"/>
      <c r="K118" s="78"/>
      <c r="L118" s="79"/>
      <c r="M118" s="78"/>
      <c r="N118" s="79"/>
      <c r="O118" s="78"/>
      <c r="P118" s="79"/>
      <c r="Q118" s="78"/>
      <c r="R118" s="79"/>
      <c r="S118" s="78"/>
      <c r="T118" s="79"/>
      <c r="U118" s="78"/>
      <c r="V118" s="79"/>
      <c r="W118" s="78"/>
      <c r="X118" s="79"/>
      <c r="Y118" s="78"/>
      <c r="Z118" s="79"/>
      <c r="AA118" s="78"/>
      <c r="AB118" s="79"/>
      <c r="AC118" s="78"/>
      <c r="AD118" s="79"/>
      <c r="AE118" s="78"/>
      <c r="AF118" s="79"/>
      <c r="AG118" s="78"/>
      <c r="AH118" s="79"/>
      <c r="AI118" s="78"/>
      <c r="AJ118" s="79"/>
      <c r="AK118" s="78"/>
      <c r="AL118" s="79"/>
      <c r="AM118" s="78"/>
      <c r="AN118" s="79"/>
      <c r="AO118" s="78"/>
      <c r="AP118" s="79"/>
      <c r="AQ118" s="78"/>
      <c r="AR118" s="79"/>
      <c r="AS118" s="78"/>
      <c r="AT118" s="79"/>
      <c r="AU118" s="78"/>
      <c r="AV118" s="79"/>
      <c r="AW118" s="78"/>
      <c r="AX118" s="79"/>
      <c r="AY118" s="78"/>
      <c r="AZ118" s="79"/>
      <c r="BA118" s="78"/>
      <c r="BB118" s="79"/>
      <c r="BC118" s="78"/>
      <c r="BD118" s="79"/>
      <c r="BE118" s="78"/>
      <c r="BF118" s="79"/>
      <c r="BG118" s="78"/>
      <c r="BH118" s="79"/>
      <c r="BI118" s="78"/>
      <c r="BJ118" s="79"/>
      <c r="BK118" s="78"/>
      <c r="BL118" s="79"/>
      <c r="BM118" s="78"/>
      <c r="BN118" s="80"/>
      <c r="BO118" s="195" t="str">
        <f t="shared" si="190"/>
        <v/>
      </c>
      <c r="BP118" s="79"/>
      <c r="BQ118" s="82"/>
    </row>
    <row r="119" spans="1:69" x14ac:dyDescent="0.35">
      <c r="A119" s="53" t="s">
        <v>55</v>
      </c>
      <c r="B119" s="54"/>
      <c r="C119" s="67"/>
      <c r="D119" s="68"/>
      <c r="E119" s="69"/>
      <c r="F119" s="70"/>
      <c r="G119" s="69"/>
      <c r="H119" s="70"/>
      <c r="I119" s="69"/>
      <c r="J119" s="70"/>
      <c r="K119" s="69"/>
      <c r="L119" s="70"/>
      <c r="M119" s="69"/>
      <c r="N119" s="70"/>
      <c r="O119" s="69"/>
      <c r="P119" s="70"/>
      <c r="Q119" s="69"/>
      <c r="R119" s="70"/>
      <c r="S119" s="69"/>
      <c r="T119" s="70"/>
      <c r="U119" s="69"/>
      <c r="V119" s="70"/>
      <c r="W119" s="69"/>
      <c r="X119" s="70"/>
      <c r="Y119" s="69"/>
      <c r="Z119" s="70"/>
      <c r="AA119" s="69"/>
      <c r="AB119" s="70"/>
      <c r="AC119" s="69"/>
      <c r="AD119" s="70"/>
      <c r="AE119" s="69"/>
      <c r="AF119" s="70"/>
      <c r="AG119" s="69"/>
      <c r="AH119" s="70"/>
      <c r="AI119" s="69"/>
      <c r="AJ119" s="70"/>
      <c r="AK119" s="69"/>
      <c r="AL119" s="70"/>
      <c r="AM119" s="69"/>
      <c r="AN119" s="70"/>
      <c r="AO119" s="69"/>
      <c r="AP119" s="70"/>
      <c r="AQ119" s="69"/>
      <c r="AR119" s="70"/>
      <c r="AS119" s="69"/>
      <c r="AT119" s="70"/>
      <c r="AU119" s="69"/>
      <c r="AV119" s="70"/>
      <c r="AW119" s="69"/>
      <c r="AX119" s="70"/>
      <c r="AY119" s="69"/>
      <c r="AZ119" s="70"/>
      <c r="BA119" s="69"/>
      <c r="BB119" s="70"/>
      <c r="BC119" s="69"/>
      <c r="BD119" s="70"/>
      <c r="BE119" s="69"/>
      <c r="BF119" s="70"/>
      <c r="BG119" s="69"/>
      <c r="BH119" s="70"/>
      <c r="BI119" s="69"/>
      <c r="BJ119" s="70"/>
      <c r="BK119" s="69"/>
      <c r="BL119" s="70"/>
      <c r="BM119" s="69"/>
      <c r="BN119" s="71"/>
      <c r="BO119" s="182" t="str">
        <f t="shared" si="190"/>
        <v/>
      </c>
      <c r="BP119" s="70"/>
      <c r="BQ119" s="73"/>
    </row>
    <row r="120" spans="1:69" ht="15" thickBot="1" x14ac:dyDescent="0.4">
      <c r="A120" s="154" t="s">
        <v>56</v>
      </c>
      <c r="B120" s="155"/>
      <c r="C120" s="156"/>
      <c r="D120" s="157"/>
      <c r="E120" s="158"/>
      <c r="F120" s="159"/>
      <c r="G120" s="158"/>
      <c r="H120" s="159"/>
      <c r="I120" s="158"/>
      <c r="J120" s="159"/>
      <c r="K120" s="158"/>
      <c r="L120" s="159"/>
      <c r="M120" s="158"/>
      <c r="N120" s="159"/>
      <c r="O120" s="158"/>
      <c r="P120" s="159"/>
      <c r="Q120" s="158"/>
      <c r="R120" s="159"/>
      <c r="S120" s="158"/>
      <c r="T120" s="159"/>
      <c r="U120" s="158"/>
      <c r="V120" s="159"/>
      <c r="W120" s="158"/>
      <c r="X120" s="159"/>
      <c r="Y120" s="158"/>
      <c r="Z120" s="159"/>
      <c r="AA120" s="158"/>
      <c r="AB120" s="159"/>
      <c r="AC120" s="158"/>
      <c r="AD120" s="159"/>
      <c r="AE120" s="158"/>
      <c r="AF120" s="159"/>
      <c r="AG120" s="158"/>
      <c r="AH120" s="159"/>
      <c r="AI120" s="158"/>
      <c r="AJ120" s="159"/>
      <c r="AK120" s="158"/>
      <c r="AL120" s="159"/>
      <c r="AM120" s="158"/>
      <c r="AN120" s="159"/>
      <c r="AO120" s="158"/>
      <c r="AP120" s="159"/>
      <c r="AQ120" s="158"/>
      <c r="AR120" s="159"/>
      <c r="AS120" s="158"/>
      <c r="AT120" s="159"/>
      <c r="AU120" s="158"/>
      <c r="AV120" s="159"/>
      <c r="AW120" s="158"/>
      <c r="AX120" s="159"/>
      <c r="AY120" s="158"/>
      <c r="AZ120" s="159"/>
      <c r="BA120" s="158"/>
      <c r="BB120" s="159"/>
      <c r="BC120" s="158"/>
      <c r="BD120" s="159"/>
      <c r="BE120" s="158"/>
      <c r="BF120" s="159"/>
      <c r="BG120" s="158"/>
      <c r="BH120" s="159"/>
      <c r="BI120" s="158"/>
      <c r="BJ120" s="159"/>
      <c r="BK120" s="158"/>
      <c r="BL120" s="159"/>
      <c r="BM120" s="158"/>
      <c r="BN120" s="160"/>
      <c r="BO120" s="196" t="str">
        <f t="shared" si="190"/>
        <v/>
      </c>
      <c r="BP120" s="159"/>
      <c r="BQ120" s="161"/>
    </row>
    <row r="121" spans="1:69" x14ac:dyDescent="0.35">
      <c r="AT121"/>
      <c r="AU121"/>
      <c r="AW121"/>
      <c r="BA121"/>
    </row>
    <row r="122" spans="1:69" x14ac:dyDescent="0.35">
      <c r="AT122"/>
      <c r="AU122"/>
      <c r="AW122"/>
      <c r="BA122"/>
    </row>
    <row r="123" spans="1:69" x14ac:dyDescent="0.35">
      <c r="AT123"/>
      <c r="AU123"/>
      <c r="AW123"/>
      <c r="BA123"/>
    </row>
    <row r="124" spans="1:69" x14ac:dyDescent="0.35">
      <c r="AT124"/>
      <c r="AU124"/>
      <c r="AW124"/>
      <c r="BA124"/>
    </row>
    <row r="125" spans="1:69" x14ac:dyDescent="0.35">
      <c r="AT125"/>
      <c r="AU125"/>
      <c r="AW125"/>
      <c r="BA125"/>
    </row>
    <row r="126" spans="1:69" x14ac:dyDescent="0.35">
      <c r="AT126"/>
      <c r="AU126"/>
      <c r="AW126"/>
      <c r="BA126"/>
    </row>
    <row r="127" spans="1:69" x14ac:dyDescent="0.35">
      <c r="AT127"/>
      <c r="AU127"/>
      <c r="AW127"/>
      <c r="BA127"/>
    </row>
    <row r="128" spans="1:69" x14ac:dyDescent="0.35">
      <c r="AT128"/>
      <c r="AU128"/>
      <c r="AW128"/>
      <c r="BA128"/>
    </row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</sheetData>
  <sheetProtection sheet="1" objects="1" scenarios="1"/>
  <mergeCells count="100">
    <mergeCell ref="AD5:AE5"/>
    <mergeCell ref="A1:BQ1"/>
    <mergeCell ref="A2:BQ2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BB5:BC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P5:BQ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BD5:BE5"/>
    <mergeCell ref="BF5:BG5"/>
    <mergeCell ref="BH5:BI5"/>
    <mergeCell ref="BJ5:BK5"/>
    <mergeCell ref="BL5:BM5"/>
    <mergeCell ref="BN5:BO5"/>
    <mergeCell ref="AR6:AS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BP6:BQ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Z12:AA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AX12:AY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BL12:BM12"/>
    <mergeCell ref="BP12:BQ12"/>
    <mergeCell ref="AZ12:BA12"/>
    <mergeCell ref="BB12:BC12"/>
    <mergeCell ref="BD12:BE12"/>
    <mergeCell ref="BF12:BG12"/>
    <mergeCell ref="BH12:BI12"/>
    <mergeCell ref="BJ12:BK12"/>
  </mergeCells>
  <conditionalFormatting sqref="D77:BL88">
    <cfRule type="cellIs" dxfId="59" priority="9" operator="lessThan">
      <formula>0</formula>
    </cfRule>
  </conditionalFormatting>
  <conditionalFormatting sqref="D7:BM11 BP7:BQ104 BO7:BO120">
    <cfRule type="cellIs" dxfId="58" priority="1" operator="lessThan">
      <formula>0</formula>
    </cfRule>
  </conditionalFormatting>
  <conditionalFormatting sqref="D22:BM22">
    <cfRule type="cellIs" dxfId="57" priority="2" operator="lessThan">
      <formula>0</formula>
    </cfRule>
  </conditionalFormatting>
  <conditionalFormatting sqref="D30:BM31">
    <cfRule type="cellIs" dxfId="56" priority="3" operator="lessThan">
      <formula>0</formula>
    </cfRule>
  </conditionalFormatting>
  <conditionalFormatting sqref="D42:BM42">
    <cfRule type="cellIs" dxfId="55" priority="4" operator="lessThan">
      <formula>0</formula>
    </cfRule>
  </conditionalFormatting>
  <conditionalFormatting sqref="D49:BM50">
    <cfRule type="cellIs" dxfId="54" priority="5" operator="lessThan">
      <formula>0</formula>
    </cfRule>
  </conditionalFormatting>
  <conditionalFormatting sqref="D54:BM54">
    <cfRule type="cellIs" dxfId="53" priority="6" operator="lessThan">
      <formula>0</formula>
    </cfRule>
  </conditionalFormatting>
  <conditionalFormatting sqref="D57:BM59">
    <cfRule type="cellIs" dxfId="52" priority="7" operator="lessThan">
      <formula>0</formula>
    </cfRule>
  </conditionalFormatting>
  <conditionalFormatting sqref="D61:BM75">
    <cfRule type="cellIs" dxfId="51" priority="8" operator="lessThan">
      <formula>0</formula>
    </cfRule>
  </conditionalFormatting>
  <conditionalFormatting sqref="E91:BM104">
    <cfRule type="cellIs" dxfId="50" priority="10" operator="lessThan">
      <formula>0</formula>
    </cfRule>
  </conditionalFormatting>
  <pageMargins left="0.25" right="0.25" top="0.75" bottom="0.75" header="0.3" footer="0.3"/>
  <pageSetup scale="1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A419-24A3-4A14-9415-9DC678CDE297}">
  <sheetPr>
    <pageSetUpPr fitToPage="1"/>
  </sheetPr>
  <dimension ref="A1:BX134"/>
  <sheetViews>
    <sheetView zoomScaleNormal="100" workbookViewId="0">
      <pane xSplit="1" ySplit="12" topLeftCell="B13" activePane="bottomRight" state="frozen"/>
      <selection pane="topRight" activeCell="B1" sqref="B1"/>
      <selection pane="bottomLeft" activeCell="A9" sqref="A9"/>
      <selection pane="bottomRight" activeCell="A13" sqref="A13:XFD13"/>
    </sheetView>
  </sheetViews>
  <sheetFormatPr defaultRowHeight="14.5" x14ac:dyDescent="0.35"/>
  <cols>
    <col min="1" max="1" width="28.54296875" customWidth="1"/>
    <col min="2" max="2" width="15.26953125" customWidth="1"/>
    <col min="3" max="3" width="18.1796875" customWidth="1"/>
    <col min="4" max="45" width="11.81640625" customWidth="1"/>
    <col min="46" max="47" width="11.81640625" style="3" customWidth="1"/>
    <col min="48" max="48" width="11.81640625" customWidth="1"/>
    <col min="49" max="49" width="11.81640625" style="3" customWidth="1"/>
    <col min="50" max="52" width="11.81640625" customWidth="1"/>
    <col min="53" max="53" width="11.81640625" style="3" customWidth="1"/>
    <col min="54" max="65" width="11.81640625" customWidth="1"/>
    <col min="66" max="69" width="15.54296875" customWidth="1"/>
    <col min="70" max="70" width="12.7265625" customWidth="1"/>
    <col min="71" max="71" width="11.1796875" bestFit="1" customWidth="1"/>
    <col min="72" max="72" width="14.81640625" customWidth="1"/>
    <col min="73" max="73" width="8.81640625" customWidth="1"/>
    <col min="74" max="74" width="11.26953125" customWidth="1"/>
    <col min="75" max="75" width="9.26953125" bestFit="1" customWidth="1"/>
    <col min="76" max="76" width="13.453125" customWidth="1"/>
  </cols>
  <sheetData>
    <row r="1" spans="1:76" ht="48" customHeight="1" x14ac:dyDescent="0.35">
      <c r="A1" s="241" t="str">
        <f>"TEXAN FILLING STATION — "&amp;UPPER(TEXT(B3,"MMMM YYYY"))&amp;" DAILY CONTROL"</f>
        <v>TEXAN FILLING STATION — APRIL 2027 DAILY CONTROL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  <c r="BL1" s="233"/>
      <c r="BM1" s="233"/>
      <c r="BN1" s="233"/>
      <c r="BO1" s="233"/>
      <c r="BP1" s="233"/>
      <c r="BQ1" s="233"/>
    </row>
    <row r="2" spans="1:76" ht="24" customHeight="1" x14ac:dyDescent="0.35">
      <c r="A2" s="234" t="s">
        <v>108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  <c r="BP2" s="234"/>
      <c r="BQ2" s="234"/>
    </row>
    <row r="3" spans="1:76" x14ac:dyDescent="0.35">
      <c r="A3" s="26" t="s">
        <v>109</v>
      </c>
      <c r="B3" s="27">
        <v>46478</v>
      </c>
      <c r="C3" s="28" t="s">
        <v>110</v>
      </c>
      <c r="D3" s="28" t="s">
        <v>111</v>
      </c>
      <c r="E3" s="29" t="s">
        <v>112</v>
      </c>
      <c r="F3" s="30" t="s">
        <v>113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2"/>
      <c r="AU3" s="32"/>
      <c r="AV3" s="31"/>
      <c r="AW3" s="32"/>
      <c r="AX3" s="31"/>
      <c r="AY3" s="31"/>
      <c r="AZ3" s="31"/>
      <c r="BA3" s="32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</row>
    <row r="4" spans="1:76" ht="15" thickBot="1" x14ac:dyDescent="0.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2"/>
      <c r="AU4" s="32"/>
      <c r="AV4" s="31"/>
      <c r="AW4" s="32"/>
      <c r="AX4" s="31"/>
      <c r="AY4" s="31"/>
      <c r="AZ4" s="31"/>
      <c r="BA4" s="32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</row>
    <row r="5" spans="1:76" ht="16.149999999999999" customHeight="1" x14ac:dyDescent="0.35">
      <c r="A5" s="164">
        <f>68*0.1</f>
        <v>6.8000000000000007</v>
      </c>
      <c r="B5" s="33"/>
      <c r="C5" s="34" t="s">
        <v>116</v>
      </c>
      <c r="D5" s="235" t="str">
        <f>IF(D6="","",UPPER(TEXT(D6,"dddd")))</f>
        <v>THURSDAY</v>
      </c>
      <c r="E5" s="229"/>
      <c r="F5" s="228" t="str">
        <f>IF(F6="","",UPPER(TEXT(F6,"dddd")))</f>
        <v>FRIDAY</v>
      </c>
      <c r="G5" s="229"/>
      <c r="H5" s="228" t="str">
        <f>IF(H6="","",UPPER(TEXT(H6,"dddd")))</f>
        <v>SATURDAY</v>
      </c>
      <c r="I5" s="229"/>
      <c r="J5" s="228" t="str">
        <f>IF(J6="","",UPPER(TEXT(J6,"dddd")))</f>
        <v>SUNDAY</v>
      </c>
      <c r="K5" s="229"/>
      <c r="L5" s="228" t="str">
        <f>IF(L6="","",UPPER(TEXT(L6,"dddd")))</f>
        <v>MONDAY</v>
      </c>
      <c r="M5" s="229"/>
      <c r="N5" s="228" t="str">
        <f>IF(N6="","",UPPER(TEXT(N6,"dddd")))</f>
        <v>TUESDAY</v>
      </c>
      <c r="O5" s="229"/>
      <c r="P5" s="228" t="str">
        <f>IF(P6="","",UPPER(TEXT(P6,"dddd")))</f>
        <v>WEDNESDAY</v>
      </c>
      <c r="Q5" s="229"/>
      <c r="R5" s="228" t="str">
        <f>IF(R6="","",UPPER(TEXT(R6,"dddd")))</f>
        <v>THURSDAY</v>
      </c>
      <c r="S5" s="229"/>
      <c r="T5" s="228" t="str">
        <f>IF(T6="","",UPPER(TEXT(T6,"dddd")))</f>
        <v>FRIDAY</v>
      </c>
      <c r="U5" s="229"/>
      <c r="V5" s="228" t="str">
        <f>IF(V6="","",UPPER(TEXT(V6,"dddd")))</f>
        <v>SATURDAY</v>
      </c>
      <c r="W5" s="229"/>
      <c r="X5" s="228" t="str">
        <f>IF(X6="","",UPPER(TEXT(X6,"dddd")))</f>
        <v>SUNDAY</v>
      </c>
      <c r="Y5" s="229"/>
      <c r="Z5" s="228" t="str">
        <f>IF(Z6="","",UPPER(TEXT(Z6,"dddd")))</f>
        <v>MONDAY</v>
      </c>
      <c r="AA5" s="229"/>
      <c r="AB5" s="228" t="str">
        <f>IF(AB6="","",UPPER(TEXT(AB6,"dddd")))</f>
        <v>TUESDAY</v>
      </c>
      <c r="AC5" s="229"/>
      <c r="AD5" s="228" t="str">
        <f>IF(AD6="","",UPPER(TEXT(AD6,"dddd")))</f>
        <v>WEDNESDAY</v>
      </c>
      <c r="AE5" s="229"/>
      <c r="AF5" s="228" t="str">
        <f>IF(AF6="","",UPPER(TEXT(AF6,"dddd")))</f>
        <v>THURSDAY</v>
      </c>
      <c r="AG5" s="229"/>
      <c r="AH5" s="228" t="str">
        <f>IF(AH6="","",UPPER(TEXT(AH6,"dddd")))</f>
        <v>FRIDAY</v>
      </c>
      <c r="AI5" s="229"/>
      <c r="AJ5" s="228" t="str">
        <f>IF(AJ6="","",UPPER(TEXT(AJ6,"dddd")))</f>
        <v>SATURDAY</v>
      </c>
      <c r="AK5" s="229"/>
      <c r="AL5" s="228" t="str">
        <f>IF(AL6="","",UPPER(TEXT(AL6,"dddd")))</f>
        <v>SUNDAY</v>
      </c>
      <c r="AM5" s="229"/>
      <c r="AN5" s="228" t="str">
        <f>IF(AN6="","",UPPER(TEXT(AN6,"dddd")))</f>
        <v>MONDAY</v>
      </c>
      <c r="AO5" s="229"/>
      <c r="AP5" s="228" t="str">
        <f>IF(AP6="","",UPPER(TEXT(AP6,"dddd")))</f>
        <v>TUESDAY</v>
      </c>
      <c r="AQ5" s="229"/>
      <c r="AR5" s="228" t="str">
        <f>IF(AR6="","",UPPER(TEXT(AR6,"dddd")))</f>
        <v>WEDNESDAY</v>
      </c>
      <c r="AS5" s="229"/>
      <c r="AT5" s="228" t="str">
        <f>IF(AT6="","",UPPER(TEXT(AT6,"dddd")))</f>
        <v>THURSDAY</v>
      </c>
      <c r="AU5" s="229"/>
      <c r="AV5" s="228" t="str">
        <f>IF(AV6="","",UPPER(TEXT(AV6,"dddd")))</f>
        <v>FRIDAY</v>
      </c>
      <c r="AW5" s="229"/>
      <c r="AX5" s="228" t="str">
        <f>IF(AX6="","",UPPER(TEXT(AX6,"dddd")))</f>
        <v>SATURDAY</v>
      </c>
      <c r="AY5" s="229"/>
      <c r="AZ5" s="228" t="str">
        <f>IF(AZ6="","",UPPER(TEXT(AZ6,"dddd")))</f>
        <v>SUNDAY</v>
      </c>
      <c r="BA5" s="229"/>
      <c r="BB5" s="228" t="str">
        <f>IF(BB6="","",UPPER(TEXT(BB6,"dddd")))</f>
        <v>MONDAY</v>
      </c>
      <c r="BC5" s="229"/>
      <c r="BD5" s="228" t="str">
        <f>IF(BD6="","",UPPER(TEXT(BD6,"dddd")))</f>
        <v>TUESDAY</v>
      </c>
      <c r="BE5" s="229"/>
      <c r="BF5" s="228" t="str">
        <f>IF(BF6="","",UPPER(TEXT(BF6,"dddd")))</f>
        <v>WEDNESDAY</v>
      </c>
      <c r="BG5" s="229"/>
      <c r="BH5" s="228" t="str">
        <f>IF(BH6="","",UPPER(TEXT(BH6,"dddd")))</f>
        <v>THURSDAY</v>
      </c>
      <c r="BI5" s="229"/>
      <c r="BJ5" s="228" t="str">
        <f>IF(BJ6="","",UPPER(TEXT(BJ6,"dddd")))</f>
        <v>FRIDAY</v>
      </c>
      <c r="BK5" s="229"/>
      <c r="BL5" s="228" t="str">
        <f>IF(BL6="","",UPPER(TEXT(BL6,"dddd")))</f>
        <v/>
      </c>
      <c r="BM5" s="229"/>
      <c r="BN5" s="230" t="s">
        <v>114</v>
      </c>
      <c r="BO5" s="231"/>
      <c r="BP5" s="225" t="s">
        <v>118</v>
      </c>
      <c r="BQ5" s="226"/>
    </row>
    <row r="6" spans="1:76" x14ac:dyDescent="0.35">
      <c r="A6" s="35"/>
      <c r="B6" s="36"/>
      <c r="C6" s="37" t="s">
        <v>117</v>
      </c>
      <c r="D6" s="227">
        <f>IF($B$3="","",IF(MONTH($B$3+0)=MONTH($B$3),$B$3+0,""))</f>
        <v>46478</v>
      </c>
      <c r="E6" s="222"/>
      <c r="F6" s="220">
        <f>IF($B$3="","",IF(MONTH($B$3+1)=MONTH($B$3),$B$3+1,""))</f>
        <v>46479</v>
      </c>
      <c r="G6" s="222"/>
      <c r="H6" s="220">
        <f>IF($B$3="","",IF(MONTH($B$3+2)=MONTH($B$3),$B$3+2,""))</f>
        <v>46480</v>
      </c>
      <c r="I6" s="222"/>
      <c r="J6" s="220">
        <f>IF($B$3="","",IF(MONTH($B$3+3)=MONTH($B$3),$B$3+3,""))</f>
        <v>46481</v>
      </c>
      <c r="K6" s="222"/>
      <c r="L6" s="220">
        <f>IF($B$3="","",IF(MONTH($B$3+4)=MONTH($B$3),$B$3+4,""))</f>
        <v>46482</v>
      </c>
      <c r="M6" s="222"/>
      <c r="N6" s="220">
        <f>IF($B$3="","",IF(MONTH($B$3+5)=MONTH($B$3),$B$3+5,""))</f>
        <v>46483</v>
      </c>
      <c r="O6" s="222"/>
      <c r="P6" s="220">
        <f>IF($B$3="","",IF(MONTH($B$3+6)=MONTH($B$3),$B$3+6,""))</f>
        <v>46484</v>
      </c>
      <c r="Q6" s="222"/>
      <c r="R6" s="220">
        <f>IF($B$3="","",IF(MONTH($B$3+7)=MONTH($B$3),$B$3+7,""))</f>
        <v>46485</v>
      </c>
      <c r="S6" s="222"/>
      <c r="T6" s="220">
        <f>IF($B$3="","",IF(MONTH($B$3+8)=MONTH($B$3),$B$3+8,""))</f>
        <v>46486</v>
      </c>
      <c r="U6" s="222"/>
      <c r="V6" s="220">
        <f>IF($B$3="","",IF(MONTH($B$3+9)=MONTH($B$3),$B$3+9,""))</f>
        <v>46487</v>
      </c>
      <c r="W6" s="222"/>
      <c r="X6" s="220">
        <f>IF($B$3="","",IF(MONTH($B$3+10)=MONTH($B$3),$B$3+10,""))</f>
        <v>46488</v>
      </c>
      <c r="Y6" s="222"/>
      <c r="Z6" s="220">
        <f>IF($B$3="","",IF(MONTH($B$3+11)=MONTH($B$3),$B$3+11,""))</f>
        <v>46489</v>
      </c>
      <c r="AA6" s="222"/>
      <c r="AB6" s="220">
        <f>IF($B$3="","",IF(MONTH($B$3+12)=MONTH($B$3),$B$3+12,""))</f>
        <v>46490</v>
      </c>
      <c r="AC6" s="222"/>
      <c r="AD6" s="220">
        <f>IF($B$3="","",IF(MONTH($B$3+13)=MONTH($B$3),$B$3+13,""))</f>
        <v>46491</v>
      </c>
      <c r="AE6" s="222"/>
      <c r="AF6" s="220">
        <f>IF($B$3="","",IF(MONTH($B$3+14)=MONTH($B$3),$B$3+14,""))</f>
        <v>46492</v>
      </c>
      <c r="AG6" s="222"/>
      <c r="AH6" s="220">
        <f>IF($B$3="","",IF(MONTH($B$3+15)=MONTH($B$3),$B$3+15,""))</f>
        <v>46493</v>
      </c>
      <c r="AI6" s="222"/>
      <c r="AJ6" s="220">
        <f>IF($B$3="","",IF(MONTH($B$3+16)=MONTH($B$3),$B$3+16,""))</f>
        <v>46494</v>
      </c>
      <c r="AK6" s="222"/>
      <c r="AL6" s="220">
        <f>IF($B$3="","",IF(MONTH($B$3+17)=MONTH($B$3),$B$3+17,""))</f>
        <v>46495</v>
      </c>
      <c r="AM6" s="222"/>
      <c r="AN6" s="220">
        <f>IF($B$3="","",IF(MONTH($B$3+18)=MONTH($B$3),$B$3+18,""))</f>
        <v>46496</v>
      </c>
      <c r="AO6" s="222"/>
      <c r="AP6" s="220">
        <f>IF($B$3="","",IF(MONTH($B$3+19)=MONTH($B$3),$B$3+19,""))</f>
        <v>46497</v>
      </c>
      <c r="AQ6" s="222"/>
      <c r="AR6" s="220">
        <f>IF($B$3="","",IF(MONTH($B$3+20)=MONTH($B$3),$B$3+20,""))</f>
        <v>46498</v>
      </c>
      <c r="AS6" s="222"/>
      <c r="AT6" s="220">
        <f>IF($B$3="","",IF(MONTH($B$3+21)=MONTH($B$3),$B$3+21,""))</f>
        <v>46499</v>
      </c>
      <c r="AU6" s="222"/>
      <c r="AV6" s="220">
        <f>IF($B$3="","",IF(MONTH($B$3+22)=MONTH($B$3),$B$3+22,""))</f>
        <v>46500</v>
      </c>
      <c r="AW6" s="222"/>
      <c r="AX6" s="220">
        <f>IF($B$3="","",IF(MONTH($B$3+23)=MONTH($B$3),$B$3+23,""))</f>
        <v>46501</v>
      </c>
      <c r="AY6" s="222"/>
      <c r="AZ6" s="220">
        <f>IF($B$3="","",IF(MONTH($B$3+24)=MONTH($B$3),$B$3+24,""))</f>
        <v>46502</v>
      </c>
      <c r="BA6" s="222"/>
      <c r="BB6" s="220">
        <f>IF($B$3="","",IF(MONTH($B$3+25)=MONTH($B$3),$B$3+25,""))</f>
        <v>46503</v>
      </c>
      <c r="BC6" s="222"/>
      <c r="BD6" s="220">
        <f>IF($B$3="","",IF(MONTH($B$3+26)=MONTH($B$3),$B$3+26,""))</f>
        <v>46504</v>
      </c>
      <c r="BE6" s="222"/>
      <c r="BF6" s="220">
        <f>IF($B$3="","",IF(MONTH($B$3+27)=MONTH($B$3),$B$3+27,""))</f>
        <v>46505</v>
      </c>
      <c r="BG6" s="222"/>
      <c r="BH6" s="220">
        <f>IF($B$3="","",IF(MONTH($B$3+28)=MONTH($B$3),$B$3+28,""))</f>
        <v>46506</v>
      </c>
      <c r="BI6" s="222"/>
      <c r="BJ6" s="220">
        <f>IF($B$3="","",IF(MONTH($B$3+29)=MONTH($B$3),$B$3+29,""))</f>
        <v>46507</v>
      </c>
      <c r="BK6" s="222"/>
      <c r="BL6" s="220" t="str">
        <f>IF($B$3="","",IF(MONTH($B$3+30)=MONTH($B$3),$B$3+30,""))</f>
        <v/>
      </c>
      <c r="BM6" s="222"/>
      <c r="BN6" s="223" t="s">
        <v>115</v>
      </c>
      <c r="BO6" s="224"/>
      <c r="BP6" s="220">
        <f>IF($B$3="","",EOMONTH($B$3,0)+1)</f>
        <v>46508</v>
      </c>
      <c r="BQ6" s="221"/>
    </row>
    <row r="7" spans="1:76" x14ac:dyDescent="0.35">
      <c r="A7" s="38" t="s">
        <v>20</v>
      </c>
      <c r="B7" s="39"/>
      <c r="C7" s="40"/>
      <c r="D7" s="41"/>
      <c r="E7" s="165">
        <f>E59</f>
        <v>0</v>
      </c>
      <c r="F7" s="42"/>
      <c r="G7" s="165">
        <f>G59</f>
        <v>0</v>
      </c>
      <c r="H7" s="42"/>
      <c r="I7" s="165">
        <f>I59</f>
        <v>0</v>
      </c>
      <c r="J7" s="42"/>
      <c r="K7" s="165">
        <f>K59</f>
        <v>0</v>
      </c>
      <c r="L7" s="42"/>
      <c r="M7" s="165">
        <f>M59</f>
        <v>0</v>
      </c>
      <c r="N7" s="42"/>
      <c r="O7" s="165">
        <f>O59</f>
        <v>0</v>
      </c>
      <c r="P7" s="42"/>
      <c r="Q7" s="165">
        <f>Q59</f>
        <v>0</v>
      </c>
      <c r="R7" s="42"/>
      <c r="S7" s="165">
        <f>S59</f>
        <v>0</v>
      </c>
      <c r="T7" s="42"/>
      <c r="U7" s="165">
        <f>U59</f>
        <v>0</v>
      </c>
      <c r="V7" s="42"/>
      <c r="W7" s="165">
        <f>W59</f>
        <v>0</v>
      </c>
      <c r="X7" s="42"/>
      <c r="Y7" s="165">
        <f>Y59</f>
        <v>0</v>
      </c>
      <c r="Z7" s="42"/>
      <c r="AA7" s="165">
        <f>AA59</f>
        <v>0</v>
      </c>
      <c r="AB7" s="42"/>
      <c r="AC7" s="165">
        <f>AC59</f>
        <v>0</v>
      </c>
      <c r="AD7" s="42"/>
      <c r="AE7" s="165">
        <f>AE59</f>
        <v>0</v>
      </c>
      <c r="AF7" s="42"/>
      <c r="AG7" s="165">
        <f>AG59</f>
        <v>0</v>
      </c>
      <c r="AH7" s="42"/>
      <c r="AI7" s="165">
        <f>AI59</f>
        <v>0</v>
      </c>
      <c r="AJ7" s="42"/>
      <c r="AK7" s="165">
        <f>AK59</f>
        <v>0</v>
      </c>
      <c r="AL7" s="42"/>
      <c r="AM7" s="165">
        <f>AM59</f>
        <v>0</v>
      </c>
      <c r="AN7" s="42"/>
      <c r="AO7" s="165">
        <f>AO59</f>
        <v>0</v>
      </c>
      <c r="AP7" s="42"/>
      <c r="AQ7" s="165">
        <f>AQ59</f>
        <v>0</v>
      </c>
      <c r="AR7" s="42"/>
      <c r="AS7" s="165">
        <f>AS59</f>
        <v>0</v>
      </c>
      <c r="AT7" s="42"/>
      <c r="AU7" s="165">
        <f>AU59</f>
        <v>0</v>
      </c>
      <c r="AV7" s="42"/>
      <c r="AW7" s="165">
        <f>AW59</f>
        <v>0</v>
      </c>
      <c r="AX7" s="42"/>
      <c r="AY7" s="165">
        <f>AY59</f>
        <v>0</v>
      </c>
      <c r="AZ7" s="42"/>
      <c r="BA7" s="165">
        <f>BA59</f>
        <v>0</v>
      </c>
      <c r="BB7" s="42"/>
      <c r="BC7" s="165">
        <f>BC59</f>
        <v>0</v>
      </c>
      <c r="BD7" s="42"/>
      <c r="BE7" s="165">
        <f>BE59</f>
        <v>0</v>
      </c>
      <c r="BF7" s="42"/>
      <c r="BG7" s="165">
        <f>BG59</f>
        <v>0</v>
      </c>
      <c r="BH7" s="42"/>
      <c r="BI7" s="165">
        <f>BI59</f>
        <v>0</v>
      </c>
      <c r="BJ7" s="42"/>
      <c r="BK7" s="165">
        <f>BK59</f>
        <v>0</v>
      </c>
      <c r="BL7" s="42"/>
      <c r="BM7" s="165">
        <f>BM59</f>
        <v>0</v>
      </c>
      <c r="BN7" s="43"/>
      <c r="BO7" s="169">
        <f>IF(COUNT(E7,G7,I7,K7,M7,O7,Q7,S7,U7,W7,Y7,AA7,AC7,AE7,AG7,AI7,AK7,AM7,AO7,AQ7,AS7,AU7,AW7,AY7,BA7,BC7,BE7,BG7,BI7,BK7,BM7)=0,"",SUM(E7,G7,I7,K7,M7,O7,Q7,S7,U7,W7,Y7,AA7,AC7,AE7,AG7,AI7,AK7,AM7,AO7,AQ7,AS7,AU7,AW7,AY7,BA7,BC7,BE7,BG7,BI7,BK7,BM7))</f>
        <v>0</v>
      </c>
      <c r="BP7" s="42"/>
      <c r="BQ7" s="171">
        <f>BQ59</f>
        <v>0</v>
      </c>
    </row>
    <row r="8" spans="1:76" x14ac:dyDescent="0.35">
      <c r="A8" s="38" t="s">
        <v>49</v>
      </c>
      <c r="B8" s="39"/>
      <c r="C8" s="40"/>
      <c r="D8" s="41"/>
      <c r="E8" s="165">
        <f>E58</f>
        <v>0</v>
      </c>
      <c r="F8" s="42"/>
      <c r="G8" s="165">
        <f>G58</f>
        <v>0</v>
      </c>
      <c r="H8" s="42"/>
      <c r="I8" s="165">
        <f>I58</f>
        <v>0</v>
      </c>
      <c r="J8" s="42"/>
      <c r="K8" s="165">
        <f>K58</f>
        <v>0</v>
      </c>
      <c r="L8" s="42"/>
      <c r="M8" s="165">
        <f>M58</f>
        <v>0</v>
      </c>
      <c r="N8" s="42"/>
      <c r="O8" s="165">
        <f>O58</f>
        <v>0</v>
      </c>
      <c r="P8" s="42"/>
      <c r="Q8" s="165">
        <f>Q58</f>
        <v>0</v>
      </c>
      <c r="R8" s="42"/>
      <c r="S8" s="165">
        <f>S58</f>
        <v>0</v>
      </c>
      <c r="T8" s="42"/>
      <c r="U8" s="165">
        <f>U58</f>
        <v>0</v>
      </c>
      <c r="V8" s="42"/>
      <c r="W8" s="165">
        <f>W58</f>
        <v>0</v>
      </c>
      <c r="X8" s="42"/>
      <c r="Y8" s="165">
        <f>Y58</f>
        <v>0</v>
      </c>
      <c r="Z8" s="42"/>
      <c r="AA8" s="165">
        <f>AA58</f>
        <v>0</v>
      </c>
      <c r="AB8" s="42"/>
      <c r="AC8" s="165">
        <f>AC58</f>
        <v>0</v>
      </c>
      <c r="AD8" s="42"/>
      <c r="AE8" s="165">
        <f>AE58</f>
        <v>0</v>
      </c>
      <c r="AF8" s="42"/>
      <c r="AG8" s="165">
        <f>AG58</f>
        <v>0</v>
      </c>
      <c r="AH8" s="42"/>
      <c r="AI8" s="165">
        <f>AI58</f>
        <v>0</v>
      </c>
      <c r="AJ8" s="42"/>
      <c r="AK8" s="165">
        <f>AK58</f>
        <v>0</v>
      </c>
      <c r="AL8" s="42"/>
      <c r="AM8" s="165">
        <f>AM58</f>
        <v>0</v>
      </c>
      <c r="AN8" s="42"/>
      <c r="AO8" s="165">
        <f>AO58</f>
        <v>0</v>
      </c>
      <c r="AP8" s="42"/>
      <c r="AQ8" s="165">
        <f>AQ58</f>
        <v>0</v>
      </c>
      <c r="AR8" s="42"/>
      <c r="AS8" s="165">
        <f>AS58</f>
        <v>0</v>
      </c>
      <c r="AT8" s="42"/>
      <c r="AU8" s="168">
        <f>AU58</f>
        <v>0</v>
      </c>
      <c r="AV8" s="42"/>
      <c r="AW8" s="165">
        <f>AW58</f>
        <v>0</v>
      </c>
      <c r="AX8" s="42"/>
      <c r="AY8" s="165">
        <f>AY58</f>
        <v>0</v>
      </c>
      <c r="AZ8" s="42"/>
      <c r="BA8" s="165">
        <f>BA58</f>
        <v>0</v>
      </c>
      <c r="BB8" s="42"/>
      <c r="BC8" s="165">
        <f>BC58</f>
        <v>0</v>
      </c>
      <c r="BD8" s="42"/>
      <c r="BE8" s="165">
        <f>BE58</f>
        <v>0</v>
      </c>
      <c r="BF8" s="42"/>
      <c r="BG8" s="165">
        <f>BG58</f>
        <v>0</v>
      </c>
      <c r="BH8" s="42"/>
      <c r="BI8" s="165">
        <f>BI58</f>
        <v>0</v>
      </c>
      <c r="BJ8" s="42"/>
      <c r="BK8" s="165">
        <f>BK58</f>
        <v>0</v>
      </c>
      <c r="BL8" s="42"/>
      <c r="BM8" s="165">
        <f>BM58</f>
        <v>0</v>
      </c>
      <c r="BN8" s="43"/>
      <c r="BO8" s="169">
        <f>IF(COUNT(E8,G8,I8,K8,M8,O8,Q8,S8,U8,W8,Y8,AA8,AC8,AE8,AG8,AI8,AK8,AM8,AO8,AQ8,AS8,AU8,AW8,AY8,BA8,BC8,BE8,BG8,BI8,BK8,BM8)=0,"",SUM(E8,G8,I8,K8,M8,O8,Q8,S8,U8,W8,Y8,AA8,AC8,AE8,AG8,AI8,AK8,AM8,AO8,AQ8,AS8,AU8,AW8,AY8,BA8,BC8,BE8,BG8,BI8,BK8,BM8))</f>
        <v>0</v>
      </c>
      <c r="BP8" s="42"/>
      <c r="BQ8" s="171">
        <f>BQ58</f>
        <v>0</v>
      </c>
    </row>
    <row r="9" spans="1:76" x14ac:dyDescent="0.35">
      <c r="A9" s="38" t="s">
        <v>50</v>
      </c>
      <c r="B9" s="39"/>
      <c r="C9" s="40"/>
      <c r="D9" s="41"/>
      <c r="E9" s="165" t="e">
        <f>E61</f>
        <v>#VALUE!</v>
      </c>
      <c r="F9" s="42"/>
      <c r="G9" s="165">
        <f>G61</f>
        <v>0</v>
      </c>
      <c r="H9" s="42"/>
      <c r="I9" s="165">
        <f>I61</f>
        <v>0</v>
      </c>
      <c r="J9" s="42"/>
      <c r="K9" s="165">
        <f>K61</f>
        <v>0</v>
      </c>
      <c r="L9" s="42"/>
      <c r="M9" s="165">
        <f>M61</f>
        <v>0</v>
      </c>
      <c r="N9" s="42"/>
      <c r="O9" s="165">
        <f>O61</f>
        <v>0</v>
      </c>
      <c r="P9" s="42"/>
      <c r="Q9" s="165">
        <f>Q61</f>
        <v>0</v>
      </c>
      <c r="R9" s="42"/>
      <c r="S9" s="165">
        <f>S61</f>
        <v>0</v>
      </c>
      <c r="T9" s="42"/>
      <c r="U9" s="165">
        <f>U61</f>
        <v>0</v>
      </c>
      <c r="V9" s="42"/>
      <c r="W9" s="165">
        <f>W61</f>
        <v>0</v>
      </c>
      <c r="X9" s="42"/>
      <c r="Y9" s="165">
        <f>Y61</f>
        <v>0</v>
      </c>
      <c r="Z9" s="42"/>
      <c r="AA9" s="165">
        <f>AA61</f>
        <v>0</v>
      </c>
      <c r="AB9" s="42"/>
      <c r="AC9" s="165">
        <f>AC61</f>
        <v>0</v>
      </c>
      <c r="AD9" s="42"/>
      <c r="AE9" s="165">
        <f>AE61</f>
        <v>0</v>
      </c>
      <c r="AF9" s="42"/>
      <c r="AG9" s="165">
        <f>AG61</f>
        <v>0</v>
      </c>
      <c r="AH9" s="42"/>
      <c r="AI9" s="165">
        <f>AI61</f>
        <v>0</v>
      </c>
      <c r="AJ9" s="42"/>
      <c r="AK9" s="165">
        <f>AK61</f>
        <v>0</v>
      </c>
      <c r="AL9" s="42"/>
      <c r="AM9" s="165">
        <f>AM61</f>
        <v>0</v>
      </c>
      <c r="AN9" s="42"/>
      <c r="AO9" s="165">
        <f>AO61</f>
        <v>0</v>
      </c>
      <c r="AP9" s="42"/>
      <c r="AQ9" s="165">
        <f>AQ61</f>
        <v>0</v>
      </c>
      <c r="AR9" s="42"/>
      <c r="AS9" s="165">
        <f>AS61</f>
        <v>0</v>
      </c>
      <c r="AT9" s="42"/>
      <c r="AU9" s="165">
        <f>AU61</f>
        <v>0</v>
      </c>
      <c r="AV9" s="42"/>
      <c r="AW9" s="165">
        <f>AW61</f>
        <v>0</v>
      </c>
      <c r="AX9" s="42"/>
      <c r="AY9" s="165">
        <f>AY61</f>
        <v>0</v>
      </c>
      <c r="AZ9" s="42"/>
      <c r="BA9" s="165">
        <f>BA61</f>
        <v>0</v>
      </c>
      <c r="BB9" s="42"/>
      <c r="BC9" s="165">
        <f>BC61</f>
        <v>0</v>
      </c>
      <c r="BD9" s="42"/>
      <c r="BE9" s="165">
        <f>BE61</f>
        <v>0</v>
      </c>
      <c r="BF9" s="42"/>
      <c r="BG9" s="165">
        <f>BG61</f>
        <v>0</v>
      </c>
      <c r="BH9" s="42"/>
      <c r="BI9" s="165">
        <f>BI61</f>
        <v>0</v>
      </c>
      <c r="BJ9" s="42"/>
      <c r="BK9" s="165">
        <f>BK61</f>
        <v>0</v>
      </c>
      <c r="BL9" s="42"/>
      <c r="BM9" s="165">
        <f>BM61</f>
        <v>0</v>
      </c>
      <c r="BN9" s="43"/>
      <c r="BO9" s="169" t="e">
        <f>IF(COUNT(E9,G9,I9,K9,M9,O9,Q9,S9,U9,W9,Y9,AA9,AC9,AE9,AG9,AI9,AK9,AM9,AO9,AQ9,AS9,AU9,AW9,AY9,BA9,BC9,BE9,BG9,BI9,BK9,BM9)=0,"",SUM(E9,G9,I9,K9,M9,O9,Q9,S9,U9,W9,Y9,AA9,AC9,AE9,AG9,AI9,AK9,AM9,AO9,AQ9,AS9,AU9,AW9,AY9,BA9,BC9,BE9,BG9,BI9,BK9,BM9))</f>
        <v>#VALUE!</v>
      </c>
      <c r="BP9" s="42"/>
      <c r="BQ9" s="171">
        <f>BQ61</f>
        <v>0</v>
      </c>
    </row>
    <row r="10" spans="1:76" s="2" customFormat="1" x14ac:dyDescent="0.35">
      <c r="A10" s="44" t="s">
        <v>47</v>
      </c>
      <c r="B10" s="45"/>
      <c r="C10" s="46">
        <v>1413.73</v>
      </c>
      <c r="D10" s="47"/>
      <c r="E10" s="166" t="e">
        <f>E73</f>
        <v>#VALUE!</v>
      </c>
      <c r="F10" s="49"/>
      <c r="G10" s="166">
        <f t="shared" ref="G10:BQ10" si="0">G73</f>
        <v>0</v>
      </c>
      <c r="H10" s="49"/>
      <c r="I10" s="166">
        <f t="shared" si="0"/>
        <v>0</v>
      </c>
      <c r="J10" s="49"/>
      <c r="K10" s="166">
        <f t="shared" si="0"/>
        <v>0</v>
      </c>
      <c r="L10" s="49"/>
      <c r="M10" s="166">
        <f t="shared" si="0"/>
        <v>0</v>
      </c>
      <c r="N10" s="49"/>
      <c r="O10" s="166">
        <f t="shared" si="0"/>
        <v>0</v>
      </c>
      <c r="P10" s="49"/>
      <c r="Q10" s="166">
        <f t="shared" si="0"/>
        <v>0</v>
      </c>
      <c r="R10" s="49"/>
      <c r="S10" s="166">
        <f t="shared" si="0"/>
        <v>0</v>
      </c>
      <c r="T10" s="49"/>
      <c r="U10" s="166">
        <f t="shared" si="0"/>
        <v>0</v>
      </c>
      <c r="V10" s="49"/>
      <c r="W10" s="166">
        <f t="shared" si="0"/>
        <v>0</v>
      </c>
      <c r="X10" s="49"/>
      <c r="Y10" s="166">
        <f t="shared" si="0"/>
        <v>0</v>
      </c>
      <c r="Z10" s="49"/>
      <c r="AA10" s="166">
        <f t="shared" si="0"/>
        <v>0</v>
      </c>
      <c r="AB10" s="49"/>
      <c r="AC10" s="166">
        <f t="shared" si="0"/>
        <v>0</v>
      </c>
      <c r="AD10" s="49"/>
      <c r="AE10" s="166">
        <f t="shared" si="0"/>
        <v>0</v>
      </c>
      <c r="AF10" s="49"/>
      <c r="AG10" s="166">
        <f t="shared" si="0"/>
        <v>0</v>
      </c>
      <c r="AH10" s="49"/>
      <c r="AI10" s="166">
        <f t="shared" si="0"/>
        <v>0</v>
      </c>
      <c r="AJ10" s="49"/>
      <c r="AK10" s="166">
        <f t="shared" si="0"/>
        <v>0</v>
      </c>
      <c r="AL10" s="49"/>
      <c r="AM10" s="166">
        <f t="shared" si="0"/>
        <v>0</v>
      </c>
      <c r="AN10" s="49"/>
      <c r="AO10" s="166">
        <f t="shared" si="0"/>
        <v>0</v>
      </c>
      <c r="AP10" s="49"/>
      <c r="AQ10" s="166">
        <f t="shared" si="0"/>
        <v>0</v>
      </c>
      <c r="AR10" s="49"/>
      <c r="AS10" s="166">
        <f t="shared" si="0"/>
        <v>0</v>
      </c>
      <c r="AT10" s="49"/>
      <c r="AU10" s="166">
        <f t="shared" si="0"/>
        <v>0</v>
      </c>
      <c r="AV10" s="49"/>
      <c r="AW10" s="166">
        <f t="shared" si="0"/>
        <v>0</v>
      </c>
      <c r="AX10" s="49"/>
      <c r="AY10" s="166">
        <f t="shared" si="0"/>
        <v>0</v>
      </c>
      <c r="AZ10" s="49"/>
      <c r="BA10" s="166">
        <f t="shared" si="0"/>
        <v>0</v>
      </c>
      <c r="BB10" s="49"/>
      <c r="BC10" s="166">
        <f t="shared" si="0"/>
        <v>0</v>
      </c>
      <c r="BD10" s="49"/>
      <c r="BE10" s="166">
        <f t="shared" si="0"/>
        <v>0</v>
      </c>
      <c r="BF10" s="49"/>
      <c r="BG10" s="166">
        <f t="shared" si="0"/>
        <v>0</v>
      </c>
      <c r="BH10" s="49"/>
      <c r="BI10" s="166">
        <f t="shared" si="0"/>
        <v>0</v>
      </c>
      <c r="BJ10" s="49"/>
      <c r="BK10" s="166">
        <f t="shared" si="0"/>
        <v>0</v>
      </c>
      <c r="BL10" s="49"/>
      <c r="BM10" s="166">
        <f t="shared" si="0"/>
        <v>0</v>
      </c>
      <c r="BN10" s="50"/>
      <c r="BO10" s="170" t="e">
        <f>IF(COUNT(E10,G10,I10,K10,M10,O10,Q10,S10,U10,W10,Y10,AA10,AC10,AE10,AG10,AI10,AK10,AM10,AO10,AQ10,AS10,AU10,AW10,AY10,BA10,BC10,BE10,BG10,BI10,BK10,BM10)=0,"",SUM(E10,G10,I10,K10,M10,O10,Q10,S10,U10,W10,Y10,AA10,AC10,AE10,AG10,AI10,AK10,AM10,AO10,AQ10,AS10,AU10,AW10,AY10,BA10,BC10,BE10,BG10,BI10,BK10,BM10))</f>
        <v>#VALUE!</v>
      </c>
      <c r="BP10" s="49"/>
      <c r="BQ10" s="172">
        <f t="shared" si="0"/>
        <v>0</v>
      </c>
      <c r="BR10"/>
      <c r="BS10"/>
      <c r="BT10"/>
      <c r="BU10"/>
      <c r="BV10"/>
      <c r="BW10"/>
      <c r="BX10"/>
    </row>
    <row r="11" spans="1:76" s="2" customFormat="1" x14ac:dyDescent="0.35">
      <c r="A11" s="44" t="s">
        <v>48</v>
      </c>
      <c r="B11" s="45"/>
      <c r="C11" s="46">
        <v>5252.8</v>
      </c>
      <c r="D11" s="47"/>
      <c r="E11" s="166">
        <f>E75+E56</f>
        <v>0</v>
      </c>
      <c r="F11" s="49"/>
      <c r="G11" s="166">
        <f>G75+G56</f>
        <v>0</v>
      </c>
      <c r="H11" s="49"/>
      <c r="I11" s="166">
        <f>I75+I56</f>
        <v>0</v>
      </c>
      <c r="J11" s="49"/>
      <c r="K11" s="166">
        <f>K75+K56</f>
        <v>0</v>
      </c>
      <c r="L11" s="49"/>
      <c r="M11" s="166">
        <f>M75+M56</f>
        <v>0</v>
      </c>
      <c r="N11" s="49"/>
      <c r="O11" s="166">
        <f>O75+O56</f>
        <v>0</v>
      </c>
      <c r="P11" s="49"/>
      <c r="Q11" s="166">
        <f>Q75+Q56</f>
        <v>0</v>
      </c>
      <c r="R11" s="49"/>
      <c r="S11" s="166">
        <f>S75+S56</f>
        <v>0</v>
      </c>
      <c r="T11" s="49"/>
      <c r="U11" s="166">
        <f>U75+U56</f>
        <v>0</v>
      </c>
      <c r="V11" s="49"/>
      <c r="W11" s="166">
        <f>W75+W56</f>
        <v>0</v>
      </c>
      <c r="X11" s="167">
        <f t="shared" ref="X11:AL11" si="1">X75</f>
        <v>0</v>
      </c>
      <c r="Y11" s="166">
        <f>Y75+Y56</f>
        <v>0</v>
      </c>
      <c r="Z11" s="167">
        <f t="shared" si="1"/>
        <v>0</v>
      </c>
      <c r="AA11" s="166">
        <f>AA75+AA56</f>
        <v>0</v>
      </c>
      <c r="AB11" s="167">
        <f t="shared" si="1"/>
        <v>0</v>
      </c>
      <c r="AC11" s="166">
        <f>AC75+AC56</f>
        <v>0</v>
      </c>
      <c r="AD11" s="167">
        <f t="shared" si="1"/>
        <v>0</v>
      </c>
      <c r="AE11" s="166">
        <f>AE75+AE56</f>
        <v>0</v>
      </c>
      <c r="AF11" s="167">
        <f t="shared" si="1"/>
        <v>0</v>
      </c>
      <c r="AG11" s="166">
        <f>AG75+AG56</f>
        <v>0</v>
      </c>
      <c r="AH11" s="167">
        <f t="shared" si="1"/>
        <v>0</v>
      </c>
      <c r="AI11" s="166">
        <f>AI75+AI56</f>
        <v>0</v>
      </c>
      <c r="AJ11" s="167">
        <f t="shared" si="1"/>
        <v>0</v>
      </c>
      <c r="AK11" s="166">
        <f>AK75+AK56</f>
        <v>0</v>
      </c>
      <c r="AL11" s="167">
        <f t="shared" si="1"/>
        <v>0</v>
      </c>
      <c r="AM11" s="166">
        <f>AM75+AM56</f>
        <v>0</v>
      </c>
      <c r="AN11" s="49"/>
      <c r="AO11" s="166">
        <f>AO75+AO56</f>
        <v>0</v>
      </c>
      <c r="AP11" s="49"/>
      <c r="AQ11" s="166">
        <f>AQ75+AQ56</f>
        <v>0</v>
      </c>
      <c r="AR11" s="49"/>
      <c r="AS11" s="166">
        <f>AS75+AS56</f>
        <v>0</v>
      </c>
      <c r="AT11" s="49"/>
      <c r="AU11" s="166">
        <f>AU75+AU56</f>
        <v>0</v>
      </c>
      <c r="AV11" s="49"/>
      <c r="AW11" s="166">
        <f>AW75+AW56</f>
        <v>0</v>
      </c>
      <c r="AX11" s="49"/>
      <c r="AY11" s="166">
        <f>AY75+AY56</f>
        <v>0</v>
      </c>
      <c r="AZ11" s="49"/>
      <c r="BA11" s="166">
        <f>BA75+BA56</f>
        <v>0</v>
      </c>
      <c r="BB11" s="49"/>
      <c r="BC11" s="166">
        <f>BC75+BC56</f>
        <v>0</v>
      </c>
      <c r="BD11" s="49"/>
      <c r="BE11" s="166">
        <f>BE75+BE56</f>
        <v>0</v>
      </c>
      <c r="BF11" s="49"/>
      <c r="BG11" s="166">
        <f>BG75+BG56</f>
        <v>0</v>
      </c>
      <c r="BH11" s="49"/>
      <c r="BI11" s="166">
        <f>BI75+BI56</f>
        <v>0</v>
      </c>
      <c r="BJ11" s="49"/>
      <c r="BK11" s="166">
        <f>BK75+BK56</f>
        <v>0</v>
      </c>
      <c r="BL11" s="49"/>
      <c r="BM11" s="166">
        <f>BM75+BM56</f>
        <v>0</v>
      </c>
      <c r="BN11" s="50"/>
      <c r="BO11" s="170">
        <f>IF(COUNT(E11,G11,I11,K11,M11,O11,Q11,S11,U11,W11,Y11,AA11,AC11,AE11,AG11,AI11,AK11,AM11,AO11,AQ11,AS11,AU11,AW11,AY11,BA11,BC11,BE11,BG11,BI11,BK11,BM11)=0,"",SUM(E11,G11,I11,K11,M11,O11,Q11,S11,U11,W11,Y11,AA11,AC11,AE11,AG11,AI11,AK11,AM11,AO11,AQ11,AS11,AU11,AW11,AY11,BA11,BC11,BE11,BG11,BI11,BK11,BM11))</f>
        <v>0</v>
      </c>
      <c r="BP11" s="49"/>
      <c r="BQ11" s="172" t="e">
        <f>BQ75+BQ56</f>
        <v>#VALUE!</v>
      </c>
      <c r="BR11"/>
      <c r="BS11"/>
      <c r="BT11"/>
      <c r="BU11"/>
      <c r="BV11"/>
      <c r="BW11"/>
      <c r="BX11"/>
    </row>
    <row r="12" spans="1:76" ht="13.5" customHeight="1" x14ac:dyDescent="0.35">
      <c r="A12" s="53"/>
      <c r="B12" s="54"/>
      <c r="C12" s="55"/>
      <c r="D12" s="219"/>
      <c r="E12" s="217"/>
      <c r="F12" s="216"/>
      <c r="G12" s="217"/>
      <c r="H12" s="216"/>
      <c r="I12" s="217"/>
      <c r="J12" s="216"/>
      <c r="K12" s="217"/>
      <c r="L12" s="216"/>
      <c r="M12" s="217"/>
      <c r="N12" s="216"/>
      <c r="O12" s="217"/>
      <c r="P12" s="216"/>
      <c r="Q12" s="217"/>
      <c r="R12" s="216"/>
      <c r="S12" s="217"/>
      <c r="T12" s="216"/>
      <c r="U12" s="217"/>
      <c r="V12" s="216"/>
      <c r="W12" s="217"/>
      <c r="X12" s="216"/>
      <c r="Y12" s="217"/>
      <c r="Z12" s="216"/>
      <c r="AA12" s="217"/>
      <c r="AB12" s="216"/>
      <c r="AC12" s="217"/>
      <c r="AD12" s="216"/>
      <c r="AE12" s="217"/>
      <c r="AF12" s="216"/>
      <c r="AG12" s="217"/>
      <c r="AH12" s="216"/>
      <c r="AI12" s="217"/>
      <c r="AJ12" s="216"/>
      <c r="AK12" s="217"/>
      <c r="AL12" s="216"/>
      <c r="AM12" s="217"/>
      <c r="AN12" s="216"/>
      <c r="AO12" s="217"/>
      <c r="AP12" s="216"/>
      <c r="AQ12" s="217"/>
      <c r="AR12" s="216"/>
      <c r="AS12" s="217"/>
      <c r="AT12" s="216"/>
      <c r="AU12" s="217"/>
      <c r="AV12" s="216"/>
      <c r="AW12" s="217"/>
      <c r="AX12" s="216"/>
      <c r="AY12" s="217"/>
      <c r="AZ12" s="216"/>
      <c r="BA12" s="217"/>
      <c r="BB12" s="216"/>
      <c r="BC12" s="217"/>
      <c r="BD12" s="216"/>
      <c r="BE12" s="217"/>
      <c r="BF12" s="216"/>
      <c r="BG12" s="217"/>
      <c r="BH12" s="216"/>
      <c r="BI12" s="217"/>
      <c r="BJ12" s="216"/>
      <c r="BK12" s="217"/>
      <c r="BL12" s="216"/>
      <c r="BM12" s="217"/>
      <c r="BN12" s="56"/>
      <c r="BO12" s="57"/>
      <c r="BP12" s="216"/>
      <c r="BQ12" s="218"/>
    </row>
    <row r="13" spans="1:76" x14ac:dyDescent="0.35">
      <c r="A13" s="58" t="s">
        <v>39</v>
      </c>
      <c r="B13" s="59"/>
      <c r="C13" s="205" t="str">
        <f>IF('March 2027 Log'!BM13="","",'March 2027 Log'!BM13)</f>
        <v/>
      </c>
      <c r="D13" s="61" t="s">
        <v>52</v>
      </c>
      <c r="E13" s="62"/>
      <c r="F13" s="63" t="s">
        <v>52</v>
      </c>
      <c r="G13" s="62"/>
      <c r="H13" s="63" t="s">
        <v>52</v>
      </c>
      <c r="I13" s="62"/>
      <c r="J13" s="63" t="s">
        <v>52</v>
      </c>
      <c r="K13" s="62"/>
      <c r="L13" s="63" t="s">
        <v>52</v>
      </c>
      <c r="M13" s="62"/>
      <c r="N13" s="63" t="s">
        <v>52</v>
      </c>
      <c r="O13" s="62"/>
      <c r="P13" s="63" t="s">
        <v>52</v>
      </c>
      <c r="Q13" s="62"/>
      <c r="R13" s="63" t="s">
        <v>52</v>
      </c>
      <c r="S13" s="62"/>
      <c r="T13" s="63" t="s">
        <v>52</v>
      </c>
      <c r="U13" s="62"/>
      <c r="V13" s="63" t="s">
        <v>52</v>
      </c>
      <c r="W13" s="62"/>
      <c r="X13" s="63" t="s">
        <v>52</v>
      </c>
      <c r="Y13" s="62"/>
      <c r="Z13" s="63" t="s">
        <v>52</v>
      </c>
      <c r="AA13" s="62"/>
      <c r="AB13" s="63" t="s">
        <v>52</v>
      </c>
      <c r="AC13" s="62"/>
      <c r="AD13" s="63" t="s">
        <v>52</v>
      </c>
      <c r="AE13" s="62"/>
      <c r="AF13" s="63" t="s">
        <v>52</v>
      </c>
      <c r="AG13" s="62"/>
      <c r="AH13" s="63" t="s">
        <v>52</v>
      </c>
      <c r="AI13" s="62"/>
      <c r="AJ13" s="63" t="s">
        <v>52</v>
      </c>
      <c r="AK13" s="62"/>
      <c r="AL13" s="63" t="s">
        <v>52</v>
      </c>
      <c r="AM13" s="62"/>
      <c r="AN13" s="63" t="s">
        <v>52</v>
      </c>
      <c r="AO13" s="62"/>
      <c r="AP13" s="63" t="s">
        <v>52</v>
      </c>
      <c r="AQ13" s="62"/>
      <c r="AR13" s="63" t="s">
        <v>52</v>
      </c>
      <c r="AS13" s="62"/>
      <c r="AT13" s="63" t="s">
        <v>52</v>
      </c>
      <c r="AU13" s="62"/>
      <c r="AV13" s="63" t="s">
        <v>52</v>
      </c>
      <c r="AW13" s="62"/>
      <c r="AX13" s="63" t="s">
        <v>52</v>
      </c>
      <c r="AY13" s="62"/>
      <c r="AZ13" s="63" t="s">
        <v>52</v>
      </c>
      <c r="BA13" s="62"/>
      <c r="BB13" s="63" t="s">
        <v>52</v>
      </c>
      <c r="BC13" s="62"/>
      <c r="BD13" s="63" t="s">
        <v>52</v>
      </c>
      <c r="BE13" s="62"/>
      <c r="BF13" s="63" t="s">
        <v>52</v>
      </c>
      <c r="BG13" s="62"/>
      <c r="BH13" s="63" t="s">
        <v>52</v>
      </c>
      <c r="BI13" s="62"/>
      <c r="BJ13" s="63" t="s">
        <v>52</v>
      </c>
      <c r="BK13" s="62"/>
      <c r="BL13" s="63"/>
      <c r="BM13" s="62"/>
      <c r="BN13" s="64"/>
      <c r="BO13" s="65"/>
      <c r="BP13" s="63" t="s">
        <v>52</v>
      </c>
      <c r="BQ13" s="207" t="str">
        <f>IF(BK13="","",BK13)</f>
        <v/>
      </c>
    </row>
    <row r="14" spans="1:76" x14ac:dyDescent="0.35">
      <c r="A14" s="53" t="s">
        <v>40</v>
      </c>
      <c r="B14" s="59"/>
      <c r="C14" s="206" t="str">
        <f>IF('March 2027 Log'!BM14="","",'March 2027 Log'!BM14)</f>
        <v/>
      </c>
      <c r="D14" s="68" t="s">
        <v>40</v>
      </c>
      <c r="E14" s="69"/>
      <c r="F14" s="70" t="s">
        <v>40</v>
      </c>
      <c r="G14" s="69"/>
      <c r="H14" s="70" t="s">
        <v>40</v>
      </c>
      <c r="I14" s="69"/>
      <c r="J14" s="70" t="s">
        <v>40</v>
      </c>
      <c r="K14" s="69"/>
      <c r="L14" s="70" t="s">
        <v>40</v>
      </c>
      <c r="M14" s="69"/>
      <c r="N14" s="70" t="s">
        <v>40</v>
      </c>
      <c r="O14" s="69"/>
      <c r="P14" s="70" t="s">
        <v>40</v>
      </c>
      <c r="Q14" s="69"/>
      <c r="R14" s="70" t="s">
        <v>40</v>
      </c>
      <c r="S14" s="69"/>
      <c r="T14" s="70" t="s">
        <v>40</v>
      </c>
      <c r="U14" s="69"/>
      <c r="V14" s="70" t="s">
        <v>40</v>
      </c>
      <c r="W14" s="69"/>
      <c r="X14" s="70" t="s">
        <v>40</v>
      </c>
      <c r="Y14" s="69"/>
      <c r="Z14" s="70" t="s">
        <v>40</v>
      </c>
      <c r="AA14" s="69"/>
      <c r="AB14" s="70" t="s">
        <v>40</v>
      </c>
      <c r="AC14" s="69"/>
      <c r="AD14" s="70" t="s">
        <v>40</v>
      </c>
      <c r="AE14" s="69"/>
      <c r="AF14" s="70" t="s">
        <v>40</v>
      </c>
      <c r="AG14" s="69"/>
      <c r="AH14" s="70" t="s">
        <v>40</v>
      </c>
      <c r="AI14" s="69"/>
      <c r="AJ14" s="70" t="s">
        <v>40</v>
      </c>
      <c r="AK14" s="69"/>
      <c r="AL14" s="70" t="s">
        <v>40</v>
      </c>
      <c r="AM14" s="69"/>
      <c r="AN14" s="70" t="s">
        <v>40</v>
      </c>
      <c r="AO14" s="69"/>
      <c r="AP14" s="70" t="s">
        <v>40</v>
      </c>
      <c r="AQ14" s="69"/>
      <c r="AR14" s="70" t="s">
        <v>40</v>
      </c>
      <c r="AS14" s="69"/>
      <c r="AT14" s="70" t="s">
        <v>40</v>
      </c>
      <c r="AU14" s="69"/>
      <c r="AV14" s="70" t="s">
        <v>40</v>
      </c>
      <c r="AW14" s="69"/>
      <c r="AX14" s="70" t="s">
        <v>40</v>
      </c>
      <c r="AY14" s="69"/>
      <c r="AZ14" s="70" t="s">
        <v>40</v>
      </c>
      <c r="BA14" s="69"/>
      <c r="BB14" s="70" t="s">
        <v>40</v>
      </c>
      <c r="BC14" s="69"/>
      <c r="BD14" s="70" t="s">
        <v>40</v>
      </c>
      <c r="BE14" s="69"/>
      <c r="BF14" s="70" t="s">
        <v>40</v>
      </c>
      <c r="BG14" s="69"/>
      <c r="BH14" s="70" t="s">
        <v>40</v>
      </c>
      <c r="BI14" s="69"/>
      <c r="BJ14" s="70" t="s">
        <v>40</v>
      </c>
      <c r="BK14" s="69"/>
      <c r="BL14" s="70"/>
      <c r="BM14" s="69"/>
      <c r="BN14" s="71"/>
      <c r="BO14" s="72"/>
      <c r="BP14" s="70" t="s">
        <v>40</v>
      </c>
      <c r="BQ14" s="208" t="str">
        <f>IF(BK14="","",BK14)</f>
        <v/>
      </c>
    </row>
    <row r="15" spans="1:76" x14ac:dyDescent="0.35">
      <c r="A15" s="53" t="s">
        <v>38</v>
      </c>
      <c r="B15" s="54"/>
      <c r="C15" s="206" t="str">
        <f>IF('March 2027 Log'!BM15="","",'March 2027 Log'!BM15)</f>
        <v/>
      </c>
      <c r="D15" s="68" t="s">
        <v>53</v>
      </c>
      <c r="E15" s="69"/>
      <c r="F15" s="70" t="s">
        <v>53</v>
      </c>
      <c r="G15" s="69"/>
      <c r="H15" s="70" t="s">
        <v>53</v>
      </c>
      <c r="I15" s="69"/>
      <c r="J15" s="70" t="s">
        <v>53</v>
      </c>
      <c r="K15" s="69"/>
      <c r="L15" s="70" t="s">
        <v>53</v>
      </c>
      <c r="M15" s="69"/>
      <c r="N15" s="70" t="s">
        <v>53</v>
      </c>
      <c r="O15" s="69"/>
      <c r="P15" s="70" t="s">
        <v>53</v>
      </c>
      <c r="Q15" s="69"/>
      <c r="R15" s="70" t="s">
        <v>53</v>
      </c>
      <c r="S15" s="69"/>
      <c r="T15" s="70" t="s">
        <v>53</v>
      </c>
      <c r="U15" s="69"/>
      <c r="V15" s="70" t="s">
        <v>53</v>
      </c>
      <c r="W15" s="69"/>
      <c r="X15" s="70" t="s">
        <v>53</v>
      </c>
      <c r="Y15" s="69"/>
      <c r="Z15" s="70" t="s">
        <v>53</v>
      </c>
      <c r="AA15" s="69"/>
      <c r="AB15" s="70" t="s">
        <v>53</v>
      </c>
      <c r="AC15" s="69"/>
      <c r="AD15" s="70" t="s">
        <v>53</v>
      </c>
      <c r="AE15" s="69"/>
      <c r="AF15" s="70" t="s">
        <v>53</v>
      </c>
      <c r="AG15" s="69"/>
      <c r="AH15" s="70" t="s">
        <v>53</v>
      </c>
      <c r="AI15" s="69"/>
      <c r="AJ15" s="70" t="s">
        <v>53</v>
      </c>
      <c r="AK15" s="69"/>
      <c r="AL15" s="70" t="s">
        <v>53</v>
      </c>
      <c r="AM15" s="69"/>
      <c r="AN15" s="70" t="s">
        <v>53</v>
      </c>
      <c r="AO15" s="69"/>
      <c r="AP15" s="70" t="s">
        <v>53</v>
      </c>
      <c r="AQ15" s="69"/>
      <c r="AR15" s="70" t="s">
        <v>53</v>
      </c>
      <c r="AS15" s="69"/>
      <c r="AT15" s="70" t="s">
        <v>53</v>
      </c>
      <c r="AU15" s="69"/>
      <c r="AV15" s="70" t="s">
        <v>53</v>
      </c>
      <c r="AW15" s="69"/>
      <c r="AX15" s="70" t="s">
        <v>53</v>
      </c>
      <c r="AY15" s="69"/>
      <c r="AZ15" s="70" t="s">
        <v>53</v>
      </c>
      <c r="BA15" s="69"/>
      <c r="BB15" s="70" t="s">
        <v>53</v>
      </c>
      <c r="BC15" s="69"/>
      <c r="BD15" s="70" t="s">
        <v>53</v>
      </c>
      <c r="BE15" s="69"/>
      <c r="BF15" s="70" t="s">
        <v>53</v>
      </c>
      <c r="BG15" s="69"/>
      <c r="BH15" s="70" t="s">
        <v>53</v>
      </c>
      <c r="BI15" s="69"/>
      <c r="BJ15" s="70" t="s">
        <v>53</v>
      </c>
      <c r="BK15" s="69"/>
      <c r="BL15" s="70"/>
      <c r="BM15" s="69"/>
      <c r="BN15" s="71"/>
      <c r="BO15" s="72"/>
      <c r="BP15" s="70" t="s">
        <v>53</v>
      </c>
      <c r="BQ15" s="208" t="str">
        <f>IF(BK15="","",BK15)</f>
        <v/>
      </c>
    </row>
    <row r="16" spans="1:76" x14ac:dyDescent="0.35">
      <c r="A16" s="74" t="s">
        <v>51</v>
      </c>
      <c r="B16" s="75"/>
      <c r="C16" s="76"/>
      <c r="D16" s="77"/>
      <c r="E16" s="78"/>
      <c r="F16" s="79"/>
      <c r="G16" s="78"/>
      <c r="H16" s="79"/>
      <c r="I16" s="78"/>
      <c r="J16" s="79"/>
      <c r="K16" s="78"/>
      <c r="L16" s="79"/>
      <c r="M16" s="78"/>
      <c r="N16" s="79"/>
      <c r="O16" s="78"/>
      <c r="P16" s="79"/>
      <c r="Q16" s="78"/>
      <c r="R16" s="79"/>
      <c r="S16" s="78"/>
      <c r="T16" s="79"/>
      <c r="U16" s="78"/>
      <c r="V16" s="79"/>
      <c r="W16" s="78"/>
      <c r="X16" s="79"/>
      <c r="Y16" s="78"/>
      <c r="Z16" s="79"/>
      <c r="AA16" s="78"/>
      <c r="AB16" s="79"/>
      <c r="AC16" s="78"/>
      <c r="AD16" s="79"/>
      <c r="AE16" s="78"/>
      <c r="AF16" s="79"/>
      <c r="AG16" s="78"/>
      <c r="AH16" s="79"/>
      <c r="AI16" s="78"/>
      <c r="AJ16" s="79"/>
      <c r="AK16" s="78"/>
      <c r="AL16" s="79"/>
      <c r="AM16" s="78"/>
      <c r="AN16" s="79"/>
      <c r="AO16" s="78"/>
      <c r="AP16" s="79"/>
      <c r="AQ16" s="78"/>
      <c r="AR16" s="79"/>
      <c r="AS16" s="78"/>
      <c r="AT16" s="79"/>
      <c r="AU16" s="78"/>
      <c r="AV16" s="79"/>
      <c r="AW16" s="78"/>
      <c r="AX16" s="79"/>
      <c r="AY16" s="78"/>
      <c r="AZ16" s="79"/>
      <c r="BA16" s="78"/>
      <c r="BB16" s="79"/>
      <c r="BC16" s="78"/>
      <c r="BD16" s="79"/>
      <c r="BE16" s="78"/>
      <c r="BF16" s="79"/>
      <c r="BG16" s="78"/>
      <c r="BH16" s="79"/>
      <c r="BI16" s="78"/>
      <c r="BJ16" s="79"/>
      <c r="BK16" s="78"/>
      <c r="BL16" s="79"/>
      <c r="BM16" s="78"/>
      <c r="BN16" s="80"/>
      <c r="BO16" s="81"/>
      <c r="BP16" s="79"/>
      <c r="BQ16" s="82"/>
    </row>
    <row r="17" spans="1:76" x14ac:dyDescent="0.35">
      <c r="A17" s="53" t="s">
        <v>45</v>
      </c>
      <c r="B17" s="54"/>
      <c r="C17" s="206" t="str">
        <f>IF('March 2027 Log'!BM17="","",'March 2027 Log'!BM17)</f>
        <v/>
      </c>
      <c r="D17" s="68"/>
      <c r="E17" s="69"/>
      <c r="F17" s="70"/>
      <c r="G17" s="69"/>
      <c r="H17" s="70"/>
      <c r="I17" s="69"/>
      <c r="J17" s="70"/>
      <c r="K17" s="69"/>
      <c r="L17" s="70"/>
      <c r="M17" s="69"/>
      <c r="N17" s="70"/>
      <c r="O17" s="69"/>
      <c r="P17" s="70"/>
      <c r="Q17" s="69"/>
      <c r="R17" s="70"/>
      <c r="S17" s="69"/>
      <c r="T17" s="70"/>
      <c r="U17" s="69"/>
      <c r="V17" s="70"/>
      <c r="W17" s="69"/>
      <c r="X17" s="70"/>
      <c r="Y17" s="69"/>
      <c r="Z17" s="70"/>
      <c r="AA17" s="69"/>
      <c r="AB17" s="70"/>
      <c r="AC17" s="69"/>
      <c r="AD17" s="70"/>
      <c r="AE17" s="69"/>
      <c r="AF17" s="70"/>
      <c r="AG17" s="69"/>
      <c r="AH17" s="70"/>
      <c r="AI17" s="69"/>
      <c r="AJ17" s="70"/>
      <c r="AK17" s="69"/>
      <c r="AL17" s="70"/>
      <c r="AM17" s="69"/>
      <c r="AN17" s="70"/>
      <c r="AO17" s="69"/>
      <c r="AP17" s="70"/>
      <c r="AQ17" s="69"/>
      <c r="AR17" s="70"/>
      <c r="AS17" s="69"/>
      <c r="AT17" s="70"/>
      <c r="AU17" s="69"/>
      <c r="AV17" s="70"/>
      <c r="AW17" s="69"/>
      <c r="AX17" s="70"/>
      <c r="AY17" s="69"/>
      <c r="AZ17" s="70"/>
      <c r="BA17" s="69"/>
      <c r="BB17" s="70"/>
      <c r="BC17" s="69"/>
      <c r="BD17" s="70"/>
      <c r="BE17" s="69"/>
      <c r="BF17" s="70"/>
      <c r="BG17" s="69"/>
      <c r="BH17" s="70"/>
      <c r="BI17" s="69"/>
      <c r="BJ17" s="70"/>
      <c r="BK17" s="69"/>
      <c r="BL17" s="70"/>
      <c r="BM17" s="69"/>
      <c r="BN17" s="71"/>
      <c r="BO17" s="182" t="str">
        <f t="shared" ref="BO17:BO59" si="2">IF(COUNT(E17,G17,I17,K17,M17,O17,Q17,S17,U17,W17,Y17,AA17,AC17,AE17,AG17,AI17,AK17,AM17,AO17,AQ17,AS17,AU17,AW17,AY17,BA17,BC17,BE17,BG17,BI17,BK17,BM17)=0,"",SUM(E17,G17,I17,K17,M17,O17,Q17,S17,U17,W17,Y17,AA17,AC17,AE17,AG17,AI17,AK17,AM17,AO17,AQ17,AS17,AU17,AW17,AY17,BA17,BC17,BE17,BG17,BI17,BK17,BM17))</f>
        <v/>
      </c>
      <c r="BP17" s="70"/>
      <c r="BQ17" s="208" t="str">
        <f>IF(BK17="","",BK17)</f>
        <v/>
      </c>
    </row>
    <row r="18" spans="1:76" x14ac:dyDescent="0.35">
      <c r="A18" s="53" t="s">
        <v>46</v>
      </c>
      <c r="B18" s="54"/>
      <c r="C18" s="67"/>
      <c r="D18" s="68"/>
      <c r="E18" s="69"/>
      <c r="F18" s="70"/>
      <c r="G18" s="69"/>
      <c r="H18" s="70"/>
      <c r="I18" s="69"/>
      <c r="J18" s="70"/>
      <c r="K18" s="69"/>
      <c r="L18" s="70"/>
      <c r="M18" s="69"/>
      <c r="N18" s="70"/>
      <c r="O18" s="69"/>
      <c r="P18" s="70"/>
      <c r="Q18" s="69"/>
      <c r="R18" s="70"/>
      <c r="S18" s="69"/>
      <c r="T18" s="70"/>
      <c r="U18" s="69"/>
      <c r="V18" s="70"/>
      <c r="W18" s="69"/>
      <c r="X18" s="70"/>
      <c r="Y18" s="69"/>
      <c r="Z18" s="70"/>
      <c r="AA18" s="69"/>
      <c r="AB18" s="70"/>
      <c r="AC18" s="69"/>
      <c r="AD18" s="70"/>
      <c r="AE18" s="69"/>
      <c r="AF18" s="70"/>
      <c r="AG18" s="69"/>
      <c r="AH18" s="70"/>
      <c r="AI18" s="69"/>
      <c r="AJ18" s="70"/>
      <c r="AK18" s="69"/>
      <c r="AL18" s="70"/>
      <c r="AM18" s="69"/>
      <c r="AN18" s="70"/>
      <c r="AO18" s="69"/>
      <c r="AP18" s="70"/>
      <c r="AQ18" s="69"/>
      <c r="AR18" s="70"/>
      <c r="AS18" s="69"/>
      <c r="AT18" s="70"/>
      <c r="AU18" s="69"/>
      <c r="AV18" s="70"/>
      <c r="AW18" s="69"/>
      <c r="AX18" s="70"/>
      <c r="AY18" s="69"/>
      <c r="AZ18" s="70"/>
      <c r="BA18" s="69"/>
      <c r="BB18" s="70"/>
      <c r="BC18" s="69"/>
      <c r="BD18" s="70"/>
      <c r="BE18" s="69"/>
      <c r="BF18" s="70"/>
      <c r="BG18" s="69"/>
      <c r="BH18" s="70"/>
      <c r="BI18" s="69"/>
      <c r="BJ18" s="70"/>
      <c r="BK18" s="69"/>
      <c r="BL18" s="70"/>
      <c r="BM18" s="69"/>
      <c r="BN18" s="71"/>
      <c r="BO18" s="182" t="str">
        <f t="shared" si="2"/>
        <v/>
      </c>
      <c r="BP18" s="70"/>
      <c r="BQ18" s="73"/>
    </row>
    <row r="19" spans="1:76" x14ac:dyDescent="0.35">
      <c r="A19" s="53" t="s">
        <v>69</v>
      </c>
      <c r="B19" s="54"/>
      <c r="C19" s="67"/>
      <c r="D19" s="68"/>
      <c r="E19" s="69"/>
      <c r="F19" s="70"/>
      <c r="G19" s="69"/>
      <c r="H19" s="70"/>
      <c r="I19" s="69"/>
      <c r="J19" s="70"/>
      <c r="K19" s="69"/>
      <c r="L19" s="70"/>
      <c r="M19" s="69"/>
      <c r="N19" s="70"/>
      <c r="O19" s="69"/>
      <c r="P19" s="70"/>
      <c r="Q19" s="69"/>
      <c r="R19" s="70"/>
      <c r="S19" s="69"/>
      <c r="T19" s="70"/>
      <c r="U19" s="69"/>
      <c r="V19" s="70"/>
      <c r="W19" s="69"/>
      <c r="X19" s="70"/>
      <c r="Y19" s="69"/>
      <c r="Z19" s="70"/>
      <c r="AA19" s="69"/>
      <c r="AB19" s="70"/>
      <c r="AC19" s="69"/>
      <c r="AD19" s="70"/>
      <c r="AE19" s="69"/>
      <c r="AF19" s="70"/>
      <c r="AG19" s="69"/>
      <c r="AH19" s="70"/>
      <c r="AI19" s="69"/>
      <c r="AJ19" s="70"/>
      <c r="AK19" s="69"/>
      <c r="AL19" s="70"/>
      <c r="AM19" s="69"/>
      <c r="AN19" s="70"/>
      <c r="AO19" s="69"/>
      <c r="AP19" s="70"/>
      <c r="AQ19" s="69"/>
      <c r="AR19" s="70"/>
      <c r="AS19" s="69"/>
      <c r="AT19" s="70"/>
      <c r="AU19" s="69"/>
      <c r="AV19" s="70"/>
      <c r="AW19" s="69"/>
      <c r="AX19" s="70"/>
      <c r="AY19" s="69"/>
      <c r="AZ19" s="70"/>
      <c r="BA19" s="69"/>
      <c r="BB19" s="70"/>
      <c r="BC19" s="69"/>
      <c r="BD19" s="70"/>
      <c r="BE19" s="69"/>
      <c r="BF19" s="70"/>
      <c r="BG19" s="69"/>
      <c r="BH19" s="70"/>
      <c r="BI19" s="69"/>
      <c r="BJ19" s="70"/>
      <c r="BK19" s="69"/>
      <c r="BL19" s="70"/>
      <c r="BM19" s="69"/>
      <c r="BN19" s="71"/>
      <c r="BO19" s="182" t="str">
        <f t="shared" si="2"/>
        <v/>
      </c>
      <c r="BP19" s="70"/>
      <c r="BQ19" s="73"/>
    </row>
    <row r="20" spans="1:76" x14ac:dyDescent="0.35">
      <c r="A20" s="83" t="s">
        <v>0</v>
      </c>
      <c r="B20" s="54"/>
      <c r="C20" s="84"/>
      <c r="D20" s="85"/>
      <c r="E20" s="86"/>
      <c r="F20" s="87"/>
      <c r="G20" s="86"/>
      <c r="H20" s="87"/>
      <c r="I20" s="86"/>
      <c r="J20" s="87"/>
      <c r="K20" s="86"/>
      <c r="L20" s="87"/>
      <c r="M20" s="86"/>
      <c r="N20" s="87"/>
      <c r="O20" s="86"/>
      <c r="P20" s="87"/>
      <c r="Q20" s="86"/>
      <c r="R20" s="87"/>
      <c r="S20" s="86"/>
      <c r="T20" s="87"/>
      <c r="U20" s="86"/>
      <c r="V20" s="87"/>
      <c r="W20" s="86"/>
      <c r="X20" s="87"/>
      <c r="Y20" s="86"/>
      <c r="Z20" s="87"/>
      <c r="AA20" s="86"/>
      <c r="AB20" s="87"/>
      <c r="AC20" s="86"/>
      <c r="AD20" s="87"/>
      <c r="AE20" s="86"/>
      <c r="AF20" s="87"/>
      <c r="AG20" s="86"/>
      <c r="AH20" s="87"/>
      <c r="AI20" s="86"/>
      <c r="AJ20" s="87"/>
      <c r="AK20" s="86"/>
      <c r="AL20" s="87"/>
      <c r="AM20" s="86"/>
      <c r="AN20" s="87"/>
      <c r="AO20" s="86"/>
      <c r="AP20" s="87"/>
      <c r="AQ20" s="86"/>
      <c r="AR20" s="87"/>
      <c r="AS20" s="86"/>
      <c r="AT20" s="87"/>
      <c r="AU20" s="86"/>
      <c r="AV20" s="87"/>
      <c r="AW20" s="86"/>
      <c r="AX20" s="87"/>
      <c r="AY20" s="86"/>
      <c r="AZ20" s="87"/>
      <c r="BA20" s="86"/>
      <c r="BB20" s="87"/>
      <c r="BC20" s="86"/>
      <c r="BD20" s="87"/>
      <c r="BE20" s="86"/>
      <c r="BF20" s="87"/>
      <c r="BG20" s="86"/>
      <c r="BH20" s="87"/>
      <c r="BI20" s="86"/>
      <c r="BJ20" s="87"/>
      <c r="BK20" s="86"/>
      <c r="BL20" s="87"/>
      <c r="BM20" s="86"/>
      <c r="BN20" s="50"/>
      <c r="BO20" s="170" t="str">
        <f t="shared" si="2"/>
        <v/>
      </c>
      <c r="BP20" s="87"/>
      <c r="BQ20" s="88"/>
    </row>
    <row r="21" spans="1:76" x14ac:dyDescent="0.35">
      <c r="A21" s="83" t="s">
        <v>1</v>
      </c>
      <c r="B21" s="54"/>
      <c r="C21" s="174" t="str">
        <f>IF('March 2027 Log'!BM21="","",'March 2027 Log'!BM21)</f>
        <v/>
      </c>
      <c r="D21" s="85"/>
      <c r="E21" s="86"/>
      <c r="F21" s="87"/>
      <c r="G21" s="86"/>
      <c r="H21" s="87"/>
      <c r="I21" s="86"/>
      <c r="J21" s="87"/>
      <c r="K21" s="86"/>
      <c r="L21" s="87"/>
      <c r="M21" s="86"/>
      <c r="N21" s="87"/>
      <c r="O21" s="86"/>
      <c r="P21" s="87"/>
      <c r="Q21" s="86"/>
      <c r="R21" s="87"/>
      <c r="S21" s="86"/>
      <c r="T21" s="87"/>
      <c r="U21" s="86"/>
      <c r="V21" s="87"/>
      <c r="W21" s="86"/>
      <c r="X21" s="87"/>
      <c r="Y21" s="86"/>
      <c r="Z21" s="87"/>
      <c r="AA21" s="86"/>
      <c r="AB21" s="87"/>
      <c r="AC21" s="86"/>
      <c r="AD21" s="87"/>
      <c r="AE21" s="86"/>
      <c r="AF21" s="87"/>
      <c r="AG21" s="86"/>
      <c r="AH21" s="87"/>
      <c r="AI21" s="86"/>
      <c r="AJ21" s="87"/>
      <c r="AK21" s="86"/>
      <c r="AL21" s="87"/>
      <c r="AM21" s="86"/>
      <c r="AN21" s="87"/>
      <c r="AO21" s="86"/>
      <c r="AP21" s="87"/>
      <c r="AQ21" s="86"/>
      <c r="AR21" s="87"/>
      <c r="AS21" s="86"/>
      <c r="AT21" s="87"/>
      <c r="AU21" s="86"/>
      <c r="AV21" s="87"/>
      <c r="AW21" s="86"/>
      <c r="AX21" s="87"/>
      <c r="AY21" s="86"/>
      <c r="AZ21" s="87"/>
      <c r="BA21" s="86"/>
      <c r="BB21" s="87"/>
      <c r="BC21" s="86"/>
      <c r="BD21" s="87"/>
      <c r="BE21" s="86"/>
      <c r="BF21" s="87"/>
      <c r="BG21" s="86"/>
      <c r="BH21" s="87"/>
      <c r="BI21" s="86"/>
      <c r="BJ21" s="87"/>
      <c r="BK21" s="86"/>
      <c r="BL21" s="87"/>
      <c r="BM21" s="86"/>
      <c r="BN21" s="50"/>
      <c r="BO21" s="170" t="str">
        <f t="shared" si="2"/>
        <v/>
      </c>
      <c r="BP21" s="87"/>
      <c r="BQ21" s="178" t="str">
        <f>IF(BK21="","",BK21)</f>
        <v/>
      </c>
    </row>
    <row r="22" spans="1:76" s="1" customFormat="1" ht="15" thickBot="1" x14ac:dyDescent="0.4">
      <c r="A22" s="89" t="s">
        <v>41</v>
      </c>
      <c r="B22" s="90"/>
      <c r="C22" s="175">
        <f>IF('March 2027 Log'!BM22="","",'March 2027 Log'!BM22)</f>
        <v>0</v>
      </c>
      <c r="D22" s="47"/>
      <c r="E22" s="177">
        <f t="shared" ref="E22" si="3">SUM(E20:E21)</f>
        <v>0</v>
      </c>
      <c r="F22" s="49"/>
      <c r="G22" s="177">
        <f t="shared" ref="G22" si="4">SUM(G20:G21)</f>
        <v>0</v>
      </c>
      <c r="H22" s="49"/>
      <c r="I22" s="177">
        <f t="shared" ref="I22" si="5">SUM(I20:I21)</f>
        <v>0</v>
      </c>
      <c r="J22" s="49"/>
      <c r="K22" s="177">
        <f t="shared" ref="K22" si="6">SUM(K20:K21)</f>
        <v>0</v>
      </c>
      <c r="L22" s="49"/>
      <c r="M22" s="177">
        <f t="shared" ref="M22" si="7">SUM(M20:M21)</f>
        <v>0</v>
      </c>
      <c r="N22" s="49"/>
      <c r="O22" s="177">
        <f t="shared" ref="O22" si="8">SUM(O20:O21)</f>
        <v>0</v>
      </c>
      <c r="P22" s="49"/>
      <c r="Q22" s="177">
        <f t="shared" ref="Q22" si="9">SUM(Q20:Q21)</f>
        <v>0</v>
      </c>
      <c r="R22" s="49"/>
      <c r="S22" s="177">
        <f t="shared" ref="S22" si="10">SUM(S20:S21)</f>
        <v>0</v>
      </c>
      <c r="T22" s="49"/>
      <c r="U22" s="177">
        <f t="shared" ref="U22" si="11">SUM(U20:U21)</f>
        <v>0</v>
      </c>
      <c r="V22" s="49"/>
      <c r="W22" s="177">
        <f t="shared" ref="W22" si="12">SUM(W20:W21)</f>
        <v>0</v>
      </c>
      <c r="X22" s="49"/>
      <c r="Y22" s="177">
        <f t="shared" ref="Y22" si="13">SUM(Y20:Y21)</f>
        <v>0</v>
      </c>
      <c r="Z22" s="49"/>
      <c r="AA22" s="177">
        <f t="shared" ref="AA22" si="14">SUM(AA20:AA21)</f>
        <v>0</v>
      </c>
      <c r="AB22" s="49"/>
      <c r="AC22" s="177">
        <f t="shared" ref="AC22" si="15">SUM(AC20:AC21)</f>
        <v>0</v>
      </c>
      <c r="AD22" s="49"/>
      <c r="AE22" s="177">
        <f t="shared" ref="AE22" si="16">SUM(AE20:AE21)</f>
        <v>0</v>
      </c>
      <c r="AF22" s="49"/>
      <c r="AG22" s="177">
        <f t="shared" ref="AG22" si="17">SUM(AG20:AG21)</f>
        <v>0</v>
      </c>
      <c r="AH22" s="49"/>
      <c r="AI22" s="177">
        <f t="shared" ref="AI22" si="18">SUM(AI20:AI21)</f>
        <v>0</v>
      </c>
      <c r="AJ22" s="49"/>
      <c r="AK22" s="177">
        <f t="shared" ref="AK22" si="19">SUM(AK20:AK21)</f>
        <v>0</v>
      </c>
      <c r="AL22" s="49"/>
      <c r="AM22" s="177">
        <f t="shared" ref="AM22" si="20">SUM(AM20:AM21)</f>
        <v>0</v>
      </c>
      <c r="AN22" s="49"/>
      <c r="AO22" s="177">
        <f t="shared" ref="AO22" si="21">SUM(AO20:AO21)</f>
        <v>0</v>
      </c>
      <c r="AP22" s="49"/>
      <c r="AQ22" s="177">
        <f t="shared" ref="AQ22" si="22">SUM(AQ20:AQ21)</f>
        <v>0</v>
      </c>
      <c r="AR22" s="49"/>
      <c r="AS22" s="177">
        <f t="shared" ref="AS22" si="23">SUM(AS20:AS21)</f>
        <v>0</v>
      </c>
      <c r="AT22" s="49"/>
      <c r="AU22" s="177">
        <f t="shared" ref="AU22" si="24">SUM(AU20:AU21)</f>
        <v>0</v>
      </c>
      <c r="AV22" s="49"/>
      <c r="AW22" s="177">
        <f t="shared" ref="AW22" si="25">SUM(AW20:AW21)</f>
        <v>0</v>
      </c>
      <c r="AX22" s="49"/>
      <c r="AY22" s="177">
        <f t="shared" ref="AY22" si="26">SUM(AY20:AY21)</f>
        <v>0</v>
      </c>
      <c r="AZ22" s="49"/>
      <c r="BA22" s="177">
        <f t="shared" ref="BA22" si="27">SUM(BA20:BA21)</f>
        <v>0</v>
      </c>
      <c r="BB22" s="49"/>
      <c r="BC22" s="177">
        <f t="shared" ref="BC22" si="28">SUM(BC20:BC21)</f>
        <v>0</v>
      </c>
      <c r="BD22" s="49"/>
      <c r="BE22" s="177">
        <f t="shared" ref="BE22" si="29">SUM(BE20:BE21)</f>
        <v>0</v>
      </c>
      <c r="BF22" s="49"/>
      <c r="BG22" s="177">
        <f t="shared" ref="BG22" si="30">SUM(BG20:BG21)</f>
        <v>0</v>
      </c>
      <c r="BH22" s="49"/>
      <c r="BI22" s="177">
        <f t="shared" ref="BI22" si="31">SUM(BI20:BI21)</f>
        <v>0</v>
      </c>
      <c r="BJ22" s="49"/>
      <c r="BK22" s="177">
        <f t="shared" ref="BK22" si="32">SUM(BK20:BK21)</f>
        <v>0</v>
      </c>
      <c r="BL22" s="49"/>
      <c r="BM22" s="91"/>
      <c r="BN22" s="92"/>
      <c r="BO22" s="170">
        <f t="shared" si="2"/>
        <v>0</v>
      </c>
      <c r="BP22" s="49"/>
      <c r="BQ22" s="179">
        <f>IF(BK22="","",BK22)</f>
        <v>0</v>
      </c>
      <c r="BR22"/>
      <c r="BS22"/>
      <c r="BT22"/>
      <c r="BU22"/>
      <c r="BV22"/>
      <c r="BW22"/>
      <c r="BX22"/>
    </row>
    <row r="23" spans="1:76" ht="15" hidden="1" thickBot="1" x14ac:dyDescent="0.4">
      <c r="A23" s="83" t="s">
        <v>2</v>
      </c>
      <c r="B23" s="54"/>
      <c r="C23" s="84"/>
      <c r="D23" s="85"/>
      <c r="E23" s="86"/>
      <c r="F23" s="87"/>
      <c r="G23" s="86"/>
      <c r="H23" s="87"/>
      <c r="I23" s="86"/>
      <c r="J23" s="87"/>
      <c r="K23" s="86"/>
      <c r="L23" s="87"/>
      <c r="M23" s="86"/>
      <c r="N23" s="87"/>
      <c r="O23" s="86"/>
      <c r="P23" s="87"/>
      <c r="Q23" s="86"/>
      <c r="R23" s="87"/>
      <c r="S23" s="86"/>
      <c r="T23" s="87"/>
      <c r="U23" s="86"/>
      <c r="V23" s="87"/>
      <c r="W23" s="86"/>
      <c r="X23" s="87"/>
      <c r="Y23" s="86"/>
      <c r="Z23" s="87"/>
      <c r="AA23" s="86"/>
      <c r="AB23" s="87"/>
      <c r="AC23" s="86"/>
      <c r="AD23" s="87"/>
      <c r="AE23" s="86"/>
      <c r="AF23" s="87"/>
      <c r="AG23" s="86"/>
      <c r="AH23" s="87"/>
      <c r="AI23" s="86"/>
      <c r="AJ23" s="87"/>
      <c r="AK23" s="86"/>
      <c r="AL23" s="87"/>
      <c r="AM23" s="86"/>
      <c r="AN23" s="87"/>
      <c r="AO23" s="86"/>
      <c r="AP23" s="87"/>
      <c r="AQ23" s="86"/>
      <c r="AR23" s="87"/>
      <c r="AS23" s="86"/>
      <c r="AT23" s="87"/>
      <c r="AU23" s="86"/>
      <c r="AV23" s="87"/>
      <c r="AW23" s="86"/>
      <c r="AX23" s="87"/>
      <c r="AY23" s="86"/>
      <c r="AZ23" s="87"/>
      <c r="BA23" s="86"/>
      <c r="BB23" s="87"/>
      <c r="BC23" s="86"/>
      <c r="BD23" s="87"/>
      <c r="BE23" s="86"/>
      <c r="BF23" s="87"/>
      <c r="BG23" s="86"/>
      <c r="BH23" s="87"/>
      <c r="BI23" s="86"/>
      <c r="BJ23" s="87"/>
      <c r="BK23" s="86"/>
      <c r="BL23" s="87"/>
      <c r="BM23" s="86"/>
      <c r="BN23" s="50"/>
      <c r="BO23" s="170" t="str">
        <f t="shared" si="2"/>
        <v/>
      </c>
      <c r="BP23" s="87"/>
      <c r="BQ23" s="88"/>
    </row>
    <row r="24" spans="1:76" ht="15" hidden="1" thickBot="1" x14ac:dyDescent="0.4">
      <c r="A24" s="83" t="s">
        <v>3</v>
      </c>
      <c r="B24" s="54"/>
      <c r="C24" s="84"/>
      <c r="D24" s="85"/>
      <c r="E24" s="86"/>
      <c r="F24" s="87"/>
      <c r="G24" s="86"/>
      <c r="H24" s="87"/>
      <c r="I24" s="86"/>
      <c r="J24" s="87"/>
      <c r="K24" s="86"/>
      <c r="L24" s="87"/>
      <c r="M24" s="86"/>
      <c r="N24" s="87"/>
      <c r="O24" s="86"/>
      <c r="P24" s="87"/>
      <c r="Q24" s="86"/>
      <c r="R24" s="87"/>
      <c r="S24" s="86"/>
      <c r="T24" s="87"/>
      <c r="U24" s="86"/>
      <c r="V24" s="87"/>
      <c r="W24" s="86"/>
      <c r="X24" s="87"/>
      <c r="Y24" s="86"/>
      <c r="Z24" s="87"/>
      <c r="AA24" s="86"/>
      <c r="AB24" s="87"/>
      <c r="AC24" s="86"/>
      <c r="AD24" s="87"/>
      <c r="AE24" s="86"/>
      <c r="AF24" s="87"/>
      <c r="AG24" s="86"/>
      <c r="AH24" s="87"/>
      <c r="AI24" s="86"/>
      <c r="AJ24" s="87"/>
      <c r="AK24" s="86"/>
      <c r="AL24" s="87"/>
      <c r="AM24" s="86"/>
      <c r="AN24" s="87"/>
      <c r="AO24" s="86"/>
      <c r="AP24" s="87"/>
      <c r="AQ24" s="86"/>
      <c r="AR24" s="87"/>
      <c r="AS24" s="86"/>
      <c r="AT24" s="87"/>
      <c r="AU24" s="86"/>
      <c r="AV24" s="87"/>
      <c r="AW24" s="86"/>
      <c r="AX24" s="87"/>
      <c r="AY24" s="86"/>
      <c r="AZ24" s="87"/>
      <c r="BA24" s="86"/>
      <c r="BB24" s="87"/>
      <c r="BC24" s="86"/>
      <c r="BD24" s="87"/>
      <c r="BE24" s="86"/>
      <c r="BF24" s="87"/>
      <c r="BG24" s="86"/>
      <c r="BH24" s="87"/>
      <c r="BI24" s="86"/>
      <c r="BJ24" s="87"/>
      <c r="BK24" s="86"/>
      <c r="BL24" s="87"/>
      <c r="BM24" s="86"/>
      <c r="BN24" s="50"/>
      <c r="BO24" s="170" t="str">
        <f t="shared" si="2"/>
        <v/>
      </c>
      <c r="BP24" s="87"/>
      <c r="BQ24" s="88"/>
    </row>
    <row r="25" spans="1:76" s="7" customFormat="1" x14ac:dyDescent="0.35">
      <c r="A25" s="83" t="s">
        <v>37</v>
      </c>
      <c r="B25" s="54"/>
      <c r="C25" s="174" t="str">
        <f>IF('March 2027 Log'!BM25="","",'March 2027 Log'!BM25)</f>
        <v/>
      </c>
      <c r="D25" s="85"/>
      <c r="E25" s="86"/>
      <c r="F25" s="87"/>
      <c r="G25" s="86"/>
      <c r="H25" s="87"/>
      <c r="I25" s="86"/>
      <c r="J25" s="87"/>
      <c r="K25" s="86"/>
      <c r="L25" s="87"/>
      <c r="M25" s="86"/>
      <c r="N25" s="87"/>
      <c r="O25" s="86"/>
      <c r="P25" s="87"/>
      <c r="Q25" s="86"/>
      <c r="R25" s="87"/>
      <c r="S25" s="86"/>
      <c r="T25" s="87"/>
      <c r="U25" s="86"/>
      <c r="V25" s="87"/>
      <c r="W25" s="86"/>
      <c r="X25" s="87"/>
      <c r="Y25" s="86"/>
      <c r="Z25" s="87"/>
      <c r="AA25" s="86"/>
      <c r="AB25" s="87"/>
      <c r="AC25" s="86"/>
      <c r="AD25" s="87"/>
      <c r="AE25" s="86"/>
      <c r="AF25" s="87"/>
      <c r="AG25" s="86"/>
      <c r="AH25" s="87"/>
      <c r="AI25" s="86"/>
      <c r="AJ25" s="87"/>
      <c r="AK25" s="86"/>
      <c r="AL25" s="87"/>
      <c r="AM25" s="86"/>
      <c r="AN25" s="87"/>
      <c r="AO25" s="86"/>
      <c r="AP25" s="87"/>
      <c r="AQ25" s="86"/>
      <c r="AR25" s="87"/>
      <c r="AS25" s="86"/>
      <c r="AT25" s="87"/>
      <c r="AU25" s="86"/>
      <c r="AV25" s="87"/>
      <c r="AW25" s="86"/>
      <c r="AX25" s="87"/>
      <c r="AY25" s="86"/>
      <c r="AZ25" s="87"/>
      <c r="BA25" s="86"/>
      <c r="BB25" s="87"/>
      <c r="BC25" s="86"/>
      <c r="BD25" s="87"/>
      <c r="BE25" s="86"/>
      <c r="BF25" s="87"/>
      <c r="BG25" s="86"/>
      <c r="BH25" s="87"/>
      <c r="BI25" s="86"/>
      <c r="BJ25" s="87"/>
      <c r="BK25" s="86"/>
      <c r="BL25" s="87"/>
      <c r="BM25" s="86"/>
      <c r="BN25" s="50"/>
      <c r="BO25" s="170" t="str">
        <f t="shared" si="2"/>
        <v/>
      </c>
      <c r="BP25" s="87"/>
      <c r="BQ25" s="178" t="str">
        <f>IF(BK25="","",BK25)</f>
        <v/>
      </c>
      <c r="BR25"/>
      <c r="BS25"/>
      <c r="BT25"/>
      <c r="BU25"/>
      <c r="BV25"/>
      <c r="BW25"/>
      <c r="BX25"/>
    </row>
    <row r="26" spans="1:76" ht="15" thickBot="1" x14ac:dyDescent="0.4">
      <c r="A26" s="94" t="s">
        <v>4</v>
      </c>
      <c r="B26" s="95"/>
      <c r="C26" s="174" t="str">
        <f>IF('March 2027 Log'!BM26="","",'March 2027 Log'!BM26)</f>
        <v/>
      </c>
      <c r="D26" s="96"/>
      <c r="E26" s="86"/>
      <c r="F26" s="97"/>
      <c r="G26" s="86"/>
      <c r="H26" s="97"/>
      <c r="I26" s="86"/>
      <c r="J26" s="97"/>
      <c r="K26" s="86"/>
      <c r="L26" s="97"/>
      <c r="M26" s="86"/>
      <c r="N26" s="97"/>
      <c r="O26" s="86"/>
      <c r="P26" s="97"/>
      <c r="Q26" s="86"/>
      <c r="R26" s="97"/>
      <c r="S26" s="86"/>
      <c r="T26" s="97"/>
      <c r="U26" s="86"/>
      <c r="V26" s="97"/>
      <c r="W26" s="86"/>
      <c r="X26" s="97"/>
      <c r="Y26" s="86"/>
      <c r="Z26" s="97"/>
      <c r="AA26" s="86"/>
      <c r="AB26" s="97"/>
      <c r="AC26" s="86"/>
      <c r="AD26" s="97"/>
      <c r="AE26" s="86"/>
      <c r="AF26" s="97"/>
      <c r="AG26" s="86"/>
      <c r="AH26" s="97"/>
      <c r="AI26" s="86"/>
      <c r="AJ26" s="97"/>
      <c r="AK26" s="86"/>
      <c r="AL26" s="97"/>
      <c r="AM26" s="86"/>
      <c r="AN26" s="97"/>
      <c r="AO26" s="86"/>
      <c r="AP26" s="97"/>
      <c r="AQ26" s="86"/>
      <c r="AR26" s="97"/>
      <c r="AS26" s="86"/>
      <c r="AT26" s="97"/>
      <c r="AU26" s="86"/>
      <c r="AV26" s="97"/>
      <c r="AW26" s="86"/>
      <c r="AX26" s="97"/>
      <c r="AY26" s="86"/>
      <c r="AZ26" s="97"/>
      <c r="BA26" s="86"/>
      <c r="BB26" s="97"/>
      <c r="BC26" s="86"/>
      <c r="BD26" s="97"/>
      <c r="BE26" s="86"/>
      <c r="BF26" s="97"/>
      <c r="BG26" s="86"/>
      <c r="BH26" s="97"/>
      <c r="BI26" s="86"/>
      <c r="BJ26" s="97"/>
      <c r="BK26" s="86"/>
      <c r="BL26" s="97"/>
      <c r="BM26" s="86"/>
      <c r="BN26" s="50"/>
      <c r="BO26" s="170" t="str">
        <f t="shared" si="2"/>
        <v/>
      </c>
      <c r="BP26" s="97"/>
      <c r="BQ26" s="178" t="str">
        <f>IF(BK26="","",BK26)</f>
        <v/>
      </c>
    </row>
    <row r="27" spans="1:76" s="7" customFormat="1" x14ac:dyDescent="0.35">
      <c r="A27" s="53" t="s">
        <v>21</v>
      </c>
      <c r="B27" s="54"/>
      <c r="C27" s="174" t="str">
        <f>IF('March 2027 Log'!BM27="","",'March 2027 Log'!BM27)</f>
        <v/>
      </c>
      <c r="D27" s="85"/>
      <c r="E27" s="86"/>
      <c r="F27" s="87"/>
      <c r="G27" s="86"/>
      <c r="H27" s="87"/>
      <c r="I27" s="86"/>
      <c r="J27" s="87"/>
      <c r="K27" s="86"/>
      <c r="L27" s="87"/>
      <c r="M27" s="86"/>
      <c r="N27" s="87"/>
      <c r="O27" s="86"/>
      <c r="P27" s="87"/>
      <c r="Q27" s="86"/>
      <c r="R27" s="87"/>
      <c r="S27" s="86"/>
      <c r="T27" s="87"/>
      <c r="U27" s="86"/>
      <c r="V27" s="87"/>
      <c r="W27" s="86"/>
      <c r="X27" s="87"/>
      <c r="Y27" s="86"/>
      <c r="Z27" s="87"/>
      <c r="AA27" s="86"/>
      <c r="AB27" s="87"/>
      <c r="AC27" s="86"/>
      <c r="AD27" s="87"/>
      <c r="AE27" s="86"/>
      <c r="AF27" s="87"/>
      <c r="AG27" s="86"/>
      <c r="AH27" s="87"/>
      <c r="AI27" s="86"/>
      <c r="AJ27" s="87"/>
      <c r="AK27" s="86"/>
      <c r="AL27" s="87"/>
      <c r="AM27" s="86"/>
      <c r="AN27" s="87"/>
      <c r="AO27" s="86"/>
      <c r="AP27" s="87"/>
      <c r="AQ27" s="86"/>
      <c r="AR27" s="87"/>
      <c r="AS27" s="86"/>
      <c r="AT27" s="87"/>
      <c r="AU27" s="86"/>
      <c r="AV27" s="87"/>
      <c r="AW27" s="86"/>
      <c r="AX27" s="87"/>
      <c r="AY27" s="86"/>
      <c r="AZ27" s="87"/>
      <c r="BA27" s="86"/>
      <c r="BB27" s="87"/>
      <c r="BC27" s="86"/>
      <c r="BD27" s="87"/>
      <c r="BE27" s="86"/>
      <c r="BF27" s="87"/>
      <c r="BG27" s="86"/>
      <c r="BH27" s="87"/>
      <c r="BI27" s="86"/>
      <c r="BJ27" s="87"/>
      <c r="BK27" s="86"/>
      <c r="BL27" s="87"/>
      <c r="BM27" s="86"/>
      <c r="BN27" s="50"/>
      <c r="BO27" s="170" t="str">
        <f t="shared" si="2"/>
        <v/>
      </c>
      <c r="BP27" s="87"/>
      <c r="BQ27" s="178" t="str">
        <f>IF(BK27="","",BK27)</f>
        <v/>
      </c>
      <c r="BR27"/>
      <c r="BS27"/>
      <c r="BT27"/>
      <c r="BU27"/>
      <c r="BV27"/>
      <c r="BW27"/>
      <c r="BX27"/>
    </row>
    <row r="28" spans="1:76" x14ac:dyDescent="0.35">
      <c r="A28" s="53" t="s">
        <v>22</v>
      </c>
      <c r="B28" s="54"/>
      <c r="C28" s="174" t="str">
        <f>IF('March 2027 Log'!BM28="","",'March 2027 Log'!BM28)</f>
        <v/>
      </c>
      <c r="D28" s="85"/>
      <c r="E28" s="86"/>
      <c r="F28" s="87"/>
      <c r="G28" s="86"/>
      <c r="H28" s="87"/>
      <c r="I28" s="86"/>
      <c r="J28" s="87"/>
      <c r="K28" s="86"/>
      <c r="L28" s="87"/>
      <c r="M28" s="86"/>
      <c r="N28" s="87"/>
      <c r="O28" s="86"/>
      <c r="P28" s="87"/>
      <c r="Q28" s="86"/>
      <c r="R28" s="87"/>
      <c r="S28" s="86"/>
      <c r="T28" s="87"/>
      <c r="U28" s="86"/>
      <c r="V28" s="87"/>
      <c r="W28" s="86"/>
      <c r="X28" s="87"/>
      <c r="Y28" s="86"/>
      <c r="Z28" s="87"/>
      <c r="AA28" s="86"/>
      <c r="AB28" s="87"/>
      <c r="AC28" s="86"/>
      <c r="AD28" s="87"/>
      <c r="AE28" s="86"/>
      <c r="AF28" s="87"/>
      <c r="AG28" s="86"/>
      <c r="AH28" s="87"/>
      <c r="AI28" s="86"/>
      <c r="AJ28" s="87"/>
      <c r="AK28" s="86"/>
      <c r="AL28" s="87"/>
      <c r="AM28" s="86"/>
      <c r="AN28" s="87"/>
      <c r="AO28" s="86"/>
      <c r="AP28" s="87"/>
      <c r="AQ28" s="86"/>
      <c r="AR28" s="87"/>
      <c r="AS28" s="86"/>
      <c r="AT28" s="87"/>
      <c r="AU28" s="86"/>
      <c r="AV28" s="87"/>
      <c r="AW28" s="86"/>
      <c r="AX28" s="87"/>
      <c r="AY28" s="86"/>
      <c r="AZ28" s="87"/>
      <c r="BA28" s="86"/>
      <c r="BB28" s="87"/>
      <c r="BC28" s="86"/>
      <c r="BD28" s="87"/>
      <c r="BE28" s="86"/>
      <c r="BF28" s="87"/>
      <c r="BG28" s="86"/>
      <c r="BH28" s="87"/>
      <c r="BI28" s="86"/>
      <c r="BJ28" s="87"/>
      <c r="BK28" s="86"/>
      <c r="BL28" s="87"/>
      <c r="BM28" s="86"/>
      <c r="BN28" s="50"/>
      <c r="BO28" s="170" t="str">
        <f t="shared" si="2"/>
        <v/>
      </c>
      <c r="BP28" s="87"/>
      <c r="BQ28" s="178" t="str">
        <f>IF(BK28="","",BK28)</f>
        <v/>
      </c>
    </row>
    <row r="29" spans="1:76" s="4" customFormat="1" ht="15" thickBot="1" x14ac:dyDescent="0.4">
      <c r="A29" s="53" t="s">
        <v>23</v>
      </c>
      <c r="B29" s="54"/>
      <c r="C29" s="84"/>
      <c r="D29" s="85"/>
      <c r="E29" s="86"/>
      <c r="F29" s="87"/>
      <c r="G29" s="86"/>
      <c r="H29" s="87"/>
      <c r="I29" s="86"/>
      <c r="J29" s="87"/>
      <c r="K29" s="86"/>
      <c r="L29" s="87"/>
      <c r="M29" s="86"/>
      <c r="N29" s="87"/>
      <c r="O29" s="86"/>
      <c r="P29" s="87"/>
      <c r="Q29" s="86"/>
      <c r="R29" s="87"/>
      <c r="S29" s="86"/>
      <c r="T29" s="87"/>
      <c r="U29" s="86"/>
      <c r="V29" s="87"/>
      <c r="W29" s="86"/>
      <c r="X29" s="87"/>
      <c r="Y29" s="86"/>
      <c r="Z29" s="87"/>
      <c r="AA29" s="86"/>
      <c r="AB29" s="87"/>
      <c r="AC29" s="86"/>
      <c r="AD29" s="87"/>
      <c r="AE29" s="86"/>
      <c r="AF29" s="87"/>
      <c r="AG29" s="86"/>
      <c r="AH29" s="87"/>
      <c r="AI29" s="86"/>
      <c r="AJ29" s="87"/>
      <c r="AK29" s="86"/>
      <c r="AL29" s="87"/>
      <c r="AM29" s="86"/>
      <c r="AN29" s="87"/>
      <c r="AO29" s="86"/>
      <c r="AP29" s="87"/>
      <c r="AQ29" s="86"/>
      <c r="AR29" s="87"/>
      <c r="AS29" s="86"/>
      <c r="AT29" s="87"/>
      <c r="AU29" s="86"/>
      <c r="AV29" s="87"/>
      <c r="AW29" s="86"/>
      <c r="AX29" s="87"/>
      <c r="AY29" s="86"/>
      <c r="AZ29" s="87"/>
      <c r="BA29" s="86"/>
      <c r="BB29" s="87"/>
      <c r="BC29" s="86"/>
      <c r="BD29" s="87"/>
      <c r="BE29" s="86"/>
      <c r="BF29" s="87"/>
      <c r="BG29" s="86"/>
      <c r="BH29" s="87"/>
      <c r="BI29" s="86"/>
      <c r="BJ29" s="87"/>
      <c r="BK29" s="86"/>
      <c r="BL29" s="87"/>
      <c r="BM29" s="86"/>
      <c r="BN29" s="50"/>
      <c r="BO29" s="170" t="str">
        <f t="shared" si="2"/>
        <v/>
      </c>
      <c r="BP29" s="87"/>
      <c r="BQ29" s="88"/>
      <c r="BR29"/>
      <c r="BS29"/>
      <c r="BT29"/>
      <c r="BU29"/>
      <c r="BV29"/>
      <c r="BW29"/>
      <c r="BX29"/>
    </row>
    <row r="30" spans="1:76" s="5" customFormat="1" ht="15" thickBot="1" x14ac:dyDescent="0.4">
      <c r="A30" s="98"/>
      <c r="B30" s="90"/>
      <c r="C30" s="84"/>
      <c r="D30" s="47"/>
      <c r="E30" s="180" t="e">
        <f>E28-(C28-E25+E29)</f>
        <v>#VALUE!</v>
      </c>
      <c r="F30" s="49"/>
      <c r="G30" s="166">
        <f>G28-(E28-G25+G29)</f>
        <v>0</v>
      </c>
      <c r="H30" s="49"/>
      <c r="I30" s="166">
        <f>I28-(G28-I25+I29)</f>
        <v>0</v>
      </c>
      <c r="J30" s="49"/>
      <c r="K30" s="180">
        <f>K28-(I28-K25+K29)</f>
        <v>0</v>
      </c>
      <c r="L30" s="49"/>
      <c r="M30" s="166">
        <f>M28-(K28-M25+M29)</f>
        <v>0</v>
      </c>
      <c r="N30" s="49"/>
      <c r="O30" s="166">
        <f>O28-(M28-O25+O29)</f>
        <v>0</v>
      </c>
      <c r="P30" s="49"/>
      <c r="Q30" s="166">
        <f>Q28-(O28-Q25+Q29)</f>
        <v>0</v>
      </c>
      <c r="R30" s="49"/>
      <c r="S30" s="166">
        <f>S28-(Q28-S25+S29)</f>
        <v>0</v>
      </c>
      <c r="T30" s="49"/>
      <c r="U30" s="166">
        <f>U28-(S28-U25+U29)</f>
        <v>0</v>
      </c>
      <c r="V30" s="49"/>
      <c r="W30" s="166">
        <f>W28-(U28-W25+W29)</f>
        <v>0</v>
      </c>
      <c r="X30" s="49"/>
      <c r="Y30" s="166">
        <f>Y28-(W28-Y25+Y29)</f>
        <v>0</v>
      </c>
      <c r="Z30" s="49"/>
      <c r="AA30" s="166">
        <f>AA28-(Y28-AA25+AA29)</f>
        <v>0</v>
      </c>
      <c r="AB30" s="49"/>
      <c r="AC30" s="166">
        <f>AC28-(AA28-AC25+AC29)</f>
        <v>0</v>
      </c>
      <c r="AD30" s="49"/>
      <c r="AE30" s="166">
        <f>AE28-(AC28-AE25+AE29)</f>
        <v>0</v>
      </c>
      <c r="AF30" s="49"/>
      <c r="AG30" s="166">
        <f>AG28-(AE28-AG25+AG29)</f>
        <v>0</v>
      </c>
      <c r="AH30" s="49"/>
      <c r="AI30" s="166">
        <f>AI28-(AG28-AI25+AI29)</f>
        <v>0</v>
      </c>
      <c r="AJ30" s="49"/>
      <c r="AK30" s="166">
        <f>AK28-(AI28-AK25+AK29)</f>
        <v>0</v>
      </c>
      <c r="AL30" s="49"/>
      <c r="AM30" s="166">
        <f>AM28-(AK28-AM25+AM29)</f>
        <v>0</v>
      </c>
      <c r="AN30" s="49"/>
      <c r="AO30" s="166">
        <f>AO28-(AM28-AO25+AO29)</f>
        <v>0</v>
      </c>
      <c r="AP30" s="49"/>
      <c r="AQ30" s="166">
        <f>AQ28-(AO28-AQ25+AQ29)</f>
        <v>0</v>
      </c>
      <c r="AR30" s="49"/>
      <c r="AS30" s="166">
        <f>AS28-(AQ28-AS25+AS29)</f>
        <v>0</v>
      </c>
      <c r="AT30" s="49"/>
      <c r="AU30" s="166">
        <f>AU28-(AS28-AU25+AU29)</f>
        <v>0</v>
      </c>
      <c r="AV30" s="49"/>
      <c r="AW30" s="166">
        <f>AW28-(AU28-AW25+AW29)</f>
        <v>0</v>
      </c>
      <c r="AX30" s="49"/>
      <c r="AY30" s="166">
        <f>AY28-(AW28-AY25+AY29)</f>
        <v>0</v>
      </c>
      <c r="AZ30" s="49"/>
      <c r="BA30" s="166">
        <f>BA28-(AY28-BA25+BA29)</f>
        <v>0</v>
      </c>
      <c r="BB30" s="49"/>
      <c r="BC30" s="166">
        <f>BC28-(BA28-BC25+BC29)</f>
        <v>0</v>
      </c>
      <c r="BD30" s="49"/>
      <c r="BE30" s="166">
        <f>BE28-(BC28-BE25+BE29)</f>
        <v>0</v>
      </c>
      <c r="BF30" s="49"/>
      <c r="BG30" s="166">
        <f>BG28-(BE28-BG25+BG29)</f>
        <v>0</v>
      </c>
      <c r="BH30" s="49"/>
      <c r="BI30" s="166">
        <f>BI28-(BG28-BI25+BI29)</f>
        <v>0</v>
      </c>
      <c r="BJ30" s="49"/>
      <c r="BK30" s="166">
        <f>BK28-(BI28-BK25+BK29)</f>
        <v>0</v>
      </c>
      <c r="BL30" s="49"/>
      <c r="BM30" s="48"/>
      <c r="BN30" s="50"/>
      <c r="BO30" s="170" t="e">
        <f t="shared" si="2"/>
        <v>#VALUE!</v>
      </c>
      <c r="BP30" s="49"/>
      <c r="BQ30" s="52"/>
      <c r="BR30"/>
      <c r="BS30"/>
      <c r="BT30"/>
      <c r="BU30"/>
      <c r="BV30"/>
      <c r="BW30"/>
      <c r="BX30"/>
    </row>
    <row r="31" spans="1:76" s="5" customFormat="1" ht="15" thickBot="1" x14ac:dyDescent="0.4">
      <c r="A31" s="98"/>
      <c r="B31" s="90"/>
      <c r="C31" s="84"/>
      <c r="D31" s="47"/>
      <c r="E31" s="166" t="str">
        <f>IF(E25=0,"",E30/E25*100)</f>
        <v/>
      </c>
      <c r="F31" s="49"/>
      <c r="G31" s="166" t="str">
        <f>IF(G25=0,"",G30/G25*100)</f>
        <v/>
      </c>
      <c r="H31" s="49"/>
      <c r="I31" s="166" t="str">
        <f>IF(I25=0,"",I30/I25*100)</f>
        <v/>
      </c>
      <c r="J31" s="49"/>
      <c r="K31" s="166" t="str">
        <f>IF(K25=0,"",K30/K25*100)</f>
        <v/>
      </c>
      <c r="L31" s="49"/>
      <c r="M31" s="166" t="str">
        <f>IF(M25=0,"",M30/M25*100)</f>
        <v/>
      </c>
      <c r="N31" s="49"/>
      <c r="O31" s="166" t="str">
        <f>IF(O25=0,"",O30/O25*100)</f>
        <v/>
      </c>
      <c r="P31" s="49"/>
      <c r="Q31" s="166" t="str">
        <f>IF(Q25=0,"",Q30/Q25*100)</f>
        <v/>
      </c>
      <c r="R31" s="49"/>
      <c r="S31" s="166" t="str">
        <f>IF(S25=0,"",S30/S25*100)</f>
        <v/>
      </c>
      <c r="T31" s="49"/>
      <c r="U31" s="166" t="str">
        <f>IF(U25=0,"",U30/U25*100)</f>
        <v/>
      </c>
      <c r="V31" s="49"/>
      <c r="W31" s="166" t="str">
        <f>IF(W25=0,"",W30/W25*100)</f>
        <v/>
      </c>
      <c r="X31" s="49"/>
      <c r="Y31" s="166" t="str">
        <f>IF(Y25=0,"",Y30/Y25*100)</f>
        <v/>
      </c>
      <c r="Z31" s="49"/>
      <c r="AA31" s="166" t="str">
        <f>IF(AA25=0,"",AA30/AA25*100)</f>
        <v/>
      </c>
      <c r="AB31" s="49"/>
      <c r="AC31" s="166" t="str">
        <f>IF(AC25=0,"",AC30/AC25*100)</f>
        <v/>
      </c>
      <c r="AD31" s="49"/>
      <c r="AE31" s="166" t="str">
        <f>IF(AE25=0,"",AE30/AE25*100)</f>
        <v/>
      </c>
      <c r="AF31" s="49"/>
      <c r="AG31" s="166" t="str">
        <f>IF(AG25=0,"",AG30/AG25*100)</f>
        <v/>
      </c>
      <c r="AH31" s="49"/>
      <c r="AI31" s="166" t="str">
        <f>IF(AI25=0,"",AI30/AI25*100)</f>
        <v/>
      </c>
      <c r="AJ31" s="49"/>
      <c r="AK31" s="166" t="str">
        <f>IF(AK25=0,"",AK30/AK25*100)</f>
        <v/>
      </c>
      <c r="AL31" s="49"/>
      <c r="AM31" s="166" t="str">
        <f>IF(AM25=0,"",AM30/AM25*100)</f>
        <v/>
      </c>
      <c r="AN31" s="49"/>
      <c r="AO31" s="166" t="str">
        <f>IF(AO25=0,"",AO30/AO25*100)</f>
        <v/>
      </c>
      <c r="AP31" s="49"/>
      <c r="AQ31" s="166" t="str">
        <f>IF(AQ25=0,"",AQ30/AQ25*100)</f>
        <v/>
      </c>
      <c r="AR31" s="49"/>
      <c r="AS31" s="166" t="str">
        <f>IF(AS25=0,"",AS30/AS25*100)</f>
        <v/>
      </c>
      <c r="AT31" s="49"/>
      <c r="AU31" s="166" t="str">
        <f>IF(AU25=0,"",AU30/AU25*100)</f>
        <v/>
      </c>
      <c r="AV31" s="49"/>
      <c r="AW31" s="166" t="str">
        <f>IF(AW25=0,"",AW30/AW25*100)</f>
        <v/>
      </c>
      <c r="AX31" s="49"/>
      <c r="AY31" s="166" t="str">
        <f>IF(AY25=0,"",AY30/AY25*100)</f>
        <v/>
      </c>
      <c r="AZ31" s="49"/>
      <c r="BA31" s="166" t="str">
        <f>IF(BA25=0,"",BA30/BA25*100)</f>
        <v/>
      </c>
      <c r="BB31" s="49"/>
      <c r="BC31" s="166" t="str">
        <f>IF(BC25=0,"",BC30/BC25*100)</f>
        <v/>
      </c>
      <c r="BD31" s="49"/>
      <c r="BE31" s="166" t="str">
        <f>IF(BE25=0,"",BE30/BE25*100)</f>
        <v/>
      </c>
      <c r="BF31" s="49"/>
      <c r="BG31" s="166" t="str">
        <f>IF(BG25=0,"",BG30/BG25*100)</f>
        <v/>
      </c>
      <c r="BH31" s="49"/>
      <c r="BI31" s="166" t="str">
        <f>IF(BI25=0,"",BI30/BI25*100)</f>
        <v/>
      </c>
      <c r="BJ31" s="49"/>
      <c r="BK31" s="166" t="str">
        <f>IF(BK25=0,"",BK30/BK25*100)</f>
        <v/>
      </c>
      <c r="BL31" s="49"/>
      <c r="BM31" s="48"/>
      <c r="BN31" s="50"/>
      <c r="BO31" s="170" t="str">
        <f t="shared" si="2"/>
        <v/>
      </c>
      <c r="BP31" s="49"/>
      <c r="BQ31" s="52"/>
      <c r="BR31"/>
      <c r="BS31"/>
      <c r="BT31"/>
      <c r="BU31"/>
      <c r="BV31"/>
      <c r="BW31"/>
      <c r="BX31"/>
    </row>
    <row r="32" spans="1:76" x14ac:dyDescent="0.35">
      <c r="A32" s="83" t="s">
        <v>5</v>
      </c>
      <c r="B32" s="54"/>
      <c r="C32" s="174" t="str">
        <f>IF('March 2027 Log'!BM32="","",'March 2027 Log'!BM32)</f>
        <v/>
      </c>
      <c r="D32" s="85"/>
      <c r="E32" s="86"/>
      <c r="F32" s="87"/>
      <c r="G32" s="86"/>
      <c r="H32" s="87"/>
      <c r="I32" s="86"/>
      <c r="J32" s="87"/>
      <c r="K32" s="86"/>
      <c r="L32" s="87"/>
      <c r="M32" s="86"/>
      <c r="N32" s="87"/>
      <c r="O32" s="86"/>
      <c r="P32" s="87"/>
      <c r="Q32" s="86"/>
      <c r="R32" s="87"/>
      <c r="S32" s="86"/>
      <c r="T32" s="87"/>
      <c r="U32" s="86"/>
      <c r="V32" s="87"/>
      <c r="W32" s="86"/>
      <c r="X32" s="87"/>
      <c r="Y32" s="86"/>
      <c r="Z32" s="87"/>
      <c r="AA32" s="86"/>
      <c r="AB32" s="87"/>
      <c r="AC32" s="86"/>
      <c r="AD32" s="87"/>
      <c r="AE32" s="86"/>
      <c r="AF32" s="87"/>
      <c r="AG32" s="86"/>
      <c r="AH32" s="87"/>
      <c r="AI32" s="86"/>
      <c r="AJ32" s="87"/>
      <c r="AK32" s="86"/>
      <c r="AL32" s="87"/>
      <c r="AM32" s="86"/>
      <c r="AN32" s="87"/>
      <c r="AO32" s="86"/>
      <c r="AP32" s="87"/>
      <c r="AQ32" s="86"/>
      <c r="AR32" s="87"/>
      <c r="AS32" s="86"/>
      <c r="AT32" s="87"/>
      <c r="AU32" s="86"/>
      <c r="AV32" s="87"/>
      <c r="AW32" s="86"/>
      <c r="AX32" s="87"/>
      <c r="AY32" s="86"/>
      <c r="AZ32" s="87"/>
      <c r="BA32" s="86"/>
      <c r="BB32" s="87"/>
      <c r="BC32" s="86"/>
      <c r="BD32" s="87"/>
      <c r="BE32" s="86"/>
      <c r="BF32" s="87"/>
      <c r="BG32" s="86"/>
      <c r="BH32" s="87"/>
      <c r="BI32" s="86"/>
      <c r="BJ32" s="87"/>
      <c r="BK32" s="86"/>
      <c r="BL32" s="87"/>
      <c r="BM32" s="86"/>
      <c r="BN32" s="50"/>
      <c r="BO32" s="170" t="str">
        <f t="shared" si="2"/>
        <v/>
      </c>
      <c r="BP32" s="87"/>
      <c r="BQ32" s="178" t="str">
        <f>IF(BK32="","",BK32)</f>
        <v/>
      </c>
    </row>
    <row r="33" spans="1:76" x14ac:dyDescent="0.35">
      <c r="A33" s="83" t="s">
        <v>6</v>
      </c>
      <c r="B33" s="54"/>
      <c r="C33" s="174" t="str">
        <f>IF('March 2027 Log'!BM33="","",'March 2027 Log'!BM33)</f>
        <v/>
      </c>
      <c r="D33" s="85"/>
      <c r="E33" s="86"/>
      <c r="F33" s="87"/>
      <c r="G33" s="86"/>
      <c r="H33" s="87"/>
      <c r="I33" s="86"/>
      <c r="J33" s="87"/>
      <c r="K33" s="86"/>
      <c r="L33" s="87"/>
      <c r="M33" s="86"/>
      <c r="N33" s="87"/>
      <c r="O33" s="86"/>
      <c r="P33" s="87"/>
      <c r="Q33" s="86"/>
      <c r="R33" s="87"/>
      <c r="S33" s="86"/>
      <c r="T33" s="87"/>
      <c r="U33" s="86"/>
      <c r="V33" s="87"/>
      <c r="W33" s="86"/>
      <c r="X33" s="87"/>
      <c r="Y33" s="86"/>
      <c r="Z33" s="87"/>
      <c r="AA33" s="86"/>
      <c r="AB33" s="87"/>
      <c r="AC33" s="86"/>
      <c r="AD33" s="87"/>
      <c r="AE33" s="86"/>
      <c r="AF33" s="87"/>
      <c r="AG33" s="86"/>
      <c r="AH33" s="87"/>
      <c r="AI33" s="86"/>
      <c r="AJ33" s="87"/>
      <c r="AK33" s="86"/>
      <c r="AL33" s="87"/>
      <c r="AM33" s="86"/>
      <c r="AN33" s="87"/>
      <c r="AO33" s="86"/>
      <c r="AP33" s="87"/>
      <c r="AQ33" s="86"/>
      <c r="AR33" s="87"/>
      <c r="AS33" s="86"/>
      <c r="AT33" s="87"/>
      <c r="AU33" s="86"/>
      <c r="AV33" s="87"/>
      <c r="AW33" s="86"/>
      <c r="AX33" s="87"/>
      <c r="AY33" s="86"/>
      <c r="AZ33" s="87"/>
      <c r="BA33" s="86"/>
      <c r="BB33" s="87"/>
      <c r="BC33" s="86"/>
      <c r="BD33" s="87"/>
      <c r="BE33" s="86"/>
      <c r="BF33" s="87"/>
      <c r="BG33" s="86"/>
      <c r="BH33" s="87"/>
      <c r="BI33" s="86"/>
      <c r="BJ33" s="87"/>
      <c r="BK33" s="86"/>
      <c r="BL33" s="87"/>
      <c r="BM33" s="86"/>
      <c r="BN33" s="50"/>
      <c r="BO33" s="170" t="str">
        <f t="shared" si="2"/>
        <v/>
      </c>
      <c r="BP33" s="87"/>
      <c r="BQ33" s="178" t="str">
        <f>IF(BK33="","",BK33)</f>
        <v/>
      </c>
    </row>
    <row r="34" spans="1:76" x14ac:dyDescent="0.35">
      <c r="A34" s="83" t="s">
        <v>7</v>
      </c>
      <c r="B34" s="54"/>
      <c r="C34" s="174" t="str">
        <f>IF('March 2027 Log'!BM34="","",'March 2027 Log'!BM34)</f>
        <v/>
      </c>
      <c r="D34" s="85"/>
      <c r="E34" s="86"/>
      <c r="F34" s="87"/>
      <c r="G34" s="86"/>
      <c r="H34" s="87"/>
      <c r="I34" s="86"/>
      <c r="J34" s="87"/>
      <c r="K34" s="86"/>
      <c r="L34" s="87"/>
      <c r="M34" s="86"/>
      <c r="N34" s="87"/>
      <c r="O34" s="86"/>
      <c r="P34" s="87"/>
      <c r="Q34" s="86"/>
      <c r="R34" s="87"/>
      <c r="S34" s="86"/>
      <c r="T34" s="87"/>
      <c r="U34" s="86"/>
      <c r="V34" s="87"/>
      <c r="W34" s="86"/>
      <c r="X34" s="87"/>
      <c r="Y34" s="86"/>
      <c r="Z34" s="87"/>
      <c r="AA34" s="86"/>
      <c r="AB34" s="87"/>
      <c r="AC34" s="86"/>
      <c r="AD34" s="87"/>
      <c r="AE34" s="86"/>
      <c r="AF34" s="87"/>
      <c r="AG34" s="86"/>
      <c r="AH34" s="87"/>
      <c r="AI34" s="86"/>
      <c r="AJ34" s="87"/>
      <c r="AK34" s="86"/>
      <c r="AL34" s="87"/>
      <c r="AM34" s="86"/>
      <c r="AN34" s="87"/>
      <c r="AO34" s="86"/>
      <c r="AP34" s="87"/>
      <c r="AQ34" s="86"/>
      <c r="AR34" s="87"/>
      <c r="AS34" s="86"/>
      <c r="AT34" s="99"/>
      <c r="AU34" s="86"/>
      <c r="AV34" s="87"/>
      <c r="AW34" s="86"/>
      <c r="AX34" s="87"/>
      <c r="AY34" s="86"/>
      <c r="AZ34" s="87"/>
      <c r="BA34" s="86"/>
      <c r="BB34" s="87"/>
      <c r="BC34" s="86"/>
      <c r="BD34" s="87"/>
      <c r="BE34" s="86"/>
      <c r="BF34" s="87"/>
      <c r="BG34" s="86"/>
      <c r="BH34" s="87"/>
      <c r="BI34" s="86"/>
      <c r="BJ34" s="87"/>
      <c r="BK34" s="86"/>
      <c r="BL34" s="87"/>
      <c r="BM34" s="86"/>
      <c r="BN34" s="50"/>
      <c r="BO34" s="170" t="str">
        <f t="shared" si="2"/>
        <v/>
      </c>
      <c r="BP34" s="87"/>
      <c r="BQ34" s="178" t="str">
        <f>IF(BK34="","",BK34)</f>
        <v/>
      </c>
    </row>
    <row r="35" spans="1:76" x14ac:dyDescent="0.35">
      <c r="A35" s="100"/>
      <c r="B35" s="75"/>
      <c r="C35" s="101"/>
      <c r="D35" s="102"/>
      <c r="E35" s="103"/>
      <c r="F35" s="104"/>
      <c r="G35" s="103"/>
      <c r="H35" s="104"/>
      <c r="I35" s="103"/>
      <c r="J35" s="104"/>
      <c r="K35" s="103"/>
      <c r="L35" s="104"/>
      <c r="M35" s="103"/>
      <c r="N35" s="104"/>
      <c r="O35" s="103"/>
      <c r="P35" s="104"/>
      <c r="Q35" s="103"/>
      <c r="R35" s="104"/>
      <c r="S35" s="103"/>
      <c r="T35" s="104"/>
      <c r="U35" s="103"/>
      <c r="V35" s="104"/>
      <c r="W35" s="103"/>
      <c r="X35" s="104"/>
      <c r="Y35" s="103"/>
      <c r="Z35" s="104"/>
      <c r="AA35" s="103"/>
      <c r="AB35" s="104"/>
      <c r="AC35" s="103"/>
      <c r="AD35" s="104"/>
      <c r="AE35" s="103"/>
      <c r="AF35" s="104"/>
      <c r="AG35" s="103"/>
      <c r="AH35" s="104"/>
      <c r="AI35" s="103"/>
      <c r="AJ35" s="104"/>
      <c r="AK35" s="103"/>
      <c r="AL35" s="104"/>
      <c r="AM35" s="103"/>
      <c r="AN35" s="104"/>
      <c r="AO35" s="103"/>
      <c r="AP35" s="104"/>
      <c r="AQ35" s="103"/>
      <c r="AR35" s="104"/>
      <c r="AS35" s="103"/>
      <c r="AT35" s="104"/>
      <c r="AU35" s="103"/>
      <c r="AV35" s="104"/>
      <c r="AW35" s="103"/>
      <c r="AX35" s="104"/>
      <c r="AY35" s="103"/>
      <c r="AZ35" s="104"/>
      <c r="BA35" s="103"/>
      <c r="BB35" s="104"/>
      <c r="BC35" s="103"/>
      <c r="BD35" s="104"/>
      <c r="BE35" s="103"/>
      <c r="BF35" s="104"/>
      <c r="BG35" s="103"/>
      <c r="BH35" s="104"/>
      <c r="BI35" s="103"/>
      <c r="BJ35" s="104"/>
      <c r="BK35" s="103"/>
      <c r="BL35" s="104"/>
      <c r="BM35" s="103"/>
      <c r="BN35" s="105"/>
      <c r="BO35" s="183" t="str">
        <f t="shared" si="2"/>
        <v/>
      </c>
      <c r="BP35" s="104"/>
      <c r="BQ35" s="107"/>
    </row>
    <row r="36" spans="1:76" x14ac:dyDescent="0.35">
      <c r="A36" s="83" t="s">
        <v>59</v>
      </c>
      <c r="B36" s="54" t="s">
        <v>58</v>
      </c>
      <c r="C36" s="174" t="str">
        <f>IF('March 2027 Log'!BM36="","",'March 2027 Log'!BM36)</f>
        <v/>
      </c>
      <c r="D36" s="85"/>
      <c r="E36" s="86"/>
      <c r="F36" s="87"/>
      <c r="G36" s="86"/>
      <c r="H36" s="87"/>
      <c r="I36" s="86"/>
      <c r="J36" s="87"/>
      <c r="K36" s="86"/>
      <c r="L36" s="87"/>
      <c r="M36" s="86"/>
      <c r="N36" s="87"/>
      <c r="O36" s="86"/>
      <c r="P36" s="87"/>
      <c r="Q36" s="86"/>
      <c r="R36" s="87"/>
      <c r="S36" s="86"/>
      <c r="T36" s="87"/>
      <c r="U36" s="86"/>
      <c r="V36" s="87"/>
      <c r="W36" s="86"/>
      <c r="X36" s="87"/>
      <c r="Y36" s="86"/>
      <c r="Z36" s="87"/>
      <c r="AA36" s="86"/>
      <c r="AB36" s="87"/>
      <c r="AC36" s="86"/>
      <c r="AD36" s="87"/>
      <c r="AE36" s="86"/>
      <c r="AF36" s="87"/>
      <c r="AG36" s="86"/>
      <c r="AH36" s="87"/>
      <c r="AI36" s="86"/>
      <c r="AJ36" s="87"/>
      <c r="AK36" s="86"/>
      <c r="AL36" s="87"/>
      <c r="AM36" s="86"/>
      <c r="AN36" s="87"/>
      <c r="AO36" s="86"/>
      <c r="AP36" s="87"/>
      <c r="AQ36" s="86"/>
      <c r="AR36" s="87"/>
      <c r="AS36" s="86"/>
      <c r="AT36" s="87"/>
      <c r="AU36" s="86"/>
      <c r="AV36" s="87"/>
      <c r="AW36" s="86"/>
      <c r="AX36" s="87"/>
      <c r="AY36" s="86"/>
      <c r="AZ36" s="87"/>
      <c r="BA36" s="86"/>
      <c r="BB36" s="87"/>
      <c r="BC36" s="86"/>
      <c r="BD36" s="87"/>
      <c r="BE36" s="86"/>
      <c r="BF36" s="87"/>
      <c r="BG36" s="86"/>
      <c r="BH36" s="87"/>
      <c r="BI36" s="86"/>
      <c r="BJ36" s="87"/>
      <c r="BK36" s="86"/>
      <c r="BL36" s="87"/>
      <c r="BM36" s="86"/>
      <c r="BN36" s="50"/>
      <c r="BO36" s="170" t="str">
        <f t="shared" si="2"/>
        <v/>
      </c>
      <c r="BP36" s="87"/>
      <c r="BQ36" s="178" t="str">
        <f>IF(BK36="","",BK36)</f>
        <v/>
      </c>
    </row>
    <row r="37" spans="1:76" x14ac:dyDescent="0.35">
      <c r="A37" s="83"/>
      <c r="B37" s="54"/>
      <c r="C37" s="84"/>
      <c r="D37" s="85"/>
      <c r="E37" s="86"/>
      <c r="F37" s="87"/>
      <c r="G37" s="86"/>
      <c r="H37" s="87"/>
      <c r="I37" s="86"/>
      <c r="J37" s="87"/>
      <c r="K37" s="86"/>
      <c r="L37" s="87"/>
      <c r="M37" s="86"/>
      <c r="N37" s="87"/>
      <c r="O37" s="86"/>
      <c r="P37" s="87"/>
      <c r="Q37" s="86"/>
      <c r="R37" s="87"/>
      <c r="S37" s="86"/>
      <c r="T37" s="87"/>
      <c r="U37" s="86"/>
      <c r="V37" s="87"/>
      <c r="W37" s="86"/>
      <c r="X37" s="87"/>
      <c r="Y37" s="86"/>
      <c r="Z37" s="87"/>
      <c r="AA37" s="86"/>
      <c r="AB37" s="87"/>
      <c r="AC37" s="86"/>
      <c r="AD37" s="87"/>
      <c r="AE37" s="86"/>
      <c r="AF37" s="87"/>
      <c r="AG37" s="86"/>
      <c r="AH37" s="87"/>
      <c r="AI37" s="86"/>
      <c r="AJ37" s="87"/>
      <c r="AK37" s="86"/>
      <c r="AL37" s="87"/>
      <c r="AM37" s="86"/>
      <c r="AN37" s="87"/>
      <c r="AO37" s="86"/>
      <c r="AP37" s="87"/>
      <c r="AQ37" s="86"/>
      <c r="AR37" s="87"/>
      <c r="AS37" s="86"/>
      <c r="AT37" s="87"/>
      <c r="AU37" s="86"/>
      <c r="AV37" s="87"/>
      <c r="AW37" s="86"/>
      <c r="AX37" s="87"/>
      <c r="AY37" s="86"/>
      <c r="AZ37" s="87"/>
      <c r="BA37" s="86"/>
      <c r="BB37" s="87"/>
      <c r="BC37" s="86"/>
      <c r="BD37" s="87"/>
      <c r="BE37" s="86"/>
      <c r="BF37" s="87"/>
      <c r="BG37" s="86"/>
      <c r="BH37" s="87"/>
      <c r="BI37" s="86"/>
      <c r="BJ37" s="87"/>
      <c r="BK37" s="86"/>
      <c r="BL37" s="87"/>
      <c r="BM37" s="86"/>
      <c r="BN37" s="50"/>
      <c r="BO37" s="170" t="str">
        <f t="shared" si="2"/>
        <v/>
      </c>
      <c r="BP37" s="87"/>
      <c r="BQ37" s="88"/>
    </row>
    <row r="38" spans="1:76" x14ac:dyDescent="0.35">
      <c r="A38" s="83" t="s">
        <v>62</v>
      </c>
      <c r="B38" s="54" t="s">
        <v>63</v>
      </c>
      <c r="C38" s="174" t="str">
        <f>IF('March 2027 Log'!BM38="","",'March 2027 Log'!BM38)</f>
        <v/>
      </c>
      <c r="D38" s="85"/>
      <c r="E38" s="86"/>
      <c r="F38" s="87"/>
      <c r="G38" s="86"/>
      <c r="H38" s="87"/>
      <c r="I38" s="86"/>
      <c r="J38" s="87"/>
      <c r="K38" s="86"/>
      <c r="L38" s="87"/>
      <c r="M38" s="86"/>
      <c r="N38" s="87"/>
      <c r="O38" s="86"/>
      <c r="P38" s="87"/>
      <c r="Q38" s="86"/>
      <c r="R38" s="87"/>
      <c r="S38" s="86"/>
      <c r="T38" s="87"/>
      <c r="U38" s="86"/>
      <c r="V38" s="87"/>
      <c r="W38" s="86"/>
      <c r="X38" s="87"/>
      <c r="Y38" s="86"/>
      <c r="Z38" s="87"/>
      <c r="AA38" s="86"/>
      <c r="AB38" s="87"/>
      <c r="AC38" s="86"/>
      <c r="AD38" s="87"/>
      <c r="AE38" s="86"/>
      <c r="AF38" s="87"/>
      <c r="AG38" s="86"/>
      <c r="AH38" s="87"/>
      <c r="AI38" s="86"/>
      <c r="AJ38" s="87"/>
      <c r="AK38" s="86"/>
      <c r="AL38" s="87"/>
      <c r="AM38" s="86"/>
      <c r="AN38" s="87"/>
      <c r="AO38" s="86"/>
      <c r="AP38" s="87"/>
      <c r="AQ38" s="86"/>
      <c r="AR38" s="87"/>
      <c r="AS38" s="86"/>
      <c r="AT38" s="87"/>
      <c r="AU38" s="86"/>
      <c r="AV38" s="87"/>
      <c r="AW38" s="86"/>
      <c r="AX38" s="87"/>
      <c r="AY38" s="86"/>
      <c r="AZ38" s="87"/>
      <c r="BA38" s="86"/>
      <c r="BB38" s="87"/>
      <c r="BC38" s="86"/>
      <c r="BD38" s="87"/>
      <c r="BE38" s="86"/>
      <c r="BF38" s="87"/>
      <c r="BG38" s="86"/>
      <c r="BH38" s="87"/>
      <c r="BI38" s="86"/>
      <c r="BJ38" s="87"/>
      <c r="BK38" s="86"/>
      <c r="BL38" s="87"/>
      <c r="BM38" s="86"/>
      <c r="BN38" s="50"/>
      <c r="BO38" s="170" t="str">
        <f t="shared" si="2"/>
        <v/>
      </c>
      <c r="BP38" s="87"/>
      <c r="BQ38" s="178" t="str">
        <f>IF(BK38="","",BK38)</f>
        <v/>
      </c>
    </row>
    <row r="39" spans="1:76" x14ac:dyDescent="0.35">
      <c r="A39" s="83" t="s">
        <v>64</v>
      </c>
      <c r="B39" s="54" t="s">
        <v>63</v>
      </c>
      <c r="C39" s="174" t="str">
        <f>IF('March 2027 Log'!BM39="","",'March 2027 Log'!BM39)</f>
        <v/>
      </c>
      <c r="D39" s="85"/>
      <c r="E39" s="86"/>
      <c r="F39" s="87"/>
      <c r="G39" s="86"/>
      <c r="H39" s="87"/>
      <c r="I39" s="86"/>
      <c r="J39" s="87"/>
      <c r="K39" s="86"/>
      <c r="L39" s="87"/>
      <c r="M39" s="86"/>
      <c r="N39" s="87"/>
      <c r="O39" s="86"/>
      <c r="P39" s="87"/>
      <c r="Q39" s="86"/>
      <c r="R39" s="87"/>
      <c r="S39" s="86"/>
      <c r="T39" s="87"/>
      <c r="U39" s="86"/>
      <c r="V39" s="87"/>
      <c r="W39" s="86"/>
      <c r="X39" s="87"/>
      <c r="Y39" s="86"/>
      <c r="Z39" s="87"/>
      <c r="AA39" s="86"/>
      <c r="AB39" s="87"/>
      <c r="AC39" s="86"/>
      <c r="AD39" s="87"/>
      <c r="AE39" s="86"/>
      <c r="AF39" s="87"/>
      <c r="AG39" s="86"/>
      <c r="AH39" s="87"/>
      <c r="AI39" s="86"/>
      <c r="AJ39" s="87"/>
      <c r="AK39" s="86"/>
      <c r="AL39" s="87"/>
      <c r="AM39" s="86"/>
      <c r="AN39" s="87"/>
      <c r="AO39" s="86"/>
      <c r="AP39" s="87"/>
      <c r="AQ39" s="86"/>
      <c r="AR39" s="87"/>
      <c r="AS39" s="86"/>
      <c r="AT39" s="87"/>
      <c r="AU39" s="86"/>
      <c r="AV39" s="87"/>
      <c r="AW39" s="86"/>
      <c r="AX39" s="87"/>
      <c r="AY39" s="86"/>
      <c r="AZ39" s="87"/>
      <c r="BA39" s="86"/>
      <c r="BB39" s="87"/>
      <c r="BC39" s="86"/>
      <c r="BD39" s="87"/>
      <c r="BE39" s="86"/>
      <c r="BF39" s="87"/>
      <c r="BG39" s="86"/>
      <c r="BH39" s="87"/>
      <c r="BI39" s="86"/>
      <c r="BJ39" s="87"/>
      <c r="BK39" s="86"/>
      <c r="BL39" s="87"/>
      <c r="BM39" s="86"/>
      <c r="BN39" s="50"/>
      <c r="BO39" s="170" t="str">
        <f t="shared" si="2"/>
        <v/>
      </c>
      <c r="BP39" s="87"/>
      <c r="BQ39" s="178" t="str">
        <f>IF(BK39="","",BK39)</f>
        <v/>
      </c>
    </row>
    <row r="40" spans="1:76" x14ac:dyDescent="0.35">
      <c r="A40" s="83" t="s">
        <v>44</v>
      </c>
      <c r="B40" s="54"/>
      <c r="C40" s="84"/>
      <c r="D40" s="85"/>
      <c r="E40" s="86"/>
      <c r="F40" s="87"/>
      <c r="G40" s="86"/>
      <c r="H40" s="87"/>
      <c r="I40" s="86"/>
      <c r="J40" s="87"/>
      <c r="K40" s="86"/>
      <c r="L40" s="87"/>
      <c r="M40" s="86"/>
      <c r="N40" s="87"/>
      <c r="O40" s="86"/>
      <c r="P40" s="87"/>
      <c r="Q40" s="86"/>
      <c r="R40" s="87"/>
      <c r="S40" s="86"/>
      <c r="T40" s="87"/>
      <c r="U40" s="86"/>
      <c r="V40" s="87"/>
      <c r="W40" s="86"/>
      <c r="X40" s="87"/>
      <c r="Y40" s="86"/>
      <c r="Z40" s="87"/>
      <c r="AA40" s="86"/>
      <c r="AB40" s="87"/>
      <c r="AC40" s="86"/>
      <c r="AD40" s="87"/>
      <c r="AE40" s="86"/>
      <c r="AF40" s="87"/>
      <c r="AG40" s="86"/>
      <c r="AH40" s="87"/>
      <c r="AI40" s="86"/>
      <c r="AJ40" s="87"/>
      <c r="AK40" s="86"/>
      <c r="AL40" s="87"/>
      <c r="AM40" s="86"/>
      <c r="AN40" s="87"/>
      <c r="AO40" s="86"/>
      <c r="AP40" s="87"/>
      <c r="AQ40" s="86"/>
      <c r="AR40" s="87"/>
      <c r="AS40" s="86"/>
      <c r="AT40" s="87"/>
      <c r="AU40" s="86"/>
      <c r="AV40" s="87"/>
      <c r="AW40" s="86"/>
      <c r="AX40" s="87"/>
      <c r="AY40" s="86"/>
      <c r="AZ40" s="87"/>
      <c r="BA40" s="86"/>
      <c r="BB40" s="87"/>
      <c r="BC40" s="86"/>
      <c r="BD40" s="87"/>
      <c r="BE40" s="86"/>
      <c r="BF40" s="87"/>
      <c r="BG40" s="86"/>
      <c r="BH40" s="87"/>
      <c r="BI40" s="86"/>
      <c r="BJ40" s="87"/>
      <c r="BK40" s="86"/>
      <c r="BL40" s="87"/>
      <c r="BM40" s="86"/>
      <c r="BN40" s="50"/>
      <c r="BO40" s="170" t="str">
        <f t="shared" si="2"/>
        <v/>
      </c>
      <c r="BP40" s="87"/>
      <c r="BQ40" s="88"/>
    </row>
    <row r="41" spans="1:76" x14ac:dyDescent="0.35">
      <c r="A41" s="83" t="s">
        <v>54</v>
      </c>
      <c r="B41" s="54"/>
      <c r="C41" s="84"/>
      <c r="D41" s="85"/>
      <c r="E41" s="86"/>
      <c r="F41" s="87"/>
      <c r="G41" s="86"/>
      <c r="H41" s="87"/>
      <c r="I41" s="86"/>
      <c r="J41" s="87"/>
      <c r="K41" s="86"/>
      <c r="L41" s="87"/>
      <c r="M41" s="86"/>
      <c r="N41" s="87"/>
      <c r="O41" s="86"/>
      <c r="P41" s="87"/>
      <c r="Q41" s="86"/>
      <c r="R41" s="87"/>
      <c r="S41" s="86"/>
      <c r="T41" s="87"/>
      <c r="U41" s="86"/>
      <c r="V41" s="87"/>
      <c r="W41" s="86"/>
      <c r="X41" s="87"/>
      <c r="Y41" s="86"/>
      <c r="Z41" s="87"/>
      <c r="AA41" s="86"/>
      <c r="AB41" s="87"/>
      <c r="AC41" s="86"/>
      <c r="AD41" s="87"/>
      <c r="AE41" s="86"/>
      <c r="AF41" s="87"/>
      <c r="AG41" s="86"/>
      <c r="AH41" s="87"/>
      <c r="AI41" s="86"/>
      <c r="AJ41" s="87"/>
      <c r="AK41" s="86"/>
      <c r="AL41" s="87"/>
      <c r="AM41" s="86"/>
      <c r="AN41" s="87"/>
      <c r="AO41" s="86"/>
      <c r="AP41" s="87"/>
      <c r="AQ41" s="86"/>
      <c r="AR41" s="87"/>
      <c r="AS41" s="86"/>
      <c r="AT41" s="87"/>
      <c r="AU41" s="86"/>
      <c r="AV41" s="87"/>
      <c r="AW41" s="86"/>
      <c r="AX41" s="87"/>
      <c r="AY41" s="86"/>
      <c r="AZ41" s="87"/>
      <c r="BA41" s="86"/>
      <c r="BB41" s="87"/>
      <c r="BC41" s="86"/>
      <c r="BD41" s="87"/>
      <c r="BE41" s="86"/>
      <c r="BF41" s="87"/>
      <c r="BG41" s="86"/>
      <c r="BH41" s="87"/>
      <c r="BI41" s="86"/>
      <c r="BJ41" s="87"/>
      <c r="BK41" s="86"/>
      <c r="BL41" s="87"/>
      <c r="BM41" s="86"/>
      <c r="BN41" s="50"/>
      <c r="BO41" s="170" t="str">
        <f t="shared" si="2"/>
        <v/>
      </c>
      <c r="BP41" s="87"/>
      <c r="BQ41" s="88"/>
    </row>
    <row r="42" spans="1:76" s="1" customFormat="1" x14ac:dyDescent="0.35">
      <c r="A42" s="89" t="s">
        <v>35</v>
      </c>
      <c r="B42" s="90"/>
      <c r="C42" s="174">
        <f>IF('March 2027 Log'!BM42="","",'March 2027 Log'!BM42)</f>
        <v>0</v>
      </c>
      <c r="D42" s="47"/>
      <c r="E42" s="166">
        <f>SUM(E36:E41)</f>
        <v>0</v>
      </c>
      <c r="F42" s="49"/>
      <c r="G42" s="166">
        <f>SUM(G36:G41)</f>
        <v>0</v>
      </c>
      <c r="H42" s="49"/>
      <c r="I42" s="166">
        <f>SUM(I36:I41)</f>
        <v>0</v>
      </c>
      <c r="J42" s="49"/>
      <c r="K42" s="166">
        <f>SUM(K36:K41)</f>
        <v>0</v>
      </c>
      <c r="L42" s="49"/>
      <c r="M42" s="166">
        <f>SUM(M36:M41)</f>
        <v>0</v>
      </c>
      <c r="N42" s="49"/>
      <c r="O42" s="166">
        <f>SUM(O36:O41)</f>
        <v>0</v>
      </c>
      <c r="P42" s="49"/>
      <c r="Q42" s="166">
        <f>SUM(Q36:Q41)</f>
        <v>0</v>
      </c>
      <c r="R42" s="49"/>
      <c r="S42" s="166">
        <f>SUM(S36:S41)</f>
        <v>0</v>
      </c>
      <c r="T42" s="49"/>
      <c r="U42" s="166">
        <f>SUM(U36:U41)</f>
        <v>0</v>
      </c>
      <c r="V42" s="49"/>
      <c r="W42" s="166">
        <f>SUM(W36:W41)</f>
        <v>0</v>
      </c>
      <c r="X42" s="49"/>
      <c r="Y42" s="166">
        <f>SUM(Y36:Y41)</f>
        <v>0</v>
      </c>
      <c r="Z42" s="49"/>
      <c r="AA42" s="166">
        <f>SUM(AA36:AA41)</f>
        <v>0</v>
      </c>
      <c r="AB42" s="49"/>
      <c r="AC42" s="166">
        <f>SUM(AC36:AC41)</f>
        <v>0</v>
      </c>
      <c r="AD42" s="49"/>
      <c r="AE42" s="166">
        <f>SUM(AE36:AE41)</f>
        <v>0</v>
      </c>
      <c r="AF42" s="49"/>
      <c r="AG42" s="166">
        <f>SUM(AG36:AG41)</f>
        <v>0</v>
      </c>
      <c r="AH42" s="49"/>
      <c r="AI42" s="166">
        <f>SUM(AI36:AI41)</f>
        <v>0</v>
      </c>
      <c r="AJ42" s="49"/>
      <c r="AK42" s="166">
        <f>SUM(AK36:AK41)</f>
        <v>0</v>
      </c>
      <c r="AL42" s="49"/>
      <c r="AM42" s="166">
        <f>SUM(AM36:AM41)</f>
        <v>0</v>
      </c>
      <c r="AN42" s="49"/>
      <c r="AO42" s="166">
        <f>SUM(AO36:AO41)</f>
        <v>0</v>
      </c>
      <c r="AP42" s="49"/>
      <c r="AQ42" s="166">
        <f>SUM(AQ36:AQ41)</f>
        <v>0</v>
      </c>
      <c r="AR42" s="49"/>
      <c r="AS42" s="166">
        <f>SUM(AS36:AS41)</f>
        <v>0</v>
      </c>
      <c r="AT42" s="49"/>
      <c r="AU42" s="166">
        <f>SUM(AU36:AU41)</f>
        <v>0</v>
      </c>
      <c r="AV42" s="49"/>
      <c r="AW42" s="166">
        <f>SUM(AW36:AW41)</f>
        <v>0</v>
      </c>
      <c r="AX42" s="49"/>
      <c r="AY42" s="166">
        <f>SUM(AY36:AY41)</f>
        <v>0</v>
      </c>
      <c r="AZ42" s="49"/>
      <c r="BA42" s="166">
        <f>SUM(BA36:BA41)</f>
        <v>0</v>
      </c>
      <c r="BB42" s="49"/>
      <c r="BC42" s="166">
        <f>SUM(BC36:BC41)</f>
        <v>0</v>
      </c>
      <c r="BD42" s="49"/>
      <c r="BE42" s="166">
        <f>SUM(BE36:BE41)</f>
        <v>0</v>
      </c>
      <c r="BF42" s="49"/>
      <c r="BG42" s="166">
        <f>SUM(BG36:BG41)</f>
        <v>0</v>
      </c>
      <c r="BH42" s="49"/>
      <c r="BI42" s="166">
        <f>SUM(BI36:BI41)</f>
        <v>0</v>
      </c>
      <c r="BJ42" s="49"/>
      <c r="BK42" s="166">
        <f>SUM(BK36:BK41)</f>
        <v>0</v>
      </c>
      <c r="BL42" s="49"/>
      <c r="BM42" s="48"/>
      <c r="BN42" s="50"/>
      <c r="BO42" s="170">
        <f t="shared" si="2"/>
        <v>0</v>
      </c>
      <c r="BP42" s="49"/>
      <c r="BQ42" s="172">
        <f>IF(BK42="","",BK42)</f>
        <v>0</v>
      </c>
      <c r="BR42"/>
      <c r="BS42"/>
      <c r="BT42"/>
      <c r="BU42"/>
      <c r="BV42"/>
      <c r="BW42"/>
      <c r="BX42"/>
    </row>
    <row r="43" spans="1:76" x14ac:dyDescent="0.35">
      <c r="A43" s="83" t="s">
        <v>61</v>
      </c>
      <c r="B43" s="54" t="s">
        <v>60</v>
      </c>
      <c r="C43" s="174" t="str">
        <f>IF('March 2027 Log'!BM43="","",'March 2027 Log'!BM43)</f>
        <v/>
      </c>
      <c r="D43" s="85"/>
      <c r="E43" s="86"/>
      <c r="F43" s="87"/>
      <c r="G43" s="86"/>
      <c r="H43" s="87"/>
      <c r="I43" s="86"/>
      <c r="J43" s="87"/>
      <c r="K43" s="86"/>
      <c r="L43" s="87"/>
      <c r="M43" s="86"/>
      <c r="N43" s="87"/>
      <c r="O43" s="86"/>
      <c r="P43" s="87"/>
      <c r="Q43" s="86"/>
      <c r="R43" s="87"/>
      <c r="S43" s="86"/>
      <c r="T43" s="87"/>
      <c r="U43" s="86"/>
      <c r="V43" s="87"/>
      <c r="W43" s="86"/>
      <c r="X43" s="87"/>
      <c r="Y43" s="86"/>
      <c r="Z43" s="87"/>
      <c r="AA43" s="86"/>
      <c r="AB43" s="87"/>
      <c r="AC43" s="86"/>
      <c r="AD43" s="87"/>
      <c r="AE43" s="86"/>
      <c r="AF43" s="87"/>
      <c r="AG43" s="86"/>
      <c r="AH43" s="87"/>
      <c r="AI43" s="86"/>
      <c r="AJ43" s="87"/>
      <c r="AK43" s="86"/>
      <c r="AL43" s="87"/>
      <c r="AM43" s="86"/>
      <c r="AN43" s="87"/>
      <c r="AO43" s="86"/>
      <c r="AP43" s="87"/>
      <c r="AQ43" s="86"/>
      <c r="AR43" s="87"/>
      <c r="AS43" s="86"/>
      <c r="AT43" s="87"/>
      <c r="AU43" s="86"/>
      <c r="AV43" s="87"/>
      <c r="AW43" s="86"/>
      <c r="AX43" s="87"/>
      <c r="AY43" s="86"/>
      <c r="AZ43" s="87"/>
      <c r="BA43" s="86"/>
      <c r="BB43" s="87"/>
      <c r="BC43" s="86"/>
      <c r="BD43" s="87"/>
      <c r="BE43" s="86"/>
      <c r="BF43" s="87"/>
      <c r="BG43" s="86"/>
      <c r="BH43" s="87"/>
      <c r="BI43" s="86"/>
      <c r="BJ43" s="87"/>
      <c r="BK43" s="86"/>
      <c r="BL43" s="87"/>
      <c r="BM43" s="86"/>
      <c r="BN43" s="50"/>
      <c r="BO43" s="170" t="str">
        <f t="shared" si="2"/>
        <v/>
      </c>
      <c r="BP43" s="87"/>
      <c r="BQ43" s="178" t="str">
        <f>IF(BK43="","",BK43)</f>
        <v/>
      </c>
    </row>
    <row r="44" spans="1:76" hidden="1" x14ac:dyDescent="0.35">
      <c r="A44" s="83" t="s">
        <v>8</v>
      </c>
      <c r="B44" s="54"/>
      <c r="C44" s="84"/>
      <c r="D44" s="85"/>
      <c r="E44" s="86"/>
      <c r="F44" s="87"/>
      <c r="G44" s="86"/>
      <c r="H44" s="87"/>
      <c r="I44" s="86"/>
      <c r="J44" s="87"/>
      <c r="K44" s="86"/>
      <c r="L44" s="87"/>
      <c r="M44" s="86"/>
      <c r="N44" s="87"/>
      <c r="O44" s="86"/>
      <c r="P44" s="87"/>
      <c r="Q44" s="86"/>
      <c r="R44" s="87"/>
      <c r="S44" s="86"/>
      <c r="T44" s="87"/>
      <c r="U44" s="86"/>
      <c r="V44" s="87"/>
      <c r="W44" s="86"/>
      <c r="X44" s="87"/>
      <c r="Y44" s="86"/>
      <c r="Z44" s="87"/>
      <c r="AA44" s="86"/>
      <c r="AB44" s="87"/>
      <c r="AC44" s="86"/>
      <c r="AD44" s="87"/>
      <c r="AE44" s="86"/>
      <c r="AF44" s="87"/>
      <c r="AG44" s="86"/>
      <c r="AH44" s="87"/>
      <c r="AI44" s="86"/>
      <c r="AJ44" s="87"/>
      <c r="AK44" s="86"/>
      <c r="AL44" s="87"/>
      <c r="AM44" s="86"/>
      <c r="AN44" s="87"/>
      <c r="AO44" s="86"/>
      <c r="AP44" s="87"/>
      <c r="AQ44" s="86"/>
      <c r="AR44" s="87"/>
      <c r="AS44" s="86"/>
      <c r="AT44" s="87"/>
      <c r="AU44" s="86"/>
      <c r="AV44" s="87"/>
      <c r="AW44" s="86"/>
      <c r="AX44" s="87"/>
      <c r="AY44" s="86"/>
      <c r="AZ44" s="87"/>
      <c r="BA44" s="86"/>
      <c r="BB44" s="87"/>
      <c r="BC44" s="86"/>
      <c r="BD44" s="87"/>
      <c r="BE44" s="86"/>
      <c r="BF44" s="87"/>
      <c r="BG44" s="86"/>
      <c r="BH44" s="87"/>
      <c r="BI44" s="86"/>
      <c r="BJ44" s="87"/>
      <c r="BK44" s="86"/>
      <c r="BL44" s="87"/>
      <c r="BM44" s="86"/>
      <c r="BN44" s="50"/>
      <c r="BO44" s="170" t="str">
        <f t="shared" si="2"/>
        <v/>
      </c>
      <c r="BP44" s="87"/>
      <c r="BQ44" s="88"/>
    </row>
    <row r="45" spans="1:76" hidden="1" x14ac:dyDescent="0.35">
      <c r="A45" s="83" t="s">
        <v>9</v>
      </c>
      <c r="B45" s="54"/>
      <c r="C45" s="84"/>
      <c r="D45" s="85"/>
      <c r="E45" s="86"/>
      <c r="F45" s="87"/>
      <c r="G45" s="86"/>
      <c r="H45" s="87"/>
      <c r="I45" s="86"/>
      <c r="J45" s="87"/>
      <c r="K45" s="86"/>
      <c r="L45" s="87"/>
      <c r="M45" s="86"/>
      <c r="N45" s="87"/>
      <c r="O45" s="86"/>
      <c r="P45" s="87"/>
      <c r="Q45" s="86"/>
      <c r="R45" s="87"/>
      <c r="S45" s="86"/>
      <c r="T45" s="87"/>
      <c r="U45" s="86"/>
      <c r="V45" s="87"/>
      <c r="W45" s="86"/>
      <c r="X45" s="87"/>
      <c r="Y45" s="86"/>
      <c r="Z45" s="87"/>
      <c r="AA45" s="86"/>
      <c r="AB45" s="87"/>
      <c r="AC45" s="86"/>
      <c r="AD45" s="87"/>
      <c r="AE45" s="86"/>
      <c r="AF45" s="87"/>
      <c r="AG45" s="86"/>
      <c r="AH45" s="87"/>
      <c r="AI45" s="86"/>
      <c r="AJ45" s="87"/>
      <c r="AK45" s="86"/>
      <c r="AL45" s="87"/>
      <c r="AM45" s="86"/>
      <c r="AN45" s="87"/>
      <c r="AO45" s="86"/>
      <c r="AP45" s="87"/>
      <c r="AQ45" s="86"/>
      <c r="AR45" s="87"/>
      <c r="AS45" s="86"/>
      <c r="AT45" s="87"/>
      <c r="AU45" s="86"/>
      <c r="AV45" s="87"/>
      <c r="AW45" s="86"/>
      <c r="AX45" s="87"/>
      <c r="AY45" s="86"/>
      <c r="AZ45" s="87"/>
      <c r="BA45" s="86"/>
      <c r="BB45" s="87"/>
      <c r="BC45" s="86"/>
      <c r="BD45" s="87"/>
      <c r="BE45" s="86"/>
      <c r="BF45" s="87"/>
      <c r="BG45" s="86"/>
      <c r="BH45" s="87"/>
      <c r="BI45" s="86"/>
      <c r="BJ45" s="87"/>
      <c r="BK45" s="86"/>
      <c r="BL45" s="87"/>
      <c r="BM45" s="86"/>
      <c r="BN45" s="50"/>
      <c r="BO45" s="170" t="str">
        <f t="shared" si="2"/>
        <v/>
      </c>
      <c r="BP45" s="87"/>
      <c r="BQ45" s="88"/>
    </row>
    <row r="46" spans="1:76" hidden="1" x14ac:dyDescent="0.35">
      <c r="A46" s="83" t="s">
        <v>43</v>
      </c>
      <c r="B46" s="54"/>
      <c r="C46" s="84"/>
      <c r="D46" s="85"/>
      <c r="E46" s="86"/>
      <c r="F46" s="87"/>
      <c r="G46" s="86"/>
      <c r="H46" s="87"/>
      <c r="I46" s="86"/>
      <c r="J46" s="87"/>
      <c r="K46" s="86"/>
      <c r="L46" s="87"/>
      <c r="M46" s="86"/>
      <c r="N46" s="87"/>
      <c r="O46" s="86"/>
      <c r="P46" s="87"/>
      <c r="Q46" s="86"/>
      <c r="R46" s="87"/>
      <c r="S46" s="86"/>
      <c r="T46" s="87"/>
      <c r="U46" s="86"/>
      <c r="V46" s="87"/>
      <c r="W46" s="86"/>
      <c r="X46" s="87"/>
      <c r="Y46" s="86"/>
      <c r="Z46" s="87"/>
      <c r="AA46" s="86"/>
      <c r="AB46" s="87"/>
      <c r="AC46" s="86"/>
      <c r="AD46" s="87"/>
      <c r="AE46" s="86"/>
      <c r="AF46" s="87"/>
      <c r="AG46" s="86"/>
      <c r="AH46" s="87"/>
      <c r="AI46" s="86"/>
      <c r="AJ46" s="87"/>
      <c r="AK46" s="86"/>
      <c r="AL46" s="87"/>
      <c r="AM46" s="86"/>
      <c r="AN46" s="87"/>
      <c r="AO46" s="86"/>
      <c r="AP46" s="87"/>
      <c r="AQ46" s="86"/>
      <c r="AR46" s="87"/>
      <c r="AS46" s="86"/>
      <c r="AT46" s="87"/>
      <c r="AU46" s="86"/>
      <c r="AV46" s="87"/>
      <c r="AW46" s="86"/>
      <c r="AX46" s="87"/>
      <c r="AY46" s="86"/>
      <c r="AZ46" s="87"/>
      <c r="BA46" s="86"/>
      <c r="BB46" s="87"/>
      <c r="BC46" s="86"/>
      <c r="BD46" s="87"/>
      <c r="BE46" s="86"/>
      <c r="BF46" s="87"/>
      <c r="BG46" s="86"/>
      <c r="BH46" s="87"/>
      <c r="BI46" s="86"/>
      <c r="BJ46" s="87"/>
      <c r="BK46" s="86"/>
      <c r="BL46" s="87"/>
      <c r="BM46" s="86"/>
      <c r="BN46" s="50"/>
      <c r="BO46" s="170" t="str">
        <f t="shared" si="2"/>
        <v/>
      </c>
      <c r="BP46" s="87"/>
      <c r="BQ46" s="88"/>
    </row>
    <row r="47" spans="1:76" hidden="1" x14ac:dyDescent="0.35">
      <c r="A47" s="83" t="s">
        <v>10</v>
      </c>
      <c r="B47" s="54"/>
      <c r="C47" s="84"/>
      <c r="D47" s="85"/>
      <c r="E47" s="86"/>
      <c r="F47" s="87"/>
      <c r="G47" s="86"/>
      <c r="H47" s="87"/>
      <c r="I47" s="86"/>
      <c r="J47" s="87"/>
      <c r="K47" s="86"/>
      <c r="L47" s="87"/>
      <c r="M47" s="86"/>
      <c r="N47" s="87"/>
      <c r="O47" s="86"/>
      <c r="P47" s="87"/>
      <c r="Q47" s="86"/>
      <c r="R47" s="87"/>
      <c r="S47" s="86"/>
      <c r="T47" s="87"/>
      <c r="U47" s="86"/>
      <c r="V47" s="87"/>
      <c r="W47" s="86"/>
      <c r="X47" s="87"/>
      <c r="Y47" s="86"/>
      <c r="Z47" s="87"/>
      <c r="AA47" s="86"/>
      <c r="AB47" s="87"/>
      <c r="AC47" s="86"/>
      <c r="AD47" s="87"/>
      <c r="AE47" s="86"/>
      <c r="AF47" s="87"/>
      <c r="AG47" s="86"/>
      <c r="AH47" s="87"/>
      <c r="AI47" s="86"/>
      <c r="AJ47" s="87"/>
      <c r="AK47" s="86"/>
      <c r="AL47" s="87"/>
      <c r="AM47" s="86"/>
      <c r="AN47" s="87"/>
      <c r="AO47" s="86"/>
      <c r="AP47" s="87"/>
      <c r="AQ47" s="86"/>
      <c r="AR47" s="87"/>
      <c r="AS47" s="86"/>
      <c r="AT47" s="87"/>
      <c r="AU47" s="86"/>
      <c r="AV47" s="87"/>
      <c r="AW47" s="86"/>
      <c r="AX47" s="87"/>
      <c r="AY47" s="86"/>
      <c r="AZ47" s="87"/>
      <c r="BA47" s="86"/>
      <c r="BB47" s="87"/>
      <c r="BC47" s="86"/>
      <c r="BD47" s="87"/>
      <c r="BE47" s="86"/>
      <c r="BF47" s="87"/>
      <c r="BG47" s="86"/>
      <c r="BH47" s="87"/>
      <c r="BI47" s="86"/>
      <c r="BJ47" s="87"/>
      <c r="BK47" s="86"/>
      <c r="BL47" s="87"/>
      <c r="BM47" s="86"/>
      <c r="BN47" s="50"/>
      <c r="BO47" s="170" t="str">
        <f t="shared" si="2"/>
        <v/>
      </c>
      <c r="BP47" s="87"/>
      <c r="BQ47" s="88"/>
    </row>
    <row r="48" spans="1:76" hidden="1" x14ac:dyDescent="0.35">
      <c r="A48" s="83" t="s">
        <v>11</v>
      </c>
      <c r="B48" s="54"/>
      <c r="C48" s="84"/>
      <c r="D48" s="85"/>
      <c r="E48" s="86"/>
      <c r="F48" s="87"/>
      <c r="G48" s="86"/>
      <c r="H48" s="87"/>
      <c r="I48" s="86"/>
      <c r="J48" s="87"/>
      <c r="K48" s="86"/>
      <c r="L48" s="87"/>
      <c r="M48" s="86"/>
      <c r="N48" s="87"/>
      <c r="O48" s="86"/>
      <c r="P48" s="87"/>
      <c r="Q48" s="86"/>
      <c r="R48" s="87"/>
      <c r="S48" s="86"/>
      <c r="T48" s="87"/>
      <c r="U48" s="86"/>
      <c r="V48" s="87"/>
      <c r="W48" s="86"/>
      <c r="X48" s="87"/>
      <c r="Y48" s="86"/>
      <c r="Z48" s="87"/>
      <c r="AA48" s="86"/>
      <c r="AB48" s="87"/>
      <c r="AC48" s="86"/>
      <c r="AD48" s="87"/>
      <c r="AE48" s="86"/>
      <c r="AF48" s="87"/>
      <c r="AG48" s="86"/>
      <c r="AH48" s="87"/>
      <c r="AI48" s="86"/>
      <c r="AJ48" s="87"/>
      <c r="AK48" s="86"/>
      <c r="AL48" s="87"/>
      <c r="AM48" s="86"/>
      <c r="AN48" s="87"/>
      <c r="AO48" s="86"/>
      <c r="AP48" s="87"/>
      <c r="AQ48" s="86"/>
      <c r="AR48" s="87"/>
      <c r="AS48" s="86"/>
      <c r="AT48" s="87"/>
      <c r="AU48" s="86"/>
      <c r="AV48" s="87"/>
      <c r="AW48" s="86"/>
      <c r="AX48" s="87"/>
      <c r="AY48" s="86"/>
      <c r="AZ48" s="87"/>
      <c r="BA48" s="86"/>
      <c r="BB48" s="87"/>
      <c r="BC48" s="86"/>
      <c r="BD48" s="87"/>
      <c r="BE48" s="86"/>
      <c r="BF48" s="87"/>
      <c r="BG48" s="86"/>
      <c r="BH48" s="87"/>
      <c r="BI48" s="86"/>
      <c r="BJ48" s="87"/>
      <c r="BK48" s="86"/>
      <c r="BL48" s="87"/>
      <c r="BM48" s="86"/>
      <c r="BN48" s="50"/>
      <c r="BO48" s="170" t="str">
        <f t="shared" si="2"/>
        <v/>
      </c>
      <c r="BP48" s="87"/>
      <c r="BQ48" s="88"/>
    </row>
    <row r="49" spans="1:76" s="1" customFormat="1" x14ac:dyDescent="0.35">
      <c r="A49" s="89" t="s">
        <v>36</v>
      </c>
      <c r="B49" s="90"/>
      <c r="C49" s="174">
        <f>IF('March 2027 Log'!BM49="","",'March 2027 Log'!BM49)</f>
        <v>0</v>
      </c>
      <c r="D49" s="47"/>
      <c r="E49" s="166">
        <f>SUM(E43:E48)</f>
        <v>0</v>
      </c>
      <c r="F49" s="49"/>
      <c r="G49" s="166">
        <f>SUM(G43:G48)</f>
        <v>0</v>
      </c>
      <c r="H49" s="49"/>
      <c r="I49" s="166">
        <f>SUM(I43:I48)</f>
        <v>0</v>
      </c>
      <c r="J49" s="49"/>
      <c r="K49" s="166">
        <f>SUM(K43:K48)</f>
        <v>0</v>
      </c>
      <c r="L49" s="49"/>
      <c r="M49" s="166">
        <f>SUM(M43:M48)</f>
        <v>0</v>
      </c>
      <c r="N49" s="49"/>
      <c r="O49" s="166">
        <f>SUM(O43:O48)</f>
        <v>0</v>
      </c>
      <c r="P49" s="49"/>
      <c r="Q49" s="166">
        <f>SUM(Q43:Q48)</f>
        <v>0</v>
      </c>
      <c r="R49" s="49"/>
      <c r="S49" s="166">
        <f>SUM(S43:S48)</f>
        <v>0</v>
      </c>
      <c r="T49" s="49"/>
      <c r="U49" s="166">
        <f>SUM(U43:U48)</f>
        <v>0</v>
      </c>
      <c r="V49" s="49"/>
      <c r="W49" s="166">
        <f>SUM(W43:W48)</f>
        <v>0</v>
      </c>
      <c r="X49" s="49"/>
      <c r="Y49" s="166">
        <f>SUM(Y43:Y48)</f>
        <v>0</v>
      </c>
      <c r="Z49" s="49"/>
      <c r="AA49" s="166">
        <f>SUM(AA43:AA48)</f>
        <v>0</v>
      </c>
      <c r="AB49" s="49"/>
      <c r="AC49" s="166">
        <f>SUM(AC43:AC48)</f>
        <v>0</v>
      </c>
      <c r="AD49" s="49"/>
      <c r="AE49" s="166">
        <f>SUM(AE43:AE48)</f>
        <v>0</v>
      </c>
      <c r="AF49" s="49"/>
      <c r="AG49" s="166">
        <f>SUM(AG43:AG48)</f>
        <v>0</v>
      </c>
      <c r="AH49" s="49"/>
      <c r="AI49" s="166">
        <f>SUM(AI43:AI48)</f>
        <v>0</v>
      </c>
      <c r="AJ49" s="49"/>
      <c r="AK49" s="166">
        <f>SUM(AK43:AK48)</f>
        <v>0</v>
      </c>
      <c r="AL49" s="49"/>
      <c r="AM49" s="166">
        <f>SUM(AM43:AM48)</f>
        <v>0</v>
      </c>
      <c r="AN49" s="49"/>
      <c r="AO49" s="166">
        <f>SUM(AO43:AO48)</f>
        <v>0</v>
      </c>
      <c r="AP49" s="49"/>
      <c r="AQ49" s="166">
        <f>SUM(AQ43:AQ48)</f>
        <v>0</v>
      </c>
      <c r="AR49" s="49"/>
      <c r="AS49" s="166">
        <f>SUM(AS43:AS48)</f>
        <v>0</v>
      </c>
      <c r="AT49" s="49"/>
      <c r="AU49" s="166">
        <f>SUM(AU43:AU48)</f>
        <v>0</v>
      </c>
      <c r="AV49" s="49"/>
      <c r="AW49" s="166">
        <f>SUM(AW43:AW48)</f>
        <v>0</v>
      </c>
      <c r="AX49" s="49"/>
      <c r="AY49" s="166">
        <f>SUM(AY43:AY48)</f>
        <v>0</v>
      </c>
      <c r="AZ49" s="49"/>
      <c r="BA49" s="166">
        <f>SUM(BA43:BA48)</f>
        <v>0</v>
      </c>
      <c r="BB49" s="49"/>
      <c r="BC49" s="166">
        <f>SUM(BC43:BC48)</f>
        <v>0</v>
      </c>
      <c r="BD49" s="49"/>
      <c r="BE49" s="166">
        <f>SUM(BE43:BE48)</f>
        <v>0</v>
      </c>
      <c r="BF49" s="49"/>
      <c r="BG49" s="166">
        <f>SUM(BG43:BG48)</f>
        <v>0</v>
      </c>
      <c r="BH49" s="49"/>
      <c r="BI49" s="166">
        <f>SUM(BI43:BI48)</f>
        <v>0</v>
      </c>
      <c r="BJ49" s="49"/>
      <c r="BK49" s="166">
        <f>SUM(BK43:BK48)</f>
        <v>0</v>
      </c>
      <c r="BL49" s="49"/>
      <c r="BM49" s="48"/>
      <c r="BN49" s="50"/>
      <c r="BO49" s="170">
        <f t="shared" si="2"/>
        <v>0</v>
      </c>
      <c r="BP49" s="49"/>
      <c r="BQ49" s="172">
        <f>IF(BK49="","",BK49)</f>
        <v>0</v>
      </c>
      <c r="BR49"/>
      <c r="BS49"/>
      <c r="BT49"/>
      <c r="BU49"/>
      <c r="BV49"/>
      <c r="BW49"/>
      <c r="BX49"/>
    </row>
    <row r="50" spans="1:76" s="1" customFormat="1" x14ac:dyDescent="0.35">
      <c r="A50" s="89" t="s">
        <v>12</v>
      </c>
      <c r="B50" s="90"/>
      <c r="C50" s="174">
        <f>IF('March 2027 Log'!BM50="","",'March 2027 Log'!BM50)</f>
        <v>0</v>
      </c>
      <c r="D50" s="47"/>
      <c r="E50" s="166">
        <f t="shared" ref="E50" si="33">+E42+E49</f>
        <v>0</v>
      </c>
      <c r="F50" s="49"/>
      <c r="G50" s="166">
        <f t="shared" ref="G50" si="34">+G42+G49</f>
        <v>0</v>
      </c>
      <c r="H50" s="49"/>
      <c r="I50" s="166">
        <f t="shared" ref="I50" si="35">+I42+I49</f>
        <v>0</v>
      </c>
      <c r="J50" s="49"/>
      <c r="K50" s="166">
        <f t="shared" ref="K50" si="36">+K42+K49</f>
        <v>0</v>
      </c>
      <c r="L50" s="49"/>
      <c r="M50" s="166">
        <f t="shared" ref="M50" si="37">+M42+M49</f>
        <v>0</v>
      </c>
      <c r="N50" s="49"/>
      <c r="O50" s="166">
        <f t="shared" ref="O50" si="38">+O42+O49</f>
        <v>0</v>
      </c>
      <c r="P50" s="49"/>
      <c r="Q50" s="166">
        <f t="shared" ref="Q50" si="39">+Q42+Q49</f>
        <v>0</v>
      </c>
      <c r="R50" s="49"/>
      <c r="S50" s="166">
        <f t="shared" ref="S50" si="40">+S42+S49</f>
        <v>0</v>
      </c>
      <c r="T50" s="49"/>
      <c r="U50" s="166">
        <f t="shared" ref="U50" si="41">+U42+U49</f>
        <v>0</v>
      </c>
      <c r="V50" s="49"/>
      <c r="W50" s="166">
        <f t="shared" ref="W50" si="42">+W42+W49</f>
        <v>0</v>
      </c>
      <c r="X50" s="49"/>
      <c r="Y50" s="166">
        <f t="shared" ref="Y50" si="43">+Y42+Y49</f>
        <v>0</v>
      </c>
      <c r="Z50" s="49"/>
      <c r="AA50" s="166">
        <f t="shared" ref="AA50" si="44">+AA42+AA49</f>
        <v>0</v>
      </c>
      <c r="AB50" s="49"/>
      <c r="AC50" s="166">
        <f t="shared" ref="AC50" si="45">+AC42+AC49</f>
        <v>0</v>
      </c>
      <c r="AD50" s="49"/>
      <c r="AE50" s="166">
        <f t="shared" ref="AE50" si="46">+AE42+AE49</f>
        <v>0</v>
      </c>
      <c r="AF50" s="49"/>
      <c r="AG50" s="166">
        <f t="shared" ref="AG50" si="47">+AG42+AG49</f>
        <v>0</v>
      </c>
      <c r="AH50" s="49"/>
      <c r="AI50" s="166">
        <f t="shared" ref="AI50" si="48">+AI42+AI49</f>
        <v>0</v>
      </c>
      <c r="AJ50" s="49"/>
      <c r="AK50" s="166">
        <f t="shared" ref="AK50" si="49">+AK42+AK49</f>
        <v>0</v>
      </c>
      <c r="AL50" s="49"/>
      <c r="AM50" s="166">
        <f t="shared" ref="AM50" si="50">+AM42+AM49</f>
        <v>0</v>
      </c>
      <c r="AN50" s="49"/>
      <c r="AO50" s="166">
        <f t="shared" ref="AO50" si="51">+AO42+AO49</f>
        <v>0</v>
      </c>
      <c r="AP50" s="49"/>
      <c r="AQ50" s="166">
        <f t="shared" ref="AQ50" si="52">+AQ42+AQ49</f>
        <v>0</v>
      </c>
      <c r="AR50" s="49"/>
      <c r="AS50" s="166">
        <f t="shared" ref="AS50" si="53">+AS42+AS49</f>
        <v>0</v>
      </c>
      <c r="AT50" s="49"/>
      <c r="AU50" s="166">
        <f t="shared" ref="AU50" si="54">+AU42+AU49</f>
        <v>0</v>
      </c>
      <c r="AV50" s="49"/>
      <c r="AW50" s="166">
        <f t="shared" ref="AW50" si="55">+AW42+AW49</f>
        <v>0</v>
      </c>
      <c r="AX50" s="49"/>
      <c r="AY50" s="166">
        <f t="shared" ref="AY50" si="56">+AY42+AY49</f>
        <v>0</v>
      </c>
      <c r="AZ50" s="49"/>
      <c r="BA50" s="166">
        <f t="shared" ref="BA50" si="57">+BA42+BA49</f>
        <v>0</v>
      </c>
      <c r="BB50" s="49"/>
      <c r="BC50" s="166">
        <f t="shared" ref="BC50" si="58">+BC42+BC49</f>
        <v>0</v>
      </c>
      <c r="BD50" s="49"/>
      <c r="BE50" s="166">
        <f t="shared" ref="BE50" si="59">+BE42+BE49</f>
        <v>0</v>
      </c>
      <c r="BF50" s="49"/>
      <c r="BG50" s="166">
        <f t="shared" ref="BG50" si="60">+BG42+BG49</f>
        <v>0</v>
      </c>
      <c r="BH50" s="49"/>
      <c r="BI50" s="166">
        <f t="shared" ref="BI50" si="61">+BI42+BI49</f>
        <v>0</v>
      </c>
      <c r="BJ50" s="49"/>
      <c r="BK50" s="166">
        <f t="shared" ref="BK50" si="62">+BK42+BK49</f>
        <v>0</v>
      </c>
      <c r="BL50" s="49"/>
      <c r="BM50" s="48"/>
      <c r="BN50" s="50"/>
      <c r="BO50" s="170">
        <f t="shared" si="2"/>
        <v>0</v>
      </c>
      <c r="BP50" s="49"/>
      <c r="BQ50" s="172">
        <f>IF(BK50="","",BK50)</f>
        <v>0</v>
      </c>
      <c r="BR50"/>
      <c r="BS50"/>
      <c r="BT50"/>
      <c r="BU50"/>
      <c r="BV50"/>
      <c r="BW50"/>
      <c r="BX50"/>
    </row>
    <row r="51" spans="1:76" x14ac:dyDescent="0.35">
      <c r="A51" s="83" t="s">
        <v>13</v>
      </c>
      <c r="B51" s="54"/>
      <c r="C51" s="84"/>
      <c r="D51" s="85"/>
      <c r="E51" s="86"/>
      <c r="F51" s="87"/>
      <c r="G51" s="86"/>
      <c r="H51" s="87"/>
      <c r="I51" s="86"/>
      <c r="J51" s="87"/>
      <c r="K51" s="86"/>
      <c r="L51" s="87"/>
      <c r="M51" s="86"/>
      <c r="N51" s="87"/>
      <c r="O51" s="86"/>
      <c r="P51" s="87"/>
      <c r="Q51" s="86"/>
      <c r="R51" s="87"/>
      <c r="S51" s="86"/>
      <c r="T51" s="87"/>
      <c r="U51" s="86"/>
      <c r="V51" s="87"/>
      <c r="W51" s="86"/>
      <c r="X51" s="87"/>
      <c r="Y51" s="86"/>
      <c r="Z51" s="87"/>
      <c r="AA51" s="86"/>
      <c r="AB51" s="87"/>
      <c r="AC51" s="86"/>
      <c r="AD51" s="87"/>
      <c r="AE51" s="86"/>
      <c r="AF51" s="87"/>
      <c r="AG51" s="86"/>
      <c r="AH51" s="87"/>
      <c r="AI51" s="86"/>
      <c r="AJ51" s="87"/>
      <c r="AK51" s="86"/>
      <c r="AL51" s="87"/>
      <c r="AM51" s="86"/>
      <c r="AN51" s="87"/>
      <c r="AO51" s="86"/>
      <c r="AP51" s="87"/>
      <c r="AQ51" s="86"/>
      <c r="AR51" s="87"/>
      <c r="AS51" s="86"/>
      <c r="AT51" s="87"/>
      <c r="AU51" s="86"/>
      <c r="AV51" s="87"/>
      <c r="AW51" s="86"/>
      <c r="AX51" s="87"/>
      <c r="AY51" s="86"/>
      <c r="AZ51" s="87"/>
      <c r="BA51" s="86"/>
      <c r="BB51" s="87"/>
      <c r="BC51" s="86"/>
      <c r="BD51" s="87"/>
      <c r="BE51" s="86"/>
      <c r="BF51" s="87"/>
      <c r="BG51" s="86"/>
      <c r="BH51" s="87"/>
      <c r="BI51" s="86"/>
      <c r="BJ51" s="87"/>
      <c r="BK51" s="86"/>
      <c r="BL51" s="87"/>
      <c r="BM51" s="86"/>
      <c r="BN51" s="50"/>
      <c r="BO51" s="170" t="str">
        <f t="shared" si="2"/>
        <v/>
      </c>
      <c r="BP51" s="87"/>
      <c r="BQ51" s="88"/>
    </row>
    <row r="52" spans="1:76" x14ac:dyDescent="0.35">
      <c r="A52" s="83" t="s">
        <v>14</v>
      </c>
      <c r="B52" s="54"/>
      <c r="C52" s="84"/>
      <c r="D52" s="85"/>
      <c r="E52" s="86"/>
      <c r="F52" s="87"/>
      <c r="G52" s="86"/>
      <c r="H52" s="87"/>
      <c r="I52" s="86"/>
      <c r="J52" s="87"/>
      <c r="K52" s="86"/>
      <c r="L52" s="87"/>
      <c r="M52" s="86"/>
      <c r="N52" s="87"/>
      <c r="O52" s="86"/>
      <c r="P52" s="87"/>
      <c r="Q52" s="86"/>
      <c r="R52" s="87"/>
      <c r="S52" s="86"/>
      <c r="T52" s="87"/>
      <c r="U52" s="86"/>
      <c r="V52" s="87"/>
      <c r="W52" s="86"/>
      <c r="X52" s="87"/>
      <c r="Y52" s="86"/>
      <c r="Z52" s="87"/>
      <c r="AA52" s="86"/>
      <c r="AB52" s="87"/>
      <c r="AC52" s="86"/>
      <c r="AD52" s="87"/>
      <c r="AE52" s="86"/>
      <c r="AF52" s="87"/>
      <c r="AG52" s="86"/>
      <c r="AH52" s="87"/>
      <c r="AI52" s="86"/>
      <c r="AJ52" s="87"/>
      <c r="AK52" s="86"/>
      <c r="AL52" s="87"/>
      <c r="AM52" s="86"/>
      <c r="AN52" s="87"/>
      <c r="AO52" s="86"/>
      <c r="AP52" s="87"/>
      <c r="AQ52" s="86"/>
      <c r="AR52" s="87"/>
      <c r="AS52" s="86"/>
      <c r="AT52" s="87"/>
      <c r="AU52" s="86"/>
      <c r="AV52" s="87"/>
      <c r="AW52" s="86"/>
      <c r="AX52" s="87"/>
      <c r="AY52" s="86"/>
      <c r="AZ52" s="87"/>
      <c r="BA52" s="86"/>
      <c r="BB52" s="87"/>
      <c r="BC52" s="86"/>
      <c r="BD52" s="87"/>
      <c r="BE52" s="86"/>
      <c r="BF52" s="87"/>
      <c r="BG52" s="86"/>
      <c r="BH52" s="87"/>
      <c r="BI52" s="86"/>
      <c r="BJ52" s="87"/>
      <c r="BK52" s="86"/>
      <c r="BL52" s="87"/>
      <c r="BM52" s="86"/>
      <c r="BN52" s="50"/>
      <c r="BO52" s="170" t="str">
        <f t="shared" si="2"/>
        <v/>
      </c>
      <c r="BP52" s="87"/>
      <c r="BQ52" s="88"/>
    </row>
    <row r="53" spans="1:76" x14ac:dyDescent="0.35">
      <c r="A53" s="83" t="s">
        <v>42</v>
      </c>
      <c r="B53" s="54"/>
      <c r="C53" s="84"/>
      <c r="D53" s="85"/>
      <c r="E53" s="86"/>
      <c r="F53" s="87"/>
      <c r="G53" s="86"/>
      <c r="H53" s="87"/>
      <c r="I53" s="86"/>
      <c r="J53" s="87"/>
      <c r="K53" s="86"/>
      <c r="L53" s="87"/>
      <c r="M53" s="86"/>
      <c r="N53" s="87"/>
      <c r="O53" s="86"/>
      <c r="P53" s="87"/>
      <c r="Q53" s="86"/>
      <c r="R53" s="87"/>
      <c r="S53" s="86"/>
      <c r="T53" s="87"/>
      <c r="U53" s="86"/>
      <c r="V53" s="87"/>
      <c r="W53" s="86"/>
      <c r="X53" s="87"/>
      <c r="Y53" s="86"/>
      <c r="Z53" s="87"/>
      <c r="AA53" s="86"/>
      <c r="AB53" s="87"/>
      <c r="AC53" s="86"/>
      <c r="AD53" s="87"/>
      <c r="AE53" s="86"/>
      <c r="AF53" s="87"/>
      <c r="AG53" s="86"/>
      <c r="AH53" s="87"/>
      <c r="AI53" s="86"/>
      <c r="AJ53" s="87"/>
      <c r="AK53" s="86"/>
      <c r="AL53" s="87"/>
      <c r="AM53" s="86"/>
      <c r="AN53" s="87"/>
      <c r="AO53" s="86"/>
      <c r="AP53" s="87"/>
      <c r="AQ53" s="86"/>
      <c r="AR53" s="87"/>
      <c r="AS53" s="86"/>
      <c r="AT53" s="87"/>
      <c r="AU53" s="86"/>
      <c r="AV53" s="87"/>
      <c r="AW53" s="86"/>
      <c r="AX53" s="87"/>
      <c r="AY53" s="86"/>
      <c r="AZ53" s="87"/>
      <c r="BA53" s="86"/>
      <c r="BB53" s="87"/>
      <c r="BC53" s="86"/>
      <c r="BD53" s="87"/>
      <c r="BE53" s="86"/>
      <c r="BF53" s="87"/>
      <c r="BG53" s="86"/>
      <c r="BH53" s="87"/>
      <c r="BI53" s="86"/>
      <c r="BJ53" s="87"/>
      <c r="BK53" s="86"/>
      <c r="BL53" s="87"/>
      <c r="BM53" s="86"/>
      <c r="BN53" s="50"/>
      <c r="BO53" s="170" t="str">
        <f t="shared" si="2"/>
        <v/>
      </c>
      <c r="BP53" s="87"/>
      <c r="BQ53" s="88"/>
    </row>
    <row r="54" spans="1:76" x14ac:dyDescent="0.35">
      <c r="A54" s="89" t="s">
        <v>15</v>
      </c>
      <c r="B54" s="90"/>
      <c r="C54" s="174">
        <f>IF('March 2027 Log'!BM54="","",'March 2027 Log'!BM54)</f>
        <v>0</v>
      </c>
      <c r="D54" s="47"/>
      <c r="E54" s="166">
        <f>E22+E23+E32+E34+E50+E51+E52-E33+E24+E53+E112</f>
        <v>0</v>
      </c>
      <c r="F54" s="49"/>
      <c r="G54" s="166">
        <f>G22+G23+G32+G34+G50+G51+G52-G33+G24+G53+G112</f>
        <v>0</v>
      </c>
      <c r="H54" s="49"/>
      <c r="I54" s="166">
        <f>I22+I23+I32+I34+I50+I51+I52-I33+I24+I53+I112</f>
        <v>0</v>
      </c>
      <c r="J54" s="49"/>
      <c r="K54" s="166">
        <f>K22+K23+K32+K34+K50+K51+K52-K33+K24+K53+K112</f>
        <v>0</v>
      </c>
      <c r="L54" s="49"/>
      <c r="M54" s="166">
        <f>M22+M23+M32+M34+M50+M51+M52-M33+M24+M53+M112</f>
        <v>0</v>
      </c>
      <c r="N54" s="49"/>
      <c r="O54" s="166">
        <f>O22+O23+O32+O34+O50+O51+O52-O33+O24+O53+O112</f>
        <v>0</v>
      </c>
      <c r="P54" s="49"/>
      <c r="Q54" s="166">
        <f>Q22+Q23+Q32+Q34+Q50+Q51+Q52-Q33+Q24+Q53+Q112</f>
        <v>0</v>
      </c>
      <c r="R54" s="49"/>
      <c r="S54" s="166">
        <f>S22+S23+S32+S34+S50+S51+S52-S33+S24+S53+S112</f>
        <v>0</v>
      </c>
      <c r="T54" s="49"/>
      <c r="U54" s="166">
        <f>U22+U23+U32+U34+U50+U51+U52-U33+U24+U53+U112</f>
        <v>0</v>
      </c>
      <c r="V54" s="49"/>
      <c r="W54" s="166">
        <f>W22+W23+W32+W34+W50+W51+W52-W33+W24+W53+W112</f>
        <v>0</v>
      </c>
      <c r="X54" s="49"/>
      <c r="Y54" s="166">
        <f>Y22+Y23+Y32+Y34+Y50+Y51+Y52-Y33+Y24+Y53+Y112</f>
        <v>0</v>
      </c>
      <c r="Z54" s="49"/>
      <c r="AA54" s="166">
        <f>AA22+AA23+AA32+AA34+AA50+AA51+AA52-AA33+AA24+AA53+AA112</f>
        <v>0</v>
      </c>
      <c r="AB54" s="49"/>
      <c r="AC54" s="166">
        <f>AC22+AC23+AC32+AC34+AC50+AC51+AC52-AC33+AC24+AC53+AC112</f>
        <v>0</v>
      </c>
      <c r="AD54" s="49"/>
      <c r="AE54" s="166">
        <f>AE22+AE23+AE32+AE34+AE50+AE51+AE52-AE33+AE24+AE53+AE112</f>
        <v>0</v>
      </c>
      <c r="AF54" s="49"/>
      <c r="AG54" s="166">
        <f>AG22+AG23+AG32+AG34+AG50+AG51+AG52-AG33+AG24+AG53+AG112</f>
        <v>0</v>
      </c>
      <c r="AH54" s="49"/>
      <c r="AI54" s="166">
        <f>AI22+AI23+AI32+AI34+AI50+AI51+AI52-AI33+AI24+AI53+AI112</f>
        <v>0</v>
      </c>
      <c r="AJ54" s="49"/>
      <c r="AK54" s="166">
        <f>AK22+AK23+AK32+AK34+AK50+AK51+AK52-AK33+AK24+AK53+AK112</f>
        <v>0</v>
      </c>
      <c r="AL54" s="49"/>
      <c r="AM54" s="166">
        <f>AM22+AM23+AM32+AM34+AM50+AM51+AM52-AM33+AM24+AM53+AM112</f>
        <v>0</v>
      </c>
      <c r="AN54" s="49"/>
      <c r="AO54" s="166">
        <f>AO22+AO23+AO32+AO34+AO50+AO51+AO52-AO33+AO24+AO53+AO112</f>
        <v>0</v>
      </c>
      <c r="AP54" s="49"/>
      <c r="AQ54" s="166">
        <f>AQ22+AQ23+AQ32+AQ34+AQ50+AQ51+AQ52-AQ33+AQ24+AQ53+AQ112</f>
        <v>0</v>
      </c>
      <c r="AR54" s="49"/>
      <c r="AS54" s="166">
        <f>AS22+AS23+AS32+AS34+AS50+AS51+AS52-AS33+AS24+AS53+AS112</f>
        <v>0</v>
      </c>
      <c r="AT54" s="49"/>
      <c r="AU54" s="166">
        <f>AU22+AU23+AU32+AU34+AU50+AU51+AU52-AU33+AU24+AU53+AU112</f>
        <v>0</v>
      </c>
      <c r="AV54" s="49"/>
      <c r="AW54" s="166">
        <f>AW22+AW23+AW32+AW34+AW50+AW51+AW52-AW33+AW24+AW53+AW112</f>
        <v>0</v>
      </c>
      <c r="AX54" s="49"/>
      <c r="AY54" s="166">
        <f>AY22+AY23+AY32+AY34+AY50+AY51+AY52-AY33+AY24+AY53+AY112</f>
        <v>0</v>
      </c>
      <c r="AZ54" s="49"/>
      <c r="BA54" s="166">
        <f>BA22+BA23+BA32+BA34+BA50+BA51+BA52-BA33+BA24+BA53+BA112</f>
        <v>0</v>
      </c>
      <c r="BB54" s="49"/>
      <c r="BC54" s="166">
        <f>BC22+BC23+BC32+BC34+BC50+BC51+BC52-BC33+BC24+BC53+BC112</f>
        <v>0</v>
      </c>
      <c r="BD54" s="49"/>
      <c r="BE54" s="166">
        <f>BE22+BE23+BE32+BE34+BE50+BE51+BE52-BE33+BE24+BE53+BE112</f>
        <v>0</v>
      </c>
      <c r="BF54" s="49"/>
      <c r="BG54" s="166">
        <f>BG22+BG23+BG32+BG34+BG50+BG51+BG52-BG33+BG24+BG53+BG112</f>
        <v>0</v>
      </c>
      <c r="BH54" s="49"/>
      <c r="BI54" s="166">
        <f>BI22+BI23+BI32+BI34+BI50+BI51+BI52-BI33+BI24+BI53+BI112</f>
        <v>0</v>
      </c>
      <c r="BJ54" s="49"/>
      <c r="BK54" s="166">
        <f>BK22+BK23+BK32+BK34+BK50+BK51+BK52-BK33+BK24+BK53+BK112</f>
        <v>0</v>
      </c>
      <c r="BL54" s="49"/>
      <c r="BM54" s="48"/>
      <c r="BN54" s="50"/>
      <c r="BO54" s="170">
        <f t="shared" si="2"/>
        <v>0</v>
      </c>
      <c r="BP54" s="49"/>
      <c r="BQ54" s="172">
        <f t="shared" ref="BQ54:BQ59" si="63">IF(BK54="","",BK54)</f>
        <v>0</v>
      </c>
    </row>
    <row r="55" spans="1:76" x14ac:dyDescent="0.35">
      <c r="A55" s="83" t="s">
        <v>16</v>
      </c>
      <c r="B55" s="54"/>
      <c r="C55" s="174" t="str">
        <f>IF('March 2027 Log'!BM55="","",'March 2027 Log'!BM55)</f>
        <v/>
      </c>
      <c r="D55" s="85"/>
      <c r="E55" s="86"/>
      <c r="F55" s="87"/>
      <c r="G55" s="86"/>
      <c r="H55" s="87"/>
      <c r="I55" s="86"/>
      <c r="J55" s="87"/>
      <c r="K55" s="86"/>
      <c r="L55" s="87"/>
      <c r="M55" s="86"/>
      <c r="N55" s="87"/>
      <c r="O55" s="86"/>
      <c r="P55" s="87"/>
      <c r="Q55" s="86"/>
      <c r="R55" s="87"/>
      <c r="S55" s="86"/>
      <c r="T55" s="87"/>
      <c r="U55" s="86"/>
      <c r="V55" s="87"/>
      <c r="W55" s="86"/>
      <c r="X55" s="87"/>
      <c r="Y55" s="86"/>
      <c r="Z55" s="87"/>
      <c r="AA55" s="86"/>
      <c r="AB55" s="87"/>
      <c r="AC55" s="86"/>
      <c r="AD55" s="87"/>
      <c r="AE55" s="86"/>
      <c r="AF55" s="87"/>
      <c r="AG55" s="86"/>
      <c r="AH55" s="87"/>
      <c r="AI55" s="86"/>
      <c r="AJ55" s="87"/>
      <c r="AK55" s="86"/>
      <c r="AL55" s="87"/>
      <c r="AM55" s="86"/>
      <c r="AN55" s="87"/>
      <c r="AO55" s="86"/>
      <c r="AP55" s="87"/>
      <c r="AQ55" s="86"/>
      <c r="AR55" s="87"/>
      <c r="AS55" s="86"/>
      <c r="AT55" s="87"/>
      <c r="AU55" s="86"/>
      <c r="AV55" s="87"/>
      <c r="AW55" s="86"/>
      <c r="AX55" s="87"/>
      <c r="AY55" s="86"/>
      <c r="AZ55" s="87"/>
      <c r="BA55" s="86"/>
      <c r="BB55" s="87"/>
      <c r="BC55" s="86"/>
      <c r="BD55" s="87"/>
      <c r="BE55" s="86"/>
      <c r="BF55" s="87"/>
      <c r="BG55" s="86"/>
      <c r="BH55" s="87"/>
      <c r="BI55" s="86"/>
      <c r="BJ55" s="87"/>
      <c r="BK55" s="86"/>
      <c r="BL55" s="87"/>
      <c r="BM55" s="86"/>
      <c r="BN55" s="50"/>
      <c r="BO55" s="170" t="str">
        <f t="shared" si="2"/>
        <v/>
      </c>
      <c r="BP55" s="87"/>
      <c r="BQ55" s="178" t="str">
        <f t="shared" si="63"/>
        <v/>
      </c>
    </row>
    <row r="56" spans="1:76" x14ac:dyDescent="0.35">
      <c r="A56" s="83" t="s">
        <v>17</v>
      </c>
      <c r="B56" s="54"/>
      <c r="C56" s="174" t="str">
        <f>IF('March 2027 Log'!BM56="","",'March 2027 Log'!BM56)</f>
        <v/>
      </c>
      <c r="D56" s="85"/>
      <c r="E56" s="86"/>
      <c r="F56" s="87"/>
      <c r="G56" s="86"/>
      <c r="H56" s="87"/>
      <c r="I56" s="86"/>
      <c r="J56" s="87"/>
      <c r="K56" s="86"/>
      <c r="L56" s="87"/>
      <c r="M56" s="86"/>
      <c r="N56" s="87"/>
      <c r="O56" s="86"/>
      <c r="P56" s="87"/>
      <c r="Q56" s="86"/>
      <c r="R56" s="87"/>
      <c r="S56" s="86"/>
      <c r="T56" s="87"/>
      <c r="U56" s="86"/>
      <c r="V56" s="87"/>
      <c r="W56" s="86"/>
      <c r="X56" s="87"/>
      <c r="Y56" s="86"/>
      <c r="Z56" s="87"/>
      <c r="AA56" s="86"/>
      <c r="AB56" s="87"/>
      <c r="AC56" s="86"/>
      <c r="AD56" s="87"/>
      <c r="AE56" s="86"/>
      <c r="AF56" s="87"/>
      <c r="AG56" s="86"/>
      <c r="AH56" s="87"/>
      <c r="AI56" s="86"/>
      <c r="AJ56" s="87"/>
      <c r="AK56" s="86"/>
      <c r="AL56" s="87"/>
      <c r="AM56" s="86"/>
      <c r="AN56" s="87"/>
      <c r="AO56" s="86"/>
      <c r="AP56" s="87"/>
      <c r="AQ56" s="86"/>
      <c r="AR56" s="87"/>
      <c r="AS56" s="86"/>
      <c r="AT56" s="87"/>
      <c r="AU56" s="86"/>
      <c r="AV56" s="87"/>
      <c r="AW56" s="86"/>
      <c r="AX56" s="87"/>
      <c r="AY56" s="86"/>
      <c r="AZ56" s="87"/>
      <c r="BA56" s="86"/>
      <c r="BB56" s="87"/>
      <c r="BC56" s="86"/>
      <c r="BD56" s="87"/>
      <c r="BE56" s="86"/>
      <c r="BF56" s="87"/>
      <c r="BG56" s="86"/>
      <c r="BH56" s="87"/>
      <c r="BI56" s="86"/>
      <c r="BJ56" s="87"/>
      <c r="BK56" s="86"/>
      <c r="BL56" s="87"/>
      <c r="BM56" s="86"/>
      <c r="BN56" s="50"/>
      <c r="BO56" s="170" t="str">
        <f t="shared" si="2"/>
        <v/>
      </c>
      <c r="BP56" s="87"/>
      <c r="BQ56" s="178" t="str">
        <f t="shared" si="63"/>
        <v/>
      </c>
    </row>
    <row r="57" spans="1:76" x14ac:dyDescent="0.35">
      <c r="A57" s="89" t="s">
        <v>18</v>
      </c>
      <c r="B57" s="90"/>
      <c r="C57" s="174">
        <f>IF('March 2027 Log'!BM57="","",'March 2027 Log'!BM57)</f>
        <v>0</v>
      </c>
      <c r="D57" s="47"/>
      <c r="E57" s="166">
        <f>SUM(E55:E56)</f>
        <v>0</v>
      </c>
      <c r="F57" s="49"/>
      <c r="G57" s="166">
        <f>SUM(G55:G56)</f>
        <v>0</v>
      </c>
      <c r="H57" s="49"/>
      <c r="I57" s="166">
        <f>SUM(I55:I56)</f>
        <v>0</v>
      </c>
      <c r="J57" s="49"/>
      <c r="K57" s="166">
        <f>SUM(K55:K56)</f>
        <v>0</v>
      </c>
      <c r="L57" s="49"/>
      <c r="M57" s="166">
        <f>SUM(M55:M56)</f>
        <v>0</v>
      </c>
      <c r="N57" s="49"/>
      <c r="O57" s="166">
        <f>SUM(O55:O56)</f>
        <v>0</v>
      </c>
      <c r="P57" s="49"/>
      <c r="Q57" s="166">
        <f>SUM(Q55:Q56)</f>
        <v>0</v>
      </c>
      <c r="R57" s="49"/>
      <c r="S57" s="166">
        <f>SUM(S55:S56)</f>
        <v>0</v>
      </c>
      <c r="T57" s="49"/>
      <c r="U57" s="166">
        <f>SUM(U55:U56)</f>
        <v>0</v>
      </c>
      <c r="V57" s="49"/>
      <c r="W57" s="166">
        <f>SUM(W55:W56)</f>
        <v>0</v>
      </c>
      <c r="X57" s="49"/>
      <c r="Y57" s="166">
        <f>SUM(Y55:Y56)</f>
        <v>0</v>
      </c>
      <c r="Z57" s="49"/>
      <c r="AA57" s="166">
        <f>SUM(AA55:AA56)</f>
        <v>0</v>
      </c>
      <c r="AB57" s="49"/>
      <c r="AC57" s="166">
        <f>SUM(AC55:AC56)</f>
        <v>0</v>
      </c>
      <c r="AD57" s="49"/>
      <c r="AE57" s="166">
        <f>SUM(AE55:AE56)</f>
        <v>0</v>
      </c>
      <c r="AF57" s="49"/>
      <c r="AG57" s="166">
        <f>SUM(AG55:AG56)</f>
        <v>0</v>
      </c>
      <c r="AH57" s="49"/>
      <c r="AI57" s="166">
        <f>SUM(AI55:AI56)</f>
        <v>0</v>
      </c>
      <c r="AJ57" s="49"/>
      <c r="AK57" s="166">
        <f>SUM(AK55:AK56)</f>
        <v>0</v>
      </c>
      <c r="AL57" s="49"/>
      <c r="AM57" s="166">
        <f>SUM(AM55:AM56)</f>
        <v>0</v>
      </c>
      <c r="AN57" s="49"/>
      <c r="AO57" s="166">
        <f>SUM(AO55:AO56)</f>
        <v>0</v>
      </c>
      <c r="AP57" s="49"/>
      <c r="AQ57" s="166">
        <f>SUM(AQ55:AQ56)</f>
        <v>0</v>
      </c>
      <c r="AR57" s="49"/>
      <c r="AS57" s="166">
        <f>SUM(AS55:AS56)</f>
        <v>0</v>
      </c>
      <c r="AT57" s="49"/>
      <c r="AU57" s="166">
        <f>SUM(AU55:AU56)</f>
        <v>0</v>
      </c>
      <c r="AV57" s="49"/>
      <c r="AW57" s="166">
        <f>SUM(AW55:AW56)</f>
        <v>0</v>
      </c>
      <c r="AX57" s="49"/>
      <c r="AY57" s="166">
        <f>SUM(AY55:AY56)</f>
        <v>0</v>
      </c>
      <c r="AZ57" s="49"/>
      <c r="BA57" s="166">
        <f>SUM(BA55:BA56)</f>
        <v>0</v>
      </c>
      <c r="BB57" s="49"/>
      <c r="BC57" s="166">
        <f>SUM(BC55:BC56)</f>
        <v>0</v>
      </c>
      <c r="BD57" s="49"/>
      <c r="BE57" s="166">
        <f>SUM(BE55:BE56)</f>
        <v>0</v>
      </c>
      <c r="BF57" s="49"/>
      <c r="BG57" s="166">
        <f>SUM(BG55:BG56)</f>
        <v>0</v>
      </c>
      <c r="BH57" s="49"/>
      <c r="BI57" s="166">
        <f>SUM(BI55:BI56)</f>
        <v>0</v>
      </c>
      <c r="BJ57" s="49"/>
      <c r="BK57" s="166">
        <f>SUM(BK55:BK56)</f>
        <v>0</v>
      </c>
      <c r="BL57" s="49"/>
      <c r="BM57" s="48"/>
      <c r="BN57" s="50"/>
      <c r="BO57" s="170">
        <f t="shared" si="2"/>
        <v>0</v>
      </c>
      <c r="BP57" s="49"/>
      <c r="BQ57" s="172">
        <f t="shared" si="63"/>
        <v>0</v>
      </c>
    </row>
    <row r="58" spans="1:76" x14ac:dyDescent="0.35">
      <c r="A58" s="108" t="s">
        <v>19</v>
      </c>
      <c r="B58" s="109"/>
      <c r="C58" s="174">
        <f>IF('March 2027 Log'!BM58="","",'March 2027 Log'!BM58)</f>
        <v>0</v>
      </c>
      <c r="D58" s="47"/>
      <c r="E58" s="166">
        <f>+E54-E57</f>
        <v>0</v>
      </c>
      <c r="F58" s="49"/>
      <c r="G58" s="166">
        <f>+G54-G57</f>
        <v>0</v>
      </c>
      <c r="H58" s="49"/>
      <c r="I58" s="166">
        <f>+I54-I57</f>
        <v>0</v>
      </c>
      <c r="J58" s="49"/>
      <c r="K58" s="166">
        <f>+K54-K57</f>
        <v>0</v>
      </c>
      <c r="L58" s="49"/>
      <c r="M58" s="166">
        <f>+M54-M57</f>
        <v>0</v>
      </c>
      <c r="N58" s="49"/>
      <c r="O58" s="166">
        <f>+O54-O57</f>
        <v>0</v>
      </c>
      <c r="P58" s="49"/>
      <c r="Q58" s="166">
        <f>+Q54-Q57</f>
        <v>0</v>
      </c>
      <c r="R58" s="49"/>
      <c r="S58" s="166">
        <f>+S54-S57</f>
        <v>0</v>
      </c>
      <c r="T58" s="49"/>
      <c r="U58" s="166">
        <f>+U54-U57</f>
        <v>0</v>
      </c>
      <c r="V58" s="49"/>
      <c r="W58" s="166">
        <f>+W54-W57</f>
        <v>0</v>
      </c>
      <c r="X58" s="49"/>
      <c r="Y58" s="166">
        <f>+Y54-Y57</f>
        <v>0</v>
      </c>
      <c r="Z58" s="49"/>
      <c r="AA58" s="166">
        <f>+AA54-AA57</f>
        <v>0</v>
      </c>
      <c r="AB58" s="49"/>
      <c r="AC58" s="166">
        <f>+AC54-AC57</f>
        <v>0</v>
      </c>
      <c r="AD58" s="49"/>
      <c r="AE58" s="166">
        <f>+AE54-AE57</f>
        <v>0</v>
      </c>
      <c r="AF58" s="49"/>
      <c r="AG58" s="166">
        <f>+AG54-AG57</f>
        <v>0</v>
      </c>
      <c r="AH58" s="49"/>
      <c r="AI58" s="166">
        <f>+AI54-AI57</f>
        <v>0</v>
      </c>
      <c r="AJ58" s="49"/>
      <c r="AK58" s="166">
        <f>+AK54-AK57</f>
        <v>0</v>
      </c>
      <c r="AL58" s="49"/>
      <c r="AM58" s="166">
        <f>+AM54-AM57</f>
        <v>0</v>
      </c>
      <c r="AN58" s="49"/>
      <c r="AO58" s="166">
        <f>+AO54-AO57</f>
        <v>0</v>
      </c>
      <c r="AP58" s="49"/>
      <c r="AQ58" s="166">
        <f>+AQ54-AQ57</f>
        <v>0</v>
      </c>
      <c r="AR58" s="49"/>
      <c r="AS58" s="166">
        <f>+AS54-AS57</f>
        <v>0</v>
      </c>
      <c r="AT58" s="49"/>
      <c r="AU58" s="166">
        <f>+AU54-AU57</f>
        <v>0</v>
      </c>
      <c r="AV58" s="49"/>
      <c r="AW58" s="166">
        <f>+AW54-AW57</f>
        <v>0</v>
      </c>
      <c r="AX58" s="49"/>
      <c r="AY58" s="166">
        <f>+AY54-AY57</f>
        <v>0</v>
      </c>
      <c r="AZ58" s="49"/>
      <c r="BA58" s="166">
        <f>+BA54-BA57</f>
        <v>0</v>
      </c>
      <c r="BB58" s="49"/>
      <c r="BC58" s="166">
        <f>+BC54-BC57</f>
        <v>0</v>
      </c>
      <c r="BD58" s="49"/>
      <c r="BE58" s="166">
        <f>+BE54-BE57</f>
        <v>0</v>
      </c>
      <c r="BF58" s="49"/>
      <c r="BG58" s="166">
        <f>+BG54-BG57</f>
        <v>0</v>
      </c>
      <c r="BH58" s="49"/>
      <c r="BI58" s="166">
        <f>+BI54-BI57</f>
        <v>0</v>
      </c>
      <c r="BJ58" s="49"/>
      <c r="BK58" s="166">
        <f>+BK54-BK57</f>
        <v>0</v>
      </c>
      <c r="BL58" s="49"/>
      <c r="BM58" s="48"/>
      <c r="BN58" s="50"/>
      <c r="BO58" s="170">
        <f t="shared" si="2"/>
        <v>0</v>
      </c>
      <c r="BP58" s="49"/>
      <c r="BQ58" s="172">
        <f t="shared" si="63"/>
        <v>0</v>
      </c>
    </row>
    <row r="59" spans="1:76" x14ac:dyDescent="0.35">
      <c r="A59" s="108" t="s">
        <v>20</v>
      </c>
      <c r="B59" s="109"/>
      <c r="C59" s="174">
        <f>IF('March 2027 Log'!BM59="","",'March 2027 Log'!BM59)</f>
        <v>0</v>
      </c>
      <c r="D59" s="47"/>
      <c r="E59" s="166">
        <f>-E25+E26</f>
        <v>0</v>
      </c>
      <c r="F59" s="49"/>
      <c r="G59" s="166">
        <f>-G25+G26</f>
        <v>0</v>
      </c>
      <c r="H59" s="49"/>
      <c r="I59" s="166">
        <f>-I25+I26</f>
        <v>0</v>
      </c>
      <c r="J59" s="49"/>
      <c r="K59" s="166">
        <f>-K25+K26</f>
        <v>0</v>
      </c>
      <c r="L59" s="49"/>
      <c r="M59" s="166">
        <f>-M25+M26</f>
        <v>0</v>
      </c>
      <c r="N59" s="49"/>
      <c r="O59" s="166">
        <f>-O25+O26</f>
        <v>0</v>
      </c>
      <c r="P59" s="49"/>
      <c r="Q59" s="166">
        <f>-Q25+Q26</f>
        <v>0</v>
      </c>
      <c r="R59" s="49"/>
      <c r="S59" s="166">
        <f>-S25+S26</f>
        <v>0</v>
      </c>
      <c r="T59" s="49"/>
      <c r="U59" s="166">
        <f>-U25+U26</f>
        <v>0</v>
      </c>
      <c r="V59" s="49"/>
      <c r="W59" s="166">
        <f>-W25+W26</f>
        <v>0</v>
      </c>
      <c r="X59" s="49"/>
      <c r="Y59" s="166">
        <f>-Y25+Y26</f>
        <v>0</v>
      </c>
      <c r="Z59" s="49"/>
      <c r="AA59" s="166">
        <f>-AA25+AA26</f>
        <v>0</v>
      </c>
      <c r="AB59" s="49"/>
      <c r="AC59" s="166">
        <f>-AC25+AC26</f>
        <v>0</v>
      </c>
      <c r="AD59" s="49"/>
      <c r="AE59" s="166">
        <f>-AE25+AE26</f>
        <v>0</v>
      </c>
      <c r="AF59" s="49"/>
      <c r="AG59" s="166">
        <f>-AG25+AG26</f>
        <v>0</v>
      </c>
      <c r="AH59" s="49"/>
      <c r="AI59" s="166">
        <f>-AI25+AI26</f>
        <v>0</v>
      </c>
      <c r="AJ59" s="49"/>
      <c r="AK59" s="166">
        <f>-AK25+AK26</f>
        <v>0</v>
      </c>
      <c r="AL59" s="49"/>
      <c r="AM59" s="166">
        <f>-AM25+AM26</f>
        <v>0</v>
      </c>
      <c r="AN59" s="49"/>
      <c r="AO59" s="166">
        <f>-AO25+AO26</f>
        <v>0</v>
      </c>
      <c r="AP59" s="49"/>
      <c r="AQ59" s="166">
        <f>-AQ25+AQ26</f>
        <v>0</v>
      </c>
      <c r="AR59" s="49"/>
      <c r="AS59" s="166">
        <f>-AS25+AS26</f>
        <v>0</v>
      </c>
      <c r="AT59" s="49"/>
      <c r="AU59" s="166">
        <f>-AU25+AU26</f>
        <v>0</v>
      </c>
      <c r="AV59" s="49"/>
      <c r="AW59" s="166">
        <f>-AW25+AW26</f>
        <v>0</v>
      </c>
      <c r="AX59" s="49"/>
      <c r="AY59" s="166">
        <f>-AY25+AY26</f>
        <v>0</v>
      </c>
      <c r="AZ59" s="49"/>
      <c r="BA59" s="166">
        <f>-BA25+BA26</f>
        <v>0</v>
      </c>
      <c r="BB59" s="49"/>
      <c r="BC59" s="166">
        <f>-BC25+BC26</f>
        <v>0</v>
      </c>
      <c r="BD59" s="49"/>
      <c r="BE59" s="166">
        <f>-BE25+BE26</f>
        <v>0</v>
      </c>
      <c r="BF59" s="49"/>
      <c r="BG59" s="166">
        <f>-BG25+BG26</f>
        <v>0</v>
      </c>
      <c r="BH59" s="49"/>
      <c r="BI59" s="166">
        <f>-BI25+BI26</f>
        <v>0</v>
      </c>
      <c r="BJ59" s="49"/>
      <c r="BK59" s="166">
        <f>-BK25+BK26</f>
        <v>0</v>
      </c>
      <c r="BL59" s="49"/>
      <c r="BM59" s="48"/>
      <c r="BN59" s="50"/>
      <c r="BO59" s="170">
        <f t="shared" si="2"/>
        <v>0</v>
      </c>
      <c r="BP59" s="49"/>
      <c r="BQ59" s="172">
        <f t="shared" si="63"/>
        <v>0</v>
      </c>
    </row>
    <row r="60" spans="1:76" x14ac:dyDescent="0.35">
      <c r="A60" s="74"/>
      <c r="B60" s="75"/>
      <c r="C60" s="141"/>
      <c r="D60" s="102"/>
      <c r="E60" s="142"/>
      <c r="F60" s="104"/>
      <c r="G60" s="142"/>
      <c r="H60" s="104"/>
      <c r="I60" s="142"/>
      <c r="J60" s="104"/>
      <c r="K60" s="142"/>
      <c r="L60" s="104"/>
      <c r="M60" s="142"/>
      <c r="N60" s="104"/>
      <c r="O60" s="142"/>
      <c r="P60" s="104"/>
      <c r="Q60" s="142"/>
      <c r="R60" s="104"/>
      <c r="S60" s="142"/>
      <c r="T60" s="104"/>
      <c r="U60" s="142"/>
      <c r="V60" s="104"/>
      <c r="W60" s="142"/>
      <c r="X60" s="104"/>
      <c r="Y60" s="142"/>
      <c r="Z60" s="104"/>
      <c r="AA60" s="142"/>
      <c r="AB60" s="104"/>
      <c r="AC60" s="142"/>
      <c r="AD60" s="104"/>
      <c r="AE60" s="142"/>
      <c r="AF60" s="104"/>
      <c r="AG60" s="142"/>
      <c r="AH60" s="104"/>
      <c r="AI60" s="142"/>
      <c r="AJ60" s="104"/>
      <c r="AK60" s="142"/>
      <c r="AL60" s="104"/>
      <c r="AM60" s="142"/>
      <c r="AN60" s="104"/>
      <c r="AO60" s="142"/>
      <c r="AP60" s="104"/>
      <c r="AQ60" s="142"/>
      <c r="AR60" s="104"/>
      <c r="AS60" s="142"/>
      <c r="AT60" s="104"/>
      <c r="AU60" s="142"/>
      <c r="AV60" s="104"/>
      <c r="AW60" s="142"/>
      <c r="AX60" s="104"/>
      <c r="AY60" s="142"/>
      <c r="AZ60" s="104"/>
      <c r="BA60" s="142"/>
      <c r="BB60" s="104"/>
      <c r="BC60" s="142"/>
      <c r="BD60" s="104"/>
      <c r="BE60" s="142"/>
      <c r="BF60" s="104"/>
      <c r="BG60" s="142"/>
      <c r="BH60" s="104"/>
      <c r="BI60" s="142"/>
      <c r="BJ60" s="104"/>
      <c r="BK60" s="142"/>
      <c r="BL60" s="104"/>
      <c r="BM60" s="142"/>
      <c r="BN60" s="105"/>
      <c r="BO60" s="106"/>
      <c r="BP60" s="104"/>
      <c r="BQ60" s="107"/>
    </row>
    <row r="61" spans="1:76" s="8" customFormat="1" x14ac:dyDescent="0.35">
      <c r="A61" s="213" t="s">
        <v>68</v>
      </c>
      <c r="B61" s="214"/>
      <c r="C61" s="215"/>
      <c r="D61" s="47"/>
      <c r="E61" s="166" t="e">
        <f t="shared" ref="E61" si="64">+E73-D67</f>
        <v>#VALUE!</v>
      </c>
      <c r="F61" s="49"/>
      <c r="G61" s="166">
        <f t="shared" ref="G61" si="65">+G73-F67</f>
        <v>0</v>
      </c>
      <c r="H61" s="49"/>
      <c r="I61" s="166">
        <f t="shared" ref="I61" si="66">+I73-H67</f>
        <v>0</v>
      </c>
      <c r="J61" s="49"/>
      <c r="K61" s="166">
        <f t="shared" ref="K61" si="67">+K73-J67</f>
        <v>0</v>
      </c>
      <c r="L61" s="49"/>
      <c r="M61" s="166">
        <f t="shared" ref="M61" si="68">+M73-L67</f>
        <v>0</v>
      </c>
      <c r="N61" s="49"/>
      <c r="O61" s="166">
        <f t="shared" ref="O61" si="69">+O73-N67</f>
        <v>0</v>
      </c>
      <c r="P61" s="49"/>
      <c r="Q61" s="166">
        <f t="shared" ref="Q61" si="70">+Q73-P67</f>
        <v>0</v>
      </c>
      <c r="R61" s="49"/>
      <c r="S61" s="166">
        <f t="shared" ref="S61" si="71">+S73-R67</f>
        <v>0</v>
      </c>
      <c r="T61" s="49"/>
      <c r="U61" s="166">
        <f t="shared" ref="U61" si="72">+U73-T67</f>
        <v>0</v>
      </c>
      <c r="V61" s="49"/>
      <c r="W61" s="166">
        <f t="shared" ref="W61" si="73">+W73-V67</f>
        <v>0</v>
      </c>
      <c r="X61" s="49"/>
      <c r="Y61" s="166">
        <f t="shared" ref="Y61" si="74">+Y73-X67</f>
        <v>0</v>
      </c>
      <c r="Z61" s="49"/>
      <c r="AA61" s="166">
        <f t="shared" ref="AA61" si="75">+AA73-Z67</f>
        <v>0</v>
      </c>
      <c r="AB61" s="49"/>
      <c r="AC61" s="166">
        <f t="shared" ref="AC61" si="76">+AC73-AB67</f>
        <v>0</v>
      </c>
      <c r="AD61" s="49"/>
      <c r="AE61" s="166">
        <f t="shared" ref="AE61" si="77">+AE73-AD67</f>
        <v>0</v>
      </c>
      <c r="AF61" s="49"/>
      <c r="AG61" s="166">
        <f t="shared" ref="AG61" si="78">+AG73-AF67</f>
        <v>0</v>
      </c>
      <c r="AH61" s="49"/>
      <c r="AI61" s="166">
        <f t="shared" ref="AI61" si="79">+AI73-AH67</f>
        <v>0</v>
      </c>
      <c r="AJ61" s="49"/>
      <c r="AK61" s="166">
        <f t="shared" ref="AK61" si="80">+AK73-AJ67</f>
        <v>0</v>
      </c>
      <c r="AL61" s="49"/>
      <c r="AM61" s="166">
        <f t="shared" ref="AM61" si="81">+AM73-AL67</f>
        <v>0</v>
      </c>
      <c r="AN61" s="49"/>
      <c r="AO61" s="166">
        <f t="shared" ref="AO61" si="82">+AO73-AN67</f>
        <v>0</v>
      </c>
      <c r="AP61" s="49"/>
      <c r="AQ61" s="166">
        <f t="shared" ref="AQ61" si="83">+AQ73-AP67</f>
        <v>0</v>
      </c>
      <c r="AR61" s="49"/>
      <c r="AS61" s="166">
        <f t="shared" ref="AS61" si="84">+AS73-AR67</f>
        <v>0</v>
      </c>
      <c r="AT61" s="49"/>
      <c r="AU61" s="166">
        <f t="shared" ref="AU61" si="85">+AU73-AT67</f>
        <v>0</v>
      </c>
      <c r="AV61" s="49"/>
      <c r="AW61" s="166">
        <f t="shared" ref="AW61" si="86">+AW73-AV67</f>
        <v>0</v>
      </c>
      <c r="AX61" s="49"/>
      <c r="AY61" s="166">
        <f t="shared" ref="AY61" si="87">+AY73-AX67</f>
        <v>0</v>
      </c>
      <c r="AZ61" s="49"/>
      <c r="BA61" s="166">
        <f t="shared" ref="BA61" si="88">+BA73-AZ67</f>
        <v>0</v>
      </c>
      <c r="BB61" s="49"/>
      <c r="BC61" s="166">
        <f t="shared" ref="BC61" si="89">+BC73-BB67</f>
        <v>0</v>
      </c>
      <c r="BD61" s="49"/>
      <c r="BE61" s="166">
        <f t="shared" ref="BE61" si="90">+BE73-BD67</f>
        <v>0</v>
      </c>
      <c r="BF61" s="49"/>
      <c r="BG61" s="166">
        <f>+BG73-BF67</f>
        <v>0</v>
      </c>
      <c r="BH61" s="49"/>
      <c r="BI61" s="166">
        <f>+BI73-BH67</f>
        <v>0</v>
      </c>
      <c r="BJ61" s="49"/>
      <c r="BK61" s="166">
        <f t="shared" ref="BK61" si="91">+BK73-BJ67</f>
        <v>0</v>
      </c>
      <c r="BL61" s="49"/>
      <c r="BM61" s="48"/>
      <c r="BN61" s="50"/>
      <c r="BO61" s="170" t="e">
        <f>IF(COUNT(E61,G61,I61,K61,M61,O61,Q61,S61,U61,W61,Y61,AA61,AC61,AE61,AG61,AI61,AK61,AM61,AO61,AQ61,AS61,AU61,AW61,AY61,BA61,BC61,BE61,BG61,BI61,BK61,BM61)=0,"",SUM(E61,G61,I61,K61,M61,O61,Q61,S61,U61,W61,Y61,AA61,AC61,AE61,AG61,AI61,AK61,AM61,AO61,AQ61,AS61,AU61,AW61,AY61,BA61,BC61,BE61,BG61,BI61,BK61,BM61))</f>
        <v>#VALUE!</v>
      </c>
      <c r="BP61" s="49"/>
      <c r="BQ61" s="52"/>
      <c r="BR61"/>
      <c r="BS61"/>
      <c r="BT61"/>
      <c r="BU61"/>
      <c r="BV61"/>
      <c r="BW61"/>
      <c r="BX61"/>
    </row>
    <row r="62" spans="1:76" x14ac:dyDescent="0.35">
      <c r="A62" s="53" t="s">
        <v>24</v>
      </c>
      <c r="B62" s="187" t="e">
        <f>C62-C106</f>
        <v>#VALUE!</v>
      </c>
      <c r="C62" s="174" t="str">
        <f>IF('March 2027 Log'!BM62="","",'March 2027 Log'!BM62)</f>
        <v/>
      </c>
      <c r="D62" s="189" t="e">
        <f>+C62-E62+E106</f>
        <v>#VALUE!</v>
      </c>
      <c r="E62" s="48"/>
      <c r="F62" s="167">
        <f>+E62-G62+G106</f>
        <v>0</v>
      </c>
      <c r="G62" s="48"/>
      <c r="H62" s="167">
        <f>+G62-I62+I106</f>
        <v>0</v>
      </c>
      <c r="I62" s="48"/>
      <c r="J62" s="167">
        <f>+I62-K62+K106</f>
        <v>0</v>
      </c>
      <c r="K62" s="48"/>
      <c r="L62" s="167">
        <f>+K62-M62+M106</f>
        <v>0</v>
      </c>
      <c r="M62" s="48"/>
      <c r="N62" s="167">
        <f>+M62-O62+O106</f>
        <v>0</v>
      </c>
      <c r="O62" s="48"/>
      <c r="P62" s="167">
        <f>+O62-Q62+Q106</f>
        <v>0</v>
      </c>
      <c r="Q62" s="48"/>
      <c r="R62" s="167">
        <f>+Q62-S62+S106</f>
        <v>0</v>
      </c>
      <c r="S62" s="48"/>
      <c r="T62" s="167">
        <f>+S62-U62+U106</f>
        <v>0</v>
      </c>
      <c r="U62" s="48"/>
      <c r="V62" s="167">
        <f>+U62-W62+W106</f>
        <v>0</v>
      </c>
      <c r="W62" s="48"/>
      <c r="X62" s="167">
        <f>+W62-Y62+Y106</f>
        <v>0</v>
      </c>
      <c r="Y62" s="48"/>
      <c r="Z62" s="167">
        <f>+Y62-AA62+AA106</f>
        <v>0</v>
      </c>
      <c r="AA62" s="48"/>
      <c r="AB62" s="167">
        <f>+AA62-AC62+AC106</f>
        <v>0</v>
      </c>
      <c r="AC62" s="48"/>
      <c r="AD62" s="167">
        <f>+AC62-AE62+AE106</f>
        <v>0</v>
      </c>
      <c r="AE62" s="48"/>
      <c r="AF62" s="167">
        <f>+AE62-AG62+AG106</f>
        <v>0</v>
      </c>
      <c r="AG62" s="48"/>
      <c r="AH62" s="167">
        <f>+AG62-AI62+AI106</f>
        <v>0</v>
      </c>
      <c r="AI62" s="48"/>
      <c r="AJ62" s="167">
        <f>+AI62-AK62+AK106</f>
        <v>0</v>
      </c>
      <c r="AK62" s="48"/>
      <c r="AL62" s="167">
        <f>+AK62-AM62+AM106</f>
        <v>0</v>
      </c>
      <c r="AM62" s="48"/>
      <c r="AN62" s="167">
        <f>+AM62-AO62+AO106</f>
        <v>0</v>
      </c>
      <c r="AO62" s="48"/>
      <c r="AP62" s="167">
        <f>+AO62-AQ62+AQ106</f>
        <v>0</v>
      </c>
      <c r="AQ62" s="48"/>
      <c r="AR62" s="167">
        <f>+AQ62-AS62+AS106</f>
        <v>0</v>
      </c>
      <c r="AS62" s="48"/>
      <c r="AT62" s="167">
        <f>+AS62-AU62+AU106</f>
        <v>0</v>
      </c>
      <c r="AU62" s="48"/>
      <c r="AV62" s="167">
        <f>+AU62-AW62+AW106</f>
        <v>0</v>
      </c>
      <c r="AW62" s="48"/>
      <c r="AX62" s="167">
        <f>+AW62-AY62+AY106</f>
        <v>0</v>
      </c>
      <c r="AY62" s="48"/>
      <c r="AZ62" s="167">
        <f>+AY62-BA62+BA106</f>
        <v>0</v>
      </c>
      <c r="BA62" s="48"/>
      <c r="BB62" s="167">
        <f>+BA62-BC62+BC106</f>
        <v>0</v>
      </c>
      <c r="BC62" s="48"/>
      <c r="BD62" s="167">
        <f>+BC62-BE62+BE106</f>
        <v>0</v>
      </c>
      <c r="BE62" s="48"/>
      <c r="BF62" s="167">
        <f>+BE62-BG62+BG106</f>
        <v>0</v>
      </c>
      <c r="BG62" s="48"/>
      <c r="BH62" s="167">
        <f>+BG62-BI62+BI106</f>
        <v>0</v>
      </c>
      <c r="BI62" s="48"/>
      <c r="BJ62" s="167">
        <f>+BI62-BK62+BK106</f>
        <v>0</v>
      </c>
      <c r="BK62" s="48"/>
      <c r="BL62" s="49"/>
      <c r="BM62" s="48"/>
      <c r="BN62" s="50"/>
      <c r="BO62" s="170" t="e">
        <f>IF(COUNT(D62,F62,H62,J62,L62,N62,P62,R62,T62,V62,X62,Z62,AB62,AD62,AF62,AH62,AJ62,AL62,AN62,AP62,AR62,AT62,AV62,AX62,AZ62,BB62,BD62,BF62,BH62,BJ62,BL62)=0,"",SUM(D62,F62,H62,J62,L62,N62,P62,R62,T62,V62,X62,Z62,AB62,AD62,AF62,AH62,AJ62,AL62,AN62,AP62,AR62,AT62,AV62,AX62,AZ62,BB62,BD62,BF62,BH62,BJ62,BL62))</f>
        <v>#VALUE!</v>
      </c>
      <c r="BP62" s="167" t="e">
        <f>+BM62-BQ62+BQ106</f>
        <v>#VALUE!</v>
      </c>
      <c r="BQ62" s="178" t="str">
        <f>IF(BK62="","",BK62)</f>
        <v/>
      </c>
    </row>
    <row r="63" spans="1:76" x14ac:dyDescent="0.35">
      <c r="A63" s="53" t="s">
        <v>25</v>
      </c>
      <c r="B63" s="187" t="e">
        <f>C63-C107</f>
        <v>#VALUE!</v>
      </c>
      <c r="C63" s="174" t="str">
        <f>IF('March 2027 Log'!BM63="","",'March 2027 Log'!BM63)</f>
        <v/>
      </c>
      <c r="D63" s="189" t="e">
        <f>+C63-E63+E107</f>
        <v>#VALUE!</v>
      </c>
      <c r="E63" s="48"/>
      <c r="F63" s="167">
        <f>+E63-G63+G107</f>
        <v>0</v>
      </c>
      <c r="G63" s="48"/>
      <c r="H63" s="167">
        <f>+G63-I63+I107</f>
        <v>0</v>
      </c>
      <c r="I63" s="48"/>
      <c r="J63" s="167">
        <f>+I63-K63+K107</f>
        <v>0</v>
      </c>
      <c r="K63" s="48"/>
      <c r="L63" s="167">
        <f>+K63-M63+M107</f>
        <v>0</v>
      </c>
      <c r="M63" s="48"/>
      <c r="N63" s="167">
        <f>+M63-O63+O107</f>
        <v>0</v>
      </c>
      <c r="O63" s="48"/>
      <c r="P63" s="167">
        <f>+O63-Q63+Q107</f>
        <v>0</v>
      </c>
      <c r="Q63" s="48"/>
      <c r="R63" s="167">
        <f>+Q63-S63+S107</f>
        <v>0</v>
      </c>
      <c r="S63" s="48"/>
      <c r="T63" s="167">
        <f>+S63-U63+U107</f>
        <v>0</v>
      </c>
      <c r="U63" s="48"/>
      <c r="V63" s="167">
        <f>+U63-W63+W107</f>
        <v>0</v>
      </c>
      <c r="W63" s="48"/>
      <c r="X63" s="167">
        <f>+W63-Y63+Y107</f>
        <v>0</v>
      </c>
      <c r="Y63" s="48"/>
      <c r="Z63" s="167">
        <f>+Y63-AA63+AA107</f>
        <v>0</v>
      </c>
      <c r="AA63" s="48"/>
      <c r="AB63" s="167">
        <f>+AA63-AC63+AC107</f>
        <v>0</v>
      </c>
      <c r="AC63" s="48"/>
      <c r="AD63" s="167">
        <f>+AC63-AE63+AE107</f>
        <v>0</v>
      </c>
      <c r="AE63" s="48"/>
      <c r="AF63" s="167">
        <f>+AE63-AG63+AG107</f>
        <v>0</v>
      </c>
      <c r="AG63" s="48"/>
      <c r="AH63" s="167">
        <f>+AG63-AI63+AI107</f>
        <v>0</v>
      </c>
      <c r="AI63" s="48"/>
      <c r="AJ63" s="167">
        <f>+AI63-AK63+AK107</f>
        <v>0</v>
      </c>
      <c r="AK63" s="48"/>
      <c r="AL63" s="167">
        <f>+AK63-AM63+AM107</f>
        <v>0</v>
      </c>
      <c r="AM63" s="48"/>
      <c r="AN63" s="167">
        <f>+AM63-AO63+AO107</f>
        <v>0</v>
      </c>
      <c r="AO63" s="48"/>
      <c r="AP63" s="167">
        <f>+AO63-AQ63+AQ107</f>
        <v>0</v>
      </c>
      <c r="AQ63" s="48"/>
      <c r="AR63" s="167">
        <f>+AQ63-AS63+AS107</f>
        <v>0</v>
      </c>
      <c r="AS63" s="48"/>
      <c r="AT63" s="167">
        <f>+AS63-AU63+AU107</f>
        <v>0</v>
      </c>
      <c r="AU63" s="48"/>
      <c r="AV63" s="167">
        <f>+AU63-AW63+AW107</f>
        <v>0</v>
      </c>
      <c r="AW63" s="48"/>
      <c r="AX63" s="167">
        <f>+AW63-AY63+AY107</f>
        <v>0</v>
      </c>
      <c r="AY63" s="48"/>
      <c r="AZ63" s="167">
        <f>+AY63-BA63+BA107</f>
        <v>0</v>
      </c>
      <c r="BA63" s="48"/>
      <c r="BB63" s="167">
        <f>+BA63-BC63+BC107</f>
        <v>0</v>
      </c>
      <c r="BC63" s="48"/>
      <c r="BD63" s="167">
        <f>+BC63-BE63+BE107</f>
        <v>0</v>
      </c>
      <c r="BE63" s="48"/>
      <c r="BF63" s="167">
        <f>+BE63-BG63+BG107</f>
        <v>0</v>
      </c>
      <c r="BG63" s="48"/>
      <c r="BH63" s="167">
        <f>+BG63-BI63+BI107</f>
        <v>0</v>
      </c>
      <c r="BI63" s="48"/>
      <c r="BJ63" s="167">
        <f>+BI63-BK63+BK107</f>
        <v>0</v>
      </c>
      <c r="BK63" s="48"/>
      <c r="BL63" s="49"/>
      <c r="BM63" s="48"/>
      <c r="BN63" s="50"/>
      <c r="BO63" s="170" t="e">
        <f>IF(COUNT(D63,F63,H63,J63,L63,N63,P63,R63,T63,V63,X63,Z63,AB63,AD63,AF63,AH63,AJ63,AL63,AN63,AP63,AR63,AT63,AV63,AX63,AZ63,BB63,BD63,BF63,BH63,BJ63,BL63)=0,"",SUM(D63,F63,H63,J63,L63,N63,P63,R63,T63,V63,X63,Z63,AB63,AD63,AF63,AH63,AJ63,AL63,AN63,AP63,AR63,AT63,AV63,AX63,AZ63,BB63,BD63,BF63,BH63,BJ63,BL63))</f>
        <v>#VALUE!</v>
      </c>
      <c r="BP63" s="167" t="e">
        <f>+BM63-BQ63+BQ107</f>
        <v>#VALUE!</v>
      </c>
      <c r="BQ63" s="178" t="str">
        <f>IF(BK63="","",BK63)</f>
        <v/>
      </c>
    </row>
    <row r="64" spans="1:76" x14ac:dyDescent="0.35">
      <c r="A64" s="53" t="s">
        <v>25</v>
      </c>
      <c r="B64" s="187" t="e">
        <f>C64-C108</f>
        <v>#VALUE!</v>
      </c>
      <c r="C64" s="174" t="str">
        <f>IF('March 2027 Log'!BM64="","",'March 2027 Log'!BM64)</f>
        <v/>
      </c>
      <c r="D64" s="189" t="e">
        <f>+C64-E64+E108</f>
        <v>#VALUE!</v>
      </c>
      <c r="E64" s="48"/>
      <c r="F64" s="167">
        <f>+E64-G64+G108</f>
        <v>0</v>
      </c>
      <c r="G64" s="48"/>
      <c r="H64" s="167">
        <f>+G64-I64+I108</f>
        <v>0</v>
      </c>
      <c r="I64" s="48"/>
      <c r="J64" s="167">
        <f>+I64-K64+K108</f>
        <v>0</v>
      </c>
      <c r="K64" s="48"/>
      <c r="L64" s="167">
        <f>+K64-M64+M108</f>
        <v>0</v>
      </c>
      <c r="M64" s="48"/>
      <c r="N64" s="167">
        <f>+M64-O64+O108</f>
        <v>0</v>
      </c>
      <c r="O64" s="48"/>
      <c r="P64" s="167">
        <f>+O64-Q64+Q108</f>
        <v>0</v>
      </c>
      <c r="Q64" s="48"/>
      <c r="R64" s="167">
        <f>+Q64-S64+S108</f>
        <v>0</v>
      </c>
      <c r="S64" s="48"/>
      <c r="T64" s="167">
        <f>+S64-U64+U108</f>
        <v>0</v>
      </c>
      <c r="U64" s="48"/>
      <c r="V64" s="167">
        <f>+U64-W64+W108</f>
        <v>0</v>
      </c>
      <c r="W64" s="48"/>
      <c r="X64" s="167">
        <f>+W64-Y64+Y108</f>
        <v>0</v>
      </c>
      <c r="Y64" s="48"/>
      <c r="Z64" s="167">
        <f>+Y64-AA64+AA108</f>
        <v>0</v>
      </c>
      <c r="AA64" s="48"/>
      <c r="AB64" s="167">
        <f>+AA64-AC64+AC108</f>
        <v>0</v>
      </c>
      <c r="AC64" s="48"/>
      <c r="AD64" s="167">
        <f>+AC64-AE64+AE108</f>
        <v>0</v>
      </c>
      <c r="AE64" s="48"/>
      <c r="AF64" s="167">
        <f>+AE64-AG64+AG108</f>
        <v>0</v>
      </c>
      <c r="AG64" s="48"/>
      <c r="AH64" s="167">
        <f>+AG64-AI64+AI108</f>
        <v>0</v>
      </c>
      <c r="AI64" s="48"/>
      <c r="AJ64" s="167">
        <f>+AI64-AK64+AK108</f>
        <v>0</v>
      </c>
      <c r="AK64" s="48"/>
      <c r="AL64" s="167">
        <f>+AK64-AM64+AM108</f>
        <v>0</v>
      </c>
      <c r="AM64" s="48"/>
      <c r="AN64" s="167">
        <f>+AM64-AO64+AO108</f>
        <v>0</v>
      </c>
      <c r="AO64" s="48"/>
      <c r="AP64" s="167">
        <f>+AO64-AQ64+AQ108</f>
        <v>0</v>
      </c>
      <c r="AQ64" s="48"/>
      <c r="AR64" s="167">
        <f>+AQ64-AS64+AS108</f>
        <v>0</v>
      </c>
      <c r="AS64" s="48"/>
      <c r="AT64" s="167">
        <f>+AS64-AU64+AU108</f>
        <v>0</v>
      </c>
      <c r="AU64" s="48"/>
      <c r="AV64" s="167">
        <f>+AU64-AW64+AW108</f>
        <v>0</v>
      </c>
      <c r="AW64" s="48"/>
      <c r="AX64" s="167">
        <f>+AW64-AY64+AY108</f>
        <v>0</v>
      </c>
      <c r="AY64" s="48"/>
      <c r="AZ64" s="167">
        <f>+AY64-BA64+BA108</f>
        <v>0</v>
      </c>
      <c r="BA64" s="48"/>
      <c r="BB64" s="167">
        <f>+BA64-BC64+BC108</f>
        <v>0</v>
      </c>
      <c r="BC64" s="48"/>
      <c r="BD64" s="167">
        <f>+BC64-BE64+BE108</f>
        <v>0</v>
      </c>
      <c r="BE64" s="48"/>
      <c r="BF64" s="167">
        <f>+BE64-BG64+BG108</f>
        <v>0</v>
      </c>
      <c r="BG64" s="48"/>
      <c r="BH64" s="167">
        <f>+BG64-BI64+BI108</f>
        <v>0</v>
      </c>
      <c r="BI64" s="48"/>
      <c r="BJ64" s="167">
        <f>+BI64-BK64+BK108</f>
        <v>0</v>
      </c>
      <c r="BK64" s="48"/>
      <c r="BL64" s="49"/>
      <c r="BM64" s="48"/>
      <c r="BN64" s="50"/>
      <c r="BO64" s="170" t="e">
        <f>IF(COUNT(D64,F64,H64,J64,L64,N64,P64,R64,T64,V64,X64,Z64,AB64,AD64,AF64,AH64,AJ64,AL64,AN64,AP64,AR64,AT64,AV64,AX64,AZ64,BB64,BD64,BF64,BH64,BJ64,BL64)=0,"",SUM(D64,F64,H64,J64,L64,N64,P64,R64,T64,V64,X64,Z64,AB64,AD64,AF64,AH64,AJ64,AL64,AN64,AP64,AR64,AT64,AV64,AX64,AZ64,BB64,BD64,BF64,BH64,BJ64,BL64))</f>
        <v>#VALUE!</v>
      </c>
      <c r="BP64" s="167" t="e">
        <f>+BM64-BQ64+BQ108</f>
        <v>#VALUE!</v>
      </c>
      <c r="BQ64" s="178" t="str">
        <f>IF(BK64="","",BK64)</f>
        <v/>
      </c>
    </row>
    <row r="65" spans="1:69" x14ac:dyDescent="0.35">
      <c r="A65" s="53" t="s">
        <v>26</v>
      </c>
      <c r="B65" s="187" t="e">
        <f>C65-C109</f>
        <v>#VALUE!</v>
      </c>
      <c r="C65" s="174" t="str">
        <f>IF('March 2027 Log'!BM65="","",'March 2027 Log'!BM65)</f>
        <v/>
      </c>
      <c r="D65" s="189" t="e">
        <f>+C65-E65+E109</f>
        <v>#VALUE!</v>
      </c>
      <c r="E65" s="48"/>
      <c r="F65" s="167">
        <f>+E65-G65+G109</f>
        <v>0</v>
      </c>
      <c r="G65" s="48"/>
      <c r="H65" s="167">
        <f>+G65-I65+I109</f>
        <v>0</v>
      </c>
      <c r="I65" s="48"/>
      <c r="J65" s="167">
        <f>+I65-K65+K109</f>
        <v>0</v>
      </c>
      <c r="K65" s="48"/>
      <c r="L65" s="167">
        <f>+K65-M65+M109</f>
        <v>0</v>
      </c>
      <c r="M65" s="48"/>
      <c r="N65" s="167">
        <f>+M65-O65+O109</f>
        <v>0</v>
      </c>
      <c r="O65" s="48"/>
      <c r="P65" s="167">
        <f>+O65-Q65+Q109</f>
        <v>0</v>
      </c>
      <c r="Q65" s="48"/>
      <c r="R65" s="167">
        <f>+Q65-S65+S109</f>
        <v>0</v>
      </c>
      <c r="S65" s="48"/>
      <c r="T65" s="167">
        <f>+S65-U65+U109</f>
        <v>0</v>
      </c>
      <c r="U65" s="48"/>
      <c r="V65" s="167">
        <f>+U65-W65+W109</f>
        <v>0</v>
      </c>
      <c r="W65" s="48"/>
      <c r="X65" s="167">
        <f>+W65-Y65+Y109</f>
        <v>0</v>
      </c>
      <c r="Y65" s="48"/>
      <c r="Z65" s="167">
        <f>+Y65-AA65+AA109</f>
        <v>0</v>
      </c>
      <c r="AA65" s="48"/>
      <c r="AB65" s="167">
        <f>+AA65-AC65+AC109</f>
        <v>0</v>
      </c>
      <c r="AC65" s="48"/>
      <c r="AD65" s="167">
        <f>+AC65-AE65+AE109</f>
        <v>0</v>
      </c>
      <c r="AE65" s="48"/>
      <c r="AF65" s="167">
        <f>+AE65-AG65+AG109</f>
        <v>0</v>
      </c>
      <c r="AG65" s="48"/>
      <c r="AH65" s="167">
        <f>+AG65-AI65+AI109</f>
        <v>0</v>
      </c>
      <c r="AI65" s="48"/>
      <c r="AJ65" s="167">
        <f>+AI65-AK65+AK109</f>
        <v>0</v>
      </c>
      <c r="AK65" s="48"/>
      <c r="AL65" s="167">
        <f>+AK65-AM65+AM109</f>
        <v>0</v>
      </c>
      <c r="AM65" s="48"/>
      <c r="AN65" s="167">
        <f>+AM65-AO65+AO109</f>
        <v>0</v>
      </c>
      <c r="AO65" s="48"/>
      <c r="AP65" s="167">
        <f>+AO65-AQ65+AQ109</f>
        <v>0</v>
      </c>
      <c r="AQ65" s="48"/>
      <c r="AR65" s="167">
        <f>+AQ65-AS65+AS109</f>
        <v>0</v>
      </c>
      <c r="AS65" s="48"/>
      <c r="AT65" s="167">
        <f>+AS65-AU65+AU109</f>
        <v>0</v>
      </c>
      <c r="AU65" s="48"/>
      <c r="AV65" s="167">
        <f>+AU65-AW65+AW109</f>
        <v>0</v>
      </c>
      <c r="AW65" s="48"/>
      <c r="AX65" s="167">
        <f>+AW65-AY65+AY109</f>
        <v>0</v>
      </c>
      <c r="AY65" s="48"/>
      <c r="AZ65" s="167">
        <f>+AY65-BA65+BA109</f>
        <v>0</v>
      </c>
      <c r="BA65" s="48"/>
      <c r="BB65" s="167">
        <f>+BA65-BC65+BC109</f>
        <v>0</v>
      </c>
      <c r="BC65" s="48"/>
      <c r="BD65" s="167">
        <f>+BC65-BE65+BE109</f>
        <v>0</v>
      </c>
      <c r="BE65" s="48"/>
      <c r="BF65" s="167">
        <f>+BE65-BG65+BG109</f>
        <v>0</v>
      </c>
      <c r="BG65" s="48"/>
      <c r="BH65" s="167">
        <f>+BG65-BI65+BI109</f>
        <v>0</v>
      </c>
      <c r="BI65" s="48"/>
      <c r="BJ65" s="167">
        <f>+BI65-BK65+BK109</f>
        <v>0</v>
      </c>
      <c r="BK65" s="48"/>
      <c r="BL65" s="49"/>
      <c r="BM65" s="48"/>
      <c r="BN65" s="50"/>
      <c r="BO65" s="170" t="e">
        <f>IF(COUNT(D65,F65,H65,J65,L65,N65,P65,R65,T65,V65,X65,Z65,AB65,AD65,AF65,AH65,AJ65,AL65,AN65,AP65,AR65,AT65,AV65,AX65,AZ65,BB65,BD65,BF65,BH65,BJ65,BL65)=0,"",SUM(D65,F65,H65,J65,L65,N65,P65,R65,T65,V65,X65,Z65,AB65,AD65,AF65,AH65,AJ65,AL65,AN65,AP65,AR65,AT65,AV65,AX65,AZ65,BB65,BD65,BF65,BH65,BJ65,BL65))</f>
        <v>#VALUE!</v>
      </c>
      <c r="BP65" s="167" t="e">
        <f>+BM65-BQ65+BQ109</f>
        <v>#VALUE!</v>
      </c>
      <c r="BQ65" s="178" t="str">
        <f>IF(BK65="","",BK65)</f>
        <v/>
      </c>
    </row>
    <row r="66" spans="1:69" x14ac:dyDescent="0.35">
      <c r="A66" s="53" t="s">
        <v>26</v>
      </c>
      <c r="B66" s="187" t="e">
        <f>C66-C110</f>
        <v>#VALUE!</v>
      </c>
      <c r="C66" s="174" t="str">
        <f>IF('March 2027 Log'!BM66="","",'March 2027 Log'!BM66)</f>
        <v/>
      </c>
      <c r="D66" s="189" t="e">
        <f>+C66-E66+E110</f>
        <v>#VALUE!</v>
      </c>
      <c r="E66" s="48"/>
      <c r="F66" s="167">
        <f>+E66-G66+G110</f>
        <v>0</v>
      </c>
      <c r="G66" s="48"/>
      <c r="H66" s="167">
        <f>+G66-I66+I110</f>
        <v>0</v>
      </c>
      <c r="I66" s="48"/>
      <c r="J66" s="167">
        <f>+I66-K66+K110</f>
        <v>0</v>
      </c>
      <c r="K66" s="48"/>
      <c r="L66" s="167">
        <f>+K66-M66+M110</f>
        <v>0</v>
      </c>
      <c r="M66" s="48"/>
      <c r="N66" s="167">
        <f>+M66-O66+O110</f>
        <v>0</v>
      </c>
      <c r="O66" s="48"/>
      <c r="P66" s="167">
        <f>+O66-Q66+Q110</f>
        <v>0</v>
      </c>
      <c r="Q66" s="48"/>
      <c r="R66" s="167">
        <f>+Q66-S66+S110</f>
        <v>0</v>
      </c>
      <c r="S66" s="48"/>
      <c r="T66" s="167">
        <f>+S66-U66+U110</f>
        <v>0</v>
      </c>
      <c r="U66" s="48"/>
      <c r="V66" s="167">
        <f>+U66-W66+W110</f>
        <v>0</v>
      </c>
      <c r="W66" s="48"/>
      <c r="X66" s="167">
        <f>+W66-Y66+Y110</f>
        <v>0</v>
      </c>
      <c r="Y66" s="48"/>
      <c r="Z66" s="167">
        <f>+Y66-AA66+AA110</f>
        <v>0</v>
      </c>
      <c r="AA66" s="48"/>
      <c r="AB66" s="167">
        <f>+AA66-AC66+AC110</f>
        <v>0</v>
      </c>
      <c r="AC66" s="48"/>
      <c r="AD66" s="167">
        <f>+AC66-AE66+AE110</f>
        <v>0</v>
      </c>
      <c r="AE66" s="48"/>
      <c r="AF66" s="167">
        <f>+AE66-AG66+AG110</f>
        <v>0</v>
      </c>
      <c r="AG66" s="48"/>
      <c r="AH66" s="167">
        <f>+AG66-AI66+AI110</f>
        <v>0</v>
      </c>
      <c r="AI66" s="48"/>
      <c r="AJ66" s="167">
        <f>+AI66-AK66+AK110</f>
        <v>0</v>
      </c>
      <c r="AK66" s="48"/>
      <c r="AL66" s="167">
        <f>+AK66-AM66+AM110</f>
        <v>0</v>
      </c>
      <c r="AM66" s="48"/>
      <c r="AN66" s="167">
        <f>+AM66-AO66+AO110</f>
        <v>0</v>
      </c>
      <c r="AO66" s="48"/>
      <c r="AP66" s="167">
        <f>+AO66-AQ66+AQ110</f>
        <v>0</v>
      </c>
      <c r="AQ66" s="48"/>
      <c r="AR66" s="167">
        <f>+AQ66-AS66+AS110</f>
        <v>0</v>
      </c>
      <c r="AS66" s="48"/>
      <c r="AT66" s="167">
        <f>+AS66-AU66+AU110</f>
        <v>0</v>
      </c>
      <c r="AU66" s="48"/>
      <c r="AV66" s="167">
        <f>+AU66-AW66+AW110</f>
        <v>0</v>
      </c>
      <c r="AW66" s="48"/>
      <c r="AX66" s="167">
        <f>+AW66-AY66+AY110</f>
        <v>0</v>
      </c>
      <c r="AY66" s="48"/>
      <c r="AZ66" s="167">
        <f>+AY66-BA66+BA110</f>
        <v>0</v>
      </c>
      <c r="BA66" s="48"/>
      <c r="BB66" s="167">
        <f>+BA66-BC66+BC110</f>
        <v>0</v>
      </c>
      <c r="BC66" s="48"/>
      <c r="BD66" s="167">
        <f>+BC66-BE66+BE110</f>
        <v>0</v>
      </c>
      <c r="BE66" s="48"/>
      <c r="BF66" s="167">
        <f>+BE66-BG66+BG110</f>
        <v>0</v>
      </c>
      <c r="BG66" s="48"/>
      <c r="BH66" s="167">
        <f>+BG66-BI66+BI110</f>
        <v>0</v>
      </c>
      <c r="BI66" s="48"/>
      <c r="BJ66" s="167">
        <f>+BI66-BK66+BK110</f>
        <v>0</v>
      </c>
      <c r="BK66" s="48"/>
      <c r="BL66" s="49"/>
      <c r="BM66" s="48"/>
      <c r="BN66" s="50"/>
      <c r="BO66" s="170" t="e">
        <f>IF(COUNT(D66,F66,H66,J66,L66,N66,P66,R66,T66,V66,X66,Z66,AB66,AD66,AF66,AH66,AJ66,AL66,AN66,AP66,AR66,AT66,AV66,AX66,AZ66,BB66,BD66,BF66,BH66,BJ66,BL66)=0,"",SUM(D66,F66,H66,J66,L66,N66,P66,R66,T66,V66,X66,Z66,AB66,AD66,AF66,AH66,AJ66,AL66,AN66,AP66,AR66,AT66,AV66,AX66,AZ66,BB66,BD66,BF66,BH66,BJ66,BL66))</f>
        <v>#VALUE!</v>
      </c>
      <c r="BP66" s="167" t="e">
        <f>+BM66-BQ66+BQ110</f>
        <v>#VALUE!</v>
      </c>
      <c r="BQ66" s="178" t="str">
        <f>IF(BK66="","",BK66)</f>
        <v/>
      </c>
    </row>
    <row r="67" spans="1:69" x14ac:dyDescent="0.35">
      <c r="A67" s="98"/>
      <c r="B67" s="90"/>
      <c r="C67" s="131"/>
      <c r="D67" s="189" t="e">
        <f>SUM(D62:D66)</f>
        <v>#VALUE!</v>
      </c>
      <c r="E67" s="166" t="e">
        <f>+E73-D73</f>
        <v>#VALUE!</v>
      </c>
      <c r="F67" s="167">
        <f>SUM(F62:F66)</f>
        <v>0</v>
      </c>
      <c r="G67" s="166">
        <f>+G73-F73</f>
        <v>0</v>
      </c>
      <c r="H67" s="167">
        <f>SUM(H62:H66)</f>
        <v>0</v>
      </c>
      <c r="I67" s="166">
        <f>+I73-H73</f>
        <v>0</v>
      </c>
      <c r="J67" s="167">
        <f>SUM(J62:J66)</f>
        <v>0</v>
      </c>
      <c r="K67" s="166">
        <f>+K73-J73</f>
        <v>0</v>
      </c>
      <c r="L67" s="167">
        <f>SUM(L62:L66)</f>
        <v>0</v>
      </c>
      <c r="M67" s="166">
        <f>+M73-L73</f>
        <v>0</v>
      </c>
      <c r="N67" s="167">
        <f>SUM(N62:N66)</f>
        <v>0</v>
      </c>
      <c r="O67" s="166">
        <f>+O73-N73</f>
        <v>0</v>
      </c>
      <c r="P67" s="167">
        <f>SUM(P62:P66)</f>
        <v>0</v>
      </c>
      <c r="Q67" s="166">
        <f>+Q73-P73</f>
        <v>0</v>
      </c>
      <c r="R67" s="167">
        <f>SUM(R62:R66)</f>
        <v>0</v>
      </c>
      <c r="S67" s="166">
        <f>+S73-R73</f>
        <v>0</v>
      </c>
      <c r="T67" s="167">
        <f>SUM(T62:T66)</f>
        <v>0</v>
      </c>
      <c r="U67" s="166">
        <f>+U73-T73</f>
        <v>0</v>
      </c>
      <c r="V67" s="167">
        <f>SUM(V62:V66)</f>
        <v>0</v>
      </c>
      <c r="W67" s="166">
        <f>+W73-V73</f>
        <v>0</v>
      </c>
      <c r="X67" s="167">
        <f>SUM(X62:X66)</f>
        <v>0</v>
      </c>
      <c r="Y67" s="166">
        <f>+Y73-X73</f>
        <v>0</v>
      </c>
      <c r="Z67" s="167">
        <f>SUM(Z62:Z66)</f>
        <v>0</v>
      </c>
      <c r="AA67" s="166">
        <f>+AA73-Z73</f>
        <v>0</v>
      </c>
      <c r="AB67" s="167">
        <f>SUM(AB62:AB66)</f>
        <v>0</v>
      </c>
      <c r="AC67" s="166">
        <f>+AC73-AB73</f>
        <v>0</v>
      </c>
      <c r="AD67" s="167">
        <f>SUM(AD62:AD66)</f>
        <v>0</v>
      </c>
      <c r="AE67" s="166">
        <f>+AE73-AD73</f>
        <v>0</v>
      </c>
      <c r="AF67" s="167">
        <f>SUM(AF62:AF66)</f>
        <v>0</v>
      </c>
      <c r="AG67" s="166">
        <f>+AG73-AF73</f>
        <v>0</v>
      </c>
      <c r="AH67" s="167">
        <f>SUM(AH62:AH66)</f>
        <v>0</v>
      </c>
      <c r="AI67" s="166">
        <f>+AI73-AH73</f>
        <v>0</v>
      </c>
      <c r="AJ67" s="167">
        <f>SUM(AJ62:AJ66)</f>
        <v>0</v>
      </c>
      <c r="AK67" s="166">
        <f>+AK73-AJ73</f>
        <v>0</v>
      </c>
      <c r="AL67" s="167">
        <f>SUM(AL62:AL66)</f>
        <v>0</v>
      </c>
      <c r="AM67" s="166">
        <f>+AM73-AL73</f>
        <v>0</v>
      </c>
      <c r="AN67" s="167">
        <f>SUM(AN62:AN66)</f>
        <v>0</v>
      </c>
      <c r="AO67" s="166">
        <f>+AO73-AN73</f>
        <v>0</v>
      </c>
      <c r="AP67" s="167">
        <f>SUM(AP62:AP66)</f>
        <v>0</v>
      </c>
      <c r="AQ67" s="166">
        <f>+AQ73-AP73</f>
        <v>0</v>
      </c>
      <c r="AR67" s="167">
        <f>SUM(AR62:AR66)</f>
        <v>0</v>
      </c>
      <c r="AS67" s="166">
        <f>+AS73-AR73</f>
        <v>0</v>
      </c>
      <c r="AT67" s="167">
        <f>SUM(AT62:AT66)</f>
        <v>0</v>
      </c>
      <c r="AU67" s="166">
        <f>+AU73-AT73</f>
        <v>0</v>
      </c>
      <c r="AV67" s="167">
        <f>SUM(AV62:AV66)</f>
        <v>0</v>
      </c>
      <c r="AW67" s="166">
        <f>+AW73-AV73</f>
        <v>0</v>
      </c>
      <c r="AX67" s="167">
        <f>SUM(AX62:AX66)</f>
        <v>0</v>
      </c>
      <c r="AY67" s="166">
        <f>+AY73-AX73</f>
        <v>0</v>
      </c>
      <c r="AZ67" s="167">
        <f>SUM(AZ62:AZ66)</f>
        <v>0</v>
      </c>
      <c r="BA67" s="166">
        <f>+BA73-AZ73</f>
        <v>0</v>
      </c>
      <c r="BB67" s="167">
        <f>SUM(BB62:BB66)</f>
        <v>0</v>
      </c>
      <c r="BC67" s="166">
        <f>+BC73-BB73</f>
        <v>0</v>
      </c>
      <c r="BD67" s="167">
        <f>SUM(BD62:BD66)</f>
        <v>0</v>
      </c>
      <c r="BE67" s="166">
        <f>+BE73-BD73</f>
        <v>0</v>
      </c>
      <c r="BF67" s="167">
        <f>SUM(BF62:BF66)</f>
        <v>0</v>
      </c>
      <c r="BG67" s="166">
        <f>+BG73-BF73</f>
        <v>0</v>
      </c>
      <c r="BH67" s="167">
        <f>SUM(BH62:BH66)</f>
        <v>0</v>
      </c>
      <c r="BI67" s="166">
        <f>+BI73-BH73</f>
        <v>0</v>
      </c>
      <c r="BJ67" s="167">
        <f>SUM(BJ62:BJ66)</f>
        <v>0</v>
      </c>
      <c r="BK67" s="166">
        <f>+BK73-BJ73</f>
        <v>0</v>
      </c>
      <c r="BL67" s="49"/>
      <c r="BM67" s="48"/>
      <c r="BN67" s="50"/>
      <c r="BO67" s="170" t="e">
        <f t="shared" ref="BO67:BO75" si="92">IF(COUNT(E67,G67,I67,K67,M67,O67,Q67,S67,U67,W67,Y67,AA67,AC67,AE67,AG67,AI67,AK67,AM67,AO67,AQ67,AS67,AU67,AW67,AY67,BA67,BC67,BE67,BG67,BI67,BK67,BM67)=0,"",SUM(E67,G67,I67,K67,M67,O67,Q67,S67,U67,W67,Y67,AA67,AC67,AE67,AG67,AI67,AK67,AM67,AO67,AQ67,AS67,AU67,AW67,AY67,BA67,BC67,BE67,BG67,BI67,BK67,BM67))</f>
        <v>#VALUE!</v>
      </c>
      <c r="BP67" s="167" t="e">
        <f>SUM(BP62:BP66)</f>
        <v>#VALUE!</v>
      </c>
      <c r="BQ67" s="52"/>
    </row>
    <row r="68" spans="1:69" x14ac:dyDescent="0.35">
      <c r="A68" s="132" t="s">
        <v>87</v>
      </c>
      <c r="B68" s="133"/>
      <c r="C68" s="131"/>
      <c r="D68" s="189">
        <f>D91+D94</f>
        <v>0</v>
      </c>
      <c r="E68" s="166" t="e">
        <f>+E77-C77+E80-C80</f>
        <v>#VALUE!</v>
      </c>
      <c r="F68" s="167">
        <f>F91+F94</f>
        <v>0</v>
      </c>
      <c r="G68" s="166">
        <f>+G77-E77+G80-E80</f>
        <v>0</v>
      </c>
      <c r="H68" s="167">
        <f>H91+H94</f>
        <v>0</v>
      </c>
      <c r="I68" s="166">
        <f>+I77-G77+I80-G80</f>
        <v>0</v>
      </c>
      <c r="J68" s="167">
        <f>J91+J94</f>
        <v>0</v>
      </c>
      <c r="K68" s="166">
        <f>+K77-I77+K80-I80</f>
        <v>0</v>
      </c>
      <c r="L68" s="167">
        <f>L91+L94</f>
        <v>0</v>
      </c>
      <c r="M68" s="166">
        <f>+M77-K77+M80-K80</f>
        <v>0</v>
      </c>
      <c r="N68" s="167">
        <f>N91+N94</f>
        <v>0</v>
      </c>
      <c r="O68" s="166">
        <f>+O77-M77+O80-M80</f>
        <v>0</v>
      </c>
      <c r="P68" s="167">
        <f>P91+P94</f>
        <v>0</v>
      </c>
      <c r="Q68" s="166">
        <f>+Q77-O77+Q80-O80</f>
        <v>0</v>
      </c>
      <c r="R68" s="167">
        <f>R91+R94</f>
        <v>0</v>
      </c>
      <c r="S68" s="166">
        <f>+S77-Q77+S80-Q80</f>
        <v>0</v>
      </c>
      <c r="T68" s="167">
        <f>T91+T94</f>
        <v>0</v>
      </c>
      <c r="U68" s="166">
        <f>+U77-S77+U80-S80</f>
        <v>0</v>
      </c>
      <c r="V68" s="167">
        <f>V91+V94</f>
        <v>0</v>
      </c>
      <c r="W68" s="166">
        <f>+W77-U77+W80-U80</f>
        <v>0</v>
      </c>
      <c r="X68" s="167">
        <f>X91+X94</f>
        <v>0</v>
      </c>
      <c r="Y68" s="166">
        <f>+Y77-W77+Y80-W80</f>
        <v>0</v>
      </c>
      <c r="Z68" s="167">
        <f>Z91+Z94</f>
        <v>0</v>
      </c>
      <c r="AA68" s="166">
        <f>+AA77-Y77+AA80-Y80</f>
        <v>0</v>
      </c>
      <c r="AB68" s="167">
        <f>AB91+AB94</f>
        <v>0</v>
      </c>
      <c r="AC68" s="166">
        <f>+AC77-AA77+AC80-AA80</f>
        <v>0</v>
      </c>
      <c r="AD68" s="167">
        <f>AD91+AD94</f>
        <v>0</v>
      </c>
      <c r="AE68" s="166">
        <f>+AE77-AC77+AE80-AC80</f>
        <v>0</v>
      </c>
      <c r="AF68" s="167">
        <f>AF91+AF94</f>
        <v>0</v>
      </c>
      <c r="AG68" s="166">
        <f>+AG77-AE77+AG80-AE80</f>
        <v>0</v>
      </c>
      <c r="AH68" s="167">
        <f>AH91+AH94</f>
        <v>0</v>
      </c>
      <c r="AI68" s="166">
        <f>+AI77-AG77+AI80-AG80</f>
        <v>0</v>
      </c>
      <c r="AJ68" s="167">
        <f>AJ91+AJ94</f>
        <v>0</v>
      </c>
      <c r="AK68" s="166">
        <f>+AK77-AI77+AK80-AI80</f>
        <v>0</v>
      </c>
      <c r="AL68" s="167">
        <f>AL91+AL94</f>
        <v>0</v>
      </c>
      <c r="AM68" s="166">
        <f>+AM77-AK77+AM80-AK80</f>
        <v>0</v>
      </c>
      <c r="AN68" s="167">
        <f>AN91+AN94</f>
        <v>0</v>
      </c>
      <c r="AO68" s="166">
        <f>+AO77-AM77+AO80-AM80</f>
        <v>0</v>
      </c>
      <c r="AP68" s="167">
        <f>AP91+AP94</f>
        <v>0</v>
      </c>
      <c r="AQ68" s="166">
        <f>+AQ77-AO77+AQ80-AO80</f>
        <v>0</v>
      </c>
      <c r="AR68" s="167">
        <f>AR91+AR94</f>
        <v>0</v>
      </c>
      <c r="AS68" s="166">
        <f>+AS77-AQ77+AS80-AQ80</f>
        <v>0</v>
      </c>
      <c r="AT68" s="167">
        <f>AT91+AT94</f>
        <v>0</v>
      </c>
      <c r="AU68" s="166">
        <f>+AU77-AS77+AU80-AS80</f>
        <v>0</v>
      </c>
      <c r="AV68" s="167">
        <f>AV91+AV94</f>
        <v>0</v>
      </c>
      <c r="AW68" s="166">
        <f>+AW77-AU77+AW80-AU80</f>
        <v>0</v>
      </c>
      <c r="AX68" s="167">
        <f>AX91+AX94</f>
        <v>0</v>
      </c>
      <c r="AY68" s="166">
        <f>+AY77-AW77+AY80-AW80</f>
        <v>0</v>
      </c>
      <c r="AZ68" s="167">
        <f>AZ91+AZ94</f>
        <v>0</v>
      </c>
      <c r="BA68" s="166">
        <f>+BA77-AY77+BA80-AY80</f>
        <v>0</v>
      </c>
      <c r="BB68" s="167">
        <f>BB91+BB94</f>
        <v>0</v>
      </c>
      <c r="BC68" s="166">
        <f>+BC77-BA77+BC80-BA80</f>
        <v>0</v>
      </c>
      <c r="BD68" s="167">
        <f>BD91+BD94</f>
        <v>0</v>
      </c>
      <c r="BE68" s="166">
        <f>+BE77-BC77+BE80-BC80</f>
        <v>0</v>
      </c>
      <c r="BF68" s="167">
        <f>BF91+BF94</f>
        <v>0</v>
      </c>
      <c r="BG68" s="166">
        <f>+BG77-BE77+BG80-BE80</f>
        <v>0</v>
      </c>
      <c r="BH68" s="167">
        <f>BH91+BH94</f>
        <v>0</v>
      </c>
      <c r="BI68" s="166">
        <f>+BI77-BG77+BI80-BG80</f>
        <v>0</v>
      </c>
      <c r="BJ68" s="167">
        <f>BJ91+BJ94</f>
        <v>0</v>
      </c>
      <c r="BK68" s="166">
        <f>+BK77-BI77+BK80-BI80</f>
        <v>0</v>
      </c>
      <c r="BL68" s="49"/>
      <c r="BM68" s="48"/>
      <c r="BN68" s="50"/>
      <c r="BO68" s="170" t="e">
        <f t="shared" si="92"/>
        <v>#VALUE!</v>
      </c>
      <c r="BP68" s="167">
        <f>BP91+BP94</f>
        <v>0</v>
      </c>
      <c r="BQ68" s="52"/>
    </row>
    <row r="69" spans="1:69" x14ac:dyDescent="0.35">
      <c r="A69" s="44" t="s">
        <v>88</v>
      </c>
      <c r="B69" s="133"/>
      <c r="C69" s="131"/>
      <c r="D69" s="189">
        <f>D99+D102</f>
        <v>0</v>
      </c>
      <c r="E69" s="166" t="e">
        <f>+E85-C85+E88-C88</f>
        <v>#VALUE!</v>
      </c>
      <c r="F69" s="167">
        <f>F99+F102</f>
        <v>0</v>
      </c>
      <c r="G69" s="166">
        <f>+G85-E85+G88-E88</f>
        <v>0</v>
      </c>
      <c r="H69" s="167">
        <f>H99+H102</f>
        <v>0</v>
      </c>
      <c r="I69" s="166">
        <f>+I85-G85+I88-G88</f>
        <v>0</v>
      </c>
      <c r="J69" s="167">
        <f>J99+J102</f>
        <v>0</v>
      </c>
      <c r="K69" s="166">
        <f>+K85-I85+K88-I88</f>
        <v>0</v>
      </c>
      <c r="L69" s="167">
        <f>L99+L102</f>
        <v>0</v>
      </c>
      <c r="M69" s="166">
        <f>+M85-K85+M88-K88</f>
        <v>0</v>
      </c>
      <c r="N69" s="167">
        <f>N99+N102</f>
        <v>0</v>
      </c>
      <c r="O69" s="166">
        <f>+O85-M85+O88-M88</f>
        <v>0</v>
      </c>
      <c r="P69" s="167">
        <f>P99+P102</f>
        <v>0</v>
      </c>
      <c r="Q69" s="166">
        <f>+Q85-O85+Q88-O88</f>
        <v>0</v>
      </c>
      <c r="R69" s="167">
        <f>R99+R102</f>
        <v>0</v>
      </c>
      <c r="S69" s="166">
        <f>+S85-Q85+S88-Q88</f>
        <v>0</v>
      </c>
      <c r="T69" s="167">
        <f>T99+T102</f>
        <v>0</v>
      </c>
      <c r="U69" s="166">
        <f>+U85-S85+U88-S88</f>
        <v>0</v>
      </c>
      <c r="V69" s="167">
        <f>V99+V102</f>
        <v>0</v>
      </c>
      <c r="W69" s="166">
        <f>+W85-U85+W88-U88</f>
        <v>0</v>
      </c>
      <c r="X69" s="167">
        <f>X99+X102</f>
        <v>0</v>
      </c>
      <c r="Y69" s="166">
        <f>+Y85-W85+Y88-W88</f>
        <v>0</v>
      </c>
      <c r="Z69" s="167">
        <f>Z99+Z102</f>
        <v>0</v>
      </c>
      <c r="AA69" s="166">
        <f>+AA85-Y85+AA88-Y88</f>
        <v>0</v>
      </c>
      <c r="AB69" s="167">
        <f>AB99+AB102</f>
        <v>0</v>
      </c>
      <c r="AC69" s="166">
        <f>+AC85-AA85+AC88-AA88</f>
        <v>0</v>
      </c>
      <c r="AD69" s="167">
        <f>AD99+AD102</f>
        <v>0</v>
      </c>
      <c r="AE69" s="166">
        <f>+AE85-AC85+AE88-AC88</f>
        <v>0</v>
      </c>
      <c r="AF69" s="167">
        <f>AF99+AF102</f>
        <v>0</v>
      </c>
      <c r="AG69" s="166">
        <f>+AG85-AE85+AG88-AE88</f>
        <v>0</v>
      </c>
      <c r="AH69" s="167">
        <f>AH99+AH102</f>
        <v>0</v>
      </c>
      <c r="AI69" s="166">
        <f>+AI85-AG85+AI88-AG88</f>
        <v>0</v>
      </c>
      <c r="AJ69" s="167">
        <f>AJ99+AJ102</f>
        <v>0</v>
      </c>
      <c r="AK69" s="166">
        <f>+AK85-AI85+AK88-AI88</f>
        <v>0</v>
      </c>
      <c r="AL69" s="167">
        <f>AL99+AL102</f>
        <v>0</v>
      </c>
      <c r="AM69" s="166">
        <f>+AM85-AK85+AM88-AK88</f>
        <v>0</v>
      </c>
      <c r="AN69" s="167">
        <f>AN99+AN102</f>
        <v>0</v>
      </c>
      <c r="AO69" s="166">
        <f>+AO85-AM85+AO88-AM88</f>
        <v>0</v>
      </c>
      <c r="AP69" s="167">
        <f>AP99+AP102</f>
        <v>0</v>
      </c>
      <c r="AQ69" s="166">
        <f>+AQ85-AO85+AQ88-AO88</f>
        <v>0</v>
      </c>
      <c r="AR69" s="167">
        <f>AR99+AR102</f>
        <v>0</v>
      </c>
      <c r="AS69" s="166">
        <f>+AS85-AQ85+AS88-AQ88</f>
        <v>0</v>
      </c>
      <c r="AT69" s="167">
        <f>AT99+AT102</f>
        <v>0</v>
      </c>
      <c r="AU69" s="166">
        <f>+AU85-AS85+AU88-AS88</f>
        <v>0</v>
      </c>
      <c r="AV69" s="167">
        <f>AV99+AV102</f>
        <v>0</v>
      </c>
      <c r="AW69" s="166">
        <f>+AW85-AU85+AW88-AU88</f>
        <v>0</v>
      </c>
      <c r="AX69" s="167">
        <f>AX99+AX102</f>
        <v>0</v>
      </c>
      <c r="AY69" s="166">
        <f>+AY85-AW85+AY88-AW88</f>
        <v>0</v>
      </c>
      <c r="AZ69" s="167">
        <f>AZ99+AZ102</f>
        <v>0</v>
      </c>
      <c r="BA69" s="166">
        <f>+BA85-AY85+BA88-AY88</f>
        <v>0</v>
      </c>
      <c r="BB69" s="167">
        <f>BB99+BB102</f>
        <v>0</v>
      </c>
      <c r="BC69" s="166">
        <f>+BC85-BA85+BC88-BA88</f>
        <v>0</v>
      </c>
      <c r="BD69" s="167">
        <f>BD99+BD102</f>
        <v>0</v>
      </c>
      <c r="BE69" s="166">
        <f>+BE85-BC85+BE88-BC88</f>
        <v>0</v>
      </c>
      <c r="BF69" s="167">
        <f>BF99+BF102</f>
        <v>0</v>
      </c>
      <c r="BG69" s="166">
        <f>+BG85-BE85+BG88-BE88</f>
        <v>0</v>
      </c>
      <c r="BH69" s="167">
        <f>BH99+BH102</f>
        <v>0</v>
      </c>
      <c r="BI69" s="166">
        <f>+BI85-BG85+BI88-BG88</f>
        <v>0</v>
      </c>
      <c r="BJ69" s="167">
        <f>BJ99+BJ102</f>
        <v>0</v>
      </c>
      <c r="BK69" s="166">
        <f>+BK85-BI85+BK88-BI88</f>
        <v>0</v>
      </c>
      <c r="BL69" s="49"/>
      <c r="BM69" s="48"/>
      <c r="BN69" s="50"/>
      <c r="BO69" s="170" t="e">
        <f t="shared" si="92"/>
        <v>#VALUE!</v>
      </c>
      <c r="BP69" s="167">
        <f>BP99+BP102</f>
        <v>0</v>
      </c>
      <c r="BQ69" s="52"/>
    </row>
    <row r="70" spans="1:69" x14ac:dyDescent="0.35">
      <c r="A70" s="134" t="s">
        <v>89</v>
      </c>
      <c r="B70" s="133"/>
      <c r="C70" s="131"/>
      <c r="D70" s="189">
        <f>D93+D96</f>
        <v>0</v>
      </c>
      <c r="E70" s="166" t="e">
        <f>+E79-C79+E82-C82</f>
        <v>#VALUE!</v>
      </c>
      <c r="F70" s="167">
        <f>F93+F96</f>
        <v>0</v>
      </c>
      <c r="G70" s="166">
        <f>+G79-E79+G82-E82</f>
        <v>0</v>
      </c>
      <c r="H70" s="167">
        <f>H93+H96</f>
        <v>0</v>
      </c>
      <c r="I70" s="166">
        <f>+I79-G79+I82-G82</f>
        <v>0</v>
      </c>
      <c r="J70" s="167">
        <f>J93+J96</f>
        <v>0</v>
      </c>
      <c r="K70" s="166">
        <f>+K79-I79+K82-I82</f>
        <v>0</v>
      </c>
      <c r="L70" s="167">
        <f>L93+L96</f>
        <v>0</v>
      </c>
      <c r="M70" s="166">
        <f>+M79-K79+M82-K82</f>
        <v>0</v>
      </c>
      <c r="N70" s="167">
        <f>N93+N96</f>
        <v>0</v>
      </c>
      <c r="O70" s="166">
        <f>+O79-M79+O82-M82</f>
        <v>0</v>
      </c>
      <c r="P70" s="167">
        <f>P93+P96</f>
        <v>0</v>
      </c>
      <c r="Q70" s="166">
        <f>+Q79-O79+Q82-O82</f>
        <v>0</v>
      </c>
      <c r="R70" s="167">
        <f>R93+R96</f>
        <v>0</v>
      </c>
      <c r="S70" s="166">
        <f>+S79-Q79+S82-Q82</f>
        <v>0</v>
      </c>
      <c r="T70" s="167">
        <f>T93+T96</f>
        <v>0</v>
      </c>
      <c r="U70" s="166">
        <f>+U79-S79+U82-S82</f>
        <v>0</v>
      </c>
      <c r="V70" s="167">
        <f>V93+V96</f>
        <v>0</v>
      </c>
      <c r="W70" s="166">
        <f>+W79-U79+W82-U82</f>
        <v>0</v>
      </c>
      <c r="X70" s="167">
        <f>X93+X96</f>
        <v>0</v>
      </c>
      <c r="Y70" s="166">
        <f>+Y79-W79+Y82-W82</f>
        <v>0</v>
      </c>
      <c r="Z70" s="167">
        <f>Z93+Z96</f>
        <v>0</v>
      </c>
      <c r="AA70" s="166">
        <f>+AA79-Y79+AA82-Y82</f>
        <v>0</v>
      </c>
      <c r="AB70" s="167">
        <f>AB93+AB96</f>
        <v>0</v>
      </c>
      <c r="AC70" s="166">
        <f>+AC79-AA79+AC82-AA82</f>
        <v>0</v>
      </c>
      <c r="AD70" s="167">
        <f>AD93+AD96</f>
        <v>0</v>
      </c>
      <c r="AE70" s="166">
        <f>+AE79-AC79+AE82-AC82</f>
        <v>0</v>
      </c>
      <c r="AF70" s="167">
        <f>AF93+AF96</f>
        <v>0</v>
      </c>
      <c r="AG70" s="166">
        <f>+AG79-AE79+AG82-AE82</f>
        <v>0</v>
      </c>
      <c r="AH70" s="167">
        <f>AH93+AH96</f>
        <v>0</v>
      </c>
      <c r="AI70" s="166">
        <f>+AI79-AG79+AI82-AG82</f>
        <v>0</v>
      </c>
      <c r="AJ70" s="167">
        <f>AJ93+AJ96</f>
        <v>0</v>
      </c>
      <c r="AK70" s="166">
        <f>+AK79-AI79+AK82-AI82</f>
        <v>0</v>
      </c>
      <c r="AL70" s="167">
        <f>AL93+AL96</f>
        <v>0</v>
      </c>
      <c r="AM70" s="166">
        <f>+AM79-AK79+AM82-AK82</f>
        <v>0</v>
      </c>
      <c r="AN70" s="167">
        <f>AN93+AN96</f>
        <v>0</v>
      </c>
      <c r="AO70" s="166">
        <f>+AO79-AM79+AO82-AM82</f>
        <v>0</v>
      </c>
      <c r="AP70" s="167">
        <f>AP93+AP96</f>
        <v>0</v>
      </c>
      <c r="AQ70" s="166">
        <f>+AQ79-AO79+AQ82-AO82</f>
        <v>0</v>
      </c>
      <c r="AR70" s="167">
        <f>AR93+AR96</f>
        <v>0</v>
      </c>
      <c r="AS70" s="166">
        <f>+AS79-AQ79+AS82-AQ82</f>
        <v>0</v>
      </c>
      <c r="AT70" s="167">
        <f>AT93+AT96</f>
        <v>0</v>
      </c>
      <c r="AU70" s="166">
        <f>+AU79-AS79+AU82-AS82</f>
        <v>0</v>
      </c>
      <c r="AV70" s="167">
        <f>AV93+AV96</f>
        <v>0</v>
      </c>
      <c r="AW70" s="166">
        <f>+AW79-AU79+AW82-AU82</f>
        <v>0</v>
      </c>
      <c r="AX70" s="167">
        <f>AX93+AX96</f>
        <v>0</v>
      </c>
      <c r="AY70" s="166">
        <f>+AY79-AW79+AY82-AW82</f>
        <v>0</v>
      </c>
      <c r="AZ70" s="167">
        <f>AZ93+AZ96</f>
        <v>0</v>
      </c>
      <c r="BA70" s="166">
        <f>+BA79-AY79+BA82-AY82</f>
        <v>0</v>
      </c>
      <c r="BB70" s="167">
        <f>BB93+BB96</f>
        <v>0</v>
      </c>
      <c r="BC70" s="166">
        <f>+BC79-BA79+BC82-BA82</f>
        <v>0</v>
      </c>
      <c r="BD70" s="167">
        <f>BD93+BD96</f>
        <v>0</v>
      </c>
      <c r="BE70" s="166">
        <f>+BE79-BC79+BE82-BC82</f>
        <v>0</v>
      </c>
      <c r="BF70" s="167">
        <f>BF93+BF96</f>
        <v>0</v>
      </c>
      <c r="BG70" s="166">
        <f>+BG79-BE79+BG82-BE82</f>
        <v>0</v>
      </c>
      <c r="BH70" s="167">
        <f>BH93+BH96</f>
        <v>0</v>
      </c>
      <c r="BI70" s="166">
        <f>+BI79-BG79+BI82-BG82</f>
        <v>0</v>
      </c>
      <c r="BJ70" s="167">
        <f>BJ93+BJ96</f>
        <v>0</v>
      </c>
      <c r="BK70" s="166">
        <f>+BK79-BI79+BK82-BI82</f>
        <v>0</v>
      </c>
      <c r="BL70" s="49"/>
      <c r="BM70" s="48"/>
      <c r="BN70" s="50"/>
      <c r="BO70" s="170" t="e">
        <f t="shared" si="92"/>
        <v>#VALUE!</v>
      </c>
      <c r="BP70" s="167">
        <f>BP93+BP96</f>
        <v>0</v>
      </c>
      <c r="BQ70" s="52"/>
    </row>
    <row r="71" spans="1:69" x14ac:dyDescent="0.35">
      <c r="A71" s="135" t="s">
        <v>90</v>
      </c>
      <c r="B71" s="133"/>
      <c r="C71" s="131"/>
      <c r="D71" s="189">
        <f>+D97+D100</f>
        <v>0</v>
      </c>
      <c r="E71" s="166" t="e">
        <f>+E83-C83+E86-C86</f>
        <v>#VALUE!</v>
      </c>
      <c r="F71" s="167">
        <f>+F97+F100</f>
        <v>0</v>
      </c>
      <c r="G71" s="166">
        <f>+G83-E83+G86-E86</f>
        <v>0</v>
      </c>
      <c r="H71" s="167">
        <f>+H97+H100</f>
        <v>0</v>
      </c>
      <c r="I71" s="166">
        <f>+I83-G83+I86-G86</f>
        <v>0</v>
      </c>
      <c r="J71" s="167">
        <f>+J97+J100</f>
        <v>0</v>
      </c>
      <c r="K71" s="166">
        <f>+K83-I83+K86-I86</f>
        <v>0</v>
      </c>
      <c r="L71" s="167">
        <f>+L97+L100</f>
        <v>0</v>
      </c>
      <c r="M71" s="166">
        <f>+M83-K83+M86-K86</f>
        <v>0</v>
      </c>
      <c r="N71" s="167">
        <f>+N97+N100</f>
        <v>0</v>
      </c>
      <c r="O71" s="166">
        <f>+O83-M83+O86-M86</f>
        <v>0</v>
      </c>
      <c r="P71" s="167">
        <f>+P97+P100</f>
        <v>0</v>
      </c>
      <c r="Q71" s="166">
        <f>+Q83-O83+Q86-O86</f>
        <v>0</v>
      </c>
      <c r="R71" s="167">
        <f>+R97+R100</f>
        <v>0</v>
      </c>
      <c r="S71" s="166">
        <f>+S83-Q83+S86-Q86</f>
        <v>0</v>
      </c>
      <c r="T71" s="167">
        <f>+T97+T100</f>
        <v>0</v>
      </c>
      <c r="U71" s="166">
        <f>+U83-S83+U86-S86</f>
        <v>0</v>
      </c>
      <c r="V71" s="167">
        <f>+V97+V100</f>
        <v>0</v>
      </c>
      <c r="W71" s="166">
        <f>+W83-U83+W86-U86</f>
        <v>0</v>
      </c>
      <c r="X71" s="167">
        <f>+X97+X100</f>
        <v>0</v>
      </c>
      <c r="Y71" s="166">
        <f>+Y83-W83+Y86-W86</f>
        <v>0</v>
      </c>
      <c r="Z71" s="167">
        <f>+Z97+Z100</f>
        <v>0</v>
      </c>
      <c r="AA71" s="166">
        <f>+AA83-Y83+AA86-Y86</f>
        <v>0</v>
      </c>
      <c r="AB71" s="167">
        <f>+AB97+AB100</f>
        <v>0</v>
      </c>
      <c r="AC71" s="166">
        <f>+AC83-AA83+AC86-AA86</f>
        <v>0</v>
      </c>
      <c r="AD71" s="167">
        <f>+AD97+AD100</f>
        <v>0</v>
      </c>
      <c r="AE71" s="166">
        <f>+AE83-AC83+AE86-AC86</f>
        <v>0</v>
      </c>
      <c r="AF71" s="167">
        <f>+AF97+AF100</f>
        <v>0</v>
      </c>
      <c r="AG71" s="166">
        <f>+AG83-AE83+AG86-AE86</f>
        <v>0</v>
      </c>
      <c r="AH71" s="167">
        <f>+AH97+AH100</f>
        <v>0</v>
      </c>
      <c r="AI71" s="166">
        <f>+AI83-AG83+AI86-AG86</f>
        <v>0</v>
      </c>
      <c r="AJ71" s="167">
        <f>+AJ97+AJ100</f>
        <v>0</v>
      </c>
      <c r="AK71" s="166">
        <f>+AK83-AI83+AK86-AI86</f>
        <v>0</v>
      </c>
      <c r="AL71" s="167">
        <f>+AL97+AL100</f>
        <v>0</v>
      </c>
      <c r="AM71" s="166">
        <f>+AM83-AK83+AM86-AK86</f>
        <v>0</v>
      </c>
      <c r="AN71" s="167">
        <f>+AN97+AN100</f>
        <v>0</v>
      </c>
      <c r="AO71" s="166">
        <f>+AO83-AM83+AO86-AM86</f>
        <v>0</v>
      </c>
      <c r="AP71" s="167">
        <f>+AP97+AP100</f>
        <v>0</v>
      </c>
      <c r="AQ71" s="166">
        <f>+AQ83-AO83+AQ86-AO86</f>
        <v>0</v>
      </c>
      <c r="AR71" s="167">
        <f>+AR97+AR100</f>
        <v>0</v>
      </c>
      <c r="AS71" s="166">
        <f>+AS83-AQ83+AS86-AQ86</f>
        <v>0</v>
      </c>
      <c r="AT71" s="167">
        <f>+AT97+AT100</f>
        <v>0</v>
      </c>
      <c r="AU71" s="166">
        <f>+AU83-AS83+AU86-AS86</f>
        <v>0</v>
      </c>
      <c r="AV71" s="167">
        <f>+AV97+AV100</f>
        <v>0</v>
      </c>
      <c r="AW71" s="166">
        <f>+AW83-AU83+AW86-AU86</f>
        <v>0</v>
      </c>
      <c r="AX71" s="167">
        <f>+AX97+AX100</f>
        <v>0</v>
      </c>
      <c r="AY71" s="166">
        <f>+AY83-AW83+AY86-AW86</f>
        <v>0</v>
      </c>
      <c r="AZ71" s="167">
        <f>+AZ97+AZ100</f>
        <v>0</v>
      </c>
      <c r="BA71" s="166">
        <f>+BA83-AY83+BA86-AY86</f>
        <v>0</v>
      </c>
      <c r="BB71" s="167">
        <f>+BB97+BB100</f>
        <v>0</v>
      </c>
      <c r="BC71" s="166">
        <f>+BC83-BA83+BC86-BA86</f>
        <v>0</v>
      </c>
      <c r="BD71" s="167">
        <f>+BD97+BD100</f>
        <v>0</v>
      </c>
      <c r="BE71" s="166">
        <f>+BE83-BC83+BE86-BC86</f>
        <v>0</v>
      </c>
      <c r="BF71" s="167">
        <f>+BF97+BF100</f>
        <v>0</v>
      </c>
      <c r="BG71" s="166">
        <f>+BG83-BE83+BG86-BE86</f>
        <v>0</v>
      </c>
      <c r="BH71" s="167">
        <f>+BH97+BH100</f>
        <v>0</v>
      </c>
      <c r="BI71" s="166">
        <f>+BI83-BG83+BI86-BG86</f>
        <v>0</v>
      </c>
      <c r="BJ71" s="167">
        <f>+BJ97+BJ100</f>
        <v>0</v>
      </c>
      <c r="BK71" s="166">
        <f>+BK83-BI83+BK86-BI86</f>
        <v>0</v>
      </c>
      <c r="BL71" s="49"/>
      <c r="BM71" s="48"/>
      <c r="BN71" s="50"/>
      <c r="BO71" s="170" t="e">
        <f t="shared" si="92"/>
        <v>#VALUE!</v>
      </c>
      <c r="BP71" s="167">
        <f>+BP97+BP100</f>
        <v>0</v>
      </c>
      <c r="BQ71" s="52"/>
    </row>
    <row r="72" spans="1:69" x14ac:dyDescent="0.35">
      <c r="A72" s="136" t="s">
        <v>91</v>
      </c>
      <c r="B72" s="133"/>
      <c r="C72" s="131"/>
      <c r="D72" s="189">
        <f>+D92+D95+D98+D101</f>
        <v>0</v>
      </c>
      <c r="E72" s="166" t="e">
        <f>+E78-C78+E81-C81+E84-C84+E87-C87</f>
        <v>#VALUE!</v>
      </c>
      <c r="F72" s="167">
        <f>+F92+F95+F98+F101</f>
        <v>0</v>
      </c>
      <c r="G72" s="166">
        <f>+G78-E78+G81-E81+G84-E84+G87-E87</f>
        <v>0</v>
      </c>
      <c r="H72" s="167">
        <f>+H92+H95+H98+H101</f>
        <v>0</v>
      </c>
      <c r="I72" s="166">
        <f>+I78-G78+I81-G81+I84-G84+I87-G87</f>
        <v>0</v>
      </c>
      <c r="J72" s="167">
        <f>+J92+J95+J98+J101</f>
        <v>0</v>
      </c>
      <c r="K72" s="166">
        <f>+K78-I78+K81-I81+K84-I84+K87-I87</f>
        <v>0</v>
      </c>
      <c r="L72" s="167">
        <f>+L92+L95+L98+L101</f>
        <v>0</v>
      </c>
      <c r="M72" s="166">
        <f>+M78-K78+M81-K81+M84-K84+M87-K87</f>
        <v>0</v>
      </c>
      <c r="N72" s="167">
        <f>+N92+N95+N98+N101</f>
        <v>0</v>
      </c>
      <c r="O72" s="166">
        <f>+O78-M78+O81-M81+O84-M84+O87-M87</f>
        <v>0</v>
      </c>
      <c r="P72" s="167">
        <f>+P92+P95+P98+P101</f>
        <v>0</v>
      </c>
      <c r="Q72" s="166">
        <f>+Q78-O78+Q81-O81+Q84-O84+Q87-O87</f>
        <v>0</v>
      </c>
      <c r="R72" s="167">
        <f>+R92+R95+R98+R101</f>
        <v>0</v>
      </c>
      <c r="S72" s="166">
        <f>+S78-Q78+S81-Q81+S84-Q84+S87-Q87</f>
        <v>0</v>
      </c>
      <c r="T72" s="167">
        <f>+T92+T95+T98+T101</f>
        <v>0</v>
      </c>
      <c r="U72" s="166">
        <f>+U78-S78+U81-S81+U84-S84+U87-S87</f>
        <v>0</v>
      </c>
      <c r="V72" s="167">
        <f>+V92+V95+V98+V101</f>
        <v>0</v>
      </c>
      <c r="W72" s="166">
        <f>+W78-U78+W81-U81+W84-U84+W87-U87</f>
        <v>0</v>
      </c>
      <c r="X72" s="167">
        <f>+X92+X95+X98+X101</f>
        <v>0</v>
      </c>
      <c r="Y72" s="166">
        <f>+Y78-W78+Y81-W81+Y84-W84+Y87-W87</f>
        <v>0</v>
      </c>
      <c r="Z72" s="167">
        <f>+Z92+Z95+Z98+Z101</f>
        <v>0</v>
      </c>
      <c r="AA72" s="166">
        <f>+AA78-Y78+AA81-Y81+AA84-Y84+AA87-Y87</f>
        <v>0</v>
      </c>
      <c r="AB72" s="167">
        <f>+AB92+AB95+AB98+AB101</f>
        <v>0</v>
      </c>
      <c r="AC72" s="166">
        <f>+AC78-AA78+AC81-AA81+AC84-AA84+AC87-AA87</f>
        <v>0</v>
      </c>
      <c r="AD72" s="167">
        <f>+AD92+AD95+AD98+AD101</f>
        <v>0</v>
      </c>
      <c r="AE72" s="166">
        <f>+AE78-AC78+AE81-AC81+AE84-AC84+AE87-AC87</f>
        <v>0</v>
      </c>
      <c r="AF72" s="167">
        <f>+AF92+AF95+AF98+AF101</f>
        <v>0</v>
      </c>
      <c r="AG72" s="166">
        <f>+AG78-AE78+AG81-AE81+AG84-AE84+AG87-AE87</f>
        <v>0</v>
      </c>
      <c r="AH72" s="167">
        <f>+AH92+AH95+AH98+AH101</f>
        <v>0</v>
      </c>
      <c r="AI72" s="166">
        <f>+AI78-AG78+AI81-AG81+AI84-AG84+AI87-AG87</f>
        <v>0</v>
      </c>
      <c r="AJ72" s="167">
        <f>+AJ92+AJ95+AJ98+AJ101</f>
        <v>0</v>
      </c>
      <c r="AK72" s="166">
        <f>+AK78-AI78+AK81-AI81+AK84-AI84+AK87-AI87</f>
        <v>0</v>
      </c>
      <c r="AL72" s="167">
        <f>+AL92+AL95+AL98+AL101</f>
        <v>0</v>
      </c>
      <c r="AM72" s="166">
        <f>+AM78-AK78+AM81-AK81+AM84-AK84+AM87-AK87</f>
        <v>0</v>
      </c>
      <c r="AN72" s="167">
        <f>+AN92+AN95+AN98+AN101</f>
        <v>0</v>
      </c>
      <c r="AO72" s="166">
        <f>+AO78-AM78+AO81-AM81+AO84-AM84+AO87-AM87</f>
        <v>0</v>
      </c>
      <c r="AP72" s="167">
        <f>+AP92+AP95+AP98+AP101</f>
        <v>0</v>
      </c>
      <c r="AQ72" s="166">
        <f>+AQ78-AO78+AQ81-AO81+AQ84-AO84+AQ87-AO87</f>
        <v>0</v>
      </c>
      <c r="AR72" s="167">
        <f>+AR92+AR95+AR98+AR101</f>
        <v>0</v>
      </c>
      <c r="AS72" s="166">
        <f>+AS78-AQ78+AS81-AQ81+AS84-AQ84+AS87-AQ87</f>
        <v>0</v>
      </c>
      <c r="AT72" s="167">
        <f>+AT92+AT95+AT98+AT101</f>
        <v>0</v>
      </c>
      <c r="AU72" s="166">
        <f>+AU78-AS78+AU81-AS81+AU84-AS84+AU87-AS87</f>
        <v>0</v>
      </c>
      <c r="AV72" s="167">
        <f>+AV92+AV95+AV98+AV101</f>
        <v>0</v>
      </c>
      <c r="AW72" s="166">
        <f>+AW78-AU78+AW81-AU81+AW84-AU84+AW87-AU87</f>
        <v>0</v>
      </c>
      <c r="AX72" s="167">
        <f>+AX92+AX95+AX98+AX101</f>
        <v>0</v>
      </c>
      <c r="AY72" s="166">
        <f>+AY78-AW78+AY81-AW81+AY84-AW84+AY87-AW87</f>
        <v>0</v>
      </c>
      <c r="AZ72" s="167">
        <f>+AZ92+AZ95+AZ98+AZ101</f>
        <v>0</v>
      </c>
      <c r="BA72" s="166">
        <f>+BA78-AY78+BA81-AY81+BA84-AY84+BA87-AY87</f>
        <v>0</v>
      </c>
      <c r="BB72" s="167">
        <f>+BB92+BB95+BB98+BB101</f>
        <v>0</v>
      </c>
      <c r="BC72" s="166">
        <f>+BC78-BA78+BC81-BA81+BC84-BA84+BC87-BA87</f>
        <v>0</v>
      </c>
      <c r="BD72" s="167">
        <f>+BD92+BD95+BD98+BD101</f>
        <v>0</v>
      </c>
      <c r="BE72" s="166">
        <f>+BE78-BC78+BE81-BC81+BE84-BC84+BE87-BC87</f>
        <v>0</v>
      </c>
      <c r="BF72" s="167">
        <f>+BF92+BF95+BF98+BF101</f>
        <v>0</v>
      </c>
      <c r="BG72" s="166">
        <f>+BG78-BE78+BG81-BE81+BG84-BE84+BG87-BE87</f>
        <v>0</v>
      </c>
      <c r="BH72" s="167">
        <f>+BH92+BH95+BH98+BH101</f>
        <v>0</v>
      </c>
      <c r="BI72" s="166">
        <f>+BI78-BG78+BI81-BG81+BI84-BG84+BI87-BG87</f>
        <v>0</v>
      </c>
      <c r="BJ72" s="167">
        <f>+BJ92+BJ95+BJ98+BJ101</f>
        <v>0</v>
      </c>
      <c r="BK72" s="166">
        <f>+BK78-BI78+BK81-BI81+BK84-BI84+BK87-BI87</f>
        <v>0</v>
      </c>
      <c r="BL72" s="49"/>
      <c r="BM72" s="48"/>
      <c r="BN72" s="50"/>
      <c r="BO72" s="170" t="e">
        <f t="shared" si="92"/>
        <v>#VALUE!</v>
      </c>
      <c r="BP72" s="167">
        <f>+BP92+BP95+BP98+BP101</f>
        <v>0</v>
      </c>
      <c r="BQ72" s="52"/>
    </row>
    <row r="73" spans="1:69" x14ac:dyDescent="0.35">
      <c r="A73" s="137"/>
      <c r="B73" s="138"/>
      <c r="C73" s="139"/>
      <c r="D73" s="189">
        <f t="shared" ref="D73:BK73" si="93">SUM(D68:D72)</f>
        <v>0</v>
      </c>
      <c r="E73" s="177" t="e">
        <f t="shared" si="93"/>
        <v>#VALUE!</v>
      </c>
      <c r="F73" s="167">
        <f t="shared" si="93"/>
        <v>0</v>
      </c>
      <c r="G73" s="177">
        <f t="shared" si="93"/>
        <v>0</v>
      </c>
      <c r="H73" s="167">
        <f t="shared" si="93"/>
        <v>0</v>
      </c>
      <c r="I73" s="177">
        <f t="shared" si="93"/>
        <v>0</v>
      </c>
      <c r="J73" s="167">
        <f t="shared" si="93"/>
        <v>0</v>
      </c>
      <c r="K73" s="177">
        <f t="shared" si="93"/>
        <v>0</v>
      </c>
      <c r="L73" s="167">
        <f t="shared" si="93"/>
        <v>0</v>
      </c>
      <c r="M73" s="177">
        <f t="shared" si="93"/>
        <v>0</v>
      </c>
      <c r="N73" s="167">
        <f t="shared" si="93"/>
        <v>0</v>
      </c>
      <c r="O73" s="177">
        <f t="shared" si="93"/>
        <v>0</v>
      </c>
      <c r="P73" s="167">
        <f t="shared" si="93"/>
        <v>0</v>
      </c>
      <c r="Q73" s="177">
        <f t="shared" si="93"/>
        <v>0</v>
      </c>
      <c r="R73" s="167">
        <f t="shared" si="93"/>
        <v>0</v>
      </c>
      <c r="S73" s="177">
        <f t="shared" si="93"/>
        <v>0</v>
      </c>
      <c r="T73" s="167">
        <f t="shared" si="93"/>
        <v>0</v>
      </c>
      <c r="U73" s="177">
        <f t="shared" si="93"/>
        <v>0</v>
      </c>
      <c r="V73" s="167">
        <f t="shared" si="93"/>
        <v>0</v>
      </c>
      <c r="W73" s="177">
        <f t="shared" si="93"/>
        <v>0</v>
      </c>
      <c r="X73" s="167">
        <f t="shared" si="93"/>
        <v>0</v>
      </c>
      <c r="Y73" s="177">
        <f t="shared" si="93"/>
        <v>0</v>
      </c>
      <c r="Z73" s="167">
        <f t="shared" si="93"/>
        <v>0</v>
      </c>
      <c r="AA73" s="177">
        <f t="shared" si="93"/>
        <v>0</v>
      </c>
      <c r="AB73" s="167">
        <f t="shared" si="93"/>
        <v>0</v>
      </c>
      <c r="AC73" s="177">
        <f t="shared" si="93"/>
        <v>0</v>
      </c>
      <c r="AD73" s="167">
        <f t="shared" si="93"/>
        <v>0</v>
      </c>
      <c r="AE73" s="177">
        <f t="shared" si="93"/>
        <v>0</v>
      </c>
      <c r="AF73" s="167">
        <f t="shared" si="93"/>
        <v>0</v>
      </c>
      <c r="AG73" s="177">
        <f t="shared" si="93"/>
        <v>0</v>
      </c>
      <c r="AH73" s="167">
        <f t="shared" si="93"/>
        <v>0</v>
      </c>
      <c r="AI73" s="177">
        <f t="shared" si="93"/>
        <v>0</v>
      </c>
      <c r="AJ73" s="167">
        <f t="shared" si="93"/>
        <v>0</v>
      </c>
      <c r="AK73" s="177">
        <f t="shared" si="93"/>
        <v>0</v>
      </c>
      <c r="AL73" s="167">
        <f t="shared" si="93"/>
        <v>0</v>
      </c>
      <c r="AM73" s="177">
        <f t="shared" si="93"/>
        <v>0</v>
      </c>
      <c r="AN73" s="167">
        <f t="shared" si="93"/>
        <v>0</v>
      </c>
      <c r="AO73" s="177">
        <f t="shared" si="93"/>
        <v>0</v>
      </c>
      <c r="AP73" s="167">
        <f t="shared" si="93"/>
        <v>0</v>
      </c>
      <c r="AQ73" s="177">
        <f t="shared" si="93"/>
        <v>0</v>
      </c>
      <c r="AR73" s="167">
        <f t="shared" si="93"/>
        <v>0</v>
      </c>
      <c r="AS73" s="177">
        <f t="shared" si="93"/>
        <v>0</v>
      </c>
      <c r="AT73" s="167">
        <f t="shared" si="93"/>
        <v>0</v>
      </c>
      <c r="AU73" s="177">
        <f t="shared" si="93"/>
        <v>0</v>
      </c>
      <c r="AV73" s="167">
        <f t="shared" si="93"/>
        <v>0</v>
      </c>
      <c r="AW73" s="177">
        <f t="shared" si="93"/>
        <v>0</v>
      </c>
      <c r="AX73" s="167">
        <f t="shared" si="93"/>
        <v>0</v>
      </c>
      <c r="AY73" s="177">
        <f t="shared" si="93"/>
        <v>0</v>
      </c>
      <c r="AZ73" s="167">
        <f t="shared" si="93"/>
        <v>0</v>
      </c>
      <c r="BA73" s="177">
        <f t="shared" si="93"/>
        <v>0</v>
      </c>
      <c r="BB73" s="167">
        <f t="shared" si="93"/>
        <v>0</v>
      </c>
      <c r="BC73" s="177">
        <f t="shared" si="93"/>
        <v>0</v>
      </c>
      <c r="BD73" s="167">
        <f t="shared" si="93"/>
        <v>0</v>
      </c>
      <c r="BE73" s="177">
        <f t="shared" si="93"/>
        <v>0</v>
      </c>
      <c r="BF73" s="167">
        <f t="shared" si="93"/>
        <v>0</v>
      </c>
      <c r="BG73" s="177">
        <f t="shared" si="93"/>
        <v>0</v>
      </c>
      <c r="BH73" s="167">
        <f t="shared" si="93"/>
        <v>0</v>
      </c>
      <c r="BI73" s="177">
        <f>SUM(BI68:BI72)</f>
        <v>0</v>
      </c>
      <c r="BJ73" s="167">
        <f t="shared" si="93"/>
        <v>0</v>
      </c>
      <c r="BK73" s="177">
        <f t="shared" si="93"/>
        <v>0</v>
      </c>
      <c r="BL73" s="49"/>
      <c r="BM73" s="91"/>
      <c r="BN73" s="92"/>
      <c r="BO73" s="170" t="e">
        <f t="shared" si="92"/>
        <v>#VALUE!</v>
      </c>
      <c r="BP73" s="167">
        <f t="shared" ref="BP73" si="94">SUM(BP68:BP72)</f>
        <v>0</v>
      </c>
      <c r="BQ73" s="93"/>
    </row>
    <row r="74" spans="1:69" x14ac:dyDescent="0.35">
      <c r="A74" s="53" t="s">
        <v>30</v>
      </c>
      <c r="B74" s="138"/>
      <c r="C74" s="210" t="str">
        <f>IF('March 2027 Log'!BM74="","",'March 2027 Log'!BM74)</f>
        <v/>
      </c>
      <c r="D74" s="47"/>
      <c r="E74" s="48"/>
      <c r="F74" s="49"/>
      <c r="G74" s="48"/>
      <c r="H74" s="49"/>
      <c r="I74" s="48"/>
      <c r="J74" s="49"/>
      <c r="K74" s="48"/>
      <c r="L74" s="49"/>
      <c r="M74" s="48"/>
      <c r="N74" s="49"/>
      <c r="O74" s="48"/>
      <c r="P74" s="49"/>
      <c r="Q74" s="48"/>
      <c r="R74" s="49"/>
      <c r="S74" s="48"/>
      <c r="T74" s="49"/>
      <c r="U74" s="48"/>
      <c r="V74" s="49"/>
      <c r="W74" s="48"/>
      <c r="X74" s="49"/>
      <c r="Y74" s="48"/>
      <c r="Z74" s="49"/>
      <c r="AA74" s="48"/>
      <c r="AB74" s="49"/>
      <c r="AC74" s="48"/>
      <c r="AD74" s="49"/>
      <c r="AE74" s="48"/>
      <c r="AF74" s="49"/>
      <c r="AG74" s="48"/>
      <c r="AH74" s="49"/>
      <c r="AI74" s="48"/>
      <c r="AJ74" s="49"/>
      <c r="AK74" s="48"/>
      <c r="AL74" s="49"/>
      <c r="AM74" s="48"/>
      <c r="AN74" s="49"/>
      <c r="AO74" s="48"/>
      <c r="AP74" s="49"/>
      <c r="AQ74" s="48"/>
      <c r="AR74" s="49"/>
      <c r="AS74" s="48"/>
      <c r="AT74" s="49"/>
      <c r="AU74" s="48"/>
      <c r="AV74" s="49"/>
      <c r="AW74" s="48"/>
      <c r="AX74" s="49"/>
      <c r="AY74" s="48"/>
      <c r="AZ74" s="49"/>
      <c r="BA74" s="48"/>
      <c r="BB74" s="49"/>
      <c r="BC74" s="48"/>
      <c r="BD74" s="49"/>
      <c r="BE74" s="48"/>
      <c r="BF74" s="49"/>
      <c r="BG74" s="48"/>
      <c r="BH74" s="49"/>
      <c r="BI74" s="48"/>
      <c r="BJ74" s="49"/>
      <c r="BK74" s="48"/>
      <c r="BL74" s="49"/>
      <c r="BM74" s="48"/>
      <c r="BN74" s="50"/>
      <c r="BO74" s="170" t="str">
        <f t="shared" si="92"/>
        <v/>
      </c>
      <c r="BP74" s="49"/>
      <c r="BQ74" s="178" t="str">
        <f>IF(BK74="","",BK74)</f>
        <v/>
      </c>
    </row>
    <row r="75" spans="1:69" x14ac:dyDescent="0.35">
      <c r="A75" s="98" t="s">
        <v>31</v>
      </c>
      <c r="B75" s="138"/>
      <c r="C75" s="211">
        <f>IF('March 2027 Log'!BM75="","",'March 2027 Log'!BM75)</f>
        <v>0</v>
      </c>
      <c r="D75" s="47"/>
      <c r="E75" s="177">
        <f>+E57-E74</f>
        <v>0</v>
      </c>
      <c r="F75" s="49"/>
      <c r="G75" s="177">
        <f>+G57-G74</f>
        <v>0</v>
      </c>
      <c r="H75" s="49"/>
      <c r="I75" s="177">
        <f>+I57-I74</f>
        <v>0</v>
      </c>
      <c r="J75" s="49"/>
      <c r="K75" s="177">
        <f>+K57-K74</f>
        <v>0</v>
      </c>
      <c r="L75" s="49"/>
      <c r="M75" s="177">
        <f>+M57-M74</f>
        <v>0</v>
      </c>
      <c r="N75" s="49"/>
      <c r="O75" s="177">
        <f>+O57-O74</f>
        <v>0</v>
      </c>
      <c r="P75" s="49"/>
      <c r="Q75" s="177">
        <f>+Q57-Q74</f>
        <v>0</v>
      </c>
      <c r="R75" s="49"/>
      <c r="S75" s="177">
        <f>+S57-S74</f>
        <v>0</v>
      </c>
      <c r="T75" s="49"/>
      <c r="U75" s="177">
        <f>+U57-U74</f>
        <v>0</v>
      </c>
      <c r="V75" s="49"/>
      <c r="W75" s="177">
        <f>+W57-W74</f>
        <v>0</v>
      </c>
      <c r="X75" s="49"/>
      <c r="Y75" s="177">
        <f>+Y57-Y74</f>
        <v>0</v>
      </c>
      <c r="Z75" s="49"/>
      <c r="AA75" s="177">
        <f>+AA57-AA74</f>
        <v>0</v>
      </c>
      <c r="AB75" s="49"/>
      <c r="AC75" s="177">
        <f>+AC57-AC74</f>
        <v>0</v>
      </c>
      <c r="AD75" s="49"/>
      <c r="AE75" s="177">
        <f>+AE57-AE74</f>
        <v>0</v>
      </c>
      <c r="AF75" s="49"/>
      <c r="AG75" s="177">
        <f>+AG57-AG74</f>
        <v>0</v>
      </c>
      <c r="AH75" s="49"/>
      <c r="AI75" s="177">
        <f>+AI57-AI74</f>
        <v>0</v>
      </c>
      <c r="AJ75" s="49"/>
      <c r="AK75" s="177">
        <f>+AK57-AK74</f>
        <v>0</v>
      </c>
      <c r="AL75" s="49"/>
      <c r="AM75" s="177">
        <f>+AM57-AM74</f>
        <v>0</v>
      </c>
      <c r="AN75" s="49"/>
      <c r="AO75" s="177">
        <f>+AO57-AO74</f>
        <v>0</v>
      </c>
      <c r="AP75" s="49"/>
      <c r="AQ75" s="177">
        <f>+AQ57-AQ74</f>
        <v>0</v>
      </c>
      <c r="AR75" s="49"/>
      <c r="AS75" s="177">
        <f>+AS57-AS74</f>
        <v>0</v>
      </c>
      <c r="AT75" s="49"/>
      <c r="AU75" s="177">
        <f>+AU57-AU74</f>
        <v>0</v>
      </c>
      <c r="AV75" s="49"/>
      <c r="AW75" s="177">
        <f>+AW57-AW74</f>
        <v>0</v>
      </c>
      <c r="AX75" s="49"/>
      <c r="AY75" s="177">
        <f>+AY57-AY74</f>
        <v>0</v>
      </c>
      <c r="AZ75" s="49"/>
      <c r="BA75" s="177">
        <f>+BA57-BA74</f>
        <v>0</v>
      </c>
      <c r="BB75" s="49"/>
      <c r="BC75" s="177">
        <f>+BC57-BC74</f>
        <v>0</v>
      </c>
      <c r="BD75" s="49"/>
      <c r="BE75" s="177">
        <f>+BE57-BE74</f>
        <v>0</v>
      </c>
      <c r="BF75" s="49"/>
      <c r="BG75" s="177">
        <f>+BG57-BG74</f>
        <v>0</v>
      </c>
      <c r="BH75" s="49"/>
      <c r="BI75" s="177">
        <f>+BI57-BI74</f>
        <v>0</v>
      </c>
      <c r="BJ75" s="49"/>
      <c r="BK75" s="177">
        <f>+BK57-BK74</f>
        <v>0</v>
      </c>
      <c r="BL75" s="49"/>
      <c r="BM75" s="91"/>
      <c r="BN75" s="92"/>
      <c r="BO75" s="170">
        <f t="shared" si="92"/>
        <v>0</v>
      </c>
      <c r="BP75" s="49"/>
      <c r="BQ75" s="179">
        <f>IF(BK75="","",BK75)</f>
        <v>0</v>
      </c>
    </row>
    <row r="76" spans="1:69" ht="28.9" customHeight="1" x14ac:dyDescent="0.35">
      <c r="A76" s="74" t="s">
        <v>92</v>
      </c>
      <c r="B76" s="75"/>
      <c r="C76" s="141"/>
      <c r="D76" s="102"/>
      <c r="E76" s="142"/>
      <c r="F76" s="104"/>
      <c r="G76" s="142"/>
      <c r="H76" s="104"/>
      <c r="I76" s="142"/>
      <c r="J76" s="104"/>
      <c r="K76" s="142"/>
      <c r="L76" s="104"/>
      <c r="M76" s="142"/>
      <c r="N76" s="104"/>
      <c r="O76" s="142"/>
      <c r="P76" s="104"/>
      <c r="Q76" s="142"/>
      <c r="R76" s="104"/>
      <c r="S76" s="142"/>
      <c r="T76" s="104"/>
      <c r="U76" s="142"/>
      <c r="V76" s="104"/>
      <c r="W76" s="142"/>
      <c r="X76" s="104"/>
      <c r="Y76" s="142"/>
      <c r="Z76" s="104"/>
      <c r="AA76" s="142"/>
      <c r="AB76" s="104"/>
      <c r="AC76" s="142"/>
      <c r="AD76" s="104"/>
      <c r="AE76" s="142"/>
      <c r="AF76" s="104"/>
      <c r="AG76" s="142"/>
      <c r="AH76" s="104"/>
      <c r="AI76" s="142"/>
      <c r="AJ76" s="104"/>
      <c r="AK76" s="142"/>
      <c r="AL76" s="104"/>
      <c r="AM76" s="142"/>
      <c r="AN76" s="104"/>
      <c r="AO76" s="142"/>
      <c r="AP76" s="104"/>
      <c r="AQ76" s="142"/>
      <c r="AR76" s="104"/>
      <c r="AS76" s="142"/>
      <c r="AT76" s="104"/>
      <c r="AU76" s="142"/>
      <c r="AV76" s="104"/>
      <c r="AW76" s="142"/>
      <c r="AX76" s="104"/>
      <c r="AY76" s="142"/>
      <c r="AZ76" s="104"/>
      <c r="BA76" s="142"/>
      <c r="BB76" s="104"/>
      <c r="BC76" s="142"/>
      <c r="BD76" s="104"/>
      <c r="BE76" s="142"/>
      <c r="BF76" s="104"/>
      <c r="BG76" s="142"/>
      <c r="BH76" s="104"/>
      <c r="BI76" s="142"/>
      <c r="BJ76" s="104"/>
      <c r="BK76" s="142"/>
      <c r="BL76" s="104"/>
      <c r="BM76" s="142"/>
      <c r="BN76" s="105"/>
      <c r="BO76" s="106"/>
      <c r="BP76" s="104"/>
      <c r="BQ76" s="107"/>
    </row>
    <row r="77" spans="1:69" x14ac:dyDescent="0.35">
      <c r="A77" s="132" t="s">
        <v>75</v>
      </c>
      <c r="B77" s="54" t="s">
        <v>65</v>
      </c>
      <c r="C77" s="174" t="str">
        <f>IF('March 2027 Log'!BM77="","",'March 2027 Log'!BM77)</f>
        <v/>
      </c>
      <c r="D77" s="189" t="e">
        <f t="shared" ref="D77:D104" si="95">+E77-C77</f>
        <v>#VALUE!</v>
      </c>
      <c r="E77" s="86"/>
      <c r="F77" s="167">
        <f t="shared" ref="F77:F104" si="96">+G77-E77</f>
        <v>0</v>
      </c>
      <c r="G77" s="86"/>
      <c r="H77" s="167">
        <f t="shared" ref="H77:H104" si="97">+I77-G77</f>
        <v>0</v>
      </c>
      <c r="I77" s="86"/>
      <c r="J77" s="167">
        <f t="shared" ref="J77:J104" si="98">+K77-I77</f>
        <v>0</v>
      </c>
      <c r="K77" s="86"/>
      <c r="L77" s="167">
        <f t="shared" ref="L77:L89" si="99">+M77-K77</f>
        <v>0</v>
      </c>
      <c r="M77" s="86"/>
      <c r="N77" s="167">
        <f t="shared" ref="N77:N89" si="100">+O77-M77</f>
        <v>0</v>
      </c>
      <c r="O77" s="86"/>
      <c r="P77" s="167">
        <f t="shared" ref="P77:P89" si="101">+Q77-O77</f>
        <v>0</v>
      </c>
      <c r="Q77" s="86"/>
      <c r="R77" s="167">
        <f t="shared" ref="R77:R89" si="102">+S77-Q77</f>
        <v>0</v>
      </c>
      <c r="S77" s="86"/>
      <c r="T77" s="167">
        <f t="shared" ref="T77:T89" si="103">+U77-S77</f>
        <v>0</v>
      </c>
      <c r="U77" s="86"/>
      <c r="V77" s="167">
        <f t="shared" ref="V77:V89" si="104">+W77-U77</f>
        <v>0</v>
      </c>
      <c r="W77" s="86"/>
      <c r="X77" s="167">
        <f t="shared" ref="X77:X89" si="105">+Y77-W77</f>
        <v>0</v>
      </c>
      <c r="Y77" s="86"/>
      <c r="Z77" s="167">
        <f t="shared" ref="Z77:Z89" si="106">+AA77-Y77</f>
        <v>0</v>
      </c>
      <c r="AA77" s="86"/>
      <c r="AB77" s="167">
        <f t="shared" ref="AB77:AB89" si="107">+AC77-AA77</f>
        <v>0</v>
      </c>
      <c r="AC77" s="86"/>
      <c r="AD77" s="167">
        <f t="shared" ref="AD77:AD89" si="108">+AE77-AC77</f>
        <v>0</v>
      </c>
      <c r="AE77" s="86"/>
      <c r="AF77" s="167">
        <f t="shared" ref="AF77:AF89" si="109">+AG77-AE77</f>
        <v>0</v>
      </c>
      <c r="AG77" s="86"/>
      <c r="AH77" s="167">
        <f t="shared" ref="AH77:AH89" si="110">+AI77-AG77</f>
        <v>0</v>
      </c>
      <c r="AI77" s="86"/>
      <c r="AJ77" s="167">
        <f t="shared" ref="AJ77:AJ89" si="111">+AK77-AI77</f>
        <v>0</v>
      </c>
      <c r="AK77" s="86"/>
      <c r="AL77" s="167">
        <f t="shared" ref="AL77:AL89" si="112">+AM77-AK77</f>
        <v>0</v>
      </c>
      <c r="AM77" s="86"/>
      <c r="AN77" s="167">
        <f t="shared" ref="AN77:AN89" si="113">+AO77-AM77</f>
        <v>0</v>
      </c>
      <c r="AO77" s="86"/>
      <c r="AP77" s="167">
        <f t="shared" ref="AP77:AP89" si="114">+AQ77-AO77</f>
        <v>0</v>
      </c>
      <c r="AQ77" s="86"/>
      <c r="AR77" s="167">
        <f t="shared" ref="AR77:AR89" si="115">+AS77-AQ77</f>
        <v>0</v>
      </c>
      <c r="AS77" s="86"/>
      <c r="AT77" s="167">
        <f t="shared" ref="AT77:AT89" si="116">+AU77-AS77</f>
        <v>0</v>
      </c>
      <c r="AU77" s="86"/>
      <c r="AV77" s="167">
        <f t="shared" ref="AV77:AV89" si="117">+AW77-AU77</f>
        <v>0</v>
      </c>
      <c r="AW77" s="86"/>
      <c r="AX77" s="167">
        <f t="shared" ref="AX77:AX89" si="118">+AY77-AW77</f>
        <v>0</v>
      </c>
      <c r="AY77" s="86"/>
      <c r="AZ77" s="167">
        <f t="shared" ref="AZ77:AZ89" si="119">+BA77-AY77</f>
        <v>0</v>
      </c>
      <c r="BA77" s="86"/>
      <c r="BB77" s="167">
        <f t="shared" ref="BB77:BB89" si="120">+BC77-BA77</f>
        <v>0</v>
      </c>
      <c r="BC77" s="86"/>
      <c r="BD77" s="167">
        <f t="shared" ref="BD77:BD89" si="121">+BE77-BC77</f>
        <v>0</v>
      </c>
      <c r="BE77" s="86"/>
      <c r="BF77" s="167">
        <f t="shared" ref="BF77:BF89" si="122">+BG77-BE77</f>
        <v>0</v>
      </c>
      <c r="BG77" s="86"/>
      <c r="BH77" s="167">
        <f t="shared" ref="BH77:BH89" si="123">+BI77-BG77</f>
        <v>0</v>
      </c>
      <c r="BI77" s="86"/>
      <c r="BJ77" s="167">
        <f t="shared" ref="BJ77:BJ89" si="124">+BK77-BI77</f>
        <v>0</v>
      </c>
      <c r="BK77" s="86"/>
      <c r="BL77" s="49"/>
      <c r="BM77" s="86"/>
      <c r="BN77" s="50"/>
      <c r="BO77" s="170" t="e">
        <f t="shared" ref="BO77:BO88" si="125">IF(COUNT(D77,F77,H77,J77,L77,N77,P77,R77,T77,V77,X77,Z77,AB77,AD77,AF77,AH77,AJ77,AL77,AN77,AP77,AR77,AT77,AV77,AX77,AZ77,BB77,BD77,BF77,BH77,BJ77,BL77)=0,"",SUM(D77,F77,H77,J77,L77,N77,P77,R77,T77,V77,X77,Z77,AB77,AD77,AF77,AH77,AJ77,AL77,AN77,AP77,AR77,AT77,AV77,AX77,AZ77,BB77,BD77,BF77,BH77,BJ77,BL77))</f>
        <v>#VALUE!</v>
      </c>
      <c r="BP77" s="193" t="e">
        <f>+BQ77-BM77</f>
        <v>#VALUE!</v>
      </c>
      <c r="BQ77" s="212" t="str">
        <f t="shared" ref="BQ77:BQ88" si="126">IF(BK77="","",BK77)</f>
        <v/>
      </c>
    </row>
    <row r="78" spans="1:69" x14ac:dyDescent="0.35">
      <c r="A78" s="136" t="s">
        <v>76</v>
      </c>
      <c r="B78" s="54" t="s">
        <v>66</v>
      </c>
      <c r="C78" s="174" t="str">
        <f>IF('March 2027 Log'!BM78="","",'March 2027 Log'!BM78)</f>
        <v/>
      </c>
      <c r="D78" s="189" t="e">
        <f t="shared" si="95"/>
        <v>#VALUE!</v>
      </c>
      <c r="E78" s="86"/>
      <c r="F78" s="167">
        <f t="shared" si="96"/>
        <v>0</v>
      </c>
      <c r="G78" s="86"/>
      <c r="H78" s="167">
        <f t="shared" si="97"/>
        <v>0</v>
      </c>
      <c r="I78" s="86"/>
      <c r="J78" s="167">
        <f t="shared" si="98"/>
        <v>0</v>
      </c>
      <c r="K78" s="86"/>
      <c r="L78" s="167">
        <f t="shared" si="99"/>
        <v>0</v>
      </c>
      <c r="M78" s="86"/>
      <c r="N78" s="167">
        <f t="shared" si="100"/>
        <v>0</v>
      </c>
      <c r="O78" s="86"/>
      <c r="P78" s="167">
        <f t="shared" si="101"/>
        <v>0</v>
      </c>
      <c r="Q78" s="86"/>
      <c r="R78" s="167">
        <f t="shared" si="102"/>
        <v>0</v>
      </c>
      <c r="S78" s="86"/>
      <c r="T78" s="167">
        <f t="shared" si="103"/>
        <v>0</v>
      </c>
      <c r="U78" s="86"/>
      <c r="V78" s="167">
        <f t="shared" si="104"/>
        <v>0</v>
      </c>
      <c r="W78" s="86"/>
      <c r="X78" s="167">
        <f t="shared" si="105"/>
        <v>0</v>
      </c>
      <c r="Y78" s="86"/>
      <c r="Z78" s="167">
        <f t="shared" si="106"/>
        <v>0</v>
      </c>
      <c r="AA78" s="86"/>
      <c r="AB78" s="167">
        <f t="shared" si="107"/>
        <v>0</v>
      </c>
      <c r="AC78" s="86"/>
      <c r="AD78" s="167">
        <f t="shared" si="108"/>
        <v>0</v>
      </c>
      <c r="AE78" s="86"/>
      <c r="AF78" s="167">
        <f t="shared" si="109"/>
        <v>0</v>
      </c>
      <c r="AG78" s="86"/>
      <c r="AH78" s="167">
        <f t="shared" si="110"/>
        <v>0</v>
      </c>
      <c r="AI78" s="86"/>
      <c r="AJ78" s="167">
        <f t="shared" si="111"/>
        <v>0</v>
      </c>
      <c r="AK78" s="86"/>
      <c r="AL78" s="167">
        <f t="shared" si="112"/>
        <v>0</v>
      </c>
      <c r="AM78" s="86"/>
      <c r="AN78" s="167">
        <f t="shared" si="113"/>
        <v>0</v>
      </c>
      <c r="AO78" s="86"/>
      <c r="AP78" s="167">
        <f t="shared" si="114"/>
        <v>0</v>
      </c>
      <c r="AQ78" s="86"/>
      <c r="AR78" s="167">
        <f t="shared" si="115"/>
        <v>0</v>
      </c>
      <c r="AS78" s="86"/>
      <c r="AT78" s="167">
        <f t="shared" si="116"/>
        <v>0</v>
      </c>
      <c r="AU78" s="86"/>
      <c r="AV78" s="167">
        <f t="shared" si="117"/>
        <v>0</v>
      </c>
      <c r="AW78" s="86"/>
      <c r="AX78" s="167">
        <f t="shared" si="118"/>
        <v>0</v>
      </c>
      <c r="AY78" s="86"/>
      <c r="AZ78" s="167">
        <f t="shared" si="119"/>
        <v>0</v>
      </c>
      <c r="BA78" s="86"/>
      <c r="BB78" s="167">
        <f t="shared" si="120"/>
        <v>0</v>
      </c>
      <c r="BC78" s="86"/>
      <c r="BD78" s="167">
        <f t="shared" si="121"/>
        <v>0</v>
      </c>
      <c r="BE78" s="86"/>
      <c r="BF78" s="167">
        <f t="shared" si="122"/>
        <v>0</v>
      </c>
      <c r="BG78" s="86"/>
      <c r="BH78" s="167">
        <f t="shared" si="123"/>
        <v>0</v>
      </c>
      <c r="BI78" s="86"/>
      <c r="BJ78" s="167">
        <f t="shared" si="124"/>
        <v>0</v>
      </c>
      <c r="BK78" s="86"/>
      <c r="BL78" s="49"/>
      <c r="BM78" s="86"/>
      <c r="BN78" s="50"/>
      <c r="BO78" s="170" t="e">
        <f t="shared" si="125"/>
        <v>#VALUE!</v>
      </c>
      <c r="BP78" s="167" t="e">
        <f t="shared" ref="BP78:BP89" si="127">+BQ78-BM78</f>
        <v>#VALUE!</v>
      </c>
      <c r="BQ78" s="178" t="str">
        <f t="shared" si="126"/>
        <v/>
      </c>
    </row>
    <row r="79" spans="1:69" x14ac:dyDescent="0.35">
      <c r="A79" s="134" t="s">
        <v>77</v>
      </c>
      <c r="B79" s="54" t="s">
        <v>67</v>
      </c>
      <c r="C79" s="174" t="str">
        <f>IF('March 2027 Log'!BM79="","",'March 2027 Log'!BM79)</f>
        <v/>
      </c>
      <c r="D79" s="189" t="e">
        <f t="shared" si="95"/>
        <v>#VALUE!</v>
      </c>
      <c r="E79" s="86"/>
      <c r="F79" s="167">
        <f t="shared" si="96"/>
        <v>0</v>
      </c>
      <c r="G79" s="86"/>
      <c r="H79" s="167">
        <f t="shared" si="97"/>
        <v>0</v>
      </c>
      <c r="I79" s="86"/>
      <c r="J79" s="167">
        <f t="shared" si="98"/>
        <v>0</v>
      </c>
      <c r="K79" s="86"/>
      <c r="L79" s="167">
        <f t="shared" si="99"/>
        <v>0</v>
      </c>
      <c r="M79" s="86"/>
      <c r="N79" s="167">
        <f t="shared" si="100"/>
        <v>0</v>
      </c>
      <c r="O79" s="86"/>
      <c r="P79" s="167">
        <f t="shared" si="101"/>
        <v>0</v>
      </c>
      <c r="Q79" s="86"/>
      <c r="R79" s="167">
        <f t="shared" si="102"/>
        <v>0</v>
      </c>
      <c r="S79" s="86"/>
      <c r="T79" s="167">
        <f t="shared" si="103"/>
        <v>0</v>
      </c>
      <c r="U79" s="86"/>
      <c r="V79" s="167">
        <f t="shared" si="104"/>
        <v>0</v>
      </c>
      <c r="W79" s="86"/>
      <c r="X79" s="167">
        <f t="shared" si="105"/>
        <v>0</v>
      </c>
      <c r="Y79" s="86"/>
      <c r="Z79" s="167">
        <f t="shared" si="106"/>
        <v>0</v>
      </c>
      <c r="AA79" s="86"/>
      <c r="AB79" s="167">
        <f t="shared" si="107"/>
        <v>0</v>
      </c>
      <c r="AC79" s="86"/>
      <c r="AD79" s="167">
        <f t="shared" si="108"/>
        <v>0</v>
      </c>
      <c r="AE79" s="86"/>
      <c r="AF79" s="167">
        <f t="shared" si="109"/>
        <v>0</v>
      </c>
      <c r="AG79" s="86"/>
      <c r="AH79" s="167">
        <f t="shared" si="110"/>
        <v>0</v>
      </c>
      <c r="AI79" s="86"/>
      <c r="AJ79" s="167">
        <f t="shared" si="111"/>
        <v>0</v>
      </c>
      <c r="AK79" s="86"/>
      <c r="AL79" s="167">
        <f t="shared" si="112"/>
        <v>0</v>
      </c>
      <c r="AM79" s="86"/>
      <c r="AN79" s="167">
        <f t="shared" si="113"/>
        <v>0</v>
      </c>
      <c r="AO79" s="86"/>
      <c r="AP79" s="167">
        <f t="shared" si="114"/>
        <v>0</v>
      </c>
      <c r="AQ79" s="86"/>
      <c r="AR79" s="167">
        <f t="shared" si="115"/>
        <v>0</v>
      </c>
      <c r="AS79" s="86"/>
      <c r="AT79" s="167">
        <f t="shared" si="116"/>
        <v>0</v>
      </c>
      <c r="AU79" s="86"/>
      <c r="AV79" s="167">
        <f t="shared" si="117"/>
        <v>0</v>
      </c>
      <c r="AW79" s="86"/>
      <c r="AX79" s="167">
        <f t="shared" si="118"/>
        <v>0</v>
      </c>
      <c r="AY79" s="86"/>
      <c r="AZ79" s="167">
        <f t="shared" si="119"/>
        <v>0</v>
      </c>
      <c r="BA79" s="86"/>
      <c r="BB79" s="167">
        <f t="shared" si="120"/>
        <v>0</v>
      </c>
      <c r="BC79" s="86"/>
      <c r="BD79" s="167">
        <f t="shared" si="121"/>
        <v>0</v>
      </c>
      <c r="BE79" s="86"/>
      <c r="BF79" s="167">
        <f t="shared" si="122"/>
        <v>0</v>
      </c>
      <c r="BG79" s="86"/>
      <c r="BH79" s="167">
        <f t="shared" si="123"/>
        <v>0</v>
      </c>
      <c r="BI79" s="86"/>
      <c r="BJ79" s="167">
        <f t="shared" si="124"/>
        <v>0</v>
      </c>
      <c r="BK79" s="86"/>
      <c r="BL79" s="49"/>
      <c r="BM79" s="86"/>
      <c r="BN79" s="50"/>
      <c r="BO79" s="170" t="e">
        <f t="shared" si="125"/>
        <v>#VALUE!</v>
      </c>
      <c r="BP79" s="167" t="e">
        <f t="shared" si="127"/>
        <v>#VALUE!</v>
      </c>
      <c r="BQ79" s="178" t="str">
        <f t="shared" si="126"/>
        <v/>
      </c>
    </row>
    <row r="80" spans="1:69" x14ac:dyDescent="0.35">
      <c r="A80" s="132" t="s">
        <v>78</v>
      </c>
      <c r="B80" s="54" t="s">
        <v>65</v>
      </c>
      <c r="C80" s="174" t="str">
        <f>IF('March 2027 Log'!BM80="","",'March 2027 Log'!BM80)</f>
        <v/>
      </c>
      <c r="D80" s="189" t="e">
        <f t="shared" si="95"/>
        <v>#VALUE!</v>
      </c>
      <c r="E80" s="86"/>
      <c r="F80" s="167">
        <f t="shared" si="96"/>
        <v>0</v>
      </c>
      <c r="G80" s="86"/>
      <c r="H80" s="167">
        <f t="shared" si="97"/>
        <v>0</v>
      </c>
      <c r="I80" s="86"/>
      <c r="J80" s="167">
        <f t="shared" si="98"/>
        <v>0</v>
      </c>
      <c r="K80" s="86"/>
      <c r="L80" s="167">
        <f t="shared" si="99"/>
        <v>0</v>
      </c>
      <c r="M80" s="86"/>
      <c r="N80" s="167">
        <f t="shared" si="100"/>
        <v>0</v>
      </c>
      <c r="O80" s="86"/>
      <c r="P80" s="167">
        <f t="shared" si="101"/>
        <v>0</v>
      </c>
      <c r="Q80" s="86"/>
      <c r="R80" s="167">
        <f t="shared" si="102"/>
        <v>0</v>
      </c>
      <c r="S80" s="86"/>
      <c r="T80" s="167">
        <f t="shared" si="103"/>
        <v>0</v>
      </c>
      <c r="U80" s="86"/>
      <c r="V80" s="167">
        <f t="shared" si="104"/>
        <v>0</v>
      </c>
      <c r="W80" s="86"/>
      <c r="X80" s="167">
        <f t="shared" si="105"/>
        <v>0</v>
      </c>
      <c r="Y80" s="86"/>
      <c r="Z80" s="167">
        <f t="shared" si="106"/>
        <v>0</v>
      </c>
      <c r="AA80" s="86"/>
      <c r="AB80" s="167">
        <f t="shared" si="107"/>
        <v>0</v>
      </c>
      <c r="AC80" s="86"/>
      <c r="AD80" s="167">
        <f t="shared" si="108"/>
        <v>0</v>
      </c>
      <c r="AE80" s="86"/>
      <c r="AF80" s="167">
        <f t="shared" si="109"/>
        <v>0</v>
      </c>
      <c r="AG80" s="86"/>
      <c r="AH80" s="167">
        <f t="shared" si="110"/>
        <v>0</v>
      </c>
      <c r="AI80" s="86"/>
      <c r="AJ80" s="167">
        <f t="shared" si="111"/>
        <v>0</v>
      </c>
      <c r="AK80" s="86"/>
      <c r="AL80" s="167">
        <f t="shared" si="112"/>
        <v>0</v>
      </c>
      <c r="AM80" s="86"/>
      <c r="AN80" s="167">
        <f t="shared" si="113"/>
        <v>0</v>
      </c>
      <c r="AO80" s="86"/>
      <c r="AP80" s="167">
        <f t="shared" si="114"/>
        <v>0</v>
      </c>
      <c r="AQ80" s="86"/>
      <c r="AR80" s="167">
        <f t="shared" si="115"/>
        <v>0</v>
      </c>
      <c r="AS80" s="86"/>
      <c r="AT80" s="167">
        <f t="shared" si="116"/>
        <v>0</v>
      </c>
      <c r="AU80" s="86"/>
      <c r="AV80" s="167">
        <f t="shared" si="117"/>
        <v>0</v>
      </c>
      <c r="AW80" s="86"/>
      <c r="AX80" s="167">
        <f t="shared" si="118"/>
        <v>0</v>
      </c>
      <c r="AY80" s="86"/>
      <c r="AZ80" s="167">
        <f t="shared" si="119"/>
        <v>0</v>
      </c>
      <c r="BA80" s="86"/>
      <c r="BB80" s="167">
        <f t="shared" si="120"/>
        <v>0</v>
      </c>
      <c r="BC80" s="86"/>
      <c r="BD80" s="167">
        <f t="shared" si="121"/>
        <v>0</v>
      </c>
      <c r="BE80" s="86"/>
      <c r="BF80" s="167">
        <f t="shared" si="122"/>
        <v>0</v>
      </c>
      <c r="BG80" s="86"/>
      <c r="BH80" s="167">
        <f t="shared" si="123"/>
        <v>0</v>
      </c>
      <c r="BI80" s="86"/>
      <c r="BJ80" s="167">
        <f t="shared" si="124"/>
        <v>0</v>
      </c>
      <c r="BK80" s="86"/>
      <c r="BL80" s="49"/>
      <c r="BM80" s="86"/>
      <c r="BN80" s="50"/>
      <c r="BO80" s="170" t="e">
        <f t="shared" si="125"/>
        <v>#VALUE!</v>
      </c>
      <c r="BP80" s="167" t="e">
        <f t="shared" si="127"/>
        <v>#VALUE!</v>
      </c>
      <c r="BQ80" s="178" t="str">
        <f t="shared" si="126"/>
        <v/>
      </c>
    </row>
    <row r="81" spans="1:69" x14ac:dyDescent="0.35">
      <c r="A81" s="136" t="s">
        <v>79</v>
      </c>
      <c r="B81" s="54" t="s">
        <v>66</v>
      </c>
      <c r="C81" s="174" t="str">
        <f>IF('March 2027 Log'!BM81="","",'March 2027 Log'!BM81)</f>
        <v/>
      </c>
      <c r="D81" s="189" t="e">
        <f t="shared" si="95"/>
        <v>#VALUE!</v>
      </c>
      <c r="E81" s="86"/>
      <c r="F81" s="167">
        <f t="shared" si="96"/>
        <v>0</v>
      </c>
      <c r="G81" s="86"/>
      <c r="H81" s="167">
        <f t="shared" si="97"/>
        <v>0</v>
      </c>
      <c r="I81" s="86"/>
      <c r="J81" s="167">
        <f t="shared" si="98"/>
        <v>0</v>
      </c>
      <c r="K81" s="86"/>
      <c r="L81" s="167">
        <f t="shared" si="99"/>
        <v>0</v>
      </c>
      <c r="M81" s="86"/>
      <c r="N81" s="167">
        <f t="shared" si="100"/>
        <v>0</v>
      </c>
      <c r="O81" s="86"/>
      <c r="P81" s="167">
        <f t="shared" si="101"/>
        <v>0</v>
      </c>
      <c r="Q81" s="86"/>
      <c r="R81" s="167">
        <f t="shared" si="102"/>
        <v>0</v>
      </c>
      <c r="S81" s="86"/>
      <c r="T81" s="167">
        <f t="shared" si="103"/>
        <v>0</v>
      </c>
      <c r="U81" s="86"/>
      <c r="V81" s="167">
        <f t="shared" si="104"/>
        <v>0</v>
      </c>
      <c r="W81" s="86"/>
      <c r="X81" s="167">
        <f t="shared" si="105"/>
        <v>0</v>
      </c>
      <c r="Y81" s="86"/>
      <c r="Z81" s="167">
        <f t="shared" si="106"/>
        <v>0</v>
      </c>
      <c r="AA81" s="86"/>
      <c r="AB81" s="167">
        <f t="shared" si="107"/>
        <v>0</v>
      </c>
      <c r="AC81" s="86"/>
      <c r="AD81" s="167">
        <f t="shared" si="108"/>
        <v>0</v>
      </c>
      <c r="AE81" s="86"/>
      <c r="AF81" s="167">
        <f t="shared" si="109"/>
        <v>0</v>
      </c>
      <c r="AG81" s="86"/>
      <c r="AH81" s="167">
        <f t="shared" si="110"/>
        <v>0</v>
      </c>
      <c r="AI81" s="86"/>
      <c r="AJ81" s="167">
        <f t="shared" si="111"/>
        <v>0</v>
      </c>
      <c r="AK81" s="86"/>
      <c r="AL81" s="167">
        <f t="shared" si="112"/>
        <v>0</v>
      </c>
      <c r="AM81" s="86"/>
      <c r="AN81" s="167">
        <f t="shared" si="113"/>
        <v>0</v>
      </c>
      <c r="AO81" s="86"/>
      <c r="AP81" s="167">
        <f t="shared" si="114"/>
        <v>0</v>
      </c>
      <c r="AQ81" s="86"/>
      <c r="AR81" s="167">
        <f t="shared" si="115"/>
        <v>0</v>
      </c>
      <c r="AS81" s="86"/>
      <c r="AT81" s="167">
        <f t="shared" si="116"/>
        <v>0</v>
      </c>
      <c r="AU81" s="86"/>
      <c r="AV81" s="167">
        <f t="shared" si="117"/>
        <v>0</v>
      </c>
      <c r="AW81" s="86"/>
      <c r="AX81" s="167">
        <f t="shared" si="118"/>
        <v>0</v>
      </c>
      <c r="AY81" s="86"/>
      <c r="AZ81" s="167">
        <f t="shared" si="119"/>
        <v>0</v>
      </c>
      <c r="BA81" s="86"/>
      <c r="BB81" s="167">
        <f t="shared" si="120"/>
        <v>0</v>
      </c>
      <c r="BC81" s="86"/>
      <c r="BD81" s="167">
        <f t="shared" si="121"/>
        <v>0</v>
      </c>
      <c r="BE81" s="86"/>
      <c r="BF81" s="167">
        <f t="shared" si="122"/>
        <v>0</v>
      </c>
      <c r="BG81" s="86"/>
      <c r="BH81" s="167">
        <f t="shared" si="123"/>
        <v>0</v>
      </c>
      <c r="BI81" s="86"/>
      <c r="BJ81" s="167">
        <f t="shared" si="124"/>
        <v>0</v>
      </c>
      <c r="BK81" s="86"/>
      <c r="BL81" s="49"/>
      <c r="BM81" s="86"/>
      <c r="BN81" s="50"/>
      <c r="BO81" s="170" t="e">
        <f t="shared" si="125"/>
        <v>#VALUE!</v>
      </c>
      <c r="BP81" s="167" t="e">
        <f t="shared" si="127"/>
        <v>#VALUE!</v>
      </c>
      <c r="BQ81" s="178" t="str">
        <f t="shared" si="126"/>
        <v/>
      </c>
    </row>
    <row r="82" spans="1:69" x14ac:dyDescent="0.35">
      <c r="A82" s="134" t="s">
        <v>80</v>
      </c>
      <c r="B82" s="54" t="s">
        <v>67</v>
      </c>
      <c r="C82" s="174" t="str">
        <f>IF('March 2027 Log'!BM82="","",'March 2027 Log'!BM82)</f>
        <v/>
      </c>
      <c r="D82" s="189" t="e">
        <f t="shared" si="95"/>
        <v>#VALUE!</v>
      </c>
      <c r="E82" s="86"/>
      <c r="F82" s="167">
        <f t="shared" si="96"/>
        <v>0</v>
      </c>
      <c r="G82" s="86"/>
      <c r="H82" s="167">
        <f t="shared" si="97"/>
        <v>0</v>
      </c>
      <c r="I82" s="86"/>
      <c r="J82" s="167">
        <f t="shared" si="98"/>
        <v>0</v>
      </c>
      <c r="K82" s="86"/>
      <c r="L82" s="167">
        <f t="shared" si="99"/>
        <v>0</v>
      </c>
      <c r="M82" s="86"/>
      <c r="N82" s="167">
        <f t="shared" si="100"/>
        <v>0</v>
      </c>
      <c r="O82" s="86"/>
      <c r="P82" s="167">
        <f t="shared" si="101"/>
        <v>0</v>
      </c>
      <c r="Q82" s="86"/>
      <c r="R82" s="167">
        <f t="shared" si="102"/>
        <v>0</v>
      </c>
      <c r="S82" s="86"/>
      <c r="T82" s="167">
        <f t="shared" si="103"/>
        <v>0</v>
      </c>
      <c r="U82" s="86"/>
      <c r="V82" s="167">
        <f t="shared" si="104"/>
        <v>0</v>
      </c>
      <c r="W82" s="86"/>
      <c r="X82" s="167">
        <f t="shared" si="105"/>
        <v>0</v>
      </c>
      <c r="Y82" s="86"/>
      <c r="Z82" s="167">
        <f t="shared" si="106"/>
        <v>0</v>
      </c>
      <c r="AA82" s="86"/>
      <c r="AB82" s="167">
        <f t="shared" si="107"/>
        <v>0</v>
      </c>
      <c r="AC82" s="86"/>
      <c r="AD82" s="167">
        <f t="shared" si="108"/>
        <v>0</v>
      </c>
      <c r="AE82" s="86"/>
      <c r="AF82" s="167">
        <f t="shared" si="109"/>
        <v>0</v>
      </c>
      <c r="AG82" s="86"/>
      <c r="AH82" s="167">
        <f t="shared" si="110"/>
        <v>0</v>
      </c>
      <c r="AI82" s="86"/>
      <c r="AJ82" s="167">
        <f t="shared" si="111"/>
        <v>0</v>
      </c>
      <c r="AK82" s="86"/>
      <c r="AL82" s="167">
        <f t="shared" si="112"/>
        <v>0</v>
      </c>
      <c r="AM82" s="86"/>
      <c r="AN82" s="167">
        <f t="shared" si="113"/>
        <v>0</v>
      </c>
      <c r="AO82" s="86"/>
      <c r="AP82" s="167">
        <f t="shared" si="114"/>
        <v>0</v>
      </c>
      <c r="AQ82" s="86"/>
      <c r="AR82" s="167">
        <f t="shared" si="115"/>
        <v>0</v>
      </c>
      <c r="AS82" s="86"/>
      <c r="AT82" s="167">
        <f t="shared" si="116"/>
        <v>0</v>
      </c>
      <c r="AU82" s="86"/>
      <c r="AV82" s="167">
        <f t="shared" si="117"/>
        <v>0</v>
      </c>
      <c r="AW82" s="86"/>
      <c r="AX82" s="167">
        <f t="shared" si="118"/>
        <v>0</v>
      </c>
      <c r="AY82" s="86"/>
      <c r="AZ82" s="167">
        <f t="shared" si="119"/>
        <v>0</v>
      </c>
      <c r="BA82" s="86"/>
      <c r="BB82" s="167">
        <f t="shared" si="120"/>
        <v>0</v>
      </c>
      <c r="BC82" s="86"/>
      <c r="BD82" s="167">
        <f t="shared" si="121"/>
        <v>0</v>
      </c>
      <c r="BE82" s="86"/>
      <c r="BF82" s="167">
        <f t="shared" si="122"/>
        <v>0</v>
      </c>
      <c r="BG82" s="86"/>
      <c r="BH82" s="167">
        <f t="shared" si="123"/>
        <v>0</v>
      </c>
      <c r="BI82" s="86"/>
      <c r="BJ82" s="167">
        <f t="shared" si="124"/>
        <v>0</v>
      </c>
      <c r="BK82" s="86"/>
      <c r="BL82" s="49"/>
      <c r="BM82" s="86"/>
      <c r="BN82" s="50"/>
      <c r="BO82" s="170" t="e">
        <f t="shared" si="125"/>
        <v>#VALUE!</v>
      </c>
      <c r="BP82" s="167" t="e">
        <f t="shared" si="127"/>
        <v>#VALUE!</v>
      </c>
      <c r="BQ82" s="178" t="str">
        <f t="shared" si="126"/>
        <v/>
      </c>
    </row>
    <row r="83" spans="1:69" x14ac:dyDescent="0.35">
      <c r="A83" s="135" t="s">
        <v>81</v>
      </c>
      <c r="B83" s="54" t="s">
        <v>67</v>
      </c>
      <c r="C83" s="174" t="str">
        <f>IF('March 2027 Log'!BM83="","",'March 2027 Log'!BM83)</f>
        <v/>
      </c>
      <c r="D83" s="189" t="e">
        <f t="shared" si="95"/>
        <v>#VALUE!</v>
      </c>
      <c r="E83" s="86"/>
      <c r="F83" s="167">
        <f t="shared" si="96"/>
        <v>0</v>
      </c>
      <c r="G83" s="86"/>
      <c r="H83" s="167">
        <f t="shared" si="97"/>
        <v>0</v>
      </c>
      <c r="I83" s="86"/>
      <c r="J83" s="167">
        <f t="shared" si="98"/>
        <v>0</v>
      </c>
      <c r="K83" s="86"/>
      <c r="L83" s="167">
        <f t="shared" si="99"/>
        <v>0</v>
      </c>
      <c r="M83" s="86"/>
      <c r="N83" s="167">
        <f t="shared" si="100"/>
        <v>0</v>
      </c>
      <c r="O83" s="86"/>
      <c r="P83" s="167">
        <f t="shared" si="101"/>
        <v>0</v>
      </c>
      <c r="Q83" s="86"/>
      <c r="R83" s="167">
        <f t="shared" si="102"/>
        <v>0</v>
      </c>
      <c r="S83" s="86"/>
      <c r="T83" s="167">
        <f t="shared" si="103"/>
        <v>0</v>
      </c>
      <c r="U83" s="86"/>
      <c r="V83" s="167">
        <f t="shared" si="104"/>
        <v>0</v>
      </c>
      <c r="W83" s="86"/>
      <c r="X83" s="167">
        <f t="shared" si="105"/>
        <v>0</v>
      </c>
      <c r="Y83" s="86"/>
      <c r="Z83" s="167">
        <f t="shared" si="106"/>
        <v>0</v>
      </c>
      <c r="AA83" s="86"/>
      <c r="AB83" s="167">
        <f t="shared" si="107"/>
        <v>0</v>
      </c>
      <c r="AC83" s="86"/>
      <c r="AD83" s="167">
        <f t="shared" si="108"/>
        <v>0</v>
      </c>
      <c r="AE83" s="86"/>
      <c r="AF83" s="167">
        <f t="shared" si="109"/>
        <v>0</v>
      </c>
      <c r="AG83" s="86"/>
      <c r="AH83" s="167">
        <f t="shared" si="110"/>
        <v>0</v>
      </c>
      <c r="AI83" s="86"/>
      <c r="AJ83" s="167">
        <f t="shared" si="111"/>
        <v>0</v>
      </c>
      <c r="AK83" s="86"/>
      <c r="AL83" s="167">
        <f t="shared" si="112"/>
        <v>0</v>
      </c>
      <c r="AM83" s="86"/>
      <c r="AN83" s="167">
        <f t="shared" si="113"/>
        <v>0</v>
      </c>
      <c r="AO83" s="86"/>
      <c r="AP83" s="167">
        <f t="shared" si="114"/>
        <v>0</v>
      </c>
      <c r="AQ83" s="86"/>
      <c r="AR83" s="167">
        <f t="shared" si="115"/>
        <v>0</v>
      </c>
      <c r="AS83" s="86"/>
      <c r="AT83" s="167">
        <f t="shared" si="116"/>
        <v>0</v>
      </c>
      <c r="AU83" s="86"/>
      <c r="AV83" s="167">
        <f t="shared" si="117"/>
        <v>0</v>
      </c>
      <c r="AW83" s="86"/>
      <c r="AX83" s="167">
        <f t="shared" si="118"/>
        <v>0</v>
      </c>
      <c r="AY83" s="86"/>
      <c r="AZ83" s="167">
        <f t="shared" si="119"/>
        <v>0</v>
      </c>
      <c r="BA83" s="86"/>
      <c r="BB83" s="167">
        <f t="shared" si="120"/>
        <v>0</v>
      </c>
      <c r="BC83" s="86"/>
      <c r="BD83" s="167">
        <f t="shared" si="121"/>
        <v>0</v>
      </c>
      <c r="BE83" s="86"/>
      <c r="BF83" s="167">
        <f t="shared" si="122"/>
        <v>0</v>
      </c>
      <c r="BG83" s="86"/>
      <c r="BH83" s="167">
        <f t="shared" si="123"/>
        <v>0</v>
      </c>
      <c r="BI83" s="86"/>
      <c r="BJ83" s="167">
        <f t="shared" si="124"/>
        <v>0</v>
      </c>
      <c r="BK83" s="86"/>
      <c r="BL83" s="49"/>
      <c r="BM83" s="86"/>
      <c r="BN83" s="50"/>
      <c r="BO83" s="170" t="e">
        <f t="shared" si="125"/>
        <v>#VALUE!</v>
      </c>
      <c r="BP83" s="167" t="e">
        <f t="shared" si="127"/>
        <v>#VALUE!</v>
      </c>
      <c r="BQ83" s="178" t="str">
        <f t="shared" si="126"/>
        <v/>
      </c>
    </row>
    <row r="84" spans="1:69" x14ac:dyDescent="0.35">
      <c r="A84" s="136" t="s">
        <v>82</v>
      </c>
      <c r="B84" s="54" t="s">
        <v>66</v>
      </c>
      <c r="C84" s="174" t="str">
        <f>IF('March 2027 Log'!BM84="","",'March 2027 Log'!BM84)</f>
        <v/>
      </c>
      <c r="D84" s="189" t="e">
        <f t="shared" si="95"/>
        <v>#VALUE!</v>
      </c>
      <c r="E84" s="86"/>
      <c r="F84" s="167">
        <f t="shared" si="96"/>
        <v>0</v>
      </c>
      <c r="G84" s="86"/>
      <c r="H84" s="167">
        <f t="shared" si="97"/>
        <v>0</v>
      </c>
      <c r="I84" s="86"/>
      <c r="J84" s="167">
        <f t="shared" si="98"/>
        <v>0</v>
      </c>
      <c r="K84" s="86"/>
      <c r="L84" s="167">
        <f t="shared" si="99"/>
        <v>0</v>
      </c>
      <c r="M84" s="86"/>
      <c r="N84" s="167">
        <f t="shared" si="100"/>
        <v>0</v>
      </c>
      <c r="O84" s="86"/>
      <c r="P84" s="167">
        <f t="shared" si="101"/>
        <v>0</v>
      </c>
      <c r="Q84" s="86"/>
      <c r="R84" s="167">
        <f t="shared" si="102"/>
        <v>0</v>
      </c>
      <c r="S84" s="86"/>
      <c r="T84" s="167">
        <f t="shared" si="103"/>
        <v>0</v>
      </c>
      <c r="U84" s="86"/>
      <c r="V84" s="167">
        <f t="shared" si="104"/>
        <v>0</v>
      </c>
      <c r="W84" s="86"/>
      <c r="X84" s="167">
        <f t="shared" si="105"/>
        <v>0</v>
      </c>
      <c r="Y84" s="86"/>
      <c r="Z84" s="167">
        <f t="shared" si="106"/>
        <v>0</v>
      </c>
      <c r="AA84" s="86"/>
      <c r="AB84" s="167">
        <f t="shared" si="107"/>
        <v>0</v>
      </c>
      <c r="AC84" s="86"/>
      <c r="AD84" s="167">
        <f t="shared" si="108"/>
        <v>0</v>
      </c>
      <c r="AE84" s="86"/>
      <c r="AF84" s="167">
        <f t="shared" si="109"/>
        <v>0</v>
      </c>
      <c r="AG84" s="86"/>
      <c r="AH84" s="167">
        <f t="shared" si="110"/>
        <v>0</v>
      </c>
      <c r="AI84" s="86"/>
      <c r="AJ84" s="167">
        <f t="shared" si="111"/>
        <v>0</v>
      </c>
      <c r="AK84" s="86"/>
      <c r="AL84" s="167">
        <f t="shared" si="112"/>
        <v>0</v>
      </c>
      <c r="AM84" s="86"/>
      <c r="AN84" s="167">
        <f t="shared" si="113"/>
        <v>0</v>
      </c>
      <c r="AO84" s="86"/>
      <c r="AP84" s="167">
        <f t="shared" si="114"/>
        <v>0</v>
      </c>
      <c r="AQ84" s="86"/>
      <c r="AR84" s="167">
        <f t="shared" si="115"/>
        <v>0</v>
      </c>
      <c r="AS84" s="86"/>
      <c r="AT84" s="167">
        <f t="shared" si="116"/>
        <v>0</v>
      </c>
      <c r="AU84" s="86"/>
      <c r="AV84" s="167">
        <f t="shared" si="117"/>
        <v>0</v>
      </c>
      <c r="AW84" s="86"/>
      <c r="AX84" s="167">
        <f t="shared" si="118"/>
        <v>0</v>
      </c>
      <c r="AY84" s="86"/>
      <c r="AZ84" s="167">
        <f t="shared" si="119"/>
        <v>0</v>
      </c>
      <c r="BA84" s="86"/>
      <c r="BB84" s="167">
        <f t="shared" si="120"/>
        <v>0</v>
      </c>
      <c r="BC84" s="86"/>
      <c r="BD84" s="167">
        <f t="shared" si="121"/>
        <v>0</v>
      </c>
      <c r="BE84" s="86"/>
      <c r="BF84" s="167">
        <f t="shared" si="122"/>
        <v>0</v>
      </c>
      <c r="BG84" s="86"/>
      <c r="BH84" s="167">
        <f t="shared" si="123"/>
        <v>0</v>
      </c>
      <c r="BI84" s="86"/>
      <c r="BJ84" s="167">
        <f t="shared" si="124"/>
        <v>0</v>
      </c>
      <c r="BK84" s="86"/>
      <c r="BL84" s="49"/>
      <c r="BM84" s="86"/>
      <c r="BN84" s="50"/>
      <c r="BO84" s="170" t="e">
        <f t="shared" si="125"/>
        <v>#VALUE!</v>
      </c>
      <c r="BP84" s="167" t="e">
        <f t="shared" si="127"/>
        <v>#VALUE!</v>
      </c>
      <c r="BQ84" s="178" t="str">
        <f t="shared" si="126"/>
        <v/>
      </c>
    </row>
    <row r="85" spans="1:69" x14ac:dyDescent="0.35">
      <c r="A85" s="44" t="s">
        <v>83</v>
      </c>
      <c r="B85" s="54" t="s">
        <v>65</v>
      </c>
      <c r="C85" s="174" t="str">
        <f>IF('March 2027 Log'!BM85="","",'March 2027 Log'!BM85)</f>
        <v/>
      </c>
      <c r="D85" s="189" t="e">
        <f t="shared" si="95"/>
        <v>#VALUE!</v>
      </c>
      <c r="E85" s="86"/>
      <c r="F85" s="167">
        <f t="shared" si="96"/>
        <v>0</v>
      </c>
      <c r="G85" s="86"/>
      <c r="H85" s="167">
        <f t="shared" si="97"/>
        <v>0</v>
      </c>
      <c r="I85" s="86"/>
      <c r="J85" s="167">
        <f t="shared" si="98"/>
        <v>0</v>
      </c>
      <c r="K85" s="86"/>
      <c r="L85" s="167">
        <f t="shared" si="99"/>
        <v>0</v>
      </c>
      <c r="M85" s="86"/>
      <c r="N85" s="167">
        <f t="shared" si="100"/>
        <v>0</v>
      </c>
      <c r="O85" s="86"/>
      <c r="P85" s="167">
        <f t="shared" si="101"/>
        <v>0</v>
      </c>
      <c r="Q85" s="86"/>
      <c r="R85" s="167">
        <f t="shared" si="102"/>
        <v>0</v>
      </c>
      <c r="S85" s="86"/>
      <c r="T85" s="167">
        <f t="shared" si="103"/>
        <v>0</v>
      </c>
      <c r="U85" s="86"/>
      <c r="V85" s="167">
        <f t="shared" si="104"/>
        <v>0</v>
      </c>
      <c r="W85" s="86"/>
      <c r="X85" s="167">
        <f t="shared" si="105"/>
        <v>0</v>
      </c>
      <c r="Y85" s="86"/>
      <c r="Z85" s="167">
        <f t="shared" si="106"/>
        <v>0</v>
      </c>
      <c r="AA85" s="86"/>
      <c r="AB85" s="167">
        <f t="shared" si="107"/>
        <v>0</v>
      </c>
      <c r="AC85" s="86"/>
      <c r="AD85" s="167">
        <f t="shared" si="108"/>
        <v>0</v>
      </c>
      <c r="AE85" s="86"/>
      <c r="AF85" s="167">
        <f t="shared" si="109"/>
        <v>0</v>
      </c>
      <c r="AG85" s="86"/>
      <c r="AH85" s="167">
        <f t="shared" si="110"/>
        <v>0</v>
      </c>
      <c r="AI85" s="86"/>
      <c r="AJ85" s="167">
        <f t="shared" si="111"/>
        <v>0</v>
      </c>
      <c r="AK85" s="86"/>
      <c r="AL85" s="167">
        <f t="shared" si="112"/>
        <v>0</v>
      </c>
      <c r="AM85" s="86"/>
      <c r="AN85" s="167">
        <f t="shared" si="113"/>
        <v>0</v>
      </c>
      <c r="AO85" s="86"/>
      <c r="AP85" s="167">
        <f t="shared" si="114"/>
        <v>0</v>
      </c>
      <c r="AQ85" s="86"/>
      <c r="AR85" s="167">
        <f t="shared" si="115"/>
        <v>0</v>
      </c>
      <c r="AS85" s="86"/>
      <c r="AT85" s="167">
        <f t="shared" si="116"/>
        <v>0</v>
      </c>
      <c r="AU85" s="86"/>
      <c r="AV85" s="167">
        <f t="shared" si="117"/>
        <v>0</v>
      </c>
      <c r="AW85" s="86"/>
      <c r="AX85" s="167">
        <f t="shared" si="118"/>
        <v>0</v>
      </c>
      <c r="AY85" s="86"/>
      <c r="AZ85" s="167">
        <f t="shared" si="119"/>
        <v>0</v>
      </c>
      <c r="BA85" s="86"/>
      <c r="BB85" s="167">
        <f t="shared" si="120"/>
        <v>0</v>
      </c>
      <c r="BC85" s="86"/>
      <c r="BD85" s="167">
        <f t="shared" si="121"/>
        <v>0</v>
      </c>
      <c r="BE85" s="86"/>
      <c r="BF85" s="167">
        <f t="shared" si="122"/>
        <v>0</v>
      </c>
      <c r="BG85" s="86"/>
      <c r="BH85" s="167">
        <f t="shared" si="123"/>
        <v>0</v>
      </c>
      <c r="BI85" s="86"/>
      <c r="BJ85" s="167">
        <f t="shared" si="124"/>
        <v>0</v>
      </c>
      <c r="BK85" s="86"/>
      <c r="BL85" s="49"/>
      <c r="BM85" s="86"/>
      <c r="BN85" s="50"/>
      <c r="BO85" s="170" t="e">
        <f t="shared" si="125"/>
        <v>#VALUE!</v>
      </c>
      <c r="BP85" s="167" t="e">
        <f t="shared" si="127"/>
        <v>#VALUE!</v>
      </c>
      <c r="BQ85" s="178" t="str">
        <f t="shared" si="126"/>
        <v/>
      </c>
    </row>
    <row r="86" spans="1:69" x14ac:dyDescent="0.35">
      <c r="A86" s="135" t="s">
        <v>84</v>
      </c>
      <c r="B86" s="54" t="s">
        <v>67</v>
      </c>
      <c r="C86" s="174" t="str">
        <f>IF('March 2027 Log'!BM86="","",'March 2027 Log'!BM86)</f>
        <v/>
      </c>
      <c r="D86" s="189" t="e">
        <f t="shared" si="95"/>
        <v>#VALUE!</v>
      </c>
      <c r="E86" s="86"/>
      <c r="F86" s="167">
        <f t="shared" si="96"/>
        <v>0</v>
      </c>
      <c r="G86" s="86"/>
      <c r="H86" s="167">
        <f t="shared" si="97"/>
        <v>0</v>
      </c>
      <c r="I86" s="86"/>
      <c r="J86" s="167">
        <f t="shared" si="98"/>
        <v>0</v>
      </c>
      <c r="K86" s="86"/>
      <c r="L86" s="167">
        <f t="shared" si="99"/>
        <v>0</v>
      </c>
      <c r="M86" s="86"/>
      <c r="N86" s="167">
        <f t="shared" si="100"/>
        <v>0</v>
      </c>
      <c r="O86" s="86"/>
      <c r="P86" s="167">
        <f t="shared" si="101"/>
        <v>0</v>
      </c>
      <c r="Q86" s="86"/>
      <c r="R86" s="167">
        <f t="shared" si="102"/>
        <v>0</v>
      </c>
      <c r="S86" s="86"/>
      <c r="T86" s="167">
        <f t="shared" si="103"/>
        <v>0</v>
      </c>
      <c r="U86" s="86"/>
      <c r="V86" s="167">
        <f t="shared" si="104"/>
        <v>0</v>
      </c>
      <c r="W86" s="86"/>
      <c r="X86" s="167">
        <f t="shared" si="105"/>
        <v>0</v>
      </c>
      <c r="Y86" s="86"/>
      <c r="Z86" s="167">
        <f t="shared" si="106"/>
        <v>0</v>
      </c>
      <c r="AA86" s="86"/>
      <c r="AB86" s="167">
        <f t="shared" si="107"/>
        <v>0</v>
      </c>
      <c r="AC86" s="86"/>
      <c r="AD86" s="167">
        <f t="shared" si="108"/>
        <v>0</v>
      </c>
      <c r="AE86" s="86"/>
      <c r="AF86" s="167">
        <f t="shared" si="109"/>
        <v>0</v>
      </c>
      <c r="AG86" s="86"/>
      <c r="AH86" s="167">
        <f t="shared" si="110"/>
        <v>0</v>
      </c>
      <c r="AI86" s="86"/>
      <c r="AJ86" s="167">
        <f t="shared" si="111"/>
        <v>0</v>
      </c>
      <c r="AK86" s="86"/>
      <c r="AL86" s="167">
        <f t="shared" si="112"/>
        <v>0</v>
      </c>
      <c r="AM86" s="86"/>
      <c r="AN86" s="167">
        <f t="shared" si="113"/>
        <v>0</v>
      </c>
      <c r="AO86" s="86"/>
      <c r="AP86" s="167">
        <f t="shared" si="114"/>
        <v>0</v>
      </c>
      <c r="AQ86" s="86"/>
      <c r="AR86" s="167">
        <f t="shared" si="115"/>
        <v>0</v>
      </c>
      <c r="AS86" s="86"/>
      <c r="AT86" s="167">
        <f t="shared" si="116"/>
        <v>0</v>
      </c>
      <c r="AU86" s="86"/>
      <c r="AV86" s="167">
        <f t="shared" si="117"/>
        <v>0</v>
      </c>
      <c r="AW86" s="86"/>
      <c r="AX86" s="167">
        <f t="shared" si="118"/>
        <v>0</v>
      </c>
      <c r="AY86" s="86"/>
      <c r="AZ86" s="167">
        <f t="shared" si="119"/>
        <v>0</v>
      </c>
      <c r="BA86" s="86"/>
      <c r="BB86" s="167">
        <f t="shared" si="120"/>
        <v>0</v>
      </c>
      <c r="BC86" s="86"/>
      <c r="BD86" s="167">
        <f t="shared" si="121"/>
        <v>0</v>
      </c>
      <c r="BE86" s="86"/>
      <c r="BF86" s="167">
        <f t="shared" si="122"/>
        <v>0</v>
      </c>
      <c r="BG86" s="86"/>
      <c r="BH86" s="167">
        <f t="shared" si="123"/>
        <v>0</v>
      </c>
      <c r="BI86" s="86"/>
      <c r="BJ86" s="167">
        <f t="shared" si="124"/>
        <v>0</v>
      </c>
      <c r="BK86" s="86"/>
      <c r="BL86" s="49"/>
      <c r="BM86" s="86"/>
      <c r="BN86" s="50"/>
      <c r="BO86" s="170" t="e">
        <f t="shared" si="125"/>
        <v>#VALUE!</v>
      </c>
      <c r="BP86" s="167" t="e">
        <f t="shared" si="127"/>
        <v>#VALUE!</v>
      </c>
      <c r="BQ86" s="178" t="str">
        <f t="shared" si="126"/>
        <v/>
      </c>
    </row>
    <row r="87" spans="1:69" x14ac:dyDescent="0.35">
      <c r="A87" s="136" t="s">
        <v>85</v>
      </c>
      <c r="B87" s="54" t="s">
        <v>66</v>
      </c>
      <c r="C87" s="174" t="str">
        <f>IF('March 2027 Log'!BM87="","",'March 2027 Log'!BM87)</f>
        <v/>
      </c>
      <c r="D87" s="189" t="e">
        <f t="shared" si="95"/>
        <v>#VALUE!</v>
      </c>
      <c r="E87" s="86"/>
      <c r="F87" s="167">
        <f t="shared" si="96"/>
        <v>0</v>
      </c>
      <c r="G87" s="86"/>
      <c r="H87" s="167">
        <f t="shared" si="97"/>
        <v>0</v>
      </c>
      <c r="I87" s="86"/>
      <c r="J87" s="167">
        <f t="shared" si="98"/>
        <v>0</v>
      </c>
      <c r="K87" s="86"/>
      <c r="L87" s="167">
        <f t="shared" si="99"/>
        <v>0</v>
      </c>
      <c r="M87" s="86"/>
      <c r="N87" s="167">
        <f t="shared" si="100"/>
        <v>0</v>
      </c>
      <c r="O87" s="86"/>
      <c r="P87" s="167">
        <f t="shared" si="101"/>
        <v>0</v>
      </c>
      <c r="Q87" s="86"/>
      <c r="R87" s="167">
        <f t="shared" si="102"/>
        <v>0</v>
      </c>
      <c r="S87" s="86"/>
      <c r="T87" s="167">
        <f t="shared" si="103"/>
        <v>0</v>
      </c>
      <c r="U87" s="86"/>
      <c r="V87" s="167">
        <f t="shared" si="104"/>
        <v>0</v>
      </c>
      <c r="W87" s="86"/>
      <c r="X87" s="167">
        <f t="shared" si="105"/>
        <v>0</v>
      </c>
      <c r="Y87" s="86"/>
      <c r="Z87" s="167">
        <f t="shared" si="106"/>
        <v>0</v>
      </c>
      <c r="AA87" s="86"/>
      <c r="AB87" s="167">
        <f t="shared" si="107"/>
        <v>0</v>
      </c>
      <c r="AC87" s="86"/>
      <c r="AD87" s="167">
        <f t="shared" si="108"/>
        <v>0</v>
      </c>
      <c r="AE87" s="86"/>
      <c r="AF87" s="167">
        <f t="shared" si="109"/>
        <v>0</v>
      </c>
      <c r="AG87" s="86"/>
      <c r="AH87" s="167">
        <f t="shared" si="110"/>
        <v>0</v>
      </c>
      <c r="AI87" s="86"/>
      <c r="AJ87" s="167">
        <f t="shared" si="111"/>
        <v>0</v>
      </c>
      <c r="AK87" s="86"/>
      <c r="AL87" s="167">
        <f t="shared" si="112"/>
        <v>0</v>
      </c>
      <c r="AM87" s="86"/>
      <c r="AN87" s="167">
        <f t="shared" si="113"/>
        <v>0</v>
      </c>
      <c r="AO87" s="86"/>
      <c r="AP87" s="167">
        <f t="shared" si="114"/>
        <v>0</v>
      </c>
      <c r="AQ87" s="86"/>
      <c r="AR87" s="167">
        <f t="shared" si="115"/>
        <v>0</v>
      </c>
      <c r="AS87" s="86"/>
      <c r="AT87" s="167">
        <f t="shared" si="116"/>
        <v>0</v>
      </c>
      <c r="AU87" s="86"/>
      <c r="AV87" s="167">
        <f t="shared" si="117"/>
        <v>0</v>
      </c>
      <c r="AW87" s="86"/>
      <c r="AX87" s="167">
        <f t="shared" si="118"/>
        <v>0</v>
      </c>
      <c r="AY87" s="86"/>
      <c r="AZ87" s="167">
        <f t="shared" si="119"/>
        <v>0</v>
      </c>
      <c r="BA87" s="86"/>
      <c r="BB87" s="167">
        <f t="shared" si="120"/>
        <v>0</v>
      </c>
      <c r="BC87" s="86"/>
      <c r="BD87" s="167">
        <f t="shared" si="121"/>
        <v>0</v>
      </c>
      <c r="BE87" s="86"/>
      <c r="BF87" s="167">
        <f t="shared" si="122"/>
        <v>0</v>
      </c>
      <c r="BG87" s="86"/>
      <c r="BH87" s="167">
        <f t="shared" si="123"/>
        <v>0</v>
      </c>
      <c r="BI87" s="86"/>
      <c r="BJ87" s="167">
        <f t="shared" si="124"/>
        <v>0</v>
      </c>
      <c r="BK87" s="86"/>
      <c r="BL87" s="49"/>
      <c r="BM87" s="86"/>
      <c r="BN87" s="50"/>
      <c r="BO87" s="170" t="e">
        <f t="shared" si="125"/>
        <v>#VALUE!</v>
      </c>
      <c r="BP87" s="167" t="e">
        <f t="shared" si="127"/>
        <v>#VALUE!</v>
      </c>
      <c r="BQ87" s="178" t="str">
        <f t="shared" si="126"/>
        <v/>
      </c>
    </row>
    <row r="88" spans="1:69" x14ac:dyDescent="0.35">
      <c r="A88" s="44" t="s">
        <v>86</v>
      </c>
      <c r="B88" s="54" t="s">
        <v>65</v>
      </c>
      <c r="C88" s="174" t="str">
        <f>IF('March 2027 Log'!BM88="","",'March 2027 Log'!BM88)</f>
        <v/>
      </c>
      <c r="D88" s="189" t="e">
        <f t="shared" si="95"/>
        <v>#VALUE!</v>
      </c>
      <c r="E88" s="86"/>
      <c r="F88" s="167">
        <f t="shared" si="96"/>
        <v>0</v>
      </c>
      <c r="G88" s="86"/>
      <c r="H88" s="167">
        <f t="shared" si="97"/>
        <v>0</v>
      </c>
      <c r="I88" s="86"/>
      <c r="J88" s="167">
        <f t="shared" si="98"/>
        <v>0</v>
      </c>
      <c r="K88" s="86"/>
      <c r="L88" s="167">
        <f t="shared" si="99"/>
        <v>0</v>
      </c>
      <c r="M88" s="86"/>
      <c r="N88" s="167">
        <f t="shared" si="100"/>
        <v>0</v>
      </c>
      <c r="O88" s="86"/>
      <c r="P88" s="167">
        <f t="shared" si="101"/>
        <v>0</v>
      </c>
      <c r="Q88" s="86"/>
      <c r="R88" s="167">
        <f t="shared" si="102"/>
        <v>0</v>
      </c>
      <c r="S88" s="86"/>
      <c r="T88" s="167">
        <f t="shared" si="103"/>
        <v>0</v>
      </c>
      <c r="U88" s="86"/>
      <c r="V88" s="167">
        <f t="shared" si="104"/>
        <v>0</v>
      </c>
      <c r="W88" s="86"/>
      <c r="X88" s="167">
        <f t="shared" si="105"/>
        <v>0</v>
      </c>
      <c r="Y88" s="86"/>
      <c r="Z88" s="167">
        <f t="shared" si="106"/>
        <v>0</v>
      </c>
      <c r="AA88" s="86"/>
      <c r="AB88" s="167">
        <f t="shared" si="107"/>
        <v>0</v>
      </c>
      <c r="AC88" s="86"/>
      <c r="AD88" s="167">
        <f t="shared" si="108"/>
        <v>0</v>
      </c>
      <c r="AE88" s="86"/>
      <c r="AF88" s="167">
        <f t="shared" si="109"/>
        <v>0</v>
      </c>
      <c r="AG88" s="86"/>
      <c r="AH88" s="167">
        <f t="shared" si="110"/>
        <v>0</v>
      </c>
      <c r="AI88" s="86"/>
      <c r="AJ88" s="167">
        <f t="shared" si="111"/>
        <v>0</v>
      </c>
      <c r="AK88" s="86"/>
      <c r="AL88" s="167">
        <f t="shared" si="112"/>
        <v>0</v>
      </c>
      <c r="AM88" s="86"/>
      <c r="AN88" s="167">
        <f t="shared" si="113"/>
        <v>0</v>
      </c>
      <c r="AO88" s="86"/>
      <c r="AP88" s="167">
        <f t="shared" si="114"/>
        <v>0</v>
      </c>
      <c r="AQ88" s="86"/>
      <c r="AR88" s="167">
        <f t="shared" si="115"/>
        <v>0</v>
      </c>
      <c r="AS88" s="86"/>
      <c r="AT88" s="167">
        <f t="shared" si="116"/>
        <v>0</v>
      </c>
      <c r="AU88" s="86"/>
      <c r="AV88" s="167">
        <f t="shared" si="117"/>
        <v>0</v>
      </c>
      <c r="AW88" s="86"/>
      <c r="AX88" s="167">
        <f t="shared" si="118"/>
        <v>0</v>
      </c>
      <c r="AY88" s="86"/>
      <c r="AZ88" s="167">
        <f t="shared" si="119"/>
        <v>0</v>
      </c>
      <c r="BA88" s="86"/>
      <c r="BB88" s="167">
        <f t="shared" si="120"/>
        <v>0</v>
      </c>
      <c r="BC88" s="86"/>
      <c r="BD88" s="167">
        <f t="shared" si="121"/>
        <v>0</v>
      </c>
      <c r="BE88" s="86"/>
      <c r="BF88" s="167">
        <f t="shared" si="122"/>
        <v>0</v>
      </c>
      <c r="BG88" s="86"/>
      <c r="BH88" s="167">
        <f t="shared" si="123"/>
        <v>0</v>
      </c>
      <c r="BI88" s="86"/>
      <c r="BJ88" s="167">
        <f t="shared" si="124"/>
        <v>0</v>
      </c>
      <c r="BK88" s="86"/>
      <c r="BL88" s="49"/>
      <c r="BM88" s="86"/>
      <c r="BN88" s="50"/>
      <c r="BO88" s="170" t="e">
        <f t="shared" si="125"/>
        <v>#VALUE!</v>
      </c>
      <c r="BP88" s="167" t="e">
        <f t="shared" si="127"/>
        <v>#VALUE!</v>
      </c>
      <c r="BQ88" s="178" t="str">
        <f t="shared" si="126"/>
        <v/>
      </c>
    </row>
    <row r="89" spans="1:69" x14ac:dyDescent="0.35">
      <c r="A89" s="53"/>
      <c r="B89" s="54"/>
      <c r="C89" s="144"/>
      <c r="D89" s="192">
        <f t="shared" si="95"/>
        <v>0</v>
      </c>
      <c r="E89" s="145"/>
      <c r="F89" s="173">
        <f t="shared" si="96"/>
        <v>0</v>
      </c>
      <c r="G89" s="145"/>
      <c r="H89" s="173">
        <f t="shared" si="97"/>
        <v>0</v>
      </c>
      <c r="I89" s="145"/>
      <c r="J89" s="173">
        <f t="shared" si="98"/>
        <v>0</v>
      </c>
      <c r="K89" s="145"/>
      <c r="L89" s="173">
        <f t="shared" si="99"/>
        <v>0</v>
      </c>
      <c r="M89" s="145"/>
      <c r="N89" s="173">
        <f t="shared" si="100"/>
        <v>0</v>
      </c>
      <c r="O89" s="145"/>
      <c r="P89" s="173">
        <f t="shared" si="101"/>
        <v>0</v>
      </c>
      <c r="Q89" s="145"/>
      <c r="R89" s="173">
        <f t="shared" si="102"/>
        <v>0</v>
      </c>
      <c r="S89" s="145"/>
      <c r="T89" s="173">
        <f t="shared" si="103"/>
        <v>0</v>
      </c>
      <c r="U89" s="145"/>
      <c r="V89" s="173">
        <f t="shared" si="104"/>
        <v>0</v>
      </c>
      <c r="W89" s="145"/>
      <c r="X89" s="173">
        <f t="shared" si="105"/>
        <v>0</v>
      </c>
      <c r="Y89" s="145"/>
      <c r="Z89" s="173">
        <f t="shared" si="106"/>
        <v>0</v>
      </c>
      <c r="AA89" s="145"/>
      <c r="AB89" s="173">
        <f t="shared" si="107"/>
        <v>0</v>
      </c>
      <c r="AC89" s="145"/>
      <c r="AD89" s="173">
        <f t="shared" si="108"/>
        <v>0</v>
      </c>
      <c r="AE89" s="145"/>
      <c r="AF89" s="173">
        <f t="shared" si="109"/>
        <v>0</v>
      </c>
      <c r="AG89" s="145"/>
      <c r="AH89" s="173">
        <f t="shared" si="110"/>
        <v>0</v>
      </c>
      <c r="AI89" s="145"/>
      <c r="AJ89" s="173">
        <f t="shared" si="111"/>
        <v>0</v>
      </c>
      <c r="AK89" s="145"/>
      <c r="AL89" s="173">
        <f t="shared" si="112"/>
        <v>0</v>
      </c>
      <c r="AM89" s="145"/>
      <c r="AN89" s="173">
        <f t="shared" si="113"/>
        <v>0</v>
      </c>
      <c r="AO89" s="145"/>
      <c r="AP89" s="173">
        <f t="shared" si="114"/>
        <v>0</v>
      </c>
      <c r="AQ89" s="145"/>
      <c r="AR89" s="173">
        <f t="shared" si="115"/>
        <v>0</v>
      </c>
      <c r="AS89" s="145"/>
      <c r="AT89" s="173">
        <f t="shared" si="116"/>
        <v>0</v>
      </c>
      <c r="AU89" s="145"/>
      <c r="AV89" s="173">
        <f t="shared" si="117"/>
        <v>0</v>
      </c>
      <c r="AW89" s="145"/>
      <c r="AX89" s="173">
        <f t="shared" si="118"/>
        <v>0</v>
      </c>
      <c r="AY89" s="145"/>
      <c r="AZ89" s="173">
        <f t="shared" si="119"/>
        <v>0</v>
      </c>
      <c r="BA89" s="145"/>
      <c r="BB89" s="173">
        <f t="shared" si="120"/>
        <v>0</v>
      </c>
      <c r="BC89" s="145"/>
      <c r="BD89" s="173">
        <f t="shared" si="121"/>
        <v>0</v>
      </c>
      <c r="BE89" s="145"/>
      <c r="BF89" s="173">
        <f t="shared" si="122"/>
        <v>0</v>
      </c>
      <c r="BG89" s="145"/>
      <c r="BH89" s="173">
        <f t="shared" si="123"/>
        <v>0</v>
      </c>
      <c r="BI89" s="145"/>
      <c r="BJ89" s="173">
        <f t="shared" si="124"/>
        <v>0</v>
      </c>
      <c r="BK89" s="145"/>
      <c r="BL89" s="87"/>
      <c r="BM89" s="145"/>
      <c r="BN89" s="50"/>
      <c r="BO89" s="51"/>
      <c r="BP89" s="173">
        <f t="shared" si="127"/>
        <v>0</v>
      </c>
      <c r="BQ89" s="88"/>
    </row>
    <row r="90" spans="1:69" x14ac:dyDescent="0.35">
      <c r="A90" s="74" t="s">
        <v>93</v>
      </c>
      <c r="B90" s="75"/>
      <c r="C90" s="141"/>
      <c r="D90" s="102"/>
      <c r="E90" s="142"/>
      <c r="F90" s="104"/>
      <c r="G90" s="142"/>
      <c r="H90" s="104"/>
      <c r="I90" s="142"/>
      <c r="J90" s="104"/>
      <c r="K90" s="142"/>
      <c r="L90" s="104"/>
      <c r="M90" s="142"/>
      <c r="N90" s="104"/>
      <c r="O90" s="142"/>
      <c r="P90" s="104"/>
      <c r="Q90" s="142"/>
      <c r="R90" s="104"/>
      <c r="S90" s="142"/>
      <c r="T90" s="104"/>
      <c r="U90" s="142"/>
      <c r="V90" s="104"/>
      <c r="W90" s="142"/>
      <c r="X90" s="104"/>
      <c r="Y90" s="142"/>
      <c r="Z90" s="104"/>
      <c r="AA90" s="142"/>
      <c r="AB90" s="104"/>
      <c r="AC90" s="142"/>
      <c r="AD90" s="104"/>
      <c r="AE90" s="142"/>
      <c r="AF90" s="104"/>
      <c r="AG90" s="142"/>
      <c r="AH90" s="104"/>
      <c r="AI90" s="142"/>
      <c r="AJ90" s="104"/>
      <c r="AK90" s="142"/>
      <c r="AL90" s="104"/>
      <c r="AM90" s="142"/>
      <c r="AN90" s="104"/>
      <c r="AO90" s="142"/>
      <c r="AP90" s="104"/>
      <c r="AQ90" s="142"/>
      <c r="AR90" s="104"/>
      <c r="AS90" s="142"/>
      <c r="AT90" s="104"/>
      <c r="AU90" s="142"/>
      <c r="AV90" s="104"/>
      <c r="AW90" s="142"/>
      <c r="AX90" s="104"/>
      <c r="AY90" s="142"/>
      <c r="AZ90" s="104"/>
      <c r="BA90" s="142"/>
      <c r="BB90" s="104"/>
      <c r="BC90" s="142"/>
      <c r="BD90" s="104"/>
      <c r="BE90" s="142"/>
      <c r="BF90" s="104"/>
      <c r="BG90" s="142"/>
      <c r="BH90" s="104"/>
      <c r="BI90" s="142"/>
      <c r="BJ90" s="104"/>
      <c r="BK90" s="142"/>
      <c r="BL90" s="104"/>
      <c r="BM90" s="142"/>
      <c r="BN90" s="105"/>
      <c r="BO90" s="106"/>
      <c r="BP90" s="104"/>
      <c r="BQ90" s="107"/>
    </row>
    <row r="91" spans="1:69" x14ac:dyDescent="0.35">
      <c r="A91" s="132" t="s">
        <v>75</v>
      </c>
      <c r="B91" s="54" t="s">
        <v>65</v>
      </c>
      <c r="C91" s="144"/>
      <c r="D91" s="146"/>
      <c r="E91" s="166" t="e">
        <f>+D91-D77</f>
        <v>#VALUE!</v>
      </c>
      <c r="F91" s="147"/>
      <c r="G91" s="166">
        <f>+F91-F77</f>
        <v>0</v>
      </c>
      <c r="H91" s="147"/>
      <c r="I91" s="166">
        <f>+H91-H77</f>
        <v>0</v>
      </c>
      <c r="J91" s="147"/>
      <c r="K91" s="166">
        <f>+J91-J77</f>
        <v>0</v>
      </c>
      <c r="L91" s="147"/>
      <c r="M91" s="166">
        <f>+L91-L77</f>
        <v>0</v>
      </c>
      <c r="N91" s="147"/>
      <c r="O91" s="166">
        <f>+N91-N77</f>
        <v>0</v>
      </c>
      <c r="P91" s="147"/>
      <c r="Q91" s="166">
        <f>+P91-P77</f>
        <v>0</v>
      </c>
      <c r="R91" s="147"/>
      <c r="S91" s="166">
        <f>+R91-R77</f>
        <v>0</v>
      </c>
      <c r="T91" s="147"/>
      <c r="U91" s="166">
        <f>+T91-T77</f>
        <v>0</v>
      </c>
      <c r="V91" s="147"/>
      <c r="W91" s="166">
        <f>+V91-V77</f>
        <v>0</v>
      </c>
      <c r="X91" s="147"/>
      <c r="Y91" s="166">
        <f>+X91-X77</f>
        <v>0</v>
      </c>
      <c r="Z91" s="147"/>
      <c r="AA91" s="166">
        <f>+Z91-Z77</f>
        <v>0</v>
      </c>
      <c r="AB91" s="147"/>
      <c r="AC91" s="166">
        <f>+AB91-AB77</f>
        <v>0</v>
      </c>
      <c r="AD91" s="147"/>
      <c r="AE91" s="166">
        <f>+AD91-AD77</f>
        <v>0</v>
      </c>
      <c r="AF91" s="147"/>
      <c r="AG91" s="166">
        <f>+AF91-AF77</f>
        <v>0</v>
      </c>
      <c r="AH91" s="147"/>
      <c r="AI91" s="166">
        <f>+AH91-AH77</f>
        <v>0</v>
      </c>
      <c r="AJ91" s="147"/>
      <c r="AK91" s="166">
        <f>+AJ91-AJ77</f>
        <v>0</v>
      </c>
      <c r="AL91" s="147"/>
      <c r="AM91" s="166">
        <f>+AL91-AL77</f>
        <v>0</v>
      </c>
      <c r="AN91" s="147"/>
      <c r="AO91" s="166">
        <f>+AN91-AN77</f>
        <v>0</v>
      </c>
      <c r="AP91" s="147"/>
      <c r="AQ91" s="166">
        <f>+AP91-AP77</f>
        <v>0</v>
      </c>
      <c r="AR91" s="147"/>
      <c r="AS91" s="166">
        <f>+AR91-AR77</f>
        <v>0</v>
      </c>
      <c r="AT91" s="147"/>
      <c r="AU91" s="166">
        <f>+AT91-AT77</f>
        <v>0</v>
      </c>
      <c r="AV91" s="147"/>
      <c r="AW91" s="166">
        <f>+AV91-AV77</f>
        <v>0</v>
      </c>
      <c r="AX91" s="147"/>
      <c r="AY91" s="166">
        <f>+AX91-AX77</f>
        <v>0</v>
      </c>
      <c r="AZ91" s="147"/>
      <c r="BA91" s="166">
        <f>+AZ91-AZ77</f>
        <v>0</v>
      </c>
      <c r="BB91" s="147"/>
      <c r="BC91" s="166">
        <f>+BB91-BB77</f>
        <v>0</v>
      </c>
      <c r="BD91" s="147"/>
      <c r="BE91" s="166">
        <f>+BD91-BD77</f>
        <v>0</v>
      </c>
      <c r="BF91" s="147"/>
      <c r="BG91" s="166">
        <f>+BF91-BF77</f>
        <v>0</v>
      </c>
      <c r="BH91" s="147"/>
      <c r="BI91" s="166">
        <f>+BH91-BH77</f>
        <v>0</v>
      </c>
      <c r="BJ91" s="147"/>
      <c r="BK91" s="166">
        <f>+BJ91-BJ77</f>
        <v>0</v>
      </c>
      <c r="BL91" s="147"/>
      <c r="BM91" s="48"/>
      <c r="BN91" s="50"/>
      <c r="BO91" s="170" t="e">
        <f t="shared" ref="BO91:BO103" si="128">IF(COUNT(E91,G91,I91,K91,M91,O91,Q91,S91,U91,W91,Y91,AA91,AC91,AE91,AG91,AI91,AK91,AM91,AO91,AQ91,AS91,AU91,AW91,AY91,BA91,BC91,BE91,BG91,BI91,BK91,BM91)=0,"",SUM(E91,G91,I91,K91,M91,O91,Q91,S91,U91,W91,Y91,AA91,AC91,AE91,AG91,AI91,AK91,AM91,AO91,AQ91,AS91,AU91,AW91,AY91,BA91,BC91,BE91,BG91,BI91,BK91,BM91))</f>
        <v>#VALUE!</v>
      </c>
      <c r="BP91" s="87"/>
      <c r="BQ91" s="52"/>
    </row>
    <row r="92" spans="1:69" x14ac:dyDescent="0.35">
      <c r="A92" s="136"/>
      <c r="B92" s="54" t="s">
        <v>66</v>
      </c>
      <c r="C92" s="144"/>
      <c r="D92" s="146"/>
      <c r="E92" s="166" t="e">
        <f t="shared" ref="E92:K102" si="129">+D92-D78</f>
        <v>#VALUE!</v>
      </c>
      <c r="F92" s="147"/>
      <c r="G92" s="166">
        <f t="shared" si="129"/>
        <v>0</v>
      </c>
      <c r="H92" s="147"/>
      <c r="I92" s="166">
        <f t="shared" si="129"/>
        <v>0</v>
      </c>
      <c r="J92" s="147"/>
      <c r="K92" s="166">
        <f t="shared" si="129"/>
        <v>0</v>
      </c>
      <c r="L92" s="147"/>
      <c r="M92" s="166">
        <f t="shared" ref="M92:M102" si="130">+L92-L78</f>
        <v>0</v>
      </c>
      <c r="N92" s="147"/>
      <c r="O92" s="166">
        <f t="shared" ref="O92:O102" si="131">+N92-N78</f>
        <v>0</v>
      </c>
      <c r="P92" s="147"/>
      <c r="Q92" s="166">
        <f t="shared" ref="Q92:Q102" si="132">+P92-P78</f>
        <v>0</v>
      </c>
      <c r="R92" s="147"/>
      <c r="S92" s="166">
        <f t="shared" ref="S92:S102" si="133">+R92-R78</f>
        <v>0</v>
      </c>
      <c r="T92" s="147"/>
      <c r="U92" s="166">
        <f t="shared" ref="U92:U102" si="134">+T92-T78</f>
        <v>0</v>
      </c>
      <c r="V92" s="147"/>
      <c r="W92" s="166">
        <f t="shared" ref="W92:W102" si="135">+V92-V78</f>
        <v>0</v>
      </c>
      <c r="X92" s="147"/>
      <c r="Y92" s="166">
        <f t="shared" ref="Y92:Y102" si="136">+X92-X78</f>
        <v>0</v>
      </c>
      <c r="Z92" s="147"/>
      <c r="AA92" s="166">
        <f t="shared" ref="AA92:AA102" si="137">+Z92-Z78</f>
        <v>0</v>
      </c>
      <c r="AB92" s="147"/>
      <c r="AC92" s="166">
        <f t="shared" ref="AC92:AC102" si="138">+AB92-AB78</f>
        <v>0</v>
      </c>
      <c r="AD92" s="147"/>
      <c r="AE92" s="166">
        <f t="shared" ref="AE92:AE102" si="139">+AD92-AD78</f>
        <v>0</v>
      </c>
      <c r="AF92" s="147"/>
      <c r="AG92" s="166">
        <f t="shared" ref="AG92:AG102" si="140">+AF92-AF78</f>
        <v>0</v>
      </c>
      <c r="AH92" s="147"/>
      <c r="AI92" s="166">
        <f t="shared" ref="AI92:AI102" si="141">+AH92-AH78</f>
        <v>0</v>
      </c>
      <c r="AJ92" s="147"/>
      <c r="AK92" s="166">
        <f t="shared" ref="AK92:AK102" si="142">+AJ92-AJ78</f>
        <v>0</v>
      </c>
      <c r="AL92" s="147"/>
      <c r="AM92" s="166">
        <f t="shared" ref="AM92:AM102" si="143">+AL92-AL78</f>
        <v>0</v>
      </c>
      <c r="AN92" s="147"/>
      <c r="AO92" s="166">
        <f t="shared" ref="AO92:AO102" si="144">+AN92-AN78</f>
        <v>0</v>
      </c>
      <c r="AP92" s="147"/>
      <c r="AQ92" s="166">
        <f t="shared" ref="AQ92:AQ102" si="145">+AP92-AP78</f>
        <v>0</v>
      </c>
      <c r="AR92" s="147"/>
      <c r="AS92" s="166">
        <f t="shared" ref="AS92:AS102" si="146">+AR92-AR78</f>
        <v>0</v>
      </c>
      <c r="AT92" s="147"/>
      <c r="AU92" s="166">
        <f t="shared" ref="AU92:AU102" si="147">+AT92-AT78</f>
        <v>0</v>
      </c>
      <c r="AV92" s="147"/>
      <c r="AW92" s="166">
        <f t="shared" ref="AW92:AW102" si="148">+AV92-AV78</f>
        <v>0</v>
      </c>
      <c r="AX92" s="147"/>
      <c r="AY92" s="166">
        <f t="shared" ref="AY92:AY102" si="149">+AX92-AX78</f>
        <v>0</v>
      </c>
      <c r="AZ92" s="147"/>
      <c r="BA92" s="166">
        <f t="shared" ref="BA92:BA102" si="150">+AZ92-AZ78</f>
        <v>0</v>
      </c>
      <c r="BB92" s="147"/>
      <c r="BC92" s="166">
        <f t="shared" ref="BC92:BC102" si="151">+BB92-BB78</f>
        <v>0</v>
      </c>
      <c r="BD92" s="147"/>
      <c r="BE92" s="166">
        <f t="shared" ref="BE92:BE102" si="152">+BD92-BD78</f>
        <v>0</v>
      </c>
      <c r="BF92" s="147"/>
      <c r="BG92" s="166">
        <f t="shared" ref="BG92:BG102" si="153">+BF92-BF78</f>
        <v>0</v>
      </c>
      <c r="BH92" s="147"/>
      <c r="BI92" s="166">
        <f t="shared" ref="BI92:BI102" si="154">+BH92-BH78</f>
        <v>0</v>
      </c>
      <c r="BJ92" s="147"/>
      <c r="BK92" s="166">
        <f t="shared" ref="BK92:BK102" si="155">+BJ92-BJ78</f>
        <v>0</v>
      </c>
      <c r="BL92" s="147"/>
      <c r="BM92" s="48"/>
      <c r="BN92" s="50"/>
      <c r="BO92" s="170" t="e">
        <f t="shared" si="128"/>
        <v>#VALUE!</v>
      </c>
      <c r="BP92" s="87"/>
      <c r="BQ92" s="52"/>
    </row>
    <row r="93" spans="1:69" x14ac:dyDescent="0.35">
      <c r="A93" s="134" t="s">
        <v>77</v>
      </c>
      <c r="B93" s="54" t="s">
        <v>67</v>
      </c>
      <c r="C93" s="144"/>
      <c r="D93" s="146"/>
      <c r="E93" s="166" t="e">
        <f t="shared" si="129"/>
        <v>#VALUE!</v>
      </c>
      <c r="F93" s="147"/>
      <c r="G93" s="166">
        <f t="shared" si="129"/>
        <v>0</v>
      </c>
      <c r="H93" s="147"/>
      <c r="I93" s="166">
        <f t="shared" si="129"/>
        <v>0</v>
      </c>
      <c r="J93" s="147"/>
      <c r="K93" s="166">
        <f t="shared" si="129"/>
        <v>0</v>
      </c>
      <c r="L93" s="147"/>
      <c r="M93" s="166">
        <f t="shared" si="130"/>
        <v>0</v>
      </c>
      <c r="N93" s="147"/>
      <c r="O93" s="166">
        <f t="shared" si="131"/>
        <v>0</v>
      </c>
      <c r="P93" s="147"/>
      <c r="Q93" s="166">
        <f t="shared" si="132"/>
        <v>0</v>
      </c>
      <c r="R93" s="147"/>
      <c r="S93" s="166">
        <f t="shared" si="133"/>
        <v>0</v>
      </c>
      <c r="T93" s="147"/>
      <c r="U93" s="166">
        <f t="shared" si="134"/>
        <v>0</v>
      </c>
      <c r="V93" s="147"/>
      <c r="W93" s="166">
        <f t="shared" si="135"/>
        <v>0</v>
      </c>
      <c r="X93" s="147"/>
      <c r="Y93" s="166">
        <f t="shared" si="136"/>
        <v>0</v>
      </c>
      <c r="Z93" s="147"/>
      <c r="AA93" s="166">
        <f t="shared" si="137"/>
        <v>0</v>
      </c>
      <c r="AB93" s="147"/>
      <c r="AC93" s="166">
        <f t="shared" si="138"/>
        <v>0</v>
      </c>
      <c r="AD93" s="147"/>
      <c r="AE93" s="166">
        <f t="shared" si="139"/>
        <v>0</v>
      </c>
      <c r="AF93" s="147"/>
      <c r="AG93" s="166">
        <f t="shared" si="140"/>
        <v>0</v>
      </c>
      <c r="AH93" s="147"/>
      <c r="AI93" s="166">
        <f t="shared" si="141"/>
        <v>0</v>
      </c>
      <c r="AJ93" s="147"/>
      <c r="AK93" s="166">
        <f t="shared" si="142"/>
        <v>0</v>
      </c>
      <c r="AL93" s="147"/>
      <c r="AM93" s="166">
        <f t="shared" si="143"/>
        <v>0</v>
      </c>
      <c r="AN93" s="147"/>
      <c r="AO93" s="48"/>
      <c r="AP93" s="147"/>
      <c r="AQ93" s="166">
        <f t="shared" si="145"/>
        <v>0</v>
      </c>
      <c r="AR93" s="147"/>
      <c r="AS93" s="166">
        <f t="shared" si="146"/>
        <v>0</v>
      </c>
      <c r="AT93" s="147"/>
      <c r="AU93" s="166">
        <f t="shared" si="147"/>
        <v>0</v>
      </c>
      <c r="AV93" s="147"/>
      <c r="AW93" s="166">
        <f t="shared" si="148"/>
        <v>0</v>
      </c>
      <c r="AX93" s="147"/>
      <c r="AY93" s="166">
        <f t="shared" si="149"/>
        <v>0</v>
      </c>
      <c r="AZ93" s="147"/>
      <c r="BA93" s="166">
        <f t="shared" si="150"/>
        <v>0</v>
      </c>
      <c r="BB93" s="147"/>
      <c r="BC93" s="166">
        <f t="shared" si="151"/>
        <v>0</v>
      </c>
      <c r="BD93" s="147"/>
      <c r="BE93" s="166">
        <f t="shared" si="152"/>
        <v>0</v>
      </c>
      <c r="BF93" s="147"/>
      <c r="BG93" s="166">
        <f t="shared" si="153"/>
        <v>0</v>
      </c>
      <c r="BH93" s="147"/>
      <c r="BI93" s="166">
        <f t="shared" si="154"/>
        <v>0</v>
      </c>
      <c r="BJ93" s="147"/>
      <c r="BK93" s="166">
        <f t="shared" si="155"/>
        <v>0</v>
      </c>
      <c r="BL93" s="147"/>
      <c r="BM93" s="48"/>
      <c r="BN93" s="50"/>
      <c r="BO93" s="170" t="e">
        <f t="shared" si="128"/>
        <v>#VALUE!</v>
      </c>
      <c r="BP93" s="87"/>
      <c r="BQ93" s="52"/>
    </row>
    <row r="94" spans="1:69" x14ac:dyDescent="0.35">
      <c r="A94" s="132" t="s">
        <v>78</v>
      </c>
      <c r="B94" s="54" t="s">
        <v>65</v>
      </c>
      <c r="C94" s="144"/>
      <c r="D94" s="146"/>
      <c r="E94" s="166" t="e">
        <f t="shared" si="129"/>
        <v>#VALUE!</v>
      </c>
      <c r="F94" s="147"/>
      <c r="G94" s="166">
        <f t="shared" si="129"/>
        <v>0</v>
      </c>
      <c r="H94" s="147"/>
      <c r="I94" s="166">
        <f t="shared" si="129"/>
        <v>0</v>
      </c>
      <c r="J94" s="147"/>
      <c r="K94" s="166">
        <f t="shared" si="129"/>
        <v>0</v>
      </c>
      <c r="L94" s="147"/>
      <c r="M94" s="166">
        <f t="shared" si="130"/>
        <v>0</v>
      </c>
      <c r="N94" s="147"/>
      <c r="O94" s="166">
        <f t="shared" si="131"/>
        <v>0</v>
      </c>
      <c r="P94" s="147"/>
      <c r="Q94" s="166">
        <f t="shared" si="132"/>
        <v>0</v>
      </c>
      <c r="R94" s="147"/>
      <c r="S94" s="166">
        <f t="shared" si="133"/>
        <v>0</v>
      </c>
      <c r="T94" s="147"/>
      <c r="U94" s="166">
        <f t="shared" si="134"/>
        <v>0</v>
      </c>
      <c r="V94" s="147"/>
      <c r="W94" s="166">
        <f t="shared" si="135"/>
        <v>0</v>
      </c>
      <c r="X94" s="147"/>
      <c r="Y94" s="166">
        <f t="shared" si="136"/>
        <v>0</v>
      </c>
      <c r="Z94" s="147"/>
      <c r="AA94" s="166">
        <f t="shared" si="137"/>
        <v>0</v>
      </c>
      <c r="AB94" s="147"/>
      <c r="AC94" s="166">
        <f t="shared" si="138"/>
        <v>0</v>
      </c>
      <c r="AD94" s="147"/>
      <c r="AE94" s="166">
        <f t="shared" si="139"/>
        <v>0</v>
      </c>
      <c r="AF94" s="147"/>
      <c r="AG94" s="166">
        <f t="shared" si="140"/>
        <v>0</v>
      </c>
      <c r="AH94" s="147"/>
      <c r="AI94" s="166">
        <f t="shared" si="141"/>
        <v>0</v>
      </c>
      <c r="AJ94" s="147"/>
      <c r="AK94" s="166">
        <f t="shared" si="142"/>
        <v>0</v>
      </c>
      <c r="AL94" s="147"/>
      <c r="AM94" s="166">
        <f t="shared" si="143"/>
        <v>0</v>
      </c>
      <c r="AN94" s="147"/>
      <c r="AO94" s="166">
        <f t="shared" si="144"/>
        <v>0</v>
      </c>
      <c r="AP94" s="147"/>
      <c r="AQ94" s="166">
        <f t="shared" si="145"/>
        <v>0</v>
      </c>
      <c r="AR94" s="147"/>
      <c r="AS94" s="166">
        <f t="shared" si="146"/>
        <v>0</v>
      </c>
      <c r="AT94" s="147"/>
      <c r="AU94" s="166">
        <f t="shared" si="147"/>
        <v>0</v>
      </c>
      <c r="AV94" s="147"/>
      <c r="AW94" s="166">
        <f t="shared" si="148"/>
        <v>0</v>
      </c>
      <c r="AX94" s="147"/>
      <c r="AY94" s="166">
        <f t="shared" si="149"/>
        <v>0</v>
      </c>
      <c r="AZ94" s="147"/>
      <c r="BA94" s="166">
        <f t="shared" si="150"/>
        <v>0</v>
      </c>
      <c r="BB94" s="147"/>
      <c r="BC94" s="166">
        <f t="shared" si="151"/>
        <v>0</v>
      </c>
      <c r="BD94" s="147"/>
      <c r="BE94" s="166">
        <f t="shared" si="152"/>
        <v>0</v>
      </c>
      <c r="BF94" s="147"/>
      <c r="BG94" s="166">
        <f t="shared" si="153"/>
        <v>0</v>
      </c>
      <c r="BH94" s="147"/>
      <c r="BI94" s="166">
        <f t="shared" si="154"/>
        <v>0</v>
      </c>
      <c r="BJ94" s="147"/>
      <c r="BK94" s="166">
        <f t="shared" si="155"/>
        <v>0</v>
      </c>
      <c r="BL94" s="147"/>
      <c r="BM94" s="48"/>
      <c r="BN94" s="50"/>
      <c r="BO94" s="170" t="e">
        <f t="shared" si="128"/>
        <v>#VALUE!</v>
      </c>
      <c r="BP94" s="87"/>
      <c r="BQ94" s="52"/>
    </row>
    <row r="95" spans="1:69" x14ac:dyDescent="0.35">
      <c r="A95" s="136"/>
      <c r="B95" s="54" t="s">
        <v>66</v>
      </c>
      <c r="C95" s="144"/>
      <c r="D95" s="146"/>
      <c r="E95" s="166" t="e">
        <f t="shared" si="129"/>
        <v>#VALUE!</v>
      </c>
      <c r="F95" s="147"/>
      <c r="G95" s="166">
        <f t="shared" si="129"/>
        <v>0</v>
      </c>
      <c r="H95" s="147"/>
      <c r="I95" s="166">
        <f t="shared" si="129"/>
        <v>0</v>
      </c>
      <c r="J95" s="147"/>
      <c r="K95" s="166">
        <f t="shared" si="129"/>
        <v>0</v>
      </c>
      <c r="L95" s="147"/>
      <c r="M95" s="166">
        <f t="shared" si="130"/>
        <v>0</v>
      </c>
      <c r="N95" s="147"/>
      <c r="O95" s="166">
        <f t="shared" si="131"/>
        <v>0</v>
      </c>
      <c r="P95" s="147"/>
      <c r="Q95" s="166">
        <f t="shared" si="132"/>
        <v>0</v>
      </c>
      <c r="R95" s="147"/>
      <c r="S95" s="166">
        <f t="shared" si="133"/>
        <v>0</v>
      </c>
      <c r="T95" s="147"/>
      <c r="U95" s="166">
        <f t="shared" si="134"/>
        <v>0</v>
      </c>
      <c r="V95" s="147"/>
      <c r="W95" s="166">
        <f t="shared" si="135"/>
        <v>0</v>
      </c>
      <c r="X95" s="147"/>
      <c r="Y95" s="166">
        <f t="shared" si="136"/>
        <v>0</v>
      </c>
      <c r="Z95" s="147"/>
      <c r="AA95" s="166">
        <f t="shared" si="137"/>
        <v>0</v>
      </c>
      <c r="AB95" s="147"/>
      <c r="AC95" s="166">
        <f t="shared" si="138"/>
        <v>0</v>
      </c>
      <c r="AD95" s="147"/>
      <c r="AE95" s="166">
        <f t="shared" si="139"/>
        <v>0</v>
      </c>
      <c r="AF95" s="147"/>
      <c r="AG95" s="166">
        <f t="shared" si="140"/>
        <v>0</v>
      </c>
      <c r="AH95" s="147"/>
      <c r="AI95" s="166">
        <f t="shared" si="141"/>
        <v>0</v>
      </c>
      <c r="AJ95" s="147"/>
      <c r="AK95" s="166">
        <f t="shared" si="142"/>
        <v>0</v>
      </c>
      <c r="AL95" s="147"/>
      <c r="AM95" s="166">
        <f t="shared" si="143"/>
        <v>0</v>
      </c>
      <c r="AN95" s="147"/>
      <c r="AO95" s="166">
        <f t="shared" si="144"/>
        <v>0</v>
      </c>
      <c r="AP95" s="147"/>
      <c r="AQ95" s="166">
        <f t="shared" si="145"/>
        <v>0</v>
      </c>
      <c r="AR95" s="147"/>
      <c r="AS95" s="166">
        <f t="shared" si="146"/>
        <v>0</v>
      </c>
      <c r="AT95" s="147"/>
      <c r="AU95" s="166">
        <f t="shared" si="147"/>
        <v>0</v>
      </c>
      <c r="AV95" s="147"/>
      <c r="AW95" s="166">
        <f t="shared" si="148"/>
        <v>0</v>
      </c>
      <c r="AX95" s="147"/>
      <c r="AY95" s="166">
        <f t="shared" si="149"/>
        <v>0</v>
      </c>
      <c r="AZ95" s="147"/>
      <c r="BA95" s="166">
        <f t="shared" si="150"/>
        <v>0</v>
      </c>
      <c r="BB95" s="147"/>
      <c r="BC95" s="166">
        <f t="shared" si="151"/>
        <v>0</v>
      </c>
      <c r="BD95" s="147"/>
      <c r="BE95" s="166">
        <f t="shared" si="152"/>
        <v>0</v>
      </c>
      <c r="BF95" s="147"/>
      <c r="BG95" s="166">
        <f t="shared" si="153"/>
        <v>0</v>
      </c>
      <c r="BH95" s="147"/>
      <c r="BI95" s="166">
        <f t="shared" si="154"/>
        <v>0</v>
      </c>
      <c r="BJ95" s="147"/>
      <c r="BK95" s="166">
        <f t="shared" si="155"/>
        <v>0</v>
      </c>
      <c r="BL95" s="147"/>
      <c r="BM95" s="48"/>
      <c r="BN95" s="50"/>
      <c r="BO95" s="170" t="e">
        <f t="shared" si="128"/>
        <v>#VALUE!</v>
      </c>
      <c r="BP95" s="87"/>
      <c r="BQ95" s="52"/>
    </row>
    <row r="96" spans="1:69" x14ac:dyDescent="0.35">
      <c r="A96" s="134" t="s">
        <v>80</v>
      </c>
      <c r="B96" s="54" t="s">
        <v>67</v>
      </c>
      <c r="C96" s="144"/>
      <c r="D96" s="146"/>
      <c r="E96" s="166" t="e">
        <f t="shared" si="129"/>
        <v>#VALUE!</v>
      </c>
      <c r="F96" s="147"/>
      <c r="G96" s="166">
        <f t="shared" si="129"/>
        <v>0</v>
      </c>
      <c r="H96" s="147"/>
      <c r="I96" s="166">
        <f t="shared" si="129"/>
        <v>0</v>
      </c>
      <c r="J96" s="147"/>
      <c r="K96" s="166">
        <f t="shared" si="129"/>
        <v>0</v>
      </c>
      <c r="L96" s="147"/>
      <c r="M96" s="166">
        <f t="shared" si="130"/>
        <v>0</v>
      </c>
      <c r="N96" s="147"/>
      <c r="O96" s="166">
        <f t="shared" si="131"/>
        <v>0</v>
      </c>
      <c r="P96" s="147"/>
      <c r="Q96" s="166">
        <f t="shared" si="132"/>
        <v>0</v>
      </c>
      <c r="R96" s="147"/>
      <c r="S96" s="166">
        <f t="shared" si="133"/>
        <v>0</v>
      </c>
      <c r="T96" s="147"/>
      <c r="U96" s="166">
        <f t="shared" si="134"/>
        <v>0</v>
      </c>
      <c r="V96" s="147"/>
      <c r="W96" s="166">
        <f t="shared" si="135"/>
        <v>0</v>
      </c>
      <c r="X96" s="147"/>
      <c r="Y96" s="166">
        <f t="shared" si="136"/>
        <v>0</v>
      </c>
      <c r="Z96" s="147"/>
      <c r="AA96" s="166">
        <f t="shared" si="137"/>
        <v>0</v>
      </c>
      <c r="AB96" s="147"/>
      <c r="AC96" s="166">
        <f t="shared" si="138"/>
        <v>0</v>
      </c>
      <c r="AD96" s="147"/>
      <c r="AE96" s="166">
        <f t="shared" si="139"/>
        <v>0</v>
      </c>
      <c r="AF96" s="147"/>
      <c r="AG96" s="166">
        <f t="shared" si="140"/>
        <v>0</v>
      </c>
      <c r="AH96" s="147"/>
      <c r="AI96" s="166">
        <f t="shared" si="141"/>
        <v>0</v>
      </c>
      <c r="AJ96" s="147"/>
      <c r="AK96" s="166">
        <f t="shared" si="142"/>
        <v>0</v>
      </c>
      <c r="AL96" s="147"/>
      <c r="AM96" s="166">
        <f t="shared" si="143"/>
        <v>0</v>
      </c>
      <c r="AN96" s="147"/>
      <c r="AO96" s="166">
        <f t="shared" si="144"/>
        <v>0</v>
      </c>
      <c r="AP96" s="147"/>
      <c r="AQ96" s="166">
        <f t="shared" si="145"/>
        <v>0</v>
      </c>
      <c r="AR96" s="147"/>
      <c r="AS96" s="166">
        <f t="shared" si="146"/>
        <v>0</v>
      </c>
      <c r="AT96" s="147"/>
      <c r="AU96" s="166">
        <f t="shared" si="147"/>
        <v>0</v>
      </c>
      <c r="AV96" s="147"/>
      <c r="AW96" s="166">
        <f t="shared" si="148"/>
        <v>0</v>
      </c>
      <c r="AX96" s="147"/>
      <c r="AY96" s="166">
        <f t="shared" si="149"/>
        <v>0</v>
      </c>
      <c r="AZ96" s="147"/>
      <c r="BA96" s="166">
        <f t="shared" si="150"/>
        <v>0</v>
      </c>
      <c r="BB96" s="147"/>
      <c r="BC96" s="166">
        <f t="shared" si="151"/>
        <v>0</v>
      </c>
      <c r="BD96" s="147"/>
      <c r="BE96" s="166">
        <f t="shared" si="152"/>
        <v>0</v>
      </c>
      <c r="BF96" s="147"/>
      <c r="BG96" s="166">
        <f t="shared" si="153"/>
        <v>0</v>
      </c>
      <c r="BH96" s="147"/>
      <c r="BI96" s="166">
        <f t="shared" si="154"/>
        <v>0</v>
      </c>
      <c r="BJ96" s="147"/>
      <c r="BK96" s="166">
        <f t="shared" si="155"/>
        <v>0</v>
      </c>
      <c r="BL96" s="147"/>
      <c r="BM96" s="48"/>
      <c r="BN96" s="50"/>
      <c r="BO96" s="170" t="e">
        <f t="shared" si="128"/>
        <v>#VALUE!</v>
      </c>
      <c r="BP96" s="87"/>
      <c r="BQ96" s="52"/>
    </row>
    <row r="97" spans="1:76" x14ac:dyDescent="0.35">
      <c r="A97" s="135"/>
      <c r="B97" s="54" t="s">
        <v>67</v>
      </c>
      <c r="C97" s="144"/>
      <c r="D97" s="146"/>
      <c r="E97" s="166" t="e">
        <f t="shared" si="129"/>
        <v>#VALUE!</v>
      </c>
      <c r="F97" s="147"/>
      <c r="G97" s="166">
        <f t="shared" si="129"/>
        <v>0</v>
      </c>
      <c r="H97" s="147"/>
      <c r="I97" s="166">
        <f t="shared" si="129"/>
        <v>0</v>
      </c>
      <c r="J97" s="147"/>
      <c r="K97" s="166">
        <f t="shared" si="129"/>
        <v>0</v>
      </c>
      <c r="L97" s="147"/>
      <c r="M97" s="166">
        <f t="shared" si="130"/>
        <v>0</v>
      </c>
      <c r="N97" s="147"/>
      <c r="O97" s="166">
        <f t="shared" si="131"/>
        <v>0</v>
      </c>
      <c r="P97" s="147"/>
      <c r="Q97" s="166">
        <f t="shared" si="132"/>
        <v>0</v>
      </c>
      <c r="R97" s="147"/>
      <c r="S97" s="166">
        <f t="shared" si="133"/>
        <v>0</v>
      </c>
      <c r="T97" s="147"/>
      <c r="U97" s="166">
        <f t="shared" si="134"/>
        <v>0</v>
      </c>
      <c r="V97" s="147"/>
      <c r="W97" s="166">
        <f t="shared" si="135"/>
        <v>0</v>
      </c>
      <c r="X97" s="147"/>
      <c r="Y97" s="166">
        <f t="shared" si="136"/>
        <v>0</v>
      </c>
      <c r="Z97" s="147"/>
      <c r="AA97" s="166">
        <f t="shared" si="137"/>
        <v>0</v>
      </c>
      <c r="AB97" s="147"/>
      <c r="AC97" s="166">
        <f t="shared" si="138"/>
        <v>0</v>
      </c>
      <c r="AD97" s="147"/>
      <c r="AE97" s="166">
        <f t="shared" si="139"/>
        <v>0</v>
      </c>
      <c r="AF97" s="147"/>
      <c r="AG97" s="166">
        <f t="shared" si="140"/>
        <v>0</v>
      </c>
      <c r="AH97" s="147"/>
      <c r="AI97" s="166">
        <f t="shared" si="141"/>
        <v>0</v>
      </c>
      <c r="AJ97" s="147"/>
      <c r="AK97" s="166">
        <f t="shared" si="142"/>
        <v>0</v>
      </c>
      <c r="AL97" s="147"/>
      <c r="AM97" s="166">
        <f t="shared" si="143"/>
        <v>0</v>
      </c>
      <c r="AN97" s="147"/>
      <c r="AO97" s="166">
        <f t="shared" si="144"/>
        <v>0</v>
      </c>
      <c r="AP97" s="147"/>
      <c r="AQ97" s="166">
        <f t="shared" si="145"/>
        <v>0</v>
      </c>
      <c r="AR97" s="147"/>
      <c r="AS97" s="166">
        <f t="shared" si="146"/>
        <v>0</v>
      </c>
      <c r="AT97" s="147"/>
      <c r="AU97" s="166">
        <f t="shared" si="147"/>
        <v>0</v>
      </c>
      <c r="AV97" s="147"/>
      <c r="AW97" s="166">
        <f t="shared" si="148"/>
        <v>0</v>
      </c>
      <c r="AX97" s="147"/>
      <c r="AY97" s="166">
        <f t="shared" si="149"/>
        <v>0</v>
      </c>
      <c r="AZ97" s="147"/>
      <c r="BA97" s="166">
        <f t="shared" si="150"/>
        <v>0</v>
      </c>
      <c r="BB97" s="147"/>
      <c r="BC97" s="166">
        <f t="shared" si="151"/>
        <v>0</v>
      </c>
      <c r="BD97" s="147"/>
      <c r="BE97" s="166">
        <f t="shared" si="152"/>
        <v>0</v>
      </c>
      <c r="BF97" s="147"/>
      <c r="BG97" s="166">
        <f t="shared" si="153"/>
        <v>0</v>
      </c>
      <c r="BH97" s="147"/>
      <c r="BI97" s="166">
        <f t="shared" si="154"/>
        <v>0</v>
      </c>
      <c r="BJ97" s="147"/>
      <c r="BK97" s="166">
        <f t="shared" si="155"/>
        <v>0</v>
      </c>
      <c r="BL97" s="147"/>
      <c r="BM97" s="48"/>
      <c r="BN97" s="50"/>
      <c r="BO97" s="170" t="e">
        <f t="shared" si="128"/>
        <v>#VALUE!</v>
      </c>
      <c r="BP97" s="87"/>
      <c r="BQ97" s="52"/>
    </row>
    <row r="98" spans="1:76" x14ac:dyDescent="0.35">
      <c r="A98" s="136" t="s">
        <v>82</v>
      </c>
      <c r="B98" s="54" t="s">
        <v>66</v>
      </c>
      <c r="C98" s="144"/>
      <c r="D98" s="146"/>
      <c r="E98" s="166" t="e">
        <f t="shared" si="129"/>
        <v>#VALUE!</v>
      </c>
      <c r="F98" s="147"/>
      <c r="G98" s="166">
        <f t="shared" si="129"/>
        <v>0</v>
      </c>
      <c r="H98" s="147"/>
      <c r="I98" s="166">
        <f t="shared" si="129"/>
        <v>0</v>
      </c>
      <c r="J98" s="147"/>
      <c r="K98" s="166">
        <f t="shared" si="129"/>
        <v>0</v>
      </c>
      <c r="L98" s="147"/>
      <c r="M98" s="166">
        <f t="shared" si="130"/>
        <v>0</v>
      </c>
      <c r="N98" s="147"/>
      <c r="O98" s="166">
        <f t="shared" si="131"/>
        <v>0</v>
      </c>
      <c r="P98" s="147"/>
      <c r="Q98" s="166">
        <f t="shared" si="132"/>
        <v>0</v>
      </c>
      <c r="R98" s="147"/>
      <c r="S98" s="166">
        <f t="shared" si="133"/>
        <v>0</v>
      </c>
      <c r="T98" s="147"/>
      <c r="U98" s="166">
        <f t="shared" si="134"/>
        <v>0</v>
      </c>
      <c r="V98" s="147"/>
      <c r="W98" s="166">
        <f t="shared" si="135"/>
        <v>0</v>
      </c>
      <c r="X98" s="147"/>
      <c r="Y98" s="166">
        <f t="shared" si="136"/>
        <v>0</v>
      </c>
      <c r="Z98" s="147"/>
      <c r="AA98" s="166">
        <f t="shared" si="137"/>
        <v>0</v>
      </c>
      <c r="AB98" s="147"/>
      <c r="AC98" s="166">
        <f t="shared" si="138"/>
        <v>0</v>
      </c>
      <c r="AD98" s="147"/>
      <c r="AE98" s="166">
        <f t="shared" si="139"/>
        <v>0</v>
      </c>
      <c r="AF98" s="147"/>
      <c r="AG98" s="166">
        <f t="shared" si="140"/>
        <v>0</v>
      </c>
      <c r="AH98" s="147"/>
      <c r="AI98" s="166">
        <f t="shared" si="141"/>
        <v>0</v>
      </c>
      <c r="AJ98" s="147"/>
      <c r="AK98" s="166">
        <f t="shared" si="142"/>
        <v>0</v>
      </c>
      <c r="AL98" s="147"/>
      <c r="AM98" s="166">
        <f t="shared" si="143"/>
        <v>0</v>
      </c>
      <c r="AN98" s="147"/>
      <c r="AO98" s="166">
        <f t="shared" si="144"/>
        <v>0</v>
      </c>
      <c r="AP98" s="147"/>
      <c r="AQ98" s="166">
        <f t="shared" si="145"/>
        <v>0</v>
      </c>
      <c r="AR98" s="147"/>
      <c r="AS98" s="166">
        <f t="shared" si="146"/>
        <v>0</v>
      </c>
      <c r="AT98" s="147"/>
      <c r="AU98" s="166">
        <f t="shared" si="147"/>
        <v>0</v>
      </c>
      <c r="AV98" s="147"/>
      <c r="AW98" s="166">
        <f t="shared" si="148"/>
        <v>0</v>
      </c>
      <c r="AX98" s="147"/>
      <c r="AY98" s="166">
        <f t="shared" si="149"/>
        <v>0</v>
      </c>
      <c r="AZ98" s="147"/>
      <c r="BA98" s="166">
        <f t="shared" si="150"/>
        <v>0</v>
      </c>
      <c r="BB98" s="147"/>
      <c r="BC98" s="166">
        <f t="shared" si="151"/>
        <v>0</v>
      </c>
      <c r="BD98" s="147"/>
      <c r="BE98" s="166">
        <f t="shared" si="152"/>
        <v>0</v>
      </c>
      <c r="BF98" s="147"/>
      <c r="BG98" s="166">
        <f t="shared" si="153"/>
        <v>0</v>
      </c>
      <c r="BH98" s="147"/>
      <c r="BI98" s="166">
        <f t="shared" si="154"/>
        <v>0</v>
      </c>
      <c r="BJ98" s="147"/>
      <c r="BK98" s="166">
        <f t="shared" si="155"/>
        <v>0</v>
      </c>
      <c r="BL98" s="147"/>
      <c r="BM98" s="48"/>
      <c r="BN98" s="50"/>
      <c r="BO98" s="170" t="e">
        <f t="shared" si="128"/>
        <v>#VALUE!</v>
      </c>
      <c r="BP98" s="87"/>
      <c r="BQ98" s="52"/>
    </row>
    <row r="99" spans="1:76" x14ac:dyDescent="0.35">
      <c r="A99" s="44"/>
      <c r="B99" s="54" t="s">
        <v>65</v>
      </c>
      <c r="C99" s="144"/>
      <c r="D99" s="146"/>
      <c r="E99" s="166" t="e">
        <f t="shared" si="129"/>
        <v>#VALUE!</v>
      </c>
      <c r="F99" s="147"/>
      <c r="G99" s="166">
        <f t="shared" si="129"/>
        <v>0</v>
      </c>
      <c r="H99" s="147"/>
      <c r="I99" s="166">
        <f t="shared" si="129"/>
        <v>0</v>
      </c>
      <c r="J99" s="147"/>
      <c r="K99" s="166">
        <f t="shared" si="129"/>
        <v>0</v>
      </c>
      <c r="L99" s="147"/>
      <c r="M99" s="166">
        <f t="shared" si="130"/>
        <v>0</v>
      </c>
      <c r="N99" s="147"/>
      <c r="O99" s="166">
        <f t="shared" si="131"/>
        <v>0</v>
      </c>
      <c r="P99" s="147"/>
      <c r="Q99" s="166">
        <f t="shared" si="132"/>
        <v>0</v>
      </c>
      <c r="R99" s="147"/>
      <c r="S99" s="166">
        <f t="shared" si="133"/>
        <v>0</v>
      </c>
      <c r="T99" s="147"/>
      <c r="U99" s="166">
        <f t="shared" si="134"/>
        <v>0</v>
      </c>
      <c r="V99" s="147"/>
      <c r="W99" s="166">
        <f t="shared" si="135"/>
        <v>0</v>
      </c>
      <c r="X99" s="147"/>
      <c r="Y99" s="166">
        <f t="shared" si="136"/>
        <v>0</v>
      </c>
      <c r="Z99" s="147"/>
      <c r="AA99" s="166">
        <f t="shared" si="137"/>
        <v>0</v>
      </c>
      <c r="AB99" s="147"/>
      <c r="AC99" s="166">
        <f t="shared" si="138"/>
        <v>0</v>
      </c>
      <c r="AD99" s="147"/>
      <c r="AE99" s="166">
        <f t="shared" si="139"/>
        <v>0</v>
      </c>
      <c r="AF99" s="147"/>
      <c r="AG99" s="166">
        <f t="shared" si="140"/>
        <v>0</v>
      </c>
      <c r="AH99" s="147"/>
      <c r="AI99" s="166">
        <f t="shared" si="141"/>
        <v>0</v>
      </c>
      <c r="AJ99" s="147"/>
      <c r="AK99" s="166">
        <f t="shared" si="142"/>
        <v>0</v>
      </c>
      <c r="AL99" s="147"/>
      <c r="AM99" s="166">
        <f t="shared" si="143"/>
        <v>0</v>
      </c>
      <c r="AN99" s="147"/>
      <c r="AO99" s="166">
        <f t="shared" si="144"/>
        <v>0</v>
      </c>
      <c r="AP99" s="147"/>
      <c r="AQ99" s="166">
        <f t="shared" si="145"/>
        <v>0</v>
      </c>
      <c r="AR99" s="147"/>
      <c r="AS99" s="166">
        <f t="shared" si="146"/>
        <v>0</v>
      </c>
      <c r="AT99" s="147"/>
      <c r="AU99" s="166">
        <f t="shared" si="147"/>
        <v>0</v>
      </c>
      <c r="AV99" s="147"/>
      <c r="AW99" s="166">
        <f t="shared" si="148"/>
        <v>0</v>
      </c>
      <c r="AX99" s="147"/>
      <c r="AY99" s="166">
        <f t="shared" si="149"/>
        <v>0</v>
      </c>
      <c r="AZ99" s="147"/>
      <c r="BA99" s="166">
        <f t="shared" si="150"/>
        <v>0</v>
      </c>
      <c r="BB99" s="147"/>
      <c r="BC99" s="166">
        <f t="shared" si="151"/>
        <v>0</v>
      </c>
      <c r="BD99" s="147"/>
      <c r="BE99" s="166">
        <f t="shared" si="152"/>
        <v>0</v>
      </c>
      <c r="BF99" s="147"/>
      <c r="BG99" s="166">
        <f t="shared" si="153"/>
        <v>0</v>
      </c>
      <c r="BH99" s="147"/>
      <c r="BI99" s="166">
        <f t="shared" si="154"/>
        <v>0</v>
      </c>
      <c r="BJ99" s="147"/>
      <c r="BK99" s="166">
        <f t="shared" si="155"/>
        <v>0</v>
      </c>
      <c r="BL99" s="147"/>
      <c r="BM99" s="48"/>
      <c r="BN99" s="50"/>
      <c r="BO99" s="170" t="e">
        <f t="shared" si="128"/>
        <v>#VALUE!</v>
      </c>
      <c r="BP99" s="87"/>
      <c r="BQ99" s="52"/>
    </row>
    <row r="100" spans="1:76" x14ac:dyDescent="0.35">
      <c r="A100" s="135" t="s">
        <v>84</v>
      </c>
      <c r="B100" s="54" t="s">
        <v>67</v>
      </c>
      <c r="C100" s="144"/>
      <c r="D100" s="146"/>
      <c r="E100" s="166" t="e">
        <f t="shared" si="129"/>
        <v>#VALUE!</v>
      </c>
      <c r="F100" s="147"/>
      <c r="G100" s="166">
        <f t="shared" si="129"/>
        <v>0</v>
      </c>
      <c r="H100" s="147"/>
      <c r="I100" s="166">
        <f t="shared" si="129"/>
        <v>0</v>
      </c>
      <c r="J100" s="147"/>
      <c r="K100" s="166">
        <f t="shared" si="129"/>
        <v>0</v>
      </c>
      <c r="L100" s="147"/>
      <c r="M100" s="166">
        <f t="shared" si="130"/>
        <v>0</v>
      </c>
      <c r="N100" s="147"/>
      <c r="O100" s="166">
        <f t="shared" si="131"/>
        <v>0</v>
      </c>
      <c r="P100" s="147"/>
      <c r="Q100" s="166">
        <f t="shared" si="132"/>
        <v>0</v>
      </c>
      <c r="R100" s="147"/>
      <c r="S100" s="166">
        <f t="shared" si="133"/>
        <v>0</v>
      </c>
      <c r="T100" s="147"/>
      <c r="U100" s="166">
        <f t="shared" si="134"/>
        <v>0</v>
      </c>
      <c r="V100" s="147"/>
      <c r="W100" s="166">
        <f t="shared" si="135"/>
        <v>0</v>
      </c>
      <c r="X100" s="147"/>
      <c r="Y100" s="166">
        <f t="shared" si="136"/>
        <v>0</v>
      </c>
      <c r="Z100" s="147"/>
      <c r="AA100" s="166">
        <f t="shared" si="137"/>
        <v>0</v>
      </c>
      <c r="AB100" s="147"/>
      <c r="AC100" s="166">
        <f t="shared" si="138"/>
        <v>0</v>
      </c>
      <c r="AD100" s="147"/>
      <c r="AE100" s="166">
        <f t="shared" si="139"/>
        <v>0</v>
      </c>
      <c r="AF100" s="147"/>
      <c r="AG100" s="166">
        <f t="shared" si="140"/>
        <v>0</v>
      </c>
      <c r="AH100" s="147"/>
      <c r="AI100" s="166">
        <f t="shared" si="141"/>
        <v>0</v>
      </c>
      <c r="AJ100" s="147"/>
      <c r="AK100" s="166">
        <f t="shared" si="142"/>
        <v>0</v>
      </c>
      <c r="AL100" s="147"/>
      <c r="AM100" s="166">
        <f t="shared" si="143"/>
        <v>0</v>
      </c>
      <c r="AN100" s="147"/>
      <c r="AO100" s="166">
        <f t="shared" si="144"/>
        <v>0</v>
      </c>
      <c r="AP100" s="147"/>
      <c r="AQ100" s="166">
        <f t="shared" si="145"/>
        <v>0</v>
      </c>
      <c r="AR100" s="147"/>
      <c r="AS100" s="166">
        <f t="shared" si="146"/>
        <v>0</v>
      </c>
      <c r="AT100" s="147"/>
      <c r="AU100" s="166">
        <f t="shared" si="147"/>
        <v>0</v>
      </c>
      <c r="AV100" s="147"/>
      <c r="AW100" s="166">
        <f t="shared" si="148"/>
        <v>0</v>
      </c>
      <c r="AX100" s="147"/>
      <c r="AY100" s="166">
        <f t="shared" si="149"/>
        <v>0</v>
      </c>
      <c r="AZ100" s="147"/>
      <c r="BA100" s="166">
        <f t="shared" si="150"/>
        <v>0</v>
      </c>
      <c r="BB100" s="147"/>
      <c r="BC100" s="166">
        <f t="shared" si="151"/>
        <v>0</v>
      </c>
      <c r="BD100" s="147"/>
      <c r="BE100" s="166">
        <f t="shared" si="152"/>
        <v>0</v>
      </c>
      <c r="BF100" s="147"/>
      <c r="BG100" s="166">
        <f t="shared" si="153"/>
        <v>0</v>
      </c>
      <c r="BH100" s="147"/>
      <c r="BI100" s="166">
        <f t="shared" si="154"/>
        <v>0</v>
      </c>
      <c r="BJ100" s="147"/>
      <c r="BK100" s="166">
        <f t="shared" si="155"/>
        <v>0</v>
      </c>
      <c r="BL100" s="147"/>
      <c r="BM100" s="48"/>
      <c r="BN100" s="50"/>
      <c r="BO100" s="170" t="e">
        <f t="shared" si="128"/>
        <v>#VALUE!</v>
      </c>
      <c r="BP100" s="87"/>
      <c r="BQ100" s="52"/>
    </row>
    <row r="101" spans="1:76" x14ac:dyDescent="0.35">
      <c r="A101" s="136" t="s">
        <v>85</v>
      </c>
      <c r="B101" s="54" t="s">
        <v>66</v>
      </c>
      <c r="C101" s="144"/>
      <c r="D101" s="146"/>
      <c r="E101" s="166" t="e">
        <f t="shared" si="129"/>
        <v>#VALUE!</v>
      </c>
      <c r="F101" s="147"/>
      <c r="G101" s="166">
        <f t="shared" si="129"/>
        <v>0</v>
      </c>
      <c r="H101" s="147"/>
      <c r="I101" s="166">
        <f t="shared" si="129"/>
        <v>0</v>
      </c>
      <c r="J101" s="147"/>
      <c r="K101" s="166">
        <f t="shared" si="129"/>
        <v>0</v>
      </c>
      <c r="L101" s="147"/>
      <c r="M101" s="166">
        <f t="shared" si="130"/>
        <v>0</v>
      </c>
      <c r="N101" s="147"/>
      <c r="O101" s="166">
        <f t="shared" si="131"/>
        <v>0</v>
      </c>
      <c r="P101" s="147"/>
      <c r="Q101" s="166">
        <f t="shared" si="132"/>
        <v>0</v>
      </c>
      <c r="R101" s="147"/>
      <c r="S101" s="166">
        <f t="shared" si="133"/>
        <v>0</v>
      </c>
      <c r="T101" s="147"/>
      <c r="U101" s="166">
        <f t="shared" si="134"/>
        <v>0</v>
      </c>
      <c r="V101" s="147"/>
      <c r="W101" s="166">
        <f t="shared" si="135"/>
        <v>0</v>
      </c>
      <c r="X101" s="147"/>
      <c r="Y101" s="166">
        <f t="shared" si="136"/>
        <v>0</v>
      </c>
      <c r="Z101" s="147"/>
      <c r="AA101" s="166">
        <f t="shared" si="137"/>
        <v>0</v>
      </c>
      <c r="AB101" s="147"/>
      <c r="AC101" s="166">
        <f t="shared" si="138"/>
        <v>0</v>
      </c>
      <c r="AD101" s="147"/>
      <c r="AE101" s="166">
        <f t="shared" si="139"/>
        <v>0</v>
      </c>
      <c r="AF101" s="147"/>
      <c r="AG101" s="166">
        <f t="shared" si="140"/>
        <v>0</v>
      </c>
      <c r="AH101" s="147"/>
      <c r="AI101" s="166">
        <f t="shared" si="141"/>
        <v>0</v>
      </c>
      <c r="AJ101" s="147"/>
      <c r="AK101" s="166">
        <f t="shared" si="142"/>
        <v>0</v>
      </c>
      <c r="AL101" s="147"/>
      <c r="AM101" s="166">
        <f t="shared" si="143"/>
        <v>0</v>
      </c>
      <c r="AN101" s="147"/>
      <c r="AO101" s="166">
        <f t="shared" si="144"/>
        <v>0</v>
      </c>
      <c r="AP101" s="147"/>
      <c r="AQ101" s="166">
        <f t="shared" si="145"/>
        <v>0</v>
      </c>
      <c r="AR101" s="147"/>
      <c r="AS101" s="166">
        <f t="shared" si="146"/>
        <v>0</v>
      </c>
      <c r="AT101" s="147"/>
      <c r="AU101" s="166">
        <f t="shared" si="147"/>
        <v>0</v>
      </c>
      <c r="AV101" s="147"/>
      <c r="AW101" s="166">
        <f t="shared" si="148"/>
        <v>0</v>
      </c>
      <c r="AX101" s="147"/>
      <c r="AY101" s="166">
        <f t="shared" si="149"/>
        <v>0</v>
      </c>
      <c r="AZ101" s="147"/>
      <c r="BA101" s="166">
        <f t="shared" si="150"/>
        <v>0</v>
      </c>
      <c r="BB101" s="147"/>
      <c r="BC101" s="166">
        <f t="shared" si="151"/>
        <v>0</v>
      </c>
      <c r="BD101" s="147"/>
      <c r="BE101" s="166">
        <f t="shared" si="152"/>
        <v>0</v>
      </c>
      <c r="BF101" s="147"/>
      <c r="BG101" s="166">
        <f t="shared" si="153"/>
        <v>0</v>
      </c>
      <c r="BH101" s="147"/>
      <c r="BI101" s="166">
        <f t="shared" si="154"/>
        <v>0</v>
      </c>
      <c r="BJ101" s="147"/>
      <c r="BK101" s="166">
        <f t="shared" si="155"/>
        <v>0</v>
      </c>
      <c r="BL101" s="147"/>
      <c r="BM101" s="48"/>
      <c r="BN101" s="50"/>
      <c r="BO101" s="170" t="e">
        <f t="shared" si="128"/>
        <v>#VALUE!</v>
      </c>
      <c r="BP101" s="87"/>
      <c r="BQ101" s="52"/>
    </row>
    <row r="102" spans="1:76" x14ac:dyDescent="0.35">
      <c r="A102" s="44" t="s">
        <v>86</v>
      </c>
      <c r="B102" s="54" t="s">
        <v>65</v>
      </c>
      <c r="C102" s="144"/>
      <c r="D102" s="146"/>
      <c r="E102" s="166" t="e">
        <f t="shared" si="129"/>
        <v>#VALUE!</v>
      </c>
      <c r="F102" s="147"/>
      <c r="G102" s="166">
        <f t="shared" si="129"/>
        <v>0</v>
      </c>
      <c r="H102" s="147"/>
      <c r="I102" s="166">
        <f t="shared" si="129"/>
        <v>0</v>
      </c>
      <c r="J102" s="147"/>
      <c r="K102" s="166">
        <f t="shared" si="129"/>
        <v>0</v>
      </c>
      <c r="L102" s="147"/>
      <c r="M102" s="166">
        <f t="shared" si="130"/>
        <v>0</v>
      </c>
      <c r="N102" s="147"/>
      <c r="O102" s="166">
        <f t="shared" si="131"/>
        <v>0</v>
      </c>
      <c r="P102" s="147"/>
      <c r="Q102" s="166">
        <f t="shared" si="132"/>
        <v>0</v>
      </c>
      <c r="R102" s="147"/>
      <c r="S102" s="166">
        <f t="shared" si="133"/>
        <v>0</v>
      </c>
      <c r="T102" s="147"/>
      <c r="U102" s="166">
        <f t="shared" si="134"/>
        <v>0</v>
      </c>
      <c r="V102" s="147"/>
      <c r="W102" s="166">
        <f t="shared" si="135"/>
        <v>0</v>
      </c>
      <c r="X102" s="147"/>
      <c r="Y102" s="166">
        <f t="shared" si="136"/>
        <v>0</v>
      </c>
      <c r="Z102" s="147"/>
      <c r="AA102" s="166">
        <f t="shared" si="137"/>
        <v>0</v>
      </c>
      <c r="AB102" s="147"/>
      <c r="AC102" s="166">
        <f t="shared" si="138"/>
        <v>0</v>
      </c>
      <c r="AD102" s="147"/>
      <c r="AE102" s="166">
        <f t="shared" si="139"/>
        <v>0</v>
      </c>
      <c r="AF102" s="147"/>
      <c r="AG102" s="166">
        <f t="shared" si="140"/>
        <v>0</v>
      </c>
      <c r="AH102" s="147"/>
      <c r="AI102" s="166">
        <f t="shared" si="141"/>
        <v>0</v>
      </c>
      <c r="AJ102" s="147"/>
      <c r="AK102" s="166">
        <f t="shared" si="142"/>
        <v>0</v>
      </c>
      <c r="AL102" s="147"/>
      <c r="AM102" s="166">
        <f t="shared" si="143"/>
        <v>0</v>
      </c>
      <c r="AN102" s="147"/>
      <c r="AO102" s="166">
        <f t="shared" si="144"/>
        <v>0</v>
      </c>
      <c r="AP102" s="147"/>
      <c r="AQ102" s="166">
        <f t="shared" si="145"/>
        <v>0</v>
      </c>
      <c r="AR102" s="147"/>
      <c r="AS102" s="166">
        <f t="shared" si="146"/>
        <v>0</v>
      </c>
      <c r="AT102" s="147"/>
      <c r="AU102" s="166">
        <f t="shared" si="147"/>
        <v>0</v>
      </c>
      <c r="AV102" s="147"/>
      <c r="AW102" s="166">
        <f t="shared" si="148"/>
        <v>0</v>
      </c>
      <c r="AX102" s="147"/>
      <c r="AY102" s="166">
        <f t="shared" si="149"/>
        <v>0</v>
      </c>
      <c r="AZ102" s="147"/>
      <c r="BA102" s="166">
        <f t="shared" si="150"/>
        <v>0</v>
      </c>
      <c r="BB102" s="147"/>
      <c r="BC102" s="166">
        <f t="shared" si="151"/>
        <v>0</v>
      </c>
      <c r="BD102" s="147"/>
      <c r="BE102" s="166">
        <f t="shared" si="152"/>
        <v>0</v>
      </c>
      <c r="BF102" s="147"/>
      <c r="BG102" s="166">
        <f t="shared" si="153"/>
        <v>0</v>
      </c>
      <c r="BH102" s="147"/>
      <c r="BI102" s="166">
        <f t="shared" si="154"/>
        <v>0</v>
      </c>
      <c r="BJ102" s="147"/>
      <c r="BK102" s="166">
        <f t="shared" si="155"/>
        <v>0</v>
      </c>
      <c r="BL102" s="147"/>
      <c r="BM102" s="48"/>
      <c r="BN102" s="50"/>
      <c r="BO102" s="170" t="e">
        <f t="shared" si="128"/>
        <v>#VALUE!</v>
      </c>
      <c r="BP102" s="87"/>
      <c r="BQ102" s="52"/>
    </row>
    <row r="103" spans="1:76" x14ac:dyDescent="0.35">
      <c r="A103" s="53"/>
      <c r="B103" s="54"/>
      <c r="C103" s="144"/>
      <c r="D103" s="189">
        <f>SUM(D91:D102)</f>
        <v>0</v>
      </c>
      <c r="E103" s="166" t="e">
        <f t="shared" ref="E103:BP103" si="156">SUM(E91:E102)</f>
        <v>#VALUE!</v>
      </c>
      <c r="F103" s="167">
        <f t="shared" si="156"/>
        <v>0</v>
      </c>
      <c r="G103" s="166">
        <f t="shared" si="156"/>
        <v>0</v>
      </c>
      <c r="H103" s="167">
        <f t="shared" si="156"/>
        <v>0</v>
      </c>
      <c r="I103" s="166">
        <f t="shared" si="156"/>
        <v>0</v>
      </c>
      <c r="J103" s="167">
        <f t="shared" si="156"/>
        <v>0</v>
      </c>
      <c r="K103" s="166">
        <f t="shared" si="156"/>
        <v>0</v>
      </c>
      <c r="L103" s="167">
        <f t="shared" si="156"/>
        <v>0</v>
      </c>
      <c r="M103" s="166">
        <f t="shared" si="156"/>
        <v>0</v>
      </c>
      <c r="N103" s="167">
        <f t="shared" si="156"/>
        <v>0</v>
      </c>
      <c r="O103" s="166">
        <f t="shared" si="156"/>
        <v>0</v>
      </c>
      <c r="P103" s="167">
        <f t="shared" si="156"/>
        <v>0</v>
      </c>
      <c r="Q103" s="166">
        <f t="shared" si="156"/>
        <v>0</v>
      </c>
      <c r="R103" s="167">
        <f t="shared" si="156"/>
        <v>0</v>
      </c>
      <c r="S103" s="166">
        <f t="shared" si="156"/>
        <v>0</v>
      </c>
      <c r="T103" s="167">
        <f t="shared" si="156"/>
        <v>0</v>
      </c>
      <c r="U103" s="166">
        <f t="shared" si="156"/>
        <v>0</v>
      </c>
      <c r="V103" s="167">
        <f t="shared" si="156"/>
        <v>0</v>
      </c>
      <c r="W103" s="166">
        <f t="shared" si="156"/>
        <v>0</v>
      </c>
      <c r="X103" s="167">
        <f t="shared" si="156"/>
        <v>0</v>
      </c>
      <c r="Y103" s="166">
        <f t="shared" si="156"/>
        <v>0</v>
      </c>
      <c r="Z103" s="167">
        <f t="shared" si="156"/>
        <v>0</v>
      </c>
      <c r="AA103" s="166">
        <f t="shared" si="156"/>
        <v>0</v>
      </c>
      <c r="AB103" s="167">
        <f t="shared" si="156"/>
        <v>0</v>
      </c>
      <c r="AC103" s="166">
        <f t="shared" si="156"/>
        <v>0</v>
      </c>
      <c r="AD103" s="167">
        <f t="shared" si="156"/>
        <v>0</v>
      </c>
      <c r="AE103" s="166">
        <f t="shared" si="156"/>
        <v>0</v>
      </c>
      <c r="AF103" s="167">
        <f t="shared" si="156"/>
        <v>0</v>
      </c>
      <c r="AG103" s="166">
        <f t="shared" si="156"/>
        <v>0</v>
      </c>
      <c r="AH103" s="167">
        <f t="shared" si="156"/>
        <v>0</v>
      </c>
      <c r="AI103" s="166">
        <f t="shared" si="156"/>
        <v>0</v>
      </c>
      <c r="AJ103" s="167">
        <f t="shared" si="156"/>
        <v>0</v>
      </c>
      <c r="AK103" s="166">
        <f t="shared" si="156"/>
        <v>0</v>
      </c>
      <c r="AL103" s="167">
        <f t="shared" si="156"/>
        <v>0</v>
      </c>
      <c r="AM103" s="166">
        <f t="shared" si="156"/>
        <v>0</v>
      </c>
      <c r="AN103" s="167">
        <f t="shared" si="156"/>
        <v>0</v>
      </c>
      <c r="AO103" s="166">
        <f t="shared" si="156"/>
        <v>0</v>
      </c>
      <c r="AP103" s="167">
        <f t="shared" si="156"/>
        <v>0</v>
      </c>
      <c r="AQ103" s="194">
        <f t="shared" si="156"/>
        <v>0</v>
      </c>
      <c r="AR103" s="167">
        <f t="shared" si="156"/>
        <v>0</v>
      </c>
      <c r="AS103" s="166">
        <f t="shared" si="156"/>
        <v>0</v>
      </c>
      <c r="AT103" s="167">
        <f t="shared" si="156"/>
        <v>0</v>
      </c>
      <c r="AU103" s="166">
        <f t="shared" si="156"/>
        <v>0</v>
      </c>
      <c r="AV103" s="167">
        <f t="shared" si="156"/>
        <v>0</v>
      </c>
      <c r="AW103" s="166">
        <f t="shared" si="156"/>
        <v>0</v>
      </c>
      <c r="AX103" s="167">
        <f t="shared" si="156"/>
        <v>0</v>
      </c>
      <c r="AY103" s="166">
        <f t="shared" si="156"/>
        <v>0</v>
      </c>
      <c r="AZ103" s="167">
        <f t="shared" si="156"/>
        <v>0</v>
      </c>
      <c r="BA103" s="166">
        <f t="shared" si="156"/>
        <v>0</v>
      </c>
      <c r="BB103" s="167">
        <f t="shared" si="156"/>
        <v>0</v>
      </c>
      <c r="BC103" s="166">
        <f t="shared" si="156"/>
        <v>0</v>
      </c>
      <c r="BD103" s="167">
        <f t="shared" si="156"/>
        <v>0</v>
      </c>
      <c r="BE103" s="166">
        <f t="shared" si="156"/>
        <v>0</v>
      </c>
      <c r="BF103" s="167">
        <f t="shared" si="156"/>
        <v>0</v>
      </c>
      <c r="BG103" s="166">
        <f t="shared" si="156"/>
        <v>0</v>
      </c>
      <c r="BH103" s="167">
        <f t="shared" si="156"/>
        <v>0</v>
      </c>
      <c r="BI103" s="166">
        <f t="shared" si="156"/>
        <v>0</v>
      </c>
      <c r="BJ103" s="167">
        <f t="shared" si="156"/>
        <v>0</v>
      </c>
      <c r="BK103" s="166">
        <f t="shared" si="156"/>
        <v>0</v>
      </c>
      <c r="BL103" s="49"/>
      <c r="BM103" s="48"/>
      <c r="BN103" s="50"/>
      <c r="BO103" s="170" t="e">
        <f t="shared" si="128"/>
        <v>#VALUE!</v>
      </c>
      <c r="BP103" s="173">
        <f t="shared" si="156"/>
        <v>0</v>
      </c>
      <c r="BQ103" s="52"/>
    </row>
    <row r="104" spans="1:76" x14ac:dyDescent="0.35">
      <c r="A104" s="53"/>
      <c r="B104" s="54"/>
      <c r="C104" s="144"/>
      <c r="D104" s="189">
        <f t="shared" si="95"/>
        <v>0</v>
      </c>
      <c r="E104" s="48"/>
      <c r="F104" s="167">
        <f t="shared" si="96"/>
        <v>0</v>
      </c>
      <c r="G104" s="48"/>
      <c r="H104" s="167">
        <f t="shared" si="97"/>
        <v>0</v>
      </c>
      <c r="I104" s="48"/>
      <c r="J104" s="167">
        <f t="shared" si="98"/>
        <v>0</v>
      </c>
      <c r="K104" s="48"/>
      <c r="L104" s="167">
        <f t="shared" ref="L104" si="157">+M104-K104</f>
        <v>0</v>
      </c>
      <c r="M104" s="48"/>
      <c r="N104" s="167">
        <f t="shared" ref="N104" si="158">+O104-M104</f>
        <v>0</v>
      </c>
      <c r="O104" s="48"/>
      <c r="P104" s="167">
        <f t="shared" ref="P104" si="159">+Q104-O104</f>
        <v>0</v>
      </c>
      <c r="Q104" s="48"/>
      <c r="R104" s="167">
        <f t="shared" ref="R104" si="160">+S104-Q104</f>
        <v>0</v>
      </c>
      <c r="S104" s="48"/>
      <c r="T104" s="167">
        <f t="shared" ref="T104" si="161">+U104-S104</f>
        <v>0</v>
      </c>
      <c r="U104" s="48"/>
      <c r="V104" s="167">
        <f t="shared" ref="V104" si="162">+W104-U104</f>
        <v>0</v>
      </c>
      <c r="W104" s="48"/>
      <c r="X104" s="167">
        <f t="shared" ref="X104" si="163">+Y104-W104</f>
        <v>0</v>
      </c>
      <c r="Y104" s="48"/>
      <c r="Z104" s="167">
        <f t="shared" ref="Z104" si="164">+AA104-Y104</f>
        <v>0</v>
      </c>
      <c r="AA104" s="48"/>
      <c r="AB104" s="167">
        <f t="shared" ref="AB104" si="165">+AC104-AA104</f>
        <v>0</v>
      </c>
      <c r="AC104" s="48"/>
      <c r="AD104" s="167">
        <f t="shared" ref="AD104" si="166">+AE104-AC104</f>
        <v>0</v>
      </c>
      <c r="AE104" s="48"/>
      <c r="AF104" s="167">
        <f t="shared" ref="AF104" si="167">+AG104-AE104</f>
        <v>0</v>
      </c>
      <c r="AG104" s="48"/>
      <c r="AH104" s="167">
        <f t="shared" ref="AH104" si="168">+AI104-AG104</f>
        <v>0</v>
      </c>
      <c r="AI104" s="48"/>
      <c r="AJ104" s="167">
        <f t="shared" ref="AJ104" si="169">+AK104-AI104</f>
        <v>0</v>
      </c>
      <c r="AK104" s="48"/>
      <c r="AL104" s="167">
        <f t="shared" ref="AL104" si="170">+AM104-AK104</f>
        <v>0</v>
      </c>
      <c r="AM104" s="48"/>
      <c r="AN104" s="167">
        <f t="shared" ref="AN104" si="171">+AO104-AM104</f>
        <v>0</v>
      </c>
      <c r="AO104" s="48"/>
      <c r="AP104" s="167">
        <f t="shared" ref="AP104" si="172">+AQ104-AO104</f>
        <v>0</v>
      </c>
      <c r="AQ104" s="48"/>
      <c r="AR104" s="167">
        <f t="shared" ref="AR104" si="173">+AS104-AQ104</f>
        <v>0</v>
      </c>
      <c r="AS104" s="48"/>
      <c r="AT104" s="167">
        <f t="shared" ref="AT104" si="174">+AU104-AS104</f>
        <v>0</v>
      </c>
      <c r="AU104" s="48"/>
      <c r="AV104" s="167">
        <f t="shared" ref="AV104" si="175">+AW104-AU104</f>
        <v>0</v>
      </c>
      <c r="AW104" s="48"/>
      <c r="AX104" s="167">
        <f t="shared" ref="AX104" si="176">+AY104-AW104</f>
        <v>0</v>
      </c>
      <c r="AY104" s="48"/>
      <c r="AZ104" s="167">
        <f t="shared" ref="AZ104" si="177">+BA104-AY104</f>
        <v>0</v>
      </c>
      <c r="BA104" s="48"/>
      <c r="BB104" s="167">
        <f t="shared" ref="BB104" si="178">+BC104-BA104</f>
        <v>0</v>
      </c>
      <c r="BC104" s="48"/>
      <c r="BD104" s="167">
        <f t="shared" ref="BD104" si="179">+BE104-BC104</f>
        <v>0</v>
      </c>
      <c r="BE104" s="48"/>
      <c r="BF104" s="167">
        <f t="shared" ref="BF104" si="180">+BG104-BE104</f>
        <v>0</v>
      </c>
      <c r="BG104" s="48"/>
      <c r="BH104" s="167">
        <f t="shared" ref="BH104" si="181">+BI104-BG104</f>
        <v>0</v>
      </c>
      <c r="BI104" s="48"/>
      <c r="BJ104" s="167">
        <f t="shared" ref="BJ104" si="182">+BK104-BI104</f>
        <v>0</v>
      </c>
      <c r="BK104" s="48"/>
      <c r="BL104" s="49"/>
      <c r="BM104" s="48"/>
      <c r="BN104" s="50"/>
      <c r="BO104" s="51"/>
      <c r="BP104" s="173">
        <f t="shared" ref="BP104" si="183">+BQ104-BM104</f>
        <v>0</v>
      </c>
      <c r="BQ104" s="52"/>
    </row>
    <row r="105" spans="1:76" x14ac:dyDescent="0.35">
      <c r="A105" s="74"/>
      <c r="B105" s="75"/>
      <c r="C105" s="76"/>
      <c r="D105" s="77"/>
      <c r="E105" s="148"/>
      <c r="F105" s="79"/>
      <c r="G105" s="148"/>
      <c r="H105" s="79"/>
      <c r="I105" s="148"/>
      <c r="J105" s="79"/>
      <c r="K105" s="148"/>
      <c r="L105" s="79"/>
      <c r="M105" s="148"/>
      <c r="N105" s="79"/>
      <c r="O105" s="148"/>
      <c r="P105" s="79"/>
      <c r="Q105" s="148"/>
      <c r="R105" s="79"/>
      <c r="S105" s="148"/>
      <c r="T105" s="79"/>
      <c r="U105" s="148"/>
      <c r="V105" s="79"/>
      <c r="W105" s="148"/>
      <c r="X105" s="79"/>
      <c r="Y105" s="148"/>
      <c r="Z105" s="79"/>
      <c r="AA105" s="148"/>
      <c r="AB105" s="79"/>
      <c r="AC105" s="148"/>
      <c r="AD105" s="79"/>
      <c r="AE105" s="148"/>
      <c r="AF105" s="79"/>
      <c r="AG105" s="148"/>
      <c r="AH105" s="79"/>
      <c r="AI105" s="148"/>
      <c r="AJ105" s="79"/>
      <c r="AK105" s="148"/>
      <c r="AL105" s="79"/>
      <c r="AM105" s="148"/>
      <c r="AN105" s="79"/>
      <c r="AO105" s="148"/>
      <c r="AP105" s="79"/>
      <c r="AQ105" s="148"/>
      <c r="AR105" s="79"/>
      <c r="AS105" s="148"/>
      <c r="AT105" s="79"/>
      <c r="AU105" s="148"/>
      <c r="AV105" s="79"/>
      <c r="AW105" s="148"/>
      <c r="AX105" s="79"/>
      <c r="AY105" s="148"/>
      <c r="AZ105" s="79"/>
      <c r="BA105" s="148"/>
      <c r="BB105" s="79"/>
      <c r="BC105" s="148"/>
      <c r="BD105" s="79"/>
      <c r="BE105" s="148"/>
      <c r="BF105" s="79"/>
      <c r="BG105" s="148"/>
      <c r="BH105" s="79"/>
      <c r="BI105" s="148"/>
      <c r="BJ105" s="79"/>
      <c r="BK105" s="148"/>
      <c r="BL105" s="79"/>
      <c r="BM105" s="148"/>
      <c r="BN105" s="80"/>
      <c r="BO105" s="81"/>
      <c r="BP105" s="79"/>
      <c r="BQ105" s="82"/>
    </row>
    <row r="106" spans="1:76" x14ac:dyDescent="0.35">
      <c r="A106" s="53" t="s">
        <v>32</v>
      </c>
      <c r="B106" s="54"/>
      <c r="C106" s="67"/>
      <c r="D106" s="68"/>
      <c r="E106" s="69"/>
      <c r="F106" s="70"/>
      <c r="G106" s="69"/>
      <c r="H106" s="70"/>
      <c r="I106" s="69"/>
      <c r="J106" s="70"/>
      <c r="K106" s="69"/>
      <c r="L106" s="70"/>
      <c r="M106" s="69"/>
      <c r="N106" s="70"/>
      <c r="O106" s="69"/>
      <c r="P106" s="70"/>
      <c r="Q106" s="69"/>
      <c r="R106" s="70"/>
      <c r="S106" s="69"/>
      <c r="T106" s="70"/>
      <c r="U106" s="69"/>
      <c r="V106" s="70"/>
      <c r="W106" s="69"/>
      <c r="X106" s="70"/>
      <c r="Y106" s="69"/>
      <c r="Z106" s="70"/>
      <c r="AA106" s="69"/>
      <c r="AB106" s="70"/>
      <c r="AC106" s="69"/>
      <c r="AD106" s="70"/>
      <c r="AE106" s="69"/>
      <c r="AF106" s="70"/>
      <c r="AG106" s="69"/>
      <c r="AH106" s="70"/>
      <c r="AI106" s="69"/>
      <c r="AJ106" s="70"/>
      <c r="AK106" s="69"/>
      <c r="AL106" s="70"/>
      <c r="AM106" s="69"/>
      <c r="AN106" s="70"/>
      <c r="AO106" s="69"/>
      <c r="AP106" s="70"/>
      <c r="AQ106" s="69"/>
      <c r="AR106" s="70"/>
      <c r="AS106" s="69"/>
      <c r="AT106" s="70"/>
      <c r="AU106" s="69"/>
      <c r="AV106" s="70"/>
      <c r="AW106" s="69"/>
      <c r="AX106" s="70"/>
      <c r="AY106" s="69"/>
      <c r="AZ106" s="70"/>
      <c r="BA106" s="69"/>
      <c r="BB106" s="70"/>
      <c r="BC106" s="69"/>
      <c r="BD106" s="70"/>
      <c r="BE106" s="69"/>
      <c r="BF106" s="70"/>
      <c r="BG106" s="69"/>
      <c r="BH106" s="70"/>
      <c r="BI106" s="69"/>
      <c r="BJ106" s="70"/>
      <c r="BK106" s="69"/>
      <c r="BL106" s="70"/>
      <c r="BM106" s="69"/>
      <c r="BN106" s="71"/>
      <c r="BO106" s="182" t="str">
        <f t="shared" ref="BO106:BO120" si="184">IF(COUNT(E106,G106,I106,K106,M106,O106,Q106,S106,U106,W106,Y106,AA106,AC106,AE106,AG106,AI106,AK106,AM106,AO106,AQ106,AS106,AU106,AW106,AY106,BA106,BC106,BE106,BG106,BI106,BK106,BM106)=0,"",SUM(E106,G106,I106,K106,M106,O106,Q106,S106,U106,W106,Y106,AA106,AC106,AE106,AG106,AI106,AK106,AM106,AO106,AQ106,AS106,AU106,AW106,AY106,BA106,BC106,BE106,BG106,BI106,BK106,BM106))</f>
        <v/>
      </c>
      <c r="BP106" s="70"/>
      <c r="BQ106" s="73"/>
    </row>
    <row r="107" spans="1:76" x14ac:dyDescent="0.35">
      <c r="A107" s="53" t="s">
        <v>33</v>
      </c>
      <c r="B107" s="54"/>
      <c r="C107" s="67"/>
      <c r="D107" s="68"/>
      <c r="E107" s="69"/>
      <c r="F107" s="70"/>
      <c r="G107" s="69"/>
      <c r="H107" s="70"/>
      <c r="I107" s="69"/>
      <c r="J107" s="70"/>
      <c r="K107" s="69"/>
      <c r="L107" s="70"/>
      <c r="M107" s="69"/>
      <c r="N107" s="70"/>
      <c r="O107" s="69"/>
      <c r="P107" s="70"/>
      <c r="Q107" s="69"/>
      <c r="R107" s="70"/>
      <c r="S107" s="69"/>
      <c r="T107" s="70"/>
      <c r="U107" s="69"/>
      <c r="V107" s="70"/>
      <c r="W107" s="69"/>
      <c r="X107" s="70"/>
      <c r="Y107" s="69"/>
      <c r="Z107" s="70"/>
      <c r="AA107" s="69"/>
      <c r="AB107" s="70"/>
      <c r="AC107" s="69"/>
      <c r="AD107" s="70"/>
      <c r="AE107" s="69"/>
      <c r="AF107" s="70"/>
      <c r="AG107" s="69"/>
      <c r="AH107" s="70"/>
      <c r="AI107" s="69"/>
      <c r="AJ107" s="70"/>
      <c r="AK107" s="69"/>
      <c r="AL107" s="70"/>
      <c r="AM107" s="69"/>
      <c r="AN107" s="70"/>
      <c r="AO107" s="69"/>
      <c r="AP107" s="70"/>
      <c r="AQ107" s="69"/>
      <c r="AR107" s="70"/>
      <c r="AS107" s="69"/>
      <c r="AT107" s="70"/>
      <c r="AU107" s="69"/>
      <c r="AV107" s="70"/>
      <c r="AW107" s="69"/>
      <c r="AX107" s="70"/>
      <c r="AY107" s="69"/>
      <c r="AZ107" s="70"/>
      <c r="BA107" s="69"/>
      <c r="BB107" s="70"/>
      <c r="BC107" s="69"/>
      <c r="BD107" s="70"/>
      <c r="BE107" s="69"/>
      <c r="BF107" s="70"/>
      <c r="BG107" s="69"/>
      <c r="BH107" s="70"/>
      <c r="BI107" s="69"/>
      <c r="BJ107" s="70"/>
      <c r="BK107" s="69"/>
      <c r="BL107" s="70"/>
      <c r="BM107" s="69"/>
      <c r="BN107" s="71"/>
      <c r="BO107" s="182" t="str">
        <f t="shared" si="184"/>
        <v/>
      </c>
      <c r="BP107" s="70"/>
      <c r="BQ107" s="73"/>
    </row>
    <row r="108" spans="1:76" x14ac:dyDescent="0.35">
      <c r="A108" s="53" t="s">
        <v>33</v>
      </c>
      <c r="B108" s="54"/>
      <c r="C108" s="67"/>
      <c r="D108" s="68"/>
      <c r="E108" s="69"/>
      <c r="F108" s="70"/>
      <c r="G108" s="69"/>
      <c r="H108" s="70"/>
      <c r="I108" s="69"/>
      <c r="J108" s="70"/>
      <c r="K108" s="69"/>
      <c r="L108" s="70"/>
      <c r="M108" s="69"/>
      <c r="N108" s="70"/>
      <c r="O108" s="69"/>
      <c r="P108" s="70"/>
      <c r="Q108" s="69"/>
      <c r="R108" s="70"/>
      <c r="S108" s="69"/>
      <c r="T108" s="70"/>
      <c r="U108" s="69"/>
      <c r="V108" s="70"/>
      <c r="W108" s="69"/>
      <c r="X108" s="70"/>
      <c r="Y108" s="69"/>
      <c r="Z108" s="70"/>
      <c r="AA108" s="69"/>
      <c r="AB108" s="70"/>
      <c r="AC108" s="69"/>
      <c r="AD108" s="70"/>
      <c r="AE108" s="69"/>
      <c r="AF108" s="70"/>
      <c r="AG108" s="69"/>
      <c r="AH108" s="70"/>
      <c r="AI108" s="69"/>
      <c r="AJ108" s="70"/>
      <c r="AK108" s="69"/>
      <c r="AL108" s="70"/>
      <c r="AM108" s="69"/>
      <c r="AN108" s="70"/>
      <c r="AO108" s="69"/>
      <c r="AP108" s="70"/>
      <c r="AQ108" s="69"/>
      <c r="AR108" s="70"/>
      <c r="AS108" s="69"/>
      <c r="AT108" s="70"/>
      <c r="AU108" s="69"/>
      <c r="AV108" s="70"/>
      <c r="AW108" s="69"/>
      <c r="AX108" s="70"/>
      <c r="AY108" s="69"/>
      <c r="AZ108" s="70"/>
      <c r="BA108" s="69"/>
      <c r="BB108" s="70"/>
      <c r="BC108" s="69"/>
      <c r="BD108" s="70"/>
      <c r="BE108" s="69"/>
      <c r="BF108" s="70"/>
      <c r="BG108" s="69"/>
      <c r="BH108" s="70"/>
      <c r="BI108" s="69"/>
      <c r="BJ108" s="70"/>
      <c r="BK108" s="69"/>
      <c r="BL108" s="70"/>
      <c r="BM108" s="69"/>
      <c r="BN108" s="71"/>
      <c r="BO108" s="182" t="str">
        <f t="shared" si="184"/>
        <v/>
      </c>
      <c r="BP108" s="70"/>
      <c r="BQ108" s="73"/>
    </row>
    <row r="109" spans="1:76" x14ac:dyDescent="0.35">
      <c r="A109" s="53" t="s">
        <v>34</v>
      </c>
      <c r="B109" s="54"/>
      <c r="C109" s="67"/>
      <c r="D109" s="68"/>
      <c r="E109" s="69"/>
      <c r="F109" s="70"/>
      <c r="G109" s="69"/>
      <c r="H109" s="70"/>
      <c r="I109" s="69"/>
      <c r="J109" s="70"/>
      <c r="K109" s="69"/>
      <c r="L109" s="70"/>
      <c r="M109" s="69"/>
      <c r="N109" s="70"/>
      <c r="O109" s="69"/>
      <c r="P109" s="70"/>
      <c r="Q109" s="69"/>
      <c r="R109" s="70"/>
      <c r="S109" s="69"/>
      <c r="T109" s="70"/>
      <c r="U109" s="69"/>
      <c r="V109" s="70"/>
      <c r="W109" s="69"/>
      <c r="X109" s="70"/>
      <c r="Y109" s="69"/>
      <c r="Z109" s="70"/>
      <c r="AA109" s="69"/>
      <c r="AB109" s="70"/>
      <c r="AC109" s="69"/>
      <c r="AD109" s="70"/>
      <c r="AE109" s="69"/>
      <c r="AF109" s="70"/>
      <c r="AG109" s="69"/>
      <c r="AH109" s="70"/>
      <c r="AI109" s="69"/>
      <c r="AJ109" s="70"/>
      <c r="AK109" s="69"/>
      <c r="AL109" s="70"/>
      <c r="AM109" s="69"/>
      <c r="AN109" s="70"/>
      <c r="AO109" s="69"/>
      <c r="AP109" s="70"/>
      <c r="AQ109" s="69"/>
      <c r="AR109" s="70"/>
      <c r="AS109" s="69"/>
      <c r="AT109" s="70"/>
      <c r="AU109" s="69"/>
      <c r="AV109" s="70"/>
      <c r="AW109" s="69"/>
      <c r="AX109" s="70"/>
      <c r="AY109" s="69"/>
      <c r="AZ109" s="70"/>
      <c r="BA109" s="69"/>
      <c r="BB109" s="70"/>
      <c r="BC109" s="69"/>
      <c r="BD109" s="70"/>
      <c r="BE109" s="69"/>
      <c r="BF109" s="70"/>
      <c r="BG109" s="69"/>
      <c r="BH109" s="70"/>
      <c r="BI109" s="69"/>
      <c r="BJ109" s="70"/>
      <c r="BK109" s="69"/>
      <c r="BL109" s="70"/>
      <c r="BM109" s="69"/>
      <c r="BN109" s="71"/>
      <c r="BO109" s="182" t="str">
        <f t="shared" si="184"/>
        <v/>
      </c>
      <c r="BP109" s="70"/>
      <c r="BQ109" s="73"/>
    </row>
    <row r="110" spans="1:76" x14ac:dyDescent="0.35">
      <c r="A110" s="53" t="s">
        <v>34</v>
      </c>
      <c r="B110" s="54"/>
      <c r="C110" s="67"/>
      <c r="D110" s="68"/>
      <c r="E110" s="69"/>
      <c r="F110" s="70"/>
      <c r="G110" s="69"/>
      <c r="H110" s="70"/>
      <c r="I110" s="69"/>
      <c r="J110" s="70"/>
      <c r="K110" s="69"/>
      <c r="L110" s="70"/>
      <c r="M110" s="69"/>
      <c r="N110" s="70"/>
      <c r="O110" s="69"/>
      <c r="P110" s="70"/>
      <c r="Q110" s="69"/>
      <c r="R110" s="70"/>
      <c r="S110" s="69"/>
      <c r="T110" s="70"/>
      <c r="U110" s="69"/>
      <c r="V110" s="70"/>
      <c r="W110" s="69"/>
      <c r="X110" s="70"/>
      <c r="Y110" s="69"/>
      <c r="Z110" s="70"/>
      <c r="AA110" s="69"/>
      <c r="AB110" s="70"/>
      <c r="AC110" s="69"/>
      <c r="AD110" s="70"/>
      <c r="AE110" s="69"/>
      <c r="AF110" s="70"/>
      <c r="AG110" s="69"/>
      <c r="AH110" s="70"/>
      <c r="AI110" s="69"/>
      <c r="AJ110" s="70"/>
      <c r="AK110" s="69"/>
      <c r="AL110" s="70"/>
      <c r="AM110" s="69"/>
      <c r="AN110" s="70"/>
      <c r="AO110" s="69"/>
      <c r="AP110" s="70"/>
      <c r="AQ110" s="69"/>
      <c r="AR110" s="70"/>
      <c r="AS110" s="69"/>
      <c r="AT110" s="70"/>
      <c r="AU110" s="69"/>
      <c r="AV110" s="70"/>
      <c r="AW110" s="69"/>
      <c r="AX110" s="70"/>
      <c r="AY110" s="69"/>
      <c r="AZ110" s="70"/>
      <c r="BA110" s="69"/>
      <c r="BB110" s="70"/>
      <c r="BC110" s="69"/>
      <c r="BD110" s="70"/>
      <c r="BE110" s="69"/>
      <c r="BF110" s="70"/>
      <c r="BG110" s="69"/>
      <c r="BH110" s="70"/>
      <c r="BI110" s="69"/>
      <c r="BJ110" s="70"/>
      <c r="BK110" s="69"/>
      <c r="BL110" s="70"/>
      <c r="BM110" s="69"/>
      <c r="BN110" s="71"/>
      <c r="BO110" s="182" t="str">
        <f t="shared" si="184"/>
        <v/>
      </c>
      <c r="BP110" s="70"/>
      <c r="BQ110" s="73"/>
    </row>
    <row r="111" spans="1:76" s="6" customFormat="1" x14ac:dyDescent="0.35">
      <c r="A111" s="149" t="s">
        <v>71</v>
      </c>
      <c r="B111" s="150"/>
      <c r="C111" s="67"/>
      <c r="D111" s="151"/>
      <c r="E111" s="69"/>
      <c r="F111" s="152"/>
      <c r="G111" s="69"/>
      <c r="H111" s="152"/>
      <c r="I111" s="69"/>
      <c r="J111" s="152"/>
      <c r="K111" s="69"/>
      <c r="L111" s="152"/>
      <c r="M111" s="69"/>
      <c r="N111" s="152"/>
      <c r="O111" s="69"/>
      <c r="P111" s="152"/>
      <c r="Q111" s="69"/>
      <c r="R111" s="152"/>
      <c r="S111" s="69"/>
      <c r="T111" s="152"/>
      <c r="U111" s="69"/>
      <c r="V111" s="152"/>
      <c r="W111" s="69"/>
      <c r="X111" s="152"/>
      <c r="Y111" s="69"/>
      <c r="Z111" s="152"/>
      <c r="AA111" s="69"/>
      <c r="AB111" s="152"/>
      <c r="AC111" s="69"/>
      <c r="AD111" s="152"/>
      <c r="AE111" s="69"/>
      <c r="AF111" s="152"/>
      <c r="AG111" s="69"/>
      <c r="AH111" s="152"/>
      <c r="AI111" s="69"/>
      <c r="AJ111" s="152"/>
      <c r="AK111" s="69"/>
      <c r="AL111" s="152"/>
      <c r="AM111" s="69"/>
      <c r="AN111" s="152"/>
      <c r="AO111" s="69"/>
      <c r="AP111" s="152"/>
      <c r="AQ111" s="69"/>
      <c r="AR111" s="152"/>
      <c r="AS111" s="69"/>
      <c r="AT111" s="152"/>
      <c r="AU111" s="69"/>
      <c r="AV111" s="152"/>
      <c r="AW111" s="69"/>
      <c r="AX111" s="152"/>
      <c r="AY111" s="69"/>
      <c r="AZ111" s="152"/>
      <c r="BA111" s="69"/>
      <c r="BB111" s="152"/>
      <c r="BC111" s="69"/>
      <c r="BD111" s="152"/>
      <c r="BE111" s="69"/>
      <c r="BF111" s="152"/>
      <c r="BG111" s="69"/>
      <c r="BH111" s="152"/>
      <c r="BI111" s="69"/>
      <c r="BJ111" s="152"/>
      <c r="BK111" s="69"/>
      <c r="BL111" s="152"/>
      <c r="BM111" s="69"/>
      <c r="BN111" s="71"/>
      <c r="BO111" s="182" t="str">
        <f t="shared" si="184"/>
        <v/>
      </c>
      <c r="BP111" s="152"/>
      <c r="BQ111" s="73"/>
      <c r="BR111"/>
      <c r="BS111"/>
      <c r="BT111"/>
      <c r="BU111"/>
      <c r="BV111"/>
      <c r="BW111"/>
      <c r="BX111"/>
    </row>
    <row r="112" spans="1:76" x14ac:dyDescent="0.35">
      <c r="A112" s="53" t="s">
        <v>72</v>
      </c>
      <c r="B112" s="54"/>
      <c r="C112" s="67"/>
      <c r="D112" s="68"/>
      <c r="E112" s="69"/>
      <c r="F112" s="70"/>
      <c r="G112" s="69"/>
      <c r="H112" s="70"/>
      <c r="I112" s="69"/>
      <c r="J112" s="70"/>
      <c r="K112" s="69"/>
      <c r="L112" s="70"/>
      <c r="M112" s="69"/>
      <c r="N112" s="70"/>
      <c r="O112" s="69"/>
      <c r="P112" s="70"/>
      <c r="Q112" s="69"/>
      <c r="R112" s="70"/>
      <c r="S112" s="69"/>
      <c r="T112" s="70"/>
      <c r="U112" s="69"/>
      <c r="V112" s="70"/>
      <c r="W112" s="69"/>
      <c r="X112" s="70"/>
      <c r="Y112" s="69"/>
      <c r="Z112" s="70"/>
      <c r="AA112" s="69"/>
      <c r="AB112" s="70"/>
      <c r="AC112" s="69"/>
      <c r="AD112" s="70"/>
      <c r="AE112" s="69"/>
      <c r="AF112" s="70"/>
      <c r="AG112" s="69"/>
      <c r="AH112" s="70"/>
      <c r="AI112" s="69"/>
      <c r="AJ112" s="70"/>
      <c r="AK112" s="69"/>
      <c r="AL112" s="70"/>
      <c r="AM112" s="69"/>
      <c r="AN112" s="70"/>
      <c r="AO112" s="69"/>
      <c r="AP112" s="70"/>
      <c r="AQ112" s="69"/>
      <c r="AR112" s="70"/>
      <c r="AS112" s="69"/>
      <c r="AT112" s="70"/>
      <c r="AU112" s="69"/>
      <c r="AV112" s="70"/>
      <c r="AW112" s="69"/>
      <c r="AX112" s="70"/>
      <c r="AY112" s="69"/>
      <c r="AZ112" s="70"/>
      <c r="BA112" s="69"/>
      <c r="BB112" s="70"/>
      <c r="BC112" s="69"/>
      <c r="BD112" s="70"/>
      <c r="BE112" s="69"/>
      <c r="BF112" s="70"/>
      <c r="BG112" s="69"/>
      <c r="BH112" s="70"/>
      <c r="BI112" s="69"/>
      <c r="BJ112" s="70"/>
      <c r="BK112" s="69"/>
      <c r="BL112" s="70"/>
      <c r="BM112" s="69"/>
      <c r="BN112" s="71"/>
      <c r="BO112" s="182" t="str">
        <f t="shared" si="184"/>
        <v/>
      </c>
      <c r="BP112" s="70"/>
      <c r="BQ112" s="73"/>
    </row>
    <row r="113" spans="1:69" x14ac:dyDescent="0.35">
      <c r="A113" s="53" t="s">
        <v>73</v>
      </c>
      <c r="B113" s="54"/>
      <c r="C113" s="67"/>
      <c r="D113" s="68"/>
      <c r="E113" s="69"/>
      <c r="F113" s="70"/>
      <c r="G113" s="69"/>
      <c r="H113" s="70"/>
      <c r="I113" s="69"/>
      <c r="J113" s="70"/>
      <c r="K113" s="69"/>
      <c r="L113" s="70"/>
      <c r="M113" s="69"/>
      <c r="N113" s="70"/>
      <c r="O113" s="69"/>
      <c r="P113" s="70"/>
      <c r="Q113" s="69"/>
      <c r="R113" s="70"/>
      <c r="S113" s="69"/>
      <c r="T113" s="70"/>
      <c r="U113" s="69"/>
      <c r="V113" s="70"/>
      <c r="W113" s="69"/>
      <c r="X113" s="70"/>
      <c r="Y113" s="69"/>
      <c r="Z113" s="70"/>
      <c r="AA113" s="69"/>
      <c r="AB113" s="70"/>
      <c r="AC113" s="69"/>
      <c r="AD113" s="70"/>
      <c r="AE113" s="69"/>
      <c r="AF113" s="70"/>
      <c r="AG113" s="69"/>
      <c r="AH113" s="70"/>
      <c r="AI113" s="69"/>
      <c r="AJ113" s="70"/>
      <c r="AK113" s="69"/>
      <c r="AL113" s="70"/>
      <c r="AM113" s="69"/>
      <c r="AN113" s="70"/>
      <c r="AO113" s="69"/>
      <c r="AP113" s="70"/>
      <c r="AQ113" s="69"/>
      <c r="AR113" s="70"/>
      <c r="AS113" s="69"/>
      <c r="AT113" s="70"/>
      <c r="AU113" s="69"/>
      <c r="AV113" s="70"/>
      <c r="AW113" s="69"/>
      <c r="AX113" s="70"/>
      <c r="AY113" s="69"/>
      <c r="AZ113" s="70"/>
      <c r="BA113" s="69"/>
      <c r="BB113" s="70"/>
      <c r="BC113" s="69"/>
      <c r="BD113" s="70"/>
      <c r="BE113" s="69"/>
      <c r="BF113" s="70"/>
      <c r="BG113" s="69"/>
      <c r="BH113" s="70"/>
      <c r="BI113" s="69"/>
      <c r="BJ113" s="70"/>
      <c r="BK113" s="69"/>
      <c r="BL113" s="70"/>
      <c r="BM113" s="69"/>
      <c r="BN113" s="71"/>
      <c r="BO113" s="182" t="str">
        <f t="shared" si="184"/>
        <v/>
      </c>
      <c r="BP113" s="70"/>
      <c r="BQ113" s="73"/>
    </row>
    <row r="114" spans="1:69" x14ac:dyDescent="0.35">
      <c r="A114" s="53" t="s">
        <v>70</v>
      </c>
      <c r="B114" s="54"/>
      <c r="C114" s="67"/>
      <c r="D114" s="68"/>
      <c r="E114" s="69"/>
      <c r="F114" s="70"/>
      <c r="G114" s="69"/>
      <c r="H114" s="70"/>
      <c r="I114" s="69"/>
      <c r="J114" s="70"/>
      <c r="K114" s="69"/>
      <c r="L114" s="70"/>
      <c r="M114" s="69"/>
      <c r="N114" s="70"/>
      <c r="O114" s="69"/>
      <c r="P114" s="70"/>
      <c r="Q114" s="69"/>
      <c r="R114" s="70"/>
      <c r="S114" s="69"/>
      <c r="T114" s="70"/>
      <c r="U114" s="69"/>
      <c r="V114" s="70"/>
      <c r="W114" s="69"/>
      <c r="X114" s="70"/>
      <c r="Y114" s="69"/>
      <c r="Z114" s="70"/>
      <c r="AA114" s="69"/>
      <c r="AB114" s="70"/>
      <c r="AC114" s="69"/>
      <c r="AD114" s="70"/>
      <c r="AE114" s="69"/>
      <c r="AF114" s="70"/>
      <c r="AG114" s="69"/>
      <c r="AH114" s="70"/>
      <c r="AI114" s="69"/>
      <c r="AJ114" s="70"/>
      <c r="AK114" s="69"/>
      <c r="AL114" s="70"/>
      <c r="AM114" s="69"/>
      <c r="AN114" s="70"/>
      <c r="AO114" s="69"/>
      <c r="AP114" s="70"/>
      <c r="AQ114" s="69"/>
      <c r="AR114" s="70"/>
      <c r="AS114" s="69"/>
      <c r="AT114" s="70"/>
      <c r="AU114" s="69"/>
      <c r="AV114" s="70"/>
      <c r="AW114" s="69"/>
      <c r="AX114" s="70"/>
      <c r="AY114" s="69"/>
      <c r="AZ114" s="70"/>
      <c r="BA114" s="69"/>
      <c r="BB114" s="70"/>
      <c r="BC114" s="69"/>
      <c r="BD114" s="70"/>
      <c r="BE114" s="69"/>
      <c r="BF114" s="70"/>
      <c r="BG114" s="69"/>
      <c r="BH114" s="70"/>
      <c r="BI114" s="69"/>
      <c r="BJ114" s="70"/>
      <c r="BK114" s="69"/>
      <c r="BL114" s="70"/>
      <c r="BM114" s="69"/>
      <c r="BN114" s="71"/>
      <c r="BO114" s="182" t="str">
        <f t="shared" si="184"/>
        <v/>
      </c>
      <c r="BP114" s="70"/>
      <c r="BQ114" s="73"/>
    </row>
    <row r="115" spans="1:69" x14ac:dyDescent="0.35">
      <c r="A115" s="53" t="s">
        <v>27</v>
      </c>
      <c r="B115" s="54"/>
      <c r="C115" s="67"/>
      <c r="D115" s="68"/>
      <c r="E115" s="69"/>
      <c r="F115" s="70"/>
      <c r="G115" s="69"/>
      <c r="H115" s="70"/>
      <c r="I115" s="69"/>
      <c r="J115" s="70"/>
      <c r="K115" s="69"/>
      <c r="L115" s="70"/>
      <c r="M115" s="69"/>
      <c r="N115" s="70"/>
      <c r="O115" s="69"/>
      <c r="P115" s="70"/>
      <c r="Q115" s="69"/>
      <c r="R115" s="70"/>
      <c r="S115" s="69"/>
      <c r="T115" s="70"/>
      <c r="U115" s="69"/>
      <c r="V115" s="70"/>
      <c r="W115" s="69"/>
      <c r="X115" s="70"/>
      <c r="Y115" s="69"/>
      <c r="Z115" s="70"/>
      <c r="AA115" s="69"/>
      <c r="AB115" s="70"/>
      <c r="AC115" s="69"/>
      <c r="AD115" s="70"/>
      <c r="AE115" s="69"/>
      <c r="AF115" s="70"/>
      <c r="AG115" s="69"/>
      <c r="AH115" s="70"/>
      <c r="AI115" s="69"/>
      <c r="AJ115" s="70"/>
      <c r="AK115" s="69"/>
      <c r="AL115" s="70"/>
      <c r="AM115" s="69"/>
      <c r="AN115" s="70"/>
      <c r="AO115" s="69"/>
      <c r="AP115" s="70"/>
      <c r="AQ115" s="69"/>
      <c r="AR115" s="70"/>
      <c r="AS115" s="69"/>
      <c r="AT115" s="70"/>
      <c r="AU115" s="69"/>
      <c r="AV115" s="70"/>
      <c r="AW115" s="69"/>
      <c r="AX115" s="70"/>
      <c r="AY115" s="69"/>
      <c r="AZ115" s="70"/>
      <c r="BA115" s="69"/>
      <c r="BB115" s="70"/>
      <c r="BC115" s="69"/>
      <c r="BD115" s="70"/>
      <c r="BE115" s="69"/>
      <c r="BF115" s="70"/>
      <c r="BG115" s="69"/>
      <c r="BH115" s="70"/>
      <c r="BI115" s="69"/>
      <c r="BJ115" s="70"/>
      <c r="BK115" s="69"/>
      <c r="BL115" s="70"/>
      <c r="BM115" s="69"/>
      <c r="BN115" s="71"/>
      <c r="BO115" s="182" t="str">
        <f t="shared" si="184"/>
        <v/>
      </c>
      <c r="BP115" s="70"/>
      <c r="BQ115" s="73"/>
    </row>
    <row r="116" spans="1:69" x14ac:dyDescent="0.35">
      <c r="A116" s="53" t="s">
        <v>28</v>
      </c>
      <c r="B116" s="54"/>
      <c r="C116" s="67"/>
      <c r="D116" s="68"/>
      <c r="E116" s="69"/>
      <c r="F116" s="70"/>
      <c r="G116" s="69"/>
      <c r="H116" s="70"/>
      <c r="I116" s="69"/>
      <c r="J116" s="70"/>
      <c r="K116" s="69"/>
      <c r="L116" s="70"/>
      <c r="M116" s="69"/>
      <c r="N116" s="70"/>
      <c r="O116" s="69"/>
      <c r="P116" s="70"/>
      <c r="Q116" s="69"/>
      <c r="R116" s="70"/>
      <c r="S116" s="69"/>
      <c r="T116" s="70"/>
      <c r="U116" s="69"/>
      <c r="V116" s="70"/>
      <c r="W116" s="69"/>
      <c r="X116" s="70"/>
      <c r="Y116" s="69"/>
      <c r="Z116" s="70"/>
      <c r="AA116" s="69"/>
      <c r="AB116" s="70"/>
      <c r="AC116" s="69"/>
      <c r="AD116" s="70"/>
      <c r="AE116" s="69"/>
      <c r="AF116" s="70"/>
      <c r="AG116" s="69"/>
      <c r="AH116" s="70"/>
      <c r="AI116" s="69"/>
      <c r="AJ116" s="70"/>
      <c r="AK116" s="69"/>
      <c r="AL116" s="70"/>
      <c r="AM116" s="69"/>
      <c r="AN116" s="70"/>
      <c r="AO116" s="69"/>
      <c r="AP116" s="70"/>
      <c r="AQ116" s="69"/>
      <c r="AR116" s="70"/>
      <c r="AS116" s="69"/>
      <c r="AT116" s="70"/>
      <c r="AU116" s="69"/>
      <c r="AV116" s="70"/>
      <c r="AW116" s="69"/>
      <c r="AX116" s="70"/>
      <c r="AY116" s="69"/>
      <c r="AZ116" s="70"/>
      <c r="BA116" s="69"/>
      <c r="BB116" s="70"/>
      <c r="BC116" s="69"/>
      <c r="BD116" s="70"/>
      <c r="BE116" s="69"/>
      <c r="BF116" s="70"/>
      <c r="BG116" s="69"/>
      <c r="BH116" s="70"/>
      <c r="BI116" s="69"/>
      <c r="BJ116" s="70"/>
      <c r="BK116" s="69"/>
      <c r="BL116" s="70"/>
      <c r="BM116" s="69"/>
      <c r="BN116" s="71"/>
      <c r="BO116" s="182" t="str">
        <f t="shared" si="184"/>
        <v/>
      </c>
      <c r="BP116" s="70"/>
      <c r="BQ116" s="73"/>
    </row>
    <row r="117" spans="1:69" x14ac:dyDescent="0.35">
      <c r="A117" s="53" t="s">
        <v>29</v>
      </c>
      <c r="B117" s="54"/>
      <c r="C117" s="67"/>
      <c r="D117" s="68"/>
      <c r="E117" s="69"/>
      <c r="F117" s="70"/>
      <c r="G117" s="69"/>
      <c r="H117" s="70"/>
      <c r="I117" s="69"/>
      <c r="J117" s="70"/>
      <c r="K117" s="69"/>
      <c r="L117" s="70"/>
      <c r="M117" s="69"/>
      <c r="N117" s="70"/>
      <c r="O117" s="69"/>
      <c r="P117" s="70"/>
      <c r="Q117" s="69"/>
      <c r="R117" s="70"/>
      <c r="S117" s="69"/>
      <c r="T117" s="70"/>
      <c r="U117" s="69"/>
      <c r="V117" s="70"/>
      <c r="W117" s="69"/>
      <c r="X117" s="70"/>
      <c r="Y117" s="69"/>
      <c r="Z117" s="70"/>
      <c r="AA117" s="69"/>
      <c r="AB117" s="70"/>
      <c r="AC117" s="69"/>
      <c r="AD117" s="70"/>
      <c r="AE117" s="69"/>
      <c r="AF117" s="70"/>
      <c r="AG117" s="69"/>
      <c r="AH117" s="70"/>
      <c r="AI117" s="69"/>
      <c r="AJ117" s="70"/>
      <c r="AK117" s="69"/>
      <c r="AL117" s="70"/>
      <c r="AM117" s="69"/>
      <c r="AN117" s="70"/>
      <c r="AO117" s="69"/>
      <c r="AP117" s="70"/>
      <c r="AQ117" s="69"/>
      <c r="AR117" s="70"/>
      <c r="AS117" s="69"/>
      <c r="AT117" s="70"/>
      <c r="AU117" s="69"/>
      <c r="AV117" s="70"/>
      <c r="AW117" s="69"/>
      <c r="AX117" s="70"/>
      <c r="AY117" s="69"/>
      <c r="AZ117" s="70"/>
      <c r="BA117" s="69"/>
      <c r="BB117" s="70"/>
      <c r="BC117" s="69"/>
      <c r="BD117" s="70"/>
      <c r="BE117" s="69"/>
      <c r="BF117" s="70"/>
      <c r="BG117" s="69"/>
      <c r="BH117" s="70"/>
      <c r="BI117" s="69"/>
      <c r="BJ117" s="70"/>
      <c r="BK117" s="69"/>
      <c r="BL117" s="70"/>
      <c r="BM117" s="69"/>
      <c r="BN117" s="71"/>
      <c r="BO117" s="182" t="str">
        <f t="shared" si="184"/>
        <v/>
      </c>
      <c r="BP117" s="70"/>
      <c r="BQ117" s="73"/>
    </row>
    <row r="118" spans="1:69" x14ac:dyDescent="0.35">
      <c r="A118" s="74"/>
      <c r="B118" s="75"/>
      <c r="C118" s="153"/>
      <c r="D118" s="77"/>
      <c r="E118" s="78"/>
      <c r="F118" s="79"/>
      <c r="G118" s="78"/>
      <c r="H118" s="79"/>
      <c r="I118" s="78"/>
      <c r="J118" s="79"/>
      <c r="K118" s="78"/>
      <c r="L118" s="79"/>
      <c r="M118" s="78"/>
      <c r="N118" s="79"/>
      <c r="O118" s="78"/>
      <c r="P118" s="79"/>
      <c r="Q118" s="78"/>
      <c r="R118" s="79"/>
      <c r="S118" s="78"/>
      <c r="T118" s="79"/>
      <c r="U118" s="78"/>
      <c r="V118" s="79"/>
      <c r="W118" s="78"/>
      <c r="X118" s="79"/>
      <c r="Y118" s="78"/>
      <c r="Z118" s="79"/>
      <c r="AA118" s="78"/>
      <c r="AB118" s="79"/>
      <c r="AC118" s="78"/>
      <c r="AD118" s="79"/>
      <c r="AE118" s="78"/>
      <c r="AF118" s="79"/>
      <c r="AG118" s="78"/>
      <c r="AH118" s="79"/>
      <c r="AI118" s="78"/>
      <c r="AJ118" s="79"/>
      <c r="AK118" s="78"/>
      <c r="AL118" s="79"/>
      <c r="AM118" s="78"/>
      <c r="AN118" s="79"/>
      <c r="AO118" s="78"/>
      <c r="AP118" s="79"/>
      <c r="AQ118" s="78"/>
      <c r="AR118" s="79"/>
      <c r="AS118" s="78"/>
      <c r="AT118" s="79"/>
      <c r="AU118" s="78"/>
      <c r="AV118" s="79"/>
      <c r="AW118" s="78"/>
      <c r="AX118" s="79"/>
      <c r="AY118" s="78"/>
      <c r="AZ118" s="79"/>
      <c r="BA118" s="78"/>
      <c r="BB118" s="79"/>
      <c r="BC118" s="78"/>
      <c r="BD118" s="79"/>
      <c r="BE118" s="78"/>
      <c r="BF118" s="79"/>
      <c r="BG118" s="78"/>
      <c r="BH118" s="79"/>
      <c r="BI118" s="78"/>
      <c r="BJ118" s="79"/>
      <c r="BK118" s="78"/>
      <c r="BL118" s="79"/>
      <c r="BM118" s="78"/>
      <c r="BN118" s="80"/>
      <c r="BO118" s="195" t="str">
        <f t="shared" si="184"/>
        <v/>
      </c>
      <c r="BP118" s="79"/>
      <c r="BQ118" s="82"/>
    </row>
    <row r="119" spans="1:69" x14ac:dyDescent="0.35">
      <c r="A119" s="53" t="s">
        <v>55</v>
      </c>
      <c r="B119" s="54"/>
      <c r="C119" s="67"/>
      <c r="D119" s="68"/>
      <c r="E119" s="69"/>
      <c r="F119" s="70"/>
      <c r="G119" s="69"/>
      <c r="H119" s="70"/>
      <c r="I119" s="69"/>
      <c r="J119" s="70"/>
      <c r="K119" s="69"/>
      <c r="L119" s="70"/>
      <c r="M119" s="69"/>
      <c r="N119" s="70"/>
      <c r="O119" s="69"/>
      <c r="P119" s="70"/>
      <c r="Q119" s="69"/>
      <c r="R119" s="70"/>
      <c r="S119" s="69"/>
      <c r="T119" s="70"/>
      <c r="U119" s="69"/>
      <c r="V119" s="70"/>
      <c r="W119" s="69"/>
      <c r="X119" s="70"/>
      <c r="Y119" s="69"/>
      <c r="Z119" s="70"/>
      <c r="AA119" s="69"/>
      <c r="AB119" s="70"/>
      <c r="AC119" s="69"/>
      <c r="AD119" s="70"/>
      <c r="AE119" s="69"/>
      <c r="AF119" s="70"/>
      <c r="AG119" s="69"/>
      <c r="AH119" s="70"/>
      <c r="AI119" s="69"/>
      <c r="AJ119" s="70"/>
      <c r="AK119" s="69"/>
      <c r="AL119" s="70"/>
      <c r="AM119" s="69"/>
      <c r="AN119" s="70"/>
      <c r="AO119" s="69"/>
      <c r="AP119" s="70"/>
      <c r="AQ119" s="69"/>
      <c r="AR119" s="70"/>
      <c r="AS119" s="69"/>
      <c r="AT119" s="70"/>
      <c r="AU119" s="69"/>
      <c r="AV119" s="70"/>
      <c r="AW119" s="69"/>
      <c r="AX119" s="70"/>
      <c r="AY119" s="69"/>
      <c r="AZ119" s="70"/>
      <c r="BA119" s="69"/>
      <c r="BB119" s="70"/>
      <c r="BC119" s="69"/>
      <c r="BD119" s="70"/>
      <c r="BE119" s="69"/>
      <c r="BF119" s="70"/>
      <c r="BG119" s="69"/>
      <c r="BH119" s="70"/>
      <c r="BI119" s="69"/>
      <c r="BJ119" s="70"/>
      <c r="BK119" s="69"/>
      <c r="BL119" s="70"/>
      <c r="BM119" s="69"/>
      <c r="BN119" s="71"/>
      <c r="BO119" s="182" t="str">
        <f t="shared" si="184"/>
        <v/>
      </c>
      <c r="BP119" s="70"/>
      <c r="BQ119" s="73"/>
    </row>
    <row r="120" spans="1:69" ht="15" thickBot="1" x14ac:dyDescent="0.4">
      <c r="A120" s="154" t="s">
        <v>56</v>
      </c>
      <c r="B120" s="155"/>
      <c r="C120" s="156"/>
      <c r="D120" s="157"/>
      <c r="E120" s="158"/>
      <c r="F120" s="159"/>
      <c r="G120" s="158"/>
      <c r="H120" s="159"/>
      <c r="I120" s="158"/>
      <c r="J120" s="159"/>
      <c r="K120" s="158"/>
      <c r="L120" s="159"/>
      <c r="M120" s="158"/>
      <c r="N120" s="159"/>
      <c r="O120" s="158"/>
      <c r="P120" s="159"/>
      <c r="Q120" s="158"/>
      <c r="R120" s="159"/>
      <c r="S120" s="158"/>
      <c r="T120" s="159"/>
      <c r="U120" s="158"/>
      <c r="V120" s="159"/>
      <c r="W120" s="158"/>
      <c r="X120" s="159"/>
      <c r="Y120" s="158"/>
      <c r="Z120" s="159"/>
      <c r="AA120" s="158"/>
      <c r="AB120" s="159"/>
      <c r="AC120" s="158"/>
      <c r="AD120" s="159"/>
      <c r="AE120" s="158"/>
      <c r="AF120" s="159"/>
      <c r="AG120" s="158"/>
      <c r="AH120" s="159"/>
      <c r="AI120" s="158"/>
      <c r="AJ120" s="159"/>
      <c r="AK120" s="158"/>
      <c r="AL120" s="159"/>
      <c r="AM120" s="158"/>
      <c r="AN120" s="159"/>
      <c r="AO120" s="158"/>
      <c r="AP120" s="159"/>
      <c r="AQ120" s="158"/>
      <c r="AR120" s="159"/>
      <c r="AS120" s="158"/>
      <c r="AT120" s="159"/>
      <c r="AU120" s="158"/>
      <c r="AV120" s="159"/>
      <c r="AW120" s="158"/>
      <c r="AX120" s="159"/>
      <c r="AY120" s="158"/>
      <c r="AZ120" s="159"/>
      <c r="BA120" s="158"/>
      <c r="BB120" s="159"/>
      <c r="BC120" s="158"/>
      <c r="BD120" s="159"/>
      <c r="BE120" s="158"/>
      <c r="BF120" s="159"/>
      <c r="BG120" s="158"/>
      <c r="BH120" s="159"/>
      <c r="BI120" s="158"/>
      <c r="BJ120" s="159"/>
      <c r="BK120" s="158"/>
      <c r="BL120" s="159"/>
      <c r="BM120" s="158"/>
      <c r="BN120" s="160"/>
      <c r="BO120" s="196" t="str">
        <f t="shared" si="184"/>
        <v/>
      </c>
      <c r="BP120" s="159"/>
      <c r="BQ120" s="161"/>
    </row>
    <row r="121" spans="1:69" x14ac:dyDescent="0.35">
      <c r="AT121"/>
      <c r="AU121"/>
      <c r="AW121"/>
      <c r="BA121"/>
    </row>
    <row r="122" spans="1:69" x14ac:dyDescent="0.35">
      <c r="AT122"/>
      <c r="AU122"/>
      <c r="AW122"/>
      <c r="BA122"/>
    </row>
    <row r="123" spans="1:69" x14ac:dyDescent="0.35">
      <c r="AT123"/>
      <c r="AU123"/>
      <c r="AW123"/>
      <c r="BA123"/>
    </row>
    <row r="124" spans="1:69" x14ac:dyDescent="0.35">
      <c r="AT124"/>
      <c r="AU124"/>
      <c r="AW124"/>
      <c r="BA124"/>
    </row>
    <row r="125" spans="1:69" x14ac:dyDescent="0.35">
      <c r="AT125"/>
      <c r="AU125"/>
      <c r="AW125"/>
      <c r="BA125"/>
    </row>
    <row r="126" spans="1:69" x14ac:dyDescent="0.35">
      <c r="AT126"/>
      <c r="AU126"/>
      <c r="AW126"/>
      <c r="BA126"/>
    </row>
    <row r="127" spans="1:69" x14ac:dyDescent="0.35">
      <c r="AT127"/>
      <c r="AU127"/>
      <c r="AW127"/>
      <c r="BA127"/>
    </row>
    <row r="128" spans="1:69" x14ac:dyDescent="0.35">
      <c r="AT128"/>
      <c r="AU128"/>
      <c r="AW128"/>
      <c r="BA128"/>
    </row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</sheetData>
  <sheetProtection sheet="1" objects="1" scenarios="1"/>
  <mergeCells count="100">
    <mergeCell ref="AD5:AE5"/>
    <mergeCell ref="A1:BQ1"/>
    <mergeCell ref="A2:BQ2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BB5:BC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P5:BQ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BD5:BE5"/>
    <mergeCell ref="BF5:BG5"/>
    <mergeCell ref="BH5:BI5"/>
    <mergeCell ref="BJ5:BK5"/>
    <mergeCell ref="BL5:BM5"/>
    <mergeCell ref="BN5:BO5"/>
    <mergeCell ref="AR6:AS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BP6:BQ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Z12:AA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AX12:AY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BL12:BM12"/>
    <mergeCell ref="BP12:BQ12"/>
    <mergeCell ref="AZ12:BA12"/>
    <mergeCell ref="BB12:BC12"/>
    <mergeCell ref="BD12:BE12"/>
    <mergeCell ref="BF12:BG12"/>
    <mergeCell ref="BH12:BI12"/>
    <mergeCell ref="BJ12:BK12"/>
  </mergeCells>
  <conditionalFormatting sqref="D77:BL88">
    <cfRule type="cellIs" dxfId="49" priority="9" operator="lessThan">
      <formula>0</formula>
    </cfRule>
  </conditionalFormatting>
  <conditionalFormatting sqref="D7:BM11 BP7:BQ104 BO7:BO120">
    <cfRule type="cellIs" dxfId="48" priority="1" operator="lessThan">
      <formula>0</formula>
    </cfRule>
  </conditionalFormatting>
  <conditionalFormatting sqref="D22:BM22">
    <cfRule type="cellIs" dxfId="47" priority="2" operator="lessThan">
      <formula>0</formula>
    </cfRule>
  </conditionalFormatting>
  <conditionalFormatting sqref="D30:BM31">
    <cfRule type="cellIs" dxfId="46" priority="3" operator="lessThan">
      <formula>0</formula>
    </cfRule>
  </conditionalFormatting>
  <conditionalFormatting sqref="D42:BM42">
    <cfRule type="cellIs" dxfId="45" priority="4" operator="lessThan">
      <formula>0</formula>
    </cfRule>
  </conditionalFormatting>
  <conditionalFormatting sqref="D49:BM50">
    <cfRule type="cellIs" dxfId="44" priority="5" operator="lessThan">
      <formula>0</formula>
    </cfRule>
  </conditionalFormatting>
  <conditionalFormatting sqref="D54:BM54">
    <cfRule type="cellIs" dxfId="43" priority="6" operator="lessThan">
      <formula>0</formula>
    </cfRule>
  </conditionalFormatting>
  <conditionalFormatting sqref="D57:BM59">
    <cfRule type="cellIs" dxfId="42" priority="7" operator="lessThan">
      <formula>0</formula>
    </cfRule>
  </conditionalFormatting>
  <conditionalFormatting sqref="D61:BM75">
    <cfRule type="cellIs" dxfId="41" priority="8" operator="lessThan">
      <formula>0</formula>
    </cfRule>
  </conditionalFormatting>
  <conditionalFormatting sqref="E91:BM104">
    <cfRule type="cellIs" dxfId="40" priority="10" operator="lessThan">
      <formula>0</formula>
    </cfRule>
  </conditionalFormatting>
  <pageMargins left="0.25" right="0.25" top="0.75" bottom="0.75" header="0.3" footer="0.3"/>
  <pageSetup scale="1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BBC7-4936-4C7B-90FC-B68BC91F5B55}">
  <sheetPr>
    <pageSetUpPr fitToPage="1"/>
  </sheetPr>
  <dimension ref="A1:BX134"/>
  <sheetViews>
    <sheetView zoomScaleNormal="100" workbookViewId="0">
      <pane xSplit="1" ySplit="12" topLeftCell="B13" activePane="bottomRight" state="frozen"/>
      <selection pane="topRight" activeCell="B1" sqref="B1"/>
      <selection pane="bottomLeft" activeCell="A9" sqref="A9"/>
      <selection pane="bottomRight" activeCell="A13" sqref="A13:XFD13"/>
    </sheetView>
  </sheetViews>
  <sheetFormatPr defaultRowHeight="14.5" x14ac:dyDescent="0.35"/>
  <cols>
    <col min="1" max="1" width="28.54296875" customWidth="1"/>
    <col min="2" max="2" width="15.26953125" customWidth="1"/>
    <col min="3" max="3" width="18.1796875" customWidth="1"/>
    <col min="4" max="45" width="11.81640625" customWidth="1"/>
    <col min="46" max="47" width="11.81640625" style="3" customWidth="1"/>
    <col min="48" max="48" width="11.81640625" customWidth="1"/>
    <col min="49" max="49" width="11.81640625" style="3" customWidth="1"/>
    <col min="50" max="52" width="11.81640625" customWidth="1"/>
    <col min="53" max="53" width="11.81640625" style="3" customWidth="1"/>
    <col min="54" max="65" width="11.81640625" customWidth="1"/>
    <col min="66" max="69" width="15.54296875" customWidth="1"/>
    <col min="70" max="70" width="12.7265625" customWidth="1"/>
    <col min="71" max="71" width="11.1796875" bestFit="1" customWidth="1"/>
    <col min="72" max="72" width="14.81640625" customWidth="1"/>
    <col min="73" max="73" width="8.81640625" customWidth="1"/>
    <col min="74" max="74" width="11.26953125" customWidth="1"/>
    <col min="75" max="75" width="9.26953125" bestFit="1" customWidth="1"/>
    <col min="76" max="76" width="13.453125" customWidth="1"/>
  </cols>
  <sheetData>
    <row r="1" spans="1:76" ht="48" customHeight="1" x14ac:dyDescent="0.35">
      <c r="A1" s="241" t="str">
        <f>"TEXAN FILLING STATION — "&amp;UPPER(TEXT(B3,"MMMM YYYY"))&amp;" DAILY CONTROL"</f>
        <v>TEXAN FILLING STATION — MAY 2027 DAILY CONTROL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  <c r="BL1" s="233"/>
      <c r="BM1" s="233"/>
      <c r="BN1" s="233"/>
      <c r="BO1" s="233"/>
      <c r="BP1" s="233"/>
      <c r="BQ1" s="233"/>
    </row>
    <row r="2" spans="1:76" ht="24" customHeight="1" x14ac:dyDescent="0.35">
      <c r="A2" s="234" t="s">
        <v>108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  <c r="BP2" s="234"/>
      <c r="BQ2" s="234"/>
    </row>
    <row r="3" spans="1:76" x14ac:dyDescent="0.35">
      <c r="A3" s="26" t="s">
        <v>109</v>
      </c>
      <c r="B3" s="27">
        <v>46508</v>
      </c>
      <c r="C3" s="28" t="s">
        <v>110</v>
      </c>
      <c r="D3" s="28" t="s">
        <v>111</v>
      </c>
      <c r="E3" s="29" t="s">
        <v>112</v>
      </c>
      <c r="F3" s="30" t="s">
        <v>113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2"/>
      <c r="AU3" s="32"/>
      <c r="AV3" s="31"/>
      <c r="AW3" s="32"/>
      <c r="AX3" s="31"/>
      <c r="AY3" s="31"/>
      <c r="AZ3" s="31"/>
      <c r="BA3" s="32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</row>
    <row r="4" spans="1:76" ht="15" thickBot="1" x14ac:dyDescent="0.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2"/>
      <c r="AU4" s="32"/>
      <c r="AV4" s="31"/>
      <c r="AW4" s="32"/>
      <c r="AX4" s="31"/>
      <c r="AY4" s="31"/>
      <c r="AZ4" s="31"/>
      <c r="BA4" s="32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</row>
    <row r="5" spans="1:76" ht="16.149999999999999" customHeight="1" x14ac:dyDescent="0.35">
      <c r="A5" s="164">
        <f>68*0.1</f>
        <v>6.8000000000000007</v>
      </c>
      <c r="B5" s="33"/>
      <c r="C5" s="34" t="s">
        <v>116</v>
      </c>
      <c r="D5" s="235" t="str">
        <f>IF(D6="","",UPPER(TEXT(D6,"dddd")))</f>
        <v>SATURDAY</v>
      </c>
      <c r="E5" s="229"/>
      <c r="F5" s="228" t="str">
        <f>IF(F6="","",UPPER(TEXT(F6,"dddd")))</f>
        <v>SUNDAY</v>
      </c>
      <c r="G5" s="229"/>
      <c r="H5" s="228" t="str">
        <f>IF(H6="","",UPPER(TEXT(H6,"dddd")))</f>
        <v>MONDAY</v>
      </c>
      <c r="I5" s="229"/>
      <c r="J5" s="228" t="str">
        <f>IF(J6="","",UPPER(TEXT(J6,"dddd")))</f>
        <v>TUESDAY</v>
      </c>
      <c r="K5" s="229"/>
      <c r="L5" s="228" t="str">
        <f>IF(L6="","",UPPER(TEXT(L6,"dddd")))</f>
        <v>WEDNESDAY</v>
      </c>
      <c r="M5" s="229"/>
      <c r="N5" s="228" t="str">
        <f>IF(N6="","",UPPER(TEXT(N6,"dddd")))</f>
        <v>THURSDAY</v>
      </c>
      <c r="O5" s="229"/>
      <c r="P5" s="228" t="str">
        <f>IF(P6="","",UPPER(TEXT(P6,"dddd")))</f>
        <v>FRIDAY</v>
      </c>
      <c r="Q5" s="229"/>
      <c r="R5" s="228" t="str">
        <f>IF(R6="","",UPPER(TEXT(R6,"dddd")))</f>
        <v>SATURDAY</v>
      </c>
      <c r="S5" s="229"/>
      <c r="T5" s="228" t="str">
        <f>IF(T6="","",UPPER(TEXT(T6,"dddd")))</f>
        <v>SUNDAY</v>
      </c>
      <c r="U5" s="229"/>
      <c r="V5" s="228" t="str">
        <f>IF(V6="","",UPPER(TEXT(V6,"dddd")))</f>
        <v>MONDAY</v>
      </c>
      <c r="W5" s="229"/>
      <c r="X5" s="228" t="str">
        <f>IF(X6="","",UPPER(TEXT(X6,"dddd")))</f>
        <v>TUESDAY</v>
      </c>
      <c r="Y5" s="229"/>
      <c r="Z5" s="228" t="str">
        <f>IF(Z6="","",UPPER(TEXT(Z6,"dddd")))</f>
        <v>WEDNESDAY</v>
      </c>
      <c r="AA5" s="229"/>
      <c r="AB5" s="228" t="str">
        <f>IF(AB6="","",UPPER(TEXT(AB6,"dddd")))</f>
        <v>THURSDAY</v>
      </c>
      <c r="AC5" s="229"/>
      <c r="AD5" s="228" t="str">
        <f>IF(AD6="","",UPPER(TEXT(AD6,"dddd")))</f>
        <v>FRIDAY</v>
      </c>
      <c r="AE5" s="229"/>
      <c r="AF5" s="228" t="str">
        <f>IF(AF6="","",UPPER(TEXT(AF6,"dddd")))</f>
        <v>SATURDAY</v>
      </c>
      <c r="AG5" s="229"/>
      <c r="AH5" s="228" t="str">
        <f>IF(AH6="","",UPPER(TEXT(AH6,"dddd")))</f>
        <v>SUNDAY</v>
      </c>
      <c r="AI5" s="229"/>
      <c r="AJ5" s="228" t="str">
        <f>IF(AJ6="","",UPPER(TEXT(AJ6,"dddd")))</f>
        <v>MONDAY</v>
      </c>
      <c r="AK5" s="229"/>
      <c r="AL5" s="228" t="str">
        <f>IF(AL6="","",UPPER(TEXT(AL6,"dddd")))</f>
        <v>TUESDAY</v>
      </c>
      <c r="AM5" s="229"/>
      <c r="AN5" s="228" t="str">
        <f>IF(AN6="","",UPPER(TEXT(AN6,"dddd")))</f>
        <v>WEDNESDAY</v>
      </c>
      <c r="AO5" s="229"/>
      <c r="AP5" s="228" t="str">
        <f>IF(AP6="","",UPPER(TEXT(AP6,"dddd")))</f>
        <v>THURSDAY</v>
      </c>
      <c r="AQ5" s="229"/>
      <c r="AR5" s="228" t="str">
        <f>IF(AR6="","",UPPER(TEXT(AR6,"dddd")))</f>
        <v>FRIDAY</v>
      </c>
      <c r="AS5" s="229"/>
      <c r="AT5" s="228" t="str">
        <f>IF(AT6="","",UPPER(TEXT(AT6,"dddd")))</f>
        <v>SATURDAY</v>
      </c>
      <c r="AU5" s="229"/>
      <c r="AV5" s="228" t="str">
        <f>IF(AV6="","",UPPER(TEXT(AV6,"dddd")))</f>
        <v>SUNDAY</v>
      </c>
      <c r="AW5" s="229"/>
      <c r="AX5" s="228" t="str">
        <f>IF(AX6="","",UPPER(TEXT(AX6,"dddd")))</f>
        <v>MONDAY</v>
      </c>
      <c r="AY5" s="229"/>
      <c r="AZ5" s="228" t="str">
        <f>IF(AZ6="","",UPPER(TEXT(AZ6,"dddd")))</f>
        <v>TUESDAY</v>
      </c>
      <c r="BA5" s="229"/>
      <c r="BB5" s="228" t="str">
        <f>IF(BB6="","",UPPER(TEXT(BB6,"dddd")))</f>
        <v>WEDNESDAY</v>
      </c>
      <c r="BC5" s="229"/>
      <c r="BD5" s="228" t="str">
        <f>IF(BD6="","",UPPER(TEXT(BD6,"dddd")))</f>
        <v>THURSDAY</v>
      </c>
      <c r="BE5" s="229"/>
      <c r="BF5" s="228" t="str">
        <f>IF(BF6="","",UPPER(TEXT(BF6,"dddd")))</f>
        <v>FRIDAY</v>
      </c>
      <c r="BG5" s="229"/>
      <c r="BH5" s="228" t="str">
        <f>IF(BH6="","",UPPER(TEXT(BH6,"dddd")))</f>
        <v>SATURDAY</v>
      </c>
      <c r="BI5" s="229"/>
      <c r="BJ5" s="228" t="str">
        <f>IF(BJ6="","",UPPER(TEXT(BJ6,"dddd")))</f>
        <v>SUNDAY</v>
      </c>
      <c r="BK5" s="229"/>
      <c r="BL5" s="228" t="str">
        <f>IF(BL6="","",UPPER(TEXT(BL6,"dddd")))</f>
        <v>MONDAY</v>
      </c>
      <c r="BM5" s="229"/>
      <c r="BN5" s="230" t="s">
        <v>114</v>
      </c>
      <c r="BO5" s="231"/>
      <c r="BP5" s="225" t="s">
        <v>118</v>
      </c>
      <c r="BQ5" s="226"/>
    </row>
    <row r="6" spans="1:76" x14ac:dyDescent="0.35">
      <c r="A6" s="35"/>
      <c r="B6" s="36"/>
      <c r="C6" s="37" t="s">
        <v>117</v>
      </c>
      <c r="D6" s="227">
        <f>IF($B$3="","",IF(MONTH($B$3+0)=MONTH($B$3),$B$3+0,""))</f>
        <v>46508</v>
      </c>
      <c r="E6" s="222"/>
      <c r="F6" s="220">
        <f>IF($B$3="","",IF(MONTH($B$3+1)=MONTH($B$3),$B$3+1,""))</f>
        <v>46509</v>
      </c>
      <c r="G6" s="222"/>
      <c r="H6" s="220">
        <f>IF($B$3="","",IF(MONTH($B$3+2)=MONTH($B$3),$B$3+2,""))</f>
        <v>46510</v>
      </c>
      <c r="I6" s="222"/>
      <c r="J6" s="220">
        <f>IF($B$3="","",IF(MONTH($B$3+3)=MONTH($B$3),$B$3+3,""))</f>
        <v>46511</v>
      </c>
      <c r="K6" s="222"/>
      <c r="L6" s="220">
        <f>IF($B$3="","",IF(MONTH($B$3+4)=MONTH($B$3),$B$3+4,""))</f>
        <v>46512</v>
      </c>
      <c r="M6" s="222"/>
      <c r="N6" s="220">
        <f>IF($B$3="","",IF(MONTH($B$3+5)=MONTH($B$3),$B$3+5,""))</f>
        <v>46513</v>
      </c>
      <c r="O6" s="222"/>
      <c r="P6" s="220">
        <f>IF($B$3="","",IF(MONTH($B$3+6)=MONTH($B$3),$B$3+6,""))</f>
        <v>46514</v>
      </c>
      <c r="Q6" s="222"/>
      <c r="R6" s="220">
        <f>IF($B$3="","",IF(MONTH($B$3+7)=MONTH($B$3),$B$3+7,""))</f>
        <v>46515</v>
      </c>
      <c r="S6" s="222"/>
      <c r="T6" s="220">
        <f>IF($B$3="","",IF(MONTH($B$3+8)=MONTH($B$3),$B$3+8,""))</f>
        <v>46516</v>
      </c>
      <c r="U6" s="222"/>
      <c r="V6" s="220">
        <f>IF($B$3="","",IF(MONTH($B$3+9)=MONTH($B$3),$B$3+9,""))</f>
        <v>46517</v>
      </c>
      <c r="W6" s="222"/>
      <c r="X6" s="220">
        <f>IF($B$3="","",IF(MONTH($B$3+10)=MONTH($B$3),$B$3+10,""))</f>
        <v>46518</v>
      </c>
      <c r="Y6" s="222"/>
      <c r="Z6" s="220">
        <f>IF($B$3="","",IF(MONTH($B$3+11)=MONTH($B$3),$B$3+11,""))</f>
        <v>46519</v>
      </c>
      <c r="AA6" s="222"/>
      <c r="AB6" s="220">
        <f>IF($B$3="","",IF(MONTH($B$3+12)=MONTH($B$3),$B$3+12,""))</f>
        <v>46520</v>
      </c>
      <c r="AC6" s="222"/>
      <c r="AD6" s="220">
        <f>IF($B$3="","",IF(MONTH($B$3+13)=MONTH($B$3),$B$3+13,""))</f>
        <v>46521</v>
      </c>
      <c r="AE6" s="222"/>
      <c r="AF6" s="220">
        <f>IF($B$3="","",IF(MONTH($B$3+14)=MONTH($B$3),$B$3+14,""))</f>
        <v>46522</v>
      </c>
      <c r="AG6" s="222"/>
      <c r="AH6" s="220">
        <f>IF($B$3="","",IF(MONTH($B$3+15)=MONTH($B$3),$B$3+15,""))</f>
        <v>46523</v>
      </c>
      <c r="AI6" s="222"/>
      <c r="AJ6" s="220">
        <f>IF($B$3="","",IF(MONTH($B$3+16)=MONTH($B$3),$B$3+16,""))</f>
        <v>46524</v>
      </c>
      <c r="AK6" s="222"/>
      <c r="AL6" s="220">
        <f>IF($B$3="","",IF(MONTH($B$3+17)=MONTH($B$3),$B$3+17,""))</f>
        <v>46525</v>
      </c>
      <c r="AM6" s="222"/>
      <c r="AN6" s="220">
        <f>IF($B$3="","",IF(MONTH($B$3+18)=MONTH($B$3),$B$3+18,""))</f>
        <v>46526</v>
      </c>
      <c r="AO6" s="222"/>
      <c r="AP6" s="220">
        <f>IF($B$3="","",IF(MONTH($B$3+19)=MONTH($B$3),$B$3+19,""))</f>
        <v>46527</v>
      </c>
      <c r="AQ6" s="222"/>
      <c r="AR6" s="220">
        <f>IF($B$3="","",IF(MONTH($B$3+20)=MONTH($B$3),$B$3+20,""))</f>
        <v>46528</v>
      </c>
      <c r="AS6" s="222"/>
      <c r="AT6" s="220">
        <f>IF($B$3="","",IF(MONTH($B$3+21)=MONTH($B$3),$B$3+21,""))</f>
        <v>46529</v>
      </c>
      <c r="AU6" s="222"/>
      <c r="AV6" s="220">
        <f>IF($B$3="","",IF(MONTH($B$3+22)=MONTH($B$3),$B$3+22,""))</f>
        <v>46530</v>
      </c>
      <c r="AW6" s="222"/>
      <c r="AX6" s="220">
        <f>IF($B$3="","",IF(MONTH($B$3+23)=MONTH($B$3),$B$3+23,""))</f>
        <v>46531</v>
      </c>
      <c r="AY6" s="222"/>
      <c r="AZ6" s="220">
        <f>IF($B$3="","",IF(MONTH($B$3+24)=MONTH($B$3),$B$3+24,""))</f>
        <v>46532</v>
      </c>
      <c r="BA6" s="222"/>
      <c r="BB6" s="220">
        <f>IF($B$3="","",IF(MONTH($B$3+25)=MONTH($B$3),$B$3+25,""))</f>
        <v>46533</v>
      </c>
      <c r="BC6" s="222"/>
      <c r="BD6" s="220">
        <f>IF($B$3="","",IF(MONTH($B$3+26)=MONTH($B$3),$B$3+26,""))</f>
        <v>46534</v>
      </c>
      <c r="BE6" s="222"/>
      <c r="BF6" s="220">
        <f>IF($B$3="","",IF(MONTH($B$3+27)=MONTH($B$3),$B$3+27,""))</f>
        <v>46535</v>
      </c>
      <c r="BG6" s="222"/>
      <c r="BH6" s="220">
        <f>IF($B$3="","",IF(MONTH($B$3+28)=MONTH($B$3),$B$3+28,""))</f>
        <v>46536</v>
      </c>
      <c r="BI6" s="222"/>
      <c r="BJ6" s="220">
        <f>IF($B$3="","",IF(MONTH($B$3+29)=MONTH($B$3),$B$3+29,""))</f>
        <v>46537</v>
      </c>
      <c r="BK6" s="222"/>
      <c r="BL6" s="220">
        <f>IF($B$3="","",IF(MONTH($B$3+30)=MONTH($B$3),$B$3+30,""))</f>
        <v>46538</v>
      </c>
      <c r="BM6" s="222"/>
      <c r="BN6" s="223" t="s">
        <v>115</v>
      </c>
      <c r="BO6" s="224"/>
      <c r="BP6" s="220">
        <f>IF($B$3="","",EOMONTH($B$3,0)+1)</f>
        <v>46539</v>
      </c>
      <c r="BQ6" s="221"/>
    </row>
    <row r="7" spans="1:76" x14ac:dyDescent="0.35">
      <c r="A7" s="38" t="s">
        <v>20</v>
      </c>
      <c r="B7" s="39"/>
      <c r="C7" s="40"/>
      <c r="D7" s="41"/>
      <c r="E7" s="165">
        <f>E59</f>
        <v>0</v>
      </c>
      <c r="F7" s="42"/>
      <c r="G7" s="165">
        <f>G59</f>
        <v>0</v>
      </c>
      <c r="H7" s="42"/>
      <c r="I7" s="165">
        <f>I59</f>
        <v>0</v>
      </c>
      <c r="J7" s="42"/>
      <c r="K7" s="165">
        <f>K59</f>
        <v>0</v>
      </c>
      <c r="L7" s="42"/>
      <c r="M7" s="165">
        <f>M59</f>
        <v>0</v>
      </c>
      <c r="N7" s="42"/>
      <c r="O7" s="165">
        <f>O59</f>
        <v>0</v>
      </c>
      <c r="P7" s="42"/>
      <c r="Q7" s="165">
        <f>Q59</f>
        <v>0</v>
      </c>
      <c r="R7" s="42"/>
      <c r="S7" s="165">
        <f>S59</f>
        <v>0</v>
      </c>
      <c r="T7" s="42"/>
      <c r="U7" s="165">
        <f>U59</f>
        <v>0</v>
      </c>
      <c r="V7" s="42"/>
      <c r="W7" s="165">
        <f>W59</f>
        <v>0</v>
      </c>
      <c r="X7" s="42"/>
      <c r="Y7" s="165">
        <f>Y59</f>
        <v>0</v>
      </c>
      <c r="Z7" s="42"/>
      <c r="AA7" s="165">
        <f>AA59</f>
        <v>0</v>
      </c>
      <c r="AB7" s="42"/>
      <c r="AC7" s="165">
        <f>AC59</f>
        <v>0</v>
      </c>
      <c r="AD7" s="42"/>
      <c r="AE7" s="165">
        <f>AE59</f>
        <v>0</v>
      </c>
      <c r="AF7" s="42"/>
      <c r="AG7" s="165">
        <f>AG59</f>
        <v>0</v>
      </c>
      <c r="AH7" s="42"/>
      <c r="AI7" s="165">
        <f>AI59</f>
        <v>0</v>
      </c>
      <c r="AJ7" s="42"/>
      <c r="AK7" s="165">
        <f>AK59</f>
        <v>0</v>
      </c>
      <c r="AL7" s="42"/>
      <c r="AM7" s="165">
        <f>AM59</f>
        <v>0</v>
      </c>
      <c r="AN7" s="42"/>
      <c r="AO7" s="165">
        <f>AO59</f>
        <v>0</v>
      </c>
      <c r="AP7" s="42"/>
      <c r="AQ7" s="165">
        <f>AQ59</f>
        <v>0</v>
      </c>
      <c r="AR7" s="42"/>
      <c r="AS7" s="165">
        <f>AS59</f>
        <v>0</v>
      </c>
      <c r="AT7" s="42"/>
      <c r="AU7" s="165">
        <f>AU59</f>
        <v>0</v>
      </c>
      <c r="AV7" s="42"/>
      <c r="AW7" s="165">
        <f>AW59</f>
        <v>0</v>
      </c>
      <c r="AX7" s="42"/>
      <c r="AY7" s="165">
        <f>AY59</f>
        <v>0</v>
      </c>
      <c r="AZ7" s="42"/>
      <c r="BA7" s="165">
        <f>BA59</f>
        <v>0</v>
      </c>
      <c r="BB7" s="42"/>
      <c r="BC7" s="165">
        <f>BC59</f>
        <v>0</v>
      </c>
      <c r="BD7" s="42"/>
      <c r="BE7" s="165">
        <f>BE59</f>
        <v>0</v>
      </c>
      <c r="BF7" s="42"/>
      <c r="BG7" s="165">
        <f>BG59</f>
        <v>0</v>
      </c>
      <c r="BH7" s="42"/>
      <c r="BI7" s="165">
        <f>BI59</f>
        <v>0</v>
      </c>
      <c r="BJ7" s="42"/>
      <c r="BK7" s="165">
        <f>BK59</f>
        <v>0</v>
      </c>
      <c r="BL7" s="42"/>
      <c r="BM7" s="165">
        <f>BM59</f>
        <v>0</v>
      </c>
      <c r="BN7" s="43"/>
      <c r="BO7" s="169">
        <f>IF(COUNT(E7,G7,I7,K7,M7,O7,Q7,S7,U7,W7,Y7,AA7,AC7,AE7,AG7,AI7,AK7,AM7,AO7,AQ7,AS7,AU7,AW7,AY7,BA7,BC7,BE7,BG7,BI7,BK7,BM7)=0,"",SUM(E7,G7,I7,K7,M7,O7,Q7,S7,U7,W7,Y7,AA7,AC7,AE7,AG7,AI7,AK7,AM7,AO7,AQ7,AS7,AU7,AW7,AY7,BA7,BC7,BE7,BG7,BI7,BK7,BM7))</f>
        <v>0</v>
      </c>
      <c r="BP7" s="42"/>
      <c r="BQ7" s="171">
        <f>BQ59</f>
        <v>0</v>
      </c>
    </row>
    <row r="8" spans="1:76" x14ac:dyDescent="0.35">
      <c r="A8" s="38" t="s">
        <v>49</v>
      </c>
      <c r="B8" s="39"/>
      <c r="C8" s="40"/>
      <c r="D8" s="41"/>
      <c r="E8" s="165">
        <f>E58</f>
        <v>0</v>
      </c>
      <c r="F8" s="42"/>
      <c r="G8" s="165">
        <f>G58</f>
        <v>0</v>
      </c>
      <c r="H8" s="42"/>
      <c r="I8" s="165">
        <f>I58</f>
        <v>0</v>
      </c>
      <c r="J8" s="42"/>
      <c r="K8" s="165">
        <f>K58</f>
        <v>0</v>
      </c>
      <c r="L8" s="42"/>
      <c r="M8" s="165">
        <f>M58</f>
        <v>0</v>
      </c>
      <c r="N8" s="42"/>
      <c r="O8" s="165">
        <f>O58</f>
        <v>0</v>
      </c>
      <c r="P8" s="42"/>
      <c r="Q8" s="165">
        <f>Q58</f>
        <v>0</v>
      </c>
      <c r="R8" s="42"/>
      <c r="S8" s="165">
        <f>S58</f>
        <v>0</v>
      </c>
      <c r="T8" s="42"/>
      <c r="U8" s="165">
        <f>U58</f>
        <v>0</v>
      </c>
      <c r="V8" s="42"/>
      <c r="W8" s="165">
        <f>W58</f>
        <v>0</v>
      </c>
      <c r="X8" s="42"/>
      <c r="Y8" s="165">
        <f>Y58</f>
        <v>0</v>
      </c>
      <c r="Z8" s="42"/>
      <c r="AA8" s="165">
        <f>AA58</f>
        <v>0</v>
      </c>
      <c r="AB8" s="42"/>
      <c r="AC8" s="165">
        <f>AC58</f>
        <v>0</v>
      </c>
      <c r="AD8" s="42"/>
      <c r="AE8" s="165">
        <f>AE58</f>
        <v>0</v>
      </c>
      <c r="AF8" s="42"/>
      <c r="AG8" s="165">
        <f>AG58</f>
        <v>0</v>
      </c>
      <c r="AH8" s="42"/>
      <c r="AI8" s="165">
        <f>AI58</f>
        <v>0</v>
      </c>
      <c r="AJ8" s="42"/>
      <c r="AK8" s="165">
        <f>AK58</f>
        <v>0</v>
      </c>
      <c r="AL8" s="42"/>
      <c r="AM8" s="165">
        <f>AM58</f>
        <v>0</v>
      </c>
      <c r="AN8" s="42"/>
      <c r="AO8" s="165">
        <f>AO58</f>
        <v>0</v>
      </c>
      <c r="AP8" s="42"/>
      <c r="AQ8" s="165">
        <f>AQ58</f>
        <v>0</v>
      </c>
      <c r="AR8" s="42"/>
      <c r="AS8" s="165">
        <f>AS58</f>
        <v>0</v>
      </c>
      <c r="AT8" s="42"/>
      <c r="AU8" s="168">
        <f>AU58</f>
        <v>0</v>
      </c>
      <c r="AV8" s="42"/>
      <c r="AW8" s="165">
        <f>AW58</f>
        <v>0</v>
      </c>
      <c r="AX8" s="42"/>
      <c r="AY8" s="165">
        <f>AY58</f>
        <v>0</v>
      </c>
      <c r="AZ8" s="42"/>
      <c r="BA8" s="165">
        <f>BA58</f>
        <v>0</v>
      </c>
      <c r="BB8" s="42"/>
      <c r="BC8" s="165">
        <f>BC58</f>
        <v>0</v>
      </c>
      <c r="BD8" s="42"/>
      <c r="BE8" s="165">
        <f>BE58</f>
        <v>0</v>
      </c>
      <c r="BF8" s="42"/>
      <c r="BG8" s="165">
        <f>BG58</f>
        <v>0</v>
      </c>
      <c r="BH8" s="42"/>
      <c r="BI8" s="165">
        <f>BI58</f>
        <v>0</v>
      </c>
      <c r="BJ8" s="42"/>
      <c r="BK8" s="165">
        <f>BK58</f>
        <v>0</v>
      </c>
      <c r="BL8" s="42"/>
      <c r="BM8" s="165">
        <f>BM58</f>
        <v>0</v>
      </c>
      <c r="BN8" s="43"/>
      <c r="BO8" s="169">
        <f>IF(COUNT(E8,G8,I8,K8,M8,O8,Q8,S8,U8,W8,Y8,AA8,AC8,AE8,AG8,AI8,AK8,AM8,AO8,AQ8,AS8,AU8,AW8,AY8,BA8,BC8,BE8,BG8,BI8,BK8,BM8)=0,"",SUM(E8,G8,I8,K8,M8,O8,Q8,S8,U8,W8,Y8,AA8,AC8,AE8,AG8,AI8,AK8,AM8,AO8,AQ8,AS8,AU8,AW8,AY8,BA8,BC8,BE8,BG8,BI8,BK8,BM8))</f>
        <v>0</v>
      </c>
      <c r="BP8" s="42"/>
      <c r="BQ8" s="171">
        <f>BQ58</f>
        <v>0</v>
      </c>
    </row>
    <row r="9" spans="1:76" x14ac:dyDescent="0.35">
      <c r="A9" s="38" t="s">
        <v>50</v>
      </c>
      <c r="B9" s="39"/>
      <c r="C9" s="40"/>
      <c r="D9" s="41"/>
      <c r="E9" s="165" t="e">
        <f>E61</f>
        <v>#VALUE!</v>
      </c>
      <c r="F9" s="42"/>
      <c r="G9" s="165">
        <f>G61</f>
        <v>0</v>
      </c>
      <c r="H9" s="42"/>
      <c r="I9" s="165">
        <f>I61</f>
        <v>0</v>
      </c>
      <c r="J9" s="42"/>
      <c r="K9" s="165">
        <f>K61</f>
        <v>0</v>
      </c>
      <c r="L9" s="42"/>
      <c r="M9" s="165">
        <f>M61</f>
        <v>0</v>
      </c>
      <c r="N9" s="42"/>
      <c r="O9" s="165">
        <f>O61</f>
        <v>0</v>
      </c>
      <c r="P9" s="42"/>
      <c r="Q9" s="165">
        <f>Q61</f>
        <v>0</v>
      </c>
      <c r="R9" s="42"/>
      <c r="S9" s="165">
        <f>S61</f>
        <v>0</v>
      </c>
      <c r="T9" s="42"/>
      <c r="U9" s="165">
        <f>U61</f>
        <v>0</v>
      </c>
      <c r="V9" s="42"/>
      <c r="W9" s="165">
        <f>W61</f>
        <v>0</v>
      </c>
      <c r="X9" s="42"/>
      <c r="Y9" s="165">
        <f>Y61</f>
        <v>0</v>
      </c>
      <c r="Z9" s="42"/>
      <c r="AA9" s="165">
        <f>AA61</f>
        <v>0</v>
      </c>
      <c r="AB9" s="42"/>
      <c r="AC9" s="165">
        <f>AC61</f>
        <v>0</v>
      </c>
      <c r="AD9" s="42"/>
      <c r="AE9" s="165">
        <f>AE61</f>
        <v>0</v>
      </c>
      <c r="AF9" s="42"/>
      <c r="AG9" s="165">
        <f>AG61</f>
        <v>0</v>
      </c>
      <c r="AH9" s="42"/>
      <c r="AI9" s="165">
        <f>AI61</f>
        <v>0</v>
      </c>
      <c r="AJ9" s="42"/>
      <c r="AK9" s="165">
        <f>AK61</f>
        <v>0</v>
      </c>
      <c r="AL9" s="42"/>
      <c r="AM9" s="165">
        <f>AM61</f>
        <v>0</v>
      </c>
      <c r="AN9" s="42"/>
      <c r="AO9" s="165">
        <f>AO61</f>
        <v>0</v>
      </c>
      <c r="AP9" s="42"/>
      <c r="AQ9" s="165">
        <f>AQ61</f>
        <v>0</v>
      </c>
      <c r="AR9" s="42"/>
      <c r="AS9" s="165">
        <f>AS61</f>
        <v>0</v>
      </c>
      <c r="AT9" s="42"/>
      <c r="AU9" s="165">
        <f>AU61</f>
        <v>0</v>
      </c>
      <c r="AV9" s="42"/>
      <c r="AW9" s="165">
        <f>AW61</f>
        <v>0</v>
      </c>
      <c r="AX9" s="42"/>
      <c r="AY9" s="165">
        <f>AY61</f>
        <v>0</v>
      </c>
      <c r="AZ9" s="42"/>
      <c r="BA9" s="165">
        <f>BA61</f>
        <v>0</v>
      </c>
      <c r="BB9" s="42"/>
      <c r="BC9" s="165">
        <f>BC61</f>
        <v>0</v>
      </c>
      <c r="BD9" s="42"/>
      <c r="BE9" s="165">
        <f>BE61</f>
        <v>0</v>
      </c>
      <c r="BF9" s="42"/>
      <c r="BG9" s="165">
        <f>BG61</f>
        <v>0</v>
      </c>
      <c r="BH9" s="42"/>
      <c r="BI9" s="165">
        <f>BI61</f>
        <v>0</v>
      </c>
      <c r="BJ9" s="42"/>
      <c r="BK9" s="165">
        <f>BK61</f>
        <v>0</v>
      </c>
      <c r="BL9" s="42"/>
      <c r="BM9" s="165">
        <f>BM61</f>
        <v>0</v>
      </c>
      <c r="BN9" s="43"/>
      <c r="BO9" s="169" t="e">
        <f>IF(COUNT(E9,G9,I9,K9,M9,O9,Q9,S9,U9,W9,Y9,AA9,AC9,AE9,AG9,AI9,AK9,AM9,AO9,AQ9,AS9,AU9,AW9,AY9,BA9,BC9,BE9,BG9,BI9,BK9,BM9)=0,"",SUM(E9,G9,I9,K9,M9,O9,Q9,S9,U9,W9,Y9,AA9,AC9,AE9,AG9,AI9,AK9,AM9,AO9,AQ9,AS9,AU9,AW9,AY9,BA9,BC9,BE9,BG9,BI9,BK9,BM9))</f>
        <v>#VALUE!</v>
      </c>
      <c r="BP9" s="42"/>
      <c r="BQ9" s="171">
        <f>BQ61</f>
        <v>0</v>
      </c>
    </row>
    <row r="10" spans="1:76" s="2" customFormat="1" x14ac:dyDescent="0.35">
      <c r="A10" s="44" t="s">
        <v>47</v>
      </c>
      <c r="B10" s="45"/>
      <c r="C10" s="46">
        <v>1413.73</v>
      </c>
      <c r="D10" s="47"/>
      <c r="E10" s="166" t="e">
        <f>E73</f>
        <v>#VALUE!</v>
      </c>
      <c r="F10" s="49"/>
      <c r="G10" s="166">
        <f t="shared" ref="G10:BQ10" si="0">G73</f>
        <v>0</v>
      </c>
      <c r="H10" s="49"/>
      <c r="I10" s="166">
        <f t="shared" si="0"/>
        <v>0</v>
      </c>
      <c r="J10" s="49"/>
      <c r="K10" s="166">
        <f t="shared" si="0"/>
        <v>0</v>
      </c>
      <c r="L10" s="49"/>
      <c r="M10" s="166">
        <f t="shared" si="0"/>
        <v>0</v>
      </c>
      <c r="N10" s="49"/>
      <c r="O10" s="166">
        <f t="shared" si="0"/>
        <v>0</v>
      </c>
      <c r="P10" s="49"/>
      <c r="Q10" s="166">
        <f t="shared" si="0"/>
        <v>0</v>
      </c>
      <c r="R10" s="49"/>
      <c r="S10" s="166">
        <f t="shared" si="0"/>
        <v>0</v>
      </c>
      <c r="T10" s="49"/>
      <c r="U10" s="166">
        <f t="shared" si="0"/>
        <v>0</v>
      </c>
      <c r="V10" s="49"/>
      <c r="W10" s="166">
        <f t="shared" si="0"/>
        <v>0</v>
      </c>
      <c r="X10" s="49"/>
      <c r="Y10" s="166">
        <f t="shared" si="0"/>
        <v>0</v>
      </c>
      <c r="Z10" s="49"/>
      <c r="AA10" s="166">
        <f t="shared" si="0"/>
        <v>0</v>
      </c>
      <c r="AB10" s="49"/>
      <c r="AC10" s="166">
        <f t="shared" si="0"/>
        <v>0</v>
      </c>
      <c r="AD10" s="49"/>
      <c r="AE10" s="166">
        <f t="shared" si="0"/>
        <v>0</v>
      </c>
      <c r="AF10" s="49"/>
      <c r="AG10" s="166">
        <f t="shared" si="0"/>
        <v>0</v>
      </c>
      <c r="AH10" s="49"/>
      <c r="AI10" s="166">
        <f t="shared" si="0"/>
        <v>0</v>
      </c>
      <c r="AJ10" s="49"/>
      <c r="AK10" s="166">
        <f t="shared" si="0"/>
        <v>0</v>
      </c>
      <c r="AL10" s="49"/>
      <c r="AM10" s="166">
        <f t="shared" si="0"/>
        <v>0</v>
      </c>
      <c r="AN10" s="49"/>
      <c r="AO10" s="166">
        <f t="shared" si="0"/>
        <v>0</v>
      </c>
      <c r="AP10" s="49"/>
      <c r="AQ10" s="166">
        <f t="shared" si="0"/>
        <v>0</v>
      </c>
      <c r="AR10" s="49"/>
      <c r="AS10" s="166">
        <f t="shared" si="0"/>
        <v>0</v>
      </c>
      <c r="AT10" s="49"/>
      <c r="AU10" s="166">
        <f t="shared" si="0"/>
        <v>0</v>
      </c>
      <c r="AV10" s="49"/>
      <c r="AW10" s="166">
        <f t="shared" si="0"/>
        <v>0</v>
      </c>
      <c r="AX10" s="49"/>
      <c r="AY10" s="166">
        <f t="shared" si="0"/>
        <v>0</v>
      </c>
      <c r="AZ10" s="49"/>
      <c r="BA10" s="166">
        <f t="shared" si="0"/>
        <v>0</v>
      </c>
      <c r="BB10" s="49"/>
      <c r="BC10" s="166">
        <f t="shared" si="0"/>
        <v>0</v>
      </c>
      <c r="BD10" s="49"/>
      <c r="BE10" s="166">
        <f t="shared" si="0"/>
        <v>0</v>
      </c>
      <c r="BF10" s="49"/>
      <c r="BG10" s="166">
        <f t="shared" si="0"/>
        <v>0</v>
      </c>
      <c r="BH10" s="49"/>
      <c r="BI10" s="166">
        <f t="shared" si="0"/>
        <v>0</v>
      </c>
      <c r="BJ10" s="49"/>
      <c r="BK10" s="166">
        <f t="shared" si="0"/>
        <v>0</v>
      </c>
      <c r="BL10" s="49"/>
      <c r="BM10" s="166">
        <f t="shared" si="0"/>
        <v>0</v>
      </c>
      <c r="BN10" s="50"/>
      <c r="BO10" s="170" t="e">
        <f>IF(COUNT(E10,G10,I10,K10,M10,O10,Q10,S10,U10,W10,Y10,AA10,AC10,AE10,AG10,AI10,AK10,AM10,AO10,AQ10,AS10,AU10,AW10,AY10,BA10,BC10,BE10,BG10,BI10,BK10,BM10)=0,"",SUM(E10,G10,I10,K10,M10,O10,Q10,S10,U10,W10,Y10,AA10,AC10,AE10,AG10,AI10,AK10,AM10,AO10,AQ10,AS10,AU10,AW10,AY10,BA10,BC10,BE10,BG10,BI10,BK10,BM10))</f>
        <v>#VALUE!</v>
      </c>
      <c r="BP10" s="49"/>
      <c r="BQ10" s="172">
        <f t="shared" si="0"/>
        <v>0</v>
      </c>
      <c r="BR10"/>
      <c r="BS10"/>
      <c r="BT10"/>
      <c r="BU10"/>
      <c r="BV10"/>
      <c r="BW10"/>
      <c r="BX10"/>
    </row>
    <row r="11" spans="1:76" s="2" customFormat="1" x14ac:dyDescent="0.35">
      <c r="A11" s="44" t="s">
        <v>48</v>
      </c>
      <c r="B11" s="45"/>
      <c r="C11" s="46">
        <v>5252.8</v>
      </c>
      <c r="D11" s="47"/>
      <c r="E11" s="166">
        <f>E75+E56</f>
        <v>0</v>
      </c>
      <c r="F11" s="49"/>
      <c r="G11" s="166">
        <f>G75+G56</f>
        <v>0</v>
      </c>
      <c r="H11" s="49"/>
      <c r="I11" s="166">
        <f>I75+I56</f>
        <v>0</v>
      </c>
      <c r="J11" s="49"/>
      <c r="K11" s="166">
        <f>K75+K56</f>
        <v>0</v>
      </c>
      <c r="L11" s="49"/>
      <c r="M11" s="166">
        <f>M75+M56</f>
        <v>0</v>
      </c>
      <c r="N11" s="49"/>
      <c r="O11" s="166">
        <f>O75+O56</f>
        <v>0</v>
      </c>
      <c r="P11" s="49"/>
      <c r="Q11" s="166">
        <f>Q75+Q56</f>
        <v>0</v>
      </c>
      <c r="R11" s="49"/>
      <c r="S11" s="166">
        <f>S75+S56</f>
        <v>0</v>
      </c>
      <c r="T11" s="49"/>
      <c r="U11" s="166">
        <f>U75+U56</f>
        <v>0</v>
      </c>
      <c r="V11" s="49"/>
      <c r="W11" s="166">
        <f>W75+W56</f>
        <v>0</v>
      </c>
      <c r="X11" s="167">
        <f t="shared" ref="X11:AL11" si="1">X75</f>
        <v>0</v>
      </c>
      <c r="Y11" s="166">
        <f>Y75+Y56</f>
        <v>0</v>
      </c>
      <c r="Z11" s="167">
        <f t="shared" si="1"/>
        <v>0</v>
      </c>
      <c r="AA11" s="166">
        <f>AA75+AA56</f>
        <v>0</v>
      </c>
      <c r="AB11" s="167">
        <f t="shared" si="1"/>
        <v>0</v>
      </c>
      <c r="AC11" s="166">
        <f>AC75+AC56</f>
        <v>0</v>
      </c>
      <c r="AD11" s="167">
        <f t="shared" si="1"/>
        <v>0</v>
      </c>
      <c r="AE11" s="166">
        <f>AE75+AE56</f>
        <v>0</v>
      </c>
      <c r="AF11" s="167">
        <f t="shared" si="1"/>
        <v>0</v>
      </c>
      <c r="AG11" s="166">
        <f>AG75+AG56</f>
        <v>0</v>
      </c>
      <c r="AH11" s="167">
        <f t="shared" si="1"/>
        <v>0</v>
      </c>
      <c r="AI11" s="166">
        <f>AI75+AI56</f>
        <v>0</v>
      </c>
      <c r="AJ11" s="167">
        <f t="shared" si="1"/>
        <v>0</v>
      </c>
      <c r="AK11" s="166">
        <f>AK75+AK56</f>
        <v>0</v>
      </c>
      <c r="AL11" s="167">
        <f t="shared" si="1"/>
        <v>0</v>
      </c>
      <c r="AM11" s="166">
        <f>AM75+AM56</f>
        <v>0</v>
      </c>
      <c r="AN11" s="49"/>
      <c r="AO11" s="166">
        <f>AO75+AO56</f>
        <v>0</v>
      </c>
      <c r="AP11" s="49"/>
      <c r="AQ11" s="166">
        <f>AQ75+AQ56</f>
        <v>0</v>
      </c>
      <c r="AR11" s="49"/>
      <c r="AS11" s="166">
        <f>AS75+AS56</f>
        <v>0</v>
      </c>
      <c r="AT11" s="49"/>
      <c r="AU11" s="166">
        <f>AU75+AU56</f>
        <v>0</v>
      </c>
      <c r="AV11" s="49"/>
      <c r="AW11" s="166">
        <f>AW75+AW56</f>
        <v>0</v>
      </c>
      <c r="AX11" s="49"/>
      <c r="AY11" s="166">
        <f>AY75+AY56</f>
        <v>0</v>
      </c>
      <c r="AZ11" s="49"/>
      <c r="BA11" s="166">
        <f>BA75+BA56</f>
        <v>0</v>
      </c>
      <c r="BB11" s="49"/>
      <c r="BC11" s="166">
        <f>BC75+BC56</f>
        <v>0</v>
      </c>
      <c r="BD11" s="49"/>
      <c r="BE11" s="166">
        <f>BE75+BE56</f>
        <v>0</v>
      </c>
      <c r="BF11" s="49"/>
      <c r="BG11" s="166">
        <f>BG75+BG56</f>
        <v>0</v>
      </c>
      <c r="BH11" s="49"/>
      <c r="BI11" s="166">
        <f>BI75+BI56</f>
        <v>0</v>
      </c>
      <c r="BJ11" s="49"/>
      <c r="BK11" s="166">
        <f>BK75+BK56</f>
        <v>0</v>
      </c>
      <c r="BL11" s="49"/>
      <c r="BM11" s="166">
        <f>BM75+BM56</f>
        <v>0</v>
      </c>
      <c r="BN11" s="50"/>
      <c r="BO11" s="170">
        <f>IF(COUNT(E11,G11,I11,K11,M11,O11,Q11,S11,U11,W11,Y11,AA11,AC11,AE11,AG11,AI11,AK11,AM11,AO11,AQ11,AS11,AU11,AW11,AY11,BA11,BC11,BE11,BG11,BI11,BK11,BM11)=0,"",SUM(E11,G11,I11,K11,M11,O11,Q11,S11,U11,W11,Y11,AA11,AC11,AE11,AG11,AI11,AK11,AM11,AO11,AQ11,AS11,AU11,AW11,AY11,BA11,BC11,BE11,BG11,BI11,BK11,BM11))</f>
        <v>0</v>
      </c>
      <c r="BP11" s="49"/>
      <c r="BQ11" s="172" t="e">
        <f>BQ75+BQ56</f>
        <v>#VALUE!</v>
      </c>
      <c r="BR11"/>
      <c r="BS11"/>
      <c r="BT11"/>
      <c r="BU11"/>
      <c r="BV11"/>
      <c r="BW11"/>
      <c r="BX11"/>
    </row>
    <row r="12" spans="1:76" ht="13.5" customHeight="1" x14ac:dyDescent="0.35">
      <c r="A12" s="53"/>
      <c r="B12" s="54"/>
      <c r="C12" s="55"/>
      <c r="D12" s="219"/>
      <c r="E12" s="217"/>
      <c r="F12" s="216"/>
      <c r="G12" s="217"/>
      <c r="H12" s="216"/>
      <c r="I12" s="217"/>
      <c r="J12" s="216"/>
      <c r="K12" s="217"/>
      <c r="L12" s="216"/>
      <c r="M12" s="217"/>
      <c r="N12" s="216"/>
      <c r="O12" s="217"/>
      <c r="P12" s="216"/>
      <c r="Q12" s="217"/>
      <c r="R12" s="216"/>
      <c r="S12" s="217"/>
      <c r="T12" s="216"/>
      <c r="U12" s="217"/>
      <c r="V12" s="216"/>
      <c r="W12" s="217"/>
      <c r="X12" s="216"/>
      <c r="Y12" s="217"/>
      <c r="Z12" s="216"/>
      <c r="AA12" s="217"/>
      <c r="AB12" s="216"/>
      <c r="AC12" s="217"/>
      <c r="AD12" s="216"/>
      <c r="AE12" s="217"/>
      <c r="AF12" s="216"/>
      <c r="AG12" s="217"/>
      <c r="AH12" s="216"/>
      <c r="AI12" s="217"/>
      <c r="AJ12" s="216"/>
      <c r="AK12" s="217"/>
      <c r="AL12" s="216"/>
      <c r="AM12" s="217"/>
      <c r="AN12" s="216"/>
      <c r="AO12" s="217"/>
      <c r="AP12" s="216"/>
      <c r="AQ12" s="217"/>
      <c r="AR12" s="216"/>
      <c r="AS12" s="217"/>
      <c r="AT12" s="216"/>
      <c r="AU12" s="217"/>
      <c r="AV12" s="216"/>
      <c r="AW12" s="217"/>
      <c r="AX12" s="216"/>
      <c r="AY12" s="217"/>
      <c r="AZ12" s="216"/>
      <c r="BA12" s="217"/>
      <c r="BB12" s="216"/>
      <c r="BC12" s="217"/>
      <c r="BD12" s="216"/>
      <c r="BE12" s="217"/>
      <c r="BF12" s="216"/>
      <c r="BG12" s="217"/>
      <c r="BH12" s="216"/>
      <c r="BI12" s="217"/>
      <c r="BJ12" s="216"/>
      <c r="BK12" s="217"/>
      <c r="BL12" s="216"/>
      <c r="BM12" s="217"/>
      <c r="BN12" s="56"/>
      <c r="BO12" s="57"/>
      <c r="BP12" s="216"/>
      <c r="BQ12" s="218"/>
    </row>
    <row r="13" spans="1:76" x14ac:dyDescent="0.35">
      <c r="A13" s="58" t="s">
        <v>39</v>
      </c>
      <c r="B13" s="59"/>
      <c r="C13" s="205" t="str">
        <f>IF('April 2027 Log'!BK13="","",'April 2027 Log'!BK13)</f>
        <v/>
      </c>
      <c r="D13" s="61" t="s">
        <v>52</v>
      </c>
      <c r="E13" s="62"/>
      <c r="F13" s="63" t="s">
        <v>52</v>
      </c>
      <c r="G13" s="62"/>
      <c r="H13" s="63" t="s">
        <v>52</v>
      </c>
      <c r="I13" s="62"/>
      <c r="J13" s="63" t="s">
        <v>52</v>
      </c>
      <c r="K13" s="62"/>
      <c r="L13" s="63" t="s">
        <v>52</v>
      </c>
      <c r="M13" s="62"/>
      <c r="N13" s="63" t="s">
        <v>52</v>
      </c>
      <c r="O13" s="62"/>
      <c r="P13" s="63" t="s">
        <v>52</v>
      </c>
      <c r="Q13" s="62"/>
      <c r="R13" s="63" t="s">
        <v>52</v>
      </c>
      <c r="S13" s="62"/>
      <c r="T13" s="63" t="s">
        <v>52</v>
      </c>
      <c r="U13" s="62"/>
      <c r="V13" s="63" t="s">
        <v>52</v>
      </c>
      <c r="W13" s="62"/>
      <c r="X13" s="63" t="s">
        <v>52</v>
      </c>
      <c r="Y13" s="62"/>
      <c r="Z13" s="63" t="s">
        <v>52</v>
      </c>
      <c r="AA13" s="62"/>
      <c r="AB13" s="63" t="s">
        <v>52</v>
      </c>
      <c r="AC13" s="62"/>
      <c r="AD13" s="63" t="s">
        <v>52</v>
      </c>
      <c r="AE13" s="62"/>
      <c r="AF13" s="63" t="s">
        <v>52</v>
      </c>
      <c r="AG13" s="62"/>
      <c r="AH13" s="63" t="s">
        <v>52</v>
      </c>
      <c r="AI13" s="62"/>
      <c r="AJ13" s="63" t="s">
        <v>52</v>
      </c>
      <c r="AK13" s="62"/>
      <c r="AL13" s="63" t="s">
        <v>52</v>
      </c>
      <c r="AM13" s="62"/>
      <c r="AN13" s="63" t="s">
        <v>52</v>
      </c>
      <c r="AO13" s="62"/>
      <c r="AP13" s="63" t="s">
        <v>52</v>
      </c>
      <c r="AQ13" s="62"/>
      <c r="AR13" s="63" t="s">
        <v>52</v>
      </c>
      <c r="AS13" s="62"/>
      <c r="AT13" s="63" t="s">
        <v>52</v>
      </c>
      <c r="AU13" s="62"/>
      <c r="AV13" s="63" t="s">
        <v>52</v>
      </c>
      <c r="AW13" s="62"/>
      <c r="AX13" s="63" t="s">
        <v>52</v>
      </c>
      <c r="AY13" s="62"/>
      <c r="AZ13" s="63" t="s">
        <v>52</v>
      </c>
      <c r="BA13" s="62"/>
      <c r="BB13" s="63" t="s">
        <v>52</v>
      </c>
      <c r="BC13" s="62"/>
      <c r="BD13" s="63" t="s">
        <v>52</v>
      </c>
      <c r="BE13" s="62"/>
      <c r="BF13" s="63" t="s">
        <v>52</v>
      </c>
      <c r="BG13" s="62"/>
      <c r="BH13" s="63" t="s">
        <v>52</v>
      </c>
      <c r="BI13" s="62"/>
      <c r="BJ13" s="63" t="s">
        <v>52</v>
      </c>
      <c r="BK13" s="62"/>
      <c r="BL13" s="63" t="s">
        <v>52</v>
      </c>
      <c r="BM13" s="62"/>
      <c r="BN13" s="64"/>
      <c r="BO13" s="65"/>
      <c r="BP13" s="63" t="s">
        <v>52</v>
      </c>
      <c r="BQ13" s="207" t="str">
        <f>IF(BM13="","",BM13)</f>
        <v/>
      </c>
    </row>
    <row r="14" spans="1:76" x14ac:dyDescent="0.35">
      <c r="A14" s="53" t="s">
        <v>40</v>
      </c>
      <c r="B14" s="59"/>
      <c r="C14" s="206" t="str">
        <f>IF('April 2027 Log'!BK14="","",'April 2027 Log'!BK14)</f>
        <v/>
      </c>
      <c r="D14" s="68" t="s">
        <v>40</v>
      </c>
      <c r="E14" s="69"/>
      <c r="F14" s="70" t="s">
        <v>40</v>
      </c>
      <c r="G14" s="69"/>
      <c r="H14" s="70" t="s">
        <v>40</v>
      </c>
      <c r="I14" s="69"/>
      <c r="J14" s="70" t="s">
        <v>40</v>
      </c>
      <c r="K14" s="69"/>
      <c r="L14" s="70" t="s">
        <v>40</v>
      </c>
      <c r="M14" s="69"/>
      <c r="N14" s="70" t="s">
        <v>40</v>
      </c>
      <c r="O14" s="69"/>
      <c r="P14" s="70" t="s">
        <v>40</v>
      </c>
      <c r="Q14" s="69"/>
      <c r="R14" s="70" t="s">
        <v>40</v>
      </c>
      <c r="S14" s="69"/>
      <c r="T14" s="70" t="s">
        <v>40</v>
      </c>
      <c r="U14" s="69"/>
      <c r="V14" s="70" t="s">
        <v>40</v>
      </c>
      <c r="W14" s="69"/>
      <c r="X14" s="70" t="s">
        <v>40</v>
      </c>
      <c r="Y14" s="69"/>
      <c r="Z14" s="70" t="s">
        <v>40</v>
      </c>
      <c r="AA14" s="69"/>
      <c r="AB14" s="70" t="s">
        <v>40</v>
      </c>
      <c r="AC14" s="69"/>
      <c r="AD14" s="70" t="s">
        <v>40</v>
      </c>
      <c r="AE14" s="69"/>
      <c r="AF14" s="70" t="s">
        <v>40</v>
      </c>
      <c r="AG14" s="69"/>
      <c r="AH14" s="70" t="s">
        <v>40</v>
      </c>
      <c r="AI14" s="69"/>
      <c r="AJ14" s="70" t="s">
        <v>40</v>
      </c>
      <c r="AK14" s="69"/>
      <c r="AL14" s="70" t="s">
        <v>40</v>
      </c>
      <c r="AM14" s="69"/>
      <c r="AN14" s="70" t="s">
        <v>40</v>
      </c>
      <c r="AO14" s="69"/>
      <c r="AP14" s="70" t="s">
        <v>40</v>
      </c>
      <c r="AQ14" s="69"/>
      <c r="AR14" s="70" t="s">
        <v>40</v>
      </c>
      <c r="AS14" s="69"/>
      <c r="AT14" s="70" t="s">
        <v>40</v>
      </c>
      <c r="AU14" s="69"/>
      <c r="AV14" s="70" t="s">
        <v>40</v>
      </c>
      <c r="AW14" s="69"/>
      <c r="AX14" s="70" t="s">
        <v>40</v>
      </c>
      <c r="AY14" s="69"/>
      <c r="AZ14" s="70" t="s">
        <v>40</v>
      </c>
      <c r="BA14" s="69"/>
      <c r="BB14" s="70" t="s">
        <v>40</v>
      </c>
      <c r="BC14" s="69"/>
      <c r="BD14" s="70" t="s">
        <v>40</v>
      </c>
      <c r="BE14" s="69"/>
      <c r="BF14" s="70" t="s">
        <v>40</v>
      </c>
      <c r="BG14" s="69"/>
      <c r="BH14" s="70" t="s">
        <v>40</v>
      </c>
      <c r="BI14" s="69"/>
      <c r="BJ14" s="70" t="s">
        <v>40</v>
      </c>
      <c r="BK14" s="69"/>
      <c r="BL14" s="70" t="s">
        <v>40</v>
      </c>
      <c r="BM14" s="69"/>
      <c r="BN14" s="71"/>
      <c r="BO14" s="72"/>
      <c r="BP14" s="70" t="s">
        <v>40</v>
      </c>
      <c r="BQ14" s="208" t="str">
        <f>IF(BM14="","",BM14)</f>
        <v/>
      </c>
    </row>
    <row r="15" spans="1:76" x14ac:dyDescent="0.35">
      <c r="A15" s="53" t="s">
        <v>38</v>
      </c>
      <c r="B15" s="54"/>
      <c r="C15" s="206" t="str">
        <f>IF('April 2027 Log'!BK15="","",'April 2027 Log'!BK15)</f>
        <v/>
      </c>
      <c r="D15" s="68" t="s">
        <v>53</v>
      </c>
      <c r="E15" s="69"/>
      <c r="F15" s="70" t="s">
        <v>53</v>
      </c>
      <c r="G15" s="69"/>
      <c r="H15" s="70" t="s">
        <v>53</v>
      </c>
      <c r="I15" s="69"/>
      <c r="J15" s="70" t="s">
        <v>53</v>
      </c>
      <c r="K15" s="69"/>
      <c r="L15" s="70" t="s">
        <v>53</v>
      </c>
      <c r="M15" s="69"/>
      <c r="N15" s="70" t="s">
        <v>53</v>
      </c>
      <c r="O15" s="69"/>
      <c r="P15" s="70" t="s">
        <v>53</v>
      </c>
      <c r="Q15" s="69"/>
      <c r="R15" s="70" t="s">
        <v>53</v>
      </c>
      <c r="S15" s="69"/>
      <c r="T15" s="70" t="s">
        <v>53</v>
      </c>
      <c r="U15" s="69"/>
      <c r="V15" s="70" t="s">
        <v>53</v>
      </c>
      <c r="W15" s="69"/>
      <c r="X15" s="70" t="s">
        <v>53</v>
      </c>
      <c r="Y15" s="69"/>
      <c r="Z15" s="70" t="s">
        <v>53</v>
      </c>
      <c r="AA15" s="69"/>
      <c r="AB15" s="70" t="s">
        <v>53</v>
      </c>
      <c r="AC15" s="69"/>
      <c r="AD15" s="70" t="s">
        <v>53</v>
      </c>
      <c r="AE15" s="69"/>
      <c r="AF15" s="70" t="s">
        <v>53</v>
      </c>
      <c r="AG15" s="69"/>
      <c r="AH15" s="70" t="s">
        <v>53</v>
      </c>
      <c r="AI15" s="69"/>
      <c r="AJ15" s="70" t="s">
        <v>53</v>
      </c>
      <c r="AK15" s="69"/>
      <c r="AL15" s="70" t="s">
        <v>53</v>
      </c>
      <c r="AM15" s="69"/>
      <c r="AN15" s="70" t="s">
        <v>53</v>
      </c>
      <c r="AO15" s="69"/>
      <c r="AP15" s="70" t="s">
        <v>53</v>
      </c>
      <c r="AQ15" s="69"/>
      <c r="AR15" s="70" t="s">
        <v>53</v>
      </c>
      <c r="AS15" s="69"/>
      <c r="AT15" s="70" t="s">
        <v>53</v>
      </c>
      <c r="AU15" s="69"/>
      <c r="AV15" s="70" t="s">
        <v>53</v>
      </c>
      <c r="AW15" s="69"/>
      <c r="AX15" s="70" t="s">
        <v>53</v>
      </c>
      <c r="AY15" s="69"/>
      <c r="AZ15" s="70" t="s">
        <v>53</v>
      </c>
      <c r="BA15" s="69"/>
      <c r="BB15" s="70" t="s">
        <v>53</v>
      </c>
      <c r="BC15" s="69"/>
      <c r="BD15" s="70" t="s">
        <v>53</v>
      </c>
      <c r="BE15" s="69"/>
      <c r="BF15" s="70" t="s">
        <v>53</v>
      </c>
      <c r="BG15" s="69"/>
      <c r="BH15" s="70" t="s">
        <v>53</v>
      </c>
      <c r="BI15" s="69"/>
      <c r="BJ15" s="70" t="s">
        <v>53</v>
      </c>
      <c r="BK15" s="69"/>
      <c r="BL15" s="70" t="s">
        <v>53</v>
      </c>
      <c r="BM15" s="69"/>
      <c r="BN15" s="71"/>
      <c r="BO15" s="72"/>
      <c r="BP15" s="70" t="s">
        <v>53</v>
      </c>
      <c r="BQ15" s="208" t="str">
        <f>IF(BM15="","",BM15)</f>
        <v/>
      </c>
    </row>
    <row r="16" spans="1:76" x14ac:dyDescent="0.35">
      <c r="A16" s="74" t="s">
        <v>51</v>
      </c>
      <c r="B16" s="75"/>
      <c r="C16" s="76"/>
      <c r="D16" s="77"/>
      <c r="E16" s="78"/>
      <c r="F16" s="79"/>
      <c r="G16" s="78"/>
      <c r="H16" s="79"/>
      <c r="I16" s="78"/>
      <c r="J16" s="79"/>
      <c r="K16" s="78"/>
      <c r="L16" s="79"/>
      <c r="M16" s="78"/>
      <c r="N16" s="79"/>
      <c r="O16" s="78"/>
      <c r="P16" s="79"/>
      <c r="Q16" s="78"/>
      <c r="R16" s="79"/>
      <c r="S16" s="78"/>
      <c r="T16" s="79"/>
      <c r="U16" s="78"/>
      <c r="V16" s="79"/>
      <c r="W16" s="78"/>
      <c r="X16" s="79"/>
      <c r="Y16" s="78"/>
      <c r="Z16" s="79"/>
      <c r="AA16" s="78"/>
      <c r="AB16" s="79"/>
      <c r="AC16" s="78"/>
      <c r="AD16" s="79"/>
      <c r="AE16" s="78"/>
      <c r="AF16" s="79"/>
      <c r="AG16" s="78"/>
      <c r="AH16" s="79"/>
      <c r="AI16" s="78"/>
      <c r="AJ16" s="79"/>
      <c r="AK16" s="78"/>
      <c r="AL16" s="79"/>
      <c r="AM16" s="78"/>
      <c r="AN16" s="79"/>
      <c r="AO16" s="78"/>
      <c r="AP16" s="79"/>
      <c r="AQ16" s="78"/>
      <c r="AR16" s="79"/>
      <c r="AS16" s="78"/>
      <c r="AT16" s="79"/>
      <c r="AU16" s="78"/>
      <c r="AV16" s="79"/>
      <c r="AW16" s="78"/>
      <c r="AX16" s="79"/>
      <c r="AY16" s="78"/>
      <c r="AZ16" s="79"/>
      <c r="BA16" s="78"/>
      <c r="BB16" s="79"/>
      <c r="BC16" s="78"/>
      <c r="BD16" s="79"/>
      <c r="BE16" s="78"/>
      <c r="BF16" s="79"/>
      <c r="BG16" s="78"/>
      <c r="BH16" s="79"/>
      <c r="BI16" s="78"/>
      <c r="BJ16" s="79"/>
      <c r="BK16" s="78"/>
      <c r="BL16" s="79"/>
      <c r="BM16" s="78"/>
      <c r="BN16" s="80"/>
      <c r="BO16" s="81"/>
      <c r="BP16" s="79"/>
      <c r="BQ16" s="82"/>
    </row>
    <row r="17" spans="1:76" x14ac:dyDescent="0.35">
      <c r="A17" s="53" t="s">
        <v>45</v>
      </c>
      <c r="B17" s="54"/>
      <c r="C17" s="206" t="str">
        <f>IF('April 2027 Log'!BK17="","",'April 2027 Log'!BK17)</f>
        <v/>
      </c>
      <c r="D17" s="68"/>
      <c r="E17" s="69"/>
      <c r="F17" s="70"/>
      <c r="G17" s="69"/>
      <c r="H17" s="70"/>
      <c r="I17" s="69"/>
      <c r="J17" s="70"/>
      <c r="K17" s="69"/>
      <c r="L17" s="70"/>
      <c r="M17" s="69"/>
      <c r="N17" s="70"/>
      <c r="O17" s="69"/>
      <c r="P17" s="70"/>
      <c r="Q17" s="69"/>
      <c r="R17" s="70"/>
      <c r="S17" s="69"/>
      <c r="T17" s="70"/>
      <c r="U17" s="69"/>
      <c r="V17" s="70"/>
      <c r="W17" s="69"/>
      <c r="X17" s="70"/>
      <c r="Y17" s="69"/>
      <c r="Z17" s="70"/>
      <c r="AA17" s="69"/>
      <c r="AB17" s="70"/>
      <c r="AC17" s="69"/>
      <c r="AD17" s="70"/>
      <c r="AE17" s="69"/>
      <c r="AF17" s="70"/>
      <c r="AG17" s="69"/>
      <c r="AH17" s="70"/>
      <c r="AI17" s="69"/>
      <c r="AJ17" s="70"/>
      <c r="AK17" s="69"/>
      <c r="AL17" s="70"/>
      <c r="AM17" s="69"/>
      <c r="AN17" s="70"/>
      <c r="AO17" s="69"/>
      <c r="AP17" s="70"/>
      <c r="AQ17" s="69"/>
      <c r="AR17" s="70"/>
      <c r="AS17" s="69"/>
      <c r="AT17" s="70"/>
      <c r="AU17" s="69"/>
      <c r="AV17" s="70"/>
      <c r="AW17" s="69"/>
      <c r="AX17" s="70"/>
      <c r="AY17" s="69"/>
      <c r="AZ17" s="70"/>
      <c r="BA17" s="69"/>
      <c r="BB17" s="70"/>
      <c r="BC17" s="69"/>
      <c r="BD17" s="70"/>
      <c r="BE17" s="69"/>
      <c r="BF17" s="70"/>
      <c r="BG17" s="69"/>
      <c r="BH17" s="70"/>
      <c r="BI17" s="69"/>
      <c r="BJ17" s="70"/>
      <c r="BK17" s="69"/>
      <c r="BL17" s="70"/>
      <c r="BM17" s="69"/>
      <c r="BN17" s="71"/>
      <c r="BO17" s="182" t="str">
        <f t="shared" ref="BO17:BO59" si="2">IF(COUNT(E17,G17,I17,K17,M17,O17,Q17,S17,U17,W17,Y17,AA17,AC17,AE17,AG17,AI17,AK17,AM17,AO17,AQ17,AS17,AU17,AW17,AY17,BA17,BC17,BE17,BG17,BI17,BK17,BM17)=0,"",SUM(E17,G17,I17,K17,M17,O17,Q17,S17,U17,W17,Y17,AA17,AC17,AE17,AG17,AI17,AK17,AM17,AO17,AQ17,AS17,AU17,AW17,AY17,BA17,BC17,BE17,BG17,BI17,BK17,BM17))</f>
        <v/>
      </c>
      <c r="BP17" s="70"/>
      <c r="BQ17" s="208" t="str">
        <f>IF(BM17="","",BM17)</f>
        <v/>
      </c>
    </row>
    <row r="18" spans="1:76" x14ac:dyDescent="0.35">
      <c r="A18" s="53" t="s">
        <v>46</v>
      </c>
      <c r="B18" s="54"/>
      <c r="C18" s="67"/>
      <c r="D18" s="68"/>
      <c r="E18" s="69"/>
      <c r="F18" s="70"/>
      <c r="G18" s="69"/>
      <c r="H18" s="70"/>
      <c r="I18" s="69"/>
      <c r="J18" s="70"/>
      <c r="K18" s="69"/>
      <c r="L18" s="70"/>
      <c r="M18" s="69"/>
      <c r="N18" s="70"/>
      <c r="O18" s="69"/>
      <c r="P18" s="70"/>
      <c r="Q18" s="69"/>
      <c r="R18" s="70"/>
      <c r="S18" s="69"/>
      <c r="T18" s="70"/>
      <c r="U18" s="69"/>
      <c r="V18" s="70"/>
      <c r="W18" s="69"/>
      <c r="X18" s="70"/>
      <c r="Y18" s="69"/>
      <c r="Z18" s="70"/>
      <c r="AA18" s="69"/>
      <c r="AB18" s="70"/>
      <c r="AC18" s="69"/>
      <c r="AD18" s="70"/>
      <c r="AE18" s="69"/>
      <c r="AF18" s="70"/>
      <c r="AG18" s="69"/>
      <c r="AH18" s="70"/>
      <c r="AI18" s="69"/>
      <c r="AJ18" s="70"/>
      <c r="AK18" s="69"/>
      <c r="AL18" s="70"/>
      <c r="AM18" s="69"/>
      <c r="AN18" s="70"/>
      <c r="AO18" s="69"/>
      <c r="AP18" s="70"/>
      <c r="AQ18" s="69"/>
      <c r="AR18" s="70"/>
      <c r="AS18" s="69"/>
      <c r="AT18" s="70"/>
      <c r="AU18" s="69"/>
      <c r="AV18" s="70"/>
      <c r="AW18" s="69"/>
      <c r="AX18" s="70"/>
      <c r="AY18" s="69"/>
      <c r="AZ18" s="70"/>
      <c r="BA18" s="69"/>
      <c r="BB18" s="70"/>
      <c r="BC18" s="69"/>
      <c r="BD18" s="70"/>
      <c r="BE18" s="69"/>
      <c r="BF18" s="70"/>
      <c r="BG18" s="69"/>
      <c r="BH18" s="70"/>
      <c r="BI18" s="69"/>
      <c r="BJ18" s="70"/>
      <c r="BK18" s="69"/>
      <c r="BL18" s="70"/>
      <c r="BM18" s="69"/>
      <c r="BN18" s="71"/>
      <c r="BO18" s="182" t="str">
        <f t="shared" si="2"/>
        <v/>
      </c>
      <c r="BP18" s="70"/>
      <c r="BQ18" s="73"/>
    </row>
    <row r="19" spans="1:76" x14ac:dyDescent="0.35">
      <c r="A19" s="53" t="s">
        <v>69</v>
      </c>
      <c r="B19" s="54"/>
      <c r="C19" s="67"/>
      <c r="D19" s="68"/>
      <c r="E19" s="69"/>
      <c r="F19" s="70"/>
      <c r="G19" s="69"/>
      <c r="H19" s="70"/>
      <c r="I19" s="69"/>
      <c r="J19" s="70"/>
      <c r="K19" s="69"/>
      <c r="L19" s="70"/>
      <c r="M19" s="69"/>
      <c r="N19" s="70"/>
      <c r="O19" s="69"/>
      <c r="P19" s="70"/>
      <c r="Q19" s="69"/>
      <c r="R19" s="70"/>
      <c r="S19" s="69"/>
      <c r="T19" s="70"/>
      <c r="U19" s="69"/>
      <c r="V19" s="70"/>
      <c r="W19" s="69"/>
      <c r="X19" s="70"/>
      <c r="Y19" s="69"/>
      <c r="Z19" s="70"/>
      <c r="AA19" s="69"/>
      <c r="AB19" s="70"/>
      <c r="AC19" s="69"/>
      <c r="AD19" s="70"/>
      <c r="AE19" s="69"/>
      <c r="AF19" s="70"/>
      <c r="AG19" s="69"/>
      <c r="AH19" s="70"/>
      <c r="AI19" s="69"/>
      <c r="AJ19" s="70"/>
      <c r="AK19" s="69"/>
      <c r="AL19" s="70"/>
      <c r="AM19" s="69"/>
      <c r="AN19" s="70"/>
      <c r="AO19" s="69"/>
      <c r="AP19" s="70"/>
      <c r="AQ19" s="69"/>
      <c r="AR19" s="70"/>
      <c r="AS19" s="69"/>
      <c r="AT19" s="70"/>
      <c r="AU19" s="69"/>
      <c r="AV19" s="70"/>
      <c r="AW19" s="69"/>
      <c r="AX19" s="70"/>
      <c r="AY19" s="69"/>
      <c r="AZ19" s="70"/>
      <c r="BA19" s="69"/>
      <c r="BB19" s="70"/>
      <c r="BC19" s="69"/>
      <c r="BD19" s="70"/>
      <c r="BE19" s="69"/>
      <c r="BF19" s="70"/>
      <c r="BG19" s="69"/>
      <c r="BH19" s="70"/>
      <c r="BI19" s="69"/>
      <c r="BJ19" s="70"/>
      <c r="BK19" s="69"/>
      <c r="BL19" s="70"/>
      <c r="BM19" s="69"/>
      <c r="BN19" s="71"/>
      <c r="BO19" s="182" t="str">
        <f t="shared" si="2"/>
        <v/>
      </c>
      <c r="BP19" s="70"/>
      <c r="BQ19" s="73"/>
    </row>
    <row r="20" spans="1:76" x14ac:dyDescent="0.35">
      <c r="A20" s="83" t="s">
        <v>0</v>
      </c>
      <c r="B20" s="54"/>
      <c r="C20" s="84"/>
      <c r="D20" s="85"/>
      <c r="E20" s="86"/>
      <c r="F20" s="87"/>
      <c r="G20" s="86"/>
      <c r="H20" s="87"/>
      <c r="I20" s="86"/>
      <c r="J20" s="87"/>
      <c r="K20" s="86"/>
      <c r="L20" s="87"/>
      <c r="M20" s="86"/>
      <c r="N20" s="87"/>
      <c r="O20" s="86"/>
      <c r="P20" s="87"/>
      <c r="Q20" s="86"/>
      <c r="R20" s="87"/>
      <c r="S20" s="86"/>
      <c r="T20" s="87"/>
      <c r="U20" s="86"/>
      <c r="V20" s="87"/>
      <c r="W20" s="86"/>
      <c r="X20" s="87"/>
      <c r="Y20" s="86"/>
      <c r="Z20" s="87"/>
      <c r="AA20" s="86"/>
      <c r="AB20" s="87"/>
      <c r="AC20" s="86"/>
      <c r="AD20" s="87"/>
      <c r="AE20" s="86"/>
      <c r="AF20" s="87"/>
      <c r="AG20" s="86"/>
      <c r="AH20" s="87"/>
      <c r="AI20" s="86"/>
      <c r="AJ20" s="87"/>
      <c r="AK20" s="86"/>
      <c r="AL20" s="87"/>
      <c r="AM20" s="86"/>
      <c r="AN20" s="87"/>
      <c r="AO20" s="86"/>
      <c r="AP20" s="87"/>
      <c r="AQ20" s="86"/>
      <c r="AR20" s="87"/>
      <c r="AS20" s="86"/>
      <c r="AT20" s="87"/>
      <c r="AU20" s="86"/>
      <c r="AV20" s="87"/>
      <c r="AW20" s="86"/>
      <c r="AX20" s="87"/>
      <c r="AY20" s="86"/>
      <c r="AZ20" s="87"/>
      <c r="BA20" s="86"/>
      <c r="BB20" s="87"/>
      <c r="BC20" s="86"/>
      <c r="BD20" s="87"/>
      <c r="BE20" s="86"/>
      <c r="BF20" s="87"/>
      <c r="BG20" s="86"/>
      <c r="BH20" s="87"/>
      <c r="BI20" s="86"/>
      <c r="BJ20" s="87"/>
      <c r="BK20" s="86"/>
      <c r="BL20" s="87"/>
      <c r="BM20" s="86"/>
      <c r="BN20" s="50"/>
      <c r="BO20" s="170" t="str">
        <f t="shared" si="2"/>
        <v/>
      </c>
      <c r="BP20" s="87"/>
      <c r="BQ20" s="88"/>
    </row>
    <row r="21" spans="1:76" x14ac:dyDescent="0.35">
      <c r="A21" s="83" t="s">
        <v>1</v>
      </c>
      <c r="B21" s="54"/>
      <c r="C21" s="174" t="str">
        <f>IF('April 2027 Log'!BK21="","",'April 2027 Log'!BK21)</f>
        <v/>
      </c>
      <c r="D21" s="85"/>
      <c r="E21" s="86"/>
      <c r="F21" s="87"/>
      <c r="G21" s="86"/>
      <c r="H21" s="87"/>
      <c r="I21" s="86"/>
      <c r="J21" s="87"/>
      <c r="K21" s="86"/>
      <c r="L21" s="87"/>
      <c r="M21" s="86"/>
      <c r="N21" s="87"/>
      <c r="O21" s="86"/>
      <c r="P21" s="87"/>
      <c r="Q21" s="86"/>
      <c r="R21" s="87"/>
      <c r="S21" s="86"/>
      <c r="T21" s="87"/>
      <c r="U21" s="86"/>
      <c r="V21" s="87"/>
      <c r="W21" s="86"/>
      <c r="X21" s="87"/>
      <c r="Y21" s="86"/>
      <c r="Z21" s="87"/>
      <c r="AA21" s="86"/>
      <c r="AB21" s="87"/>
      <c r="AC21" s="86"/>
      <c r="AD21" s="87"/>
      <c r="AE21" s="86"/>
      <c r="AF21" s="87"/>
      <c r="AG21" s="86"/>
      <c r="AH21" s="87"/>
      <c r="AI21" s="86"/>
      <c r="AJ21" s="87"/>
      <c r="AK21" s="86"/>
      <c r="AL21" s="87"/>
      <c r="AM21" s="86"/>
      <c r="AN21" s="87"/>
      <c r="AO21" s="86"/>
      <c r="AP21" s="87"/>
      <c r="AQ21" s="86"/>
      <c r="AR21" s="87"/>
      <c r="AS21" s="86"/>
      <c r="AT21" s="87"/>
      <c r="AU21" s="86"/>
      <c r="AV21" s="87"/>
      <c r="AW21" s="86"/>
      <c r="AX21" s="87"/>
      <c r="AY21" s="86"/>
      <c r="AZ21" s="87"/>
      <c r="BA21" s="86"/>
      <c r="BB21" s="87"/>
      <c r="BC21" s="86"/>
      <c r="BD21" s="87"/>
      <c r="BE21" s="86"/>
      <c r="BF21" s="87"/>
      <c r="BG21" s="86"/>
      <c r="BH21" s="87"/>
      <c r="BI21" s="86"/>
      <c r="BJ21" s="87"/>
      <c r="BK21" s="86"/>
      <c r="BL21" s="87"/>
      <c r="BM21" s="86"/>
      <c r="BN21" s="50"/>
      <c r="BO21" s="170" t="str">
        <f t="shared" si="2"/>
        <v/>
      </c>
      <c r="BP21" s="87"/>
      <c r="BQ21" s="178" t="str">
        <f>IF(BM21="","",BM21)</f>
        <v/>
      </c>
    </row>
    <row r="22" spans="1:76" s="1" customFormat="1" ht="15" thickBot="1" x14ac:dyDescent="0.4">
      <c r="A22" s="89" t="s">
        <v>41</v>
      </c>
      <c r="B22" s="90"/>
      <c r="C22" s="175">
        <f>IF('April 2027 Log'!BK22="","",'April 2027 Log'!BK22)</f>
        <v>0</v>
      </c>
      <c r="D22" s="47"/>
      <c r="E22" s="177">
        <f t="shared" ref="E22" si="3">SUM(E20:E21)</f>
        <v>0</v>
      </c>
      <c r="F22" s="49"/>
      <c r="G22" s="177">
        <f t="shared" ref="G22" si="4">SUM(G20:G21)</f>
        <v>0</v>
      </c>
      <c r="H22" s="49"/>
      <c r="I22" s="177">
        <f t="shared" ref="I22" si="5">SUM(I20:I21)</f>
        <v>0</v>
      </c>
      <c r="J22" s="49"/>
      <c r="K22" s="177">
        <f t="shared" ref="K22" si="6">SUM(K20:K21)</f>
        <v>0</v>
      </c>
      <c r="L22" s="49"/>
      <c r="M22" s="177">
        <f t="shared" ref="M22" si="7">SUM(M20:M21)</f>
        <v>0</v>
      </c>
      <c r="N22" s="49"/>
      <c r="O22" s="177">
        <f t="shared" ref="O22" si="8">SUM(O20:O21)</f>
        <v>0</v>
      </c>
      <c r="P22" s="49"/>
      <c r="Q22" s="177">
        <f t="shared" ref="Q22" si="9">SUM(Q20:Q21)</f>
        <v>0</v>
      </c>
      <c r="R22" s="49"/>
      <c r="S22" s="177">
        <f t="shared" ref="S22" si="10">SUM(S20:S21)</f>
        <v>0</v>
      </c>
      <c r="T22" s="49"/>
      <c r="U22" s="177">
        <f t="shared" ref="U22" si="11">SUM(U20:U21)</f>
        <v>0</v>
      </c>
      <c r="V22" s="49"/>
      <c r="W22" s="177">
        <f t="shared" ref="W22" si="12">SUM(W20:W21)</f>
        <v>0</v>
      </c>
      <c r="X22" s="49"/>
      <c r="Y22" s="177">
        <f t="shared" ref="Y22" si="13">SUM(Y20:Y21)</f>
        <v>0</v>
      </c>
      <c r="Z22" s="49"/>
      <c r="AA22" s="177">
        <f t="shared" ref="AA22" si="14">SUM(AA20:AA21)</f>
        <v>0</v>
      </c>
      <c r="AB22" s="49"/>
      <c r="AC22" s="177">
        <f t="shared" ref="AC22" si="15">SUM(AC20:AC21)</f>
        <v>0</v>
      </c>
      <c r="AD22" s="49"/>
      <c r="AE22" s="177">
        <f t="shared" ref="AE22" si="16">SUM(AE20:AE21)</f>
        <v>0</v>
      </c>
      <c r="AF22" s="49"/>
      <c r="AG22" s="177">
        <f t="shared" ref="AG22" si="17">SUM(AG20:AG21)</f>
        <v>0</v>
      </c>
      <c r="AH22" s="49"/>
      <c r="AI22" s="177">
        <f t="shared" ref="AI22" si="18">SUM(AI20:AI21)</f>
        <v>0</v>
      </c>
      <c r="AJ22" s="49"/>
      <c r="AK22" s="177">
        <f t="shared" ref="AK22" si="19">SUM(AK20:AK21)</f>
        <v>0</v>
      </c>
      <c r="AL22" s="49"/>
      <c r="AM22" s="177">
        <f t="shared" ref="AM22" si="20">SUM(AM20:AM21)</f>
        <v>0</v>
      </c>
      <c r="AN22" s="49"/>
      <c r="AO22" s="177">
        <f t="shared" ref="AO22" si="21">SUM(AO20:AO21)</f>
        <v>0</v>
      </c>
      <c r="AP22" s="49"/>
      <c r="AQ22" s="177">
        <f t="shared" ref="AQ22" si="22">SUM(AQ20:AQ21)</f>
        <v>0</v>
      </c>
      <c r="AR22" s="49"/>
      <c r="AS22" s="177">
        <f t="shared" ref="AS22" si="23">SUM(AS20:AS21)</f>
        <v>0</v>
      </c>
      <c r="AT22" s="49"/>
      <c r="AU22" s="177">
        <f t="shared" ref="AU22" si="24">SUM(AU20:AU21)</f>
        <v>0</v>
      </c>
      <c r="AV22" s="49"/>
      <c r="AW22" s="177">
        <f t="shared" ref="AW22" si="25">SUM(AW20:AW21)</f>
        <v>0</v>
      </c>
      <c r="AX22" s="49"/>
      <c r="AY22" s="177">
        <f t="shared" ref="AY22" si="26">SUM(AY20:AY21)</f>
        <v>0</v>
      </c>
      <c r="AZ22" s="49"/>
      <c r="BA22" s="177">
        <f t="shared" ref="BA22" si="27">SUM(BA20:BA21)</f>
        <v>0</v>
      </c>
      <c r="BB22" s="49"/>
      <c r="BC22" s="177">
        <f t="shared" ref="BC22" si="28">SUM(BC20:BC21)</f>
        <v>0</v>
      </c>
      <c r="BD22" s="49"/>
      <c r="BE22" s="177">
        <f t="shared" ref="BE22" si="29">SUM(BE20:BE21)</f>
        <v>0</v>
      </c>
      <c r="BF22" s="49"/>
      <c r="BG22" s="177">
        <f t="shared" ref="BG22" si="30">SUM(BG20:BG21)</f>
        <v>0</v>
      </c>
      <c r="BH22" s="49"/>
      <c r="BI22" s="177">
        <f t="shared" ref="BI22" si="31">SUM(BI20:BI21)</f>
        <v>0</v>
      </c>
      <c r="BJ22" s="49"/>
      <c r="BK22" s="177">
        <f t="shared" ref="BK22" si="32">SUM(BK20:BK21)</f>
        <v>0</v>
      </c>
      <c r="BL22" s="49"/>
      <c r="BM22" s="177">
        <f t="shared" ref="BM22" si="33">SUM(BM20:BM21)</f>
        <v>0</v>
      </c>
      <c r="BN22" s="92"/>
      <c r="BO22" s="170">
        <f t="shared" si="2"/>
        <v>0</v>
      </c>
      <c r="BP22" s="49"/>
      <c r="BQ22" s="179">
        <f>IF(BM22="","",BM22)</f>
        <v>0</v>
      </c>
      <c r="BR22"/>
      <c r="BS22"/>
      <c r="BT22"/>
      <c r="BU22"/>
      <c r="BV22"/>
      <c r="BW22"/>
      <c r="BX22"/>
    </row>
    <row r="23" spans="1:76" ht="15" hidden="1" thickBot="1" x14ac:dyDescent="0.4">
      <c r="A23" s="83" t="s">
        <v>2</v>
      </c>
      <c r="B23" s="54"/>
      <c r="C23" s="84"/>
      <c r="D23" s="85"/>
      <c r="E23" s="86"/>
      <c r="F23" s="87"/>
      <c r="G23" s="86"/>
      <c r="H23" s="87"/>
      <c r="I23" s="86"/>
      <c r="J23" s="87"/>
      <c r="K23" s="86"/>
      <c r="L23" s="87"/>
      <c r="M23" s="86"/>
      <c r="N23" s="87"/>
      <c r="O23" s="86"/>
      <c r="P23" s="87"/>
      <c r="Q23" s="86"/>
      <c r="R23" s="87"/>
      <c r="S23" s="86"/>
      <c r="T23" s="87"/>
      <c r="U23" s="86"/>
      <c r="V23" s="87"/>
      <c r="W23" s="86"/>
      <c r="X23" s="87"/>
      <c r="Y23" s="86"/>
      <c r="Z23" s="87"/>
      <c r="AA23" s="86"/>
      <c r="AB23" s="87"/>
      <c r="AC23" s="86"/>
      <c r="AD23" s="87"/>
      <c r="AE23" s="86"/>
      <c r="AF23" s="87"/>
      <c r="AG23" s="86"/>
      <c r="AH23" s="87"/>
      <c r="AI23" s="86"/>
      <c r="AJ23" s="87"/>
      <c r="AK23" s="86"/>
      <c r="AL23" s="87"/>
      <c r="AM23" s="86"/>
      <c r="AN23" s="87"/>
      <c r="AO23" s="86"/>
      <c r="AP23" s="87"/>
      <c r="AQ23" s="86"/>
      <c r="AR23" s="87"/>
      <c r="AS23" s="86"/>
      <c r="AT23" s="87"/>
      <c r="AU23" s="86"/>
      <c r="AV23" s="87"/>
      <c r="AW23" s="86"/>
      <c r="AX23" s="87"/>
      <c r="AY23" s="86"/>
      <c r="AZ23" s="87"/>
      <c r="BA23" s="86"/>
      <c r="BB23" s="87"/>
      <c r="BC23" s="86"/>
      <c r="BD23" s="87"/>
      <c r="BE23" s="86"/>
      <c r="BF23" s="87"/>
      <c r="BG23" s="86"/>
      <c r="BH23" s="87"/>
      <c r="BI23" s="86"/>
      <c r="BJ23" s="87"/>
      <c r="BK23" s="86"/>
      <c r="BL23" s="87"/>
      <c r="BM23" s="86"/>
      <c r="BN23" s="50"/>
      <c r="BO23" s="170" t="str">
        <f t="shared" si="2"/>
        <v/>
      </c>
      <c r="BP23" s="87"/>
      <c r="BQ23" s="88"/>
    </row>
    <row r="24" spans="1:76" ht="15" hidden="1" thickBot="1" x14ac:dyDescent="0.4">
      <c r="A24" s="83" t="s">
        <v>3</v>
      </c>
      <c r="B24" s="54"/>
      <c r="C24" s="84"/>
      <c r="D24" s="85"/>
      <c r="E24" s="86"/>
      <c r="F24" s="87"/>
      <c r="G24" s="86"/>
      <c r="H24" s="87"/>
      <c r="I24" s="86"/>
      <c r="J24" s="87"/>
      <c r="K24" s="86"/>
      <c r="L24" s="87"/>
      <c r="M24" s="86"/>
      <c r="N24" s="87"/>
      <c r="O24" s="86"/>
      <c r="P24" s="87"/>
      <c r="Q24" s="86"/>
      <c r="R24" s="87"/>
      <c r="S24" s="86"/>
      <c r="T24" s="87"/>
      <c r="U24" s="86"/>
      <c r="V24" s="87"/>
      <c r="W24" s="86"/>
      <c r="X24" s="87"/>
      <c r="Y24" s="86"/>
      <c r="Z24" s="87"/>
      <c r="AA24" s="86"/>
      <c r="AB24" s="87"/>
      <c r="AC24" s="86"/>
      <c r="AD24" s="87"/>
      <c r="AE24" s="86"/>
      <c r="AF24" s="87"/>
      <c r="AG24" s="86"/>
      <c r="AH24" s="87"/>
      <c r="AI24" s="86"/>
      <c r="AJ24" s="87"/>
      <c r="AK24" s="86"/>
      <c r="AL24" s="87"/>
      <c r="AM24" s="86"/>
      <c r="AN24" s="87"/>
      <c r="AO24" s="86"/>
      <c r="AP24" s="87"/>
      <c r="AQ24" s="86"/>
      <c r="AR24" s="87"/>
      <c r="AS24" s="86"/>
      <c r="AT24" s="87"/>
      <c r="AU24" s="86"/>
      <c r="AV24" s="87"/>
      <c r="AW24" s="86"/>
      <c r="AX24" s="87"/>
      <c r="AY24" s="86"/>
      <c r="AZ24" s="87"/>
      <c r="BA24" s="86"/>
      <c r="BB24" s="87"/>
      <c r="BC24" s="86"/>
      <c r="BD24" s="87"/>
      <c r="BE24" s="86"/>
      <c r="BF24" s="87"/>
      <c r="BG24" s="86"/>
      <c r="BH24" s="87"/>
      <c r="BI24" s="86"/>
      <c r="BJ24" s="87"/>
      <c r="BK24" s="86"/>
      <c r="BL24" s="87"/>
      <c r="BM24" s="86"/>
      <c r="BN24" s="50"/>
      <c r="BO24" s="170" t="str">
        <f t="shared" si="2"/>
        <v/>
      </c>
      <c r="BP24" s="87"/>
      <c r="BQ24" s="88"/>
    </row>
    <row r="25" spans="1:76" s="7" customFormat="1" x14ac:dyDescent="0.35">
      <c r="A25" s="83" t="s">
        <v>37</v>
      </c>
      <c r="B25" s="54"/>
      <c r="C25" s="174" t="str">
        <f>IF('April 2027 Log'!BK25="","",'April 2027 Log'!BK25)</f>
        <v/>
      </c>
      <c r="D25" s="85"/>
      <c r="E25" s="86"/>
      <c r="F25" s="87"/>
      <c r="G25" s="86"/>
      <c r="H25" s="87"/>
      <c r="I25" s="86"/>
      <c r="J25" s="87"/>
      <c r="K25" s="86"/>
      <c r="L25" s="87"/>
      <c r="M25" s="86"/>
      <c r="N25" s="87"/>
      <c r="O25" s="86"/>
      <c r="P25" s="87"/>
      <c r="Q25" s="86"/>
      <c r="R25" s="87"/>
      <c r="S25" s="86"/>
      <c r="T25" s="87"/>
      <c r="U25" s="86"/>
      <c r="V25" s="87"/>
      <c r="W25" s="86"/>
      <c r="X25" s="87"/>
      <c r="Y25" s="86"/>
      <c r="Z25" s="87"/>
      <c r="AA25" s="86"/>
      <c r="AB25" s="87"/>
      <c r="AC25" s="86"/>
      <c r="AD25" s="87"/>
      <c r="AE25" s="86"/>
      <c r="AF25" s="87"/>
      <c r="AG25" s="86"/>
      <c r="AH25" s="87"/>
      <c r="AI25" s="86"/>
      <c r="AJ25" s="87"/>
      <c r="AK25" s="86"/>
      <c r="AL25" s="87"/>
      <c r="AM25" s="86"/>
      <c r="AN25" s="87"/>
      <c r="AO25" s="86"/>
      <c r="AP25" s="87"/>
      <c r="AQ25" s="86"/>
      <c r="AR25" s="87"/>
      <c r="AS25" s="86"/>
      <c r="AT25" s="87"/>
      <c r="AU25" s="86"/>
      <c r="AV25" s="87"/>
      <c r="AW25" s="86"/>
      <c r="AX25" s="87"/>
      <c r="AY25" s="86"/>
      <c r="AZ25" s="87"/>
      <c r="BA25" s="86"/>
      <c r="BB25" s="87"/>
      <c r="BC25" s="86"/>
      <c r="BD25" s="87"/>
      <c r="BE25" s="86"/>
      <c r="BF25" s="87"/>
      <c r="BG25" s="86"/>
      <c r="BH25" s="87"/>
      <c r="BI25" s="86"/>
      <c r="BJ25" s="87"/>
      <c r="BK25" s="86"/>
      <c r="BL25" s="87"/>
      <c r="BM25" s="86"/>
      <c r="BN25" s="50"/>
      <c r="BO25" s="170" t="str">
        <f t="shared" si="2"/>
        <v/>
      </c>
      <c r="BP25" s="87"/>
      <c r="BQ25" s="178" t="str">
        <f>IF(BM25="","",BM25)</f>
        <v/>
      </c>
      <c r="BR25"/>
      <c r="BS25"/>
      <c r="BT25"/>
      <c r="BU25"/>
      <c r="BV25"/>
      <c r="BW25"/>
      <c r="BX25"/>
    </row>
    <row r="26" spans="1:76" ht="15" thickBot="1" x14ac:dyDescent="0.4">
      <c r="A26" s="94" t="s">
        <v>4</v>
      </c>
      <c r="B26" s="95"/>
      <c r="C26" s="174" t="str">
        <f>IF('April 2027 Log'!BK26="","",'April 2027 Log'!BK26)</f>
        <v/>
      </c>
      <c r="D26" s="96"/>
      <c r="E26" s="86"/>
      <c r="F26" s="97"/>
      <c r="G26" s="86"/>
      <c r="H26" s="97"/>
      <c r="I26" s="86"/>
      <c r="J26" s="97"/>
      <c r="K26" s="86"/>
      <c r="L26" s="97"/>
      <c r="M26" s="86"/>
      <c r="N26" s="97"/>
      <c r="O26" s="86"/>
      <c r="P26" s="97"/>
      <c r="Q26" s="86"/>
      <c r="R26" s="97"/>
      <c r="S26" s="86"/>
      <c r="T26" s="97"/>
      <c r="U26" s="86"/>
      <c r="V26" s="97"/>
      <c r="W26" s="86"/>
      <c r="X26" s="97"/>
      <c r="Y26" s="86"/>
      <c r="Z26" s="97"/>
      <c r="AA26" s="86"/>
      <c r="AB26" s="97"/>
      <c r="AC26" s="86"/>
      <c r="AD26" s="97"/>
      <c r="AE26" s="86"/>
      <c r="AF26" s="97"/>
      <c r="AG26" s="86"/>
      <c r="AH26" s="97"/>
      <c r="AI26" s="86"/>
      <c r="AJ26" s="97"/>
      <c r="AK26" s="86"/>
      <c r="AL26" s="97"/>
      <c r="AM26" s="86"/>
      <c r="AN26" s="97"/>
      <c r="AO26" s="86"/>
      <c r="AP26" s="97"/>
      <c r="AQ26" s="86"/>
      <c r="AR26" s="97"/>
      <c r="AS26" s="86"/>
      <c r="AT26" s="97"/>
      <c r="AU26" s="86"/>
      <c r="AV26" s="97"/>
      <c r="AW26" s="86"/>
      <c r="AX26" s="97"/>
      <c r="AY26" s="86"/>
      <c r="AZ26" s="97"/>
      <c r="BA26" s="86"/>
      <c r="BB26" s="97"/>
      <c r="BC26" s="86"/>
      <c r="BD26" s="97"/>
      <c r="BE26" s="86"/>
      <c r="BF26" s="97"/>
      <c r="BG26" s="86"/>
      <c r="BH26" s="97"/>
      <c r="BI26" s="86"/>
      <c r="BJ26" s="97"/>
      <c r="BK26" s="86"/>
      <c r="BL26" s="97"/>
      <c r="BM26" s="86"/>
      <c r="BN26" s="50"/>
      <c r="BO26" s="170" t="str">
        <f t="shared" si="2"/>
        <v/>
      </c>
      <c r="BP26" s="97"/>
      <c r="BQ26" s="178" t="str">
        <f>IF(BM26="","",BM26)</f>
        <v/>
      </c>
    </row>
    <row r="27" spans="1:76" s="7" customFormat="1" x14ac:dyDescent="0.35">
      <c r="A27" s="53" t="s">
        <v>21</v>
      </c>
      <c r="B27" s="54"/>
      <c r="C27" s="174" t="str">
        <f>IF('April 2027 Log'!BK27="","",'April 2027 Log'!BK27)</f>
        <v/>
      </c>
      <c r="D27" s="85"/>
      <c r="E27" s="86"/>
      <c r="F27" s="87"/>
      <c r="G27" s="86"/>
      <c r="H27" s="87"/>
      <c r="I27" s="86"/>
      <c r="J27" s="87"/>
      <c r="K27" s="86"/>
      <c r="L27" s="87"/>
      <c r="M27" s="86"/>
      <c r="N27" s="87"/>
      <c r="O27" s="86"/>
      <c r="P27" s="87"/>
      <c r="Q27" s="86"/>
      <c r="R27" s="87"/>
      <c r="S27" s="86"/>
      <c r="T27" s="87"/>
      <c r="U27" s="86"/>
      <c r="V27" s="87"/>
      <c r="W27" s="86"/>
      <c r="X27" s="87"/>
      <c r="Y27" s="86"/>
      <c r="Z27" s="87"/>
      <c r="AA27" s="86"/>
      <c r="AB27" s="87"/>
      <c r="AC27" s="86"/>
      <c r="AD27" s="87"/>
      <c r="AE27" s="86"/>
      <c r="AF27" s="87"/>
      <c r="AG27" s="86"/>
      <c r="AH27" s="87"/>
      <c r="AI27" s="86"/>
      <c r="AJ27" s="87"/>
      <c r="AK27" s="86"/>
      <c r="AL27" s="87"/>
      <c r="AM27" s="86"/>
      <c r="AN27" s="87"/>
      <c r="AO27" s="86"/>
      <c r="AP27" s="87"/>
      <c r="AQ27" s="86"/>
      <c r="AR27" s="87"/>
      <c r="AS27" s="86"/>
      <c r="AT27" s="87"/>
      <c r="AU27" s="86"/>
      <c r="AV27" s="87"/>
      <c r="AW27" s="86"/>
      <c r="AX27" s="87"/>
      <c r="AY27" s="86"/>
      <c r="AZ27" s="87"/>
      <c r="BA27" s="86"/>
      <c r="BB27" s="87"/>
      <c r="BC27" s="86"/>
      <c r="BD27" s="87"/>
      <c r="BE27" s="86"/>
      <c r="BF27" s="87"/>
      <c r="BG27" s="86"/>
      <c r="BH27" s="87"/>
      <c r="BI27" s="86"/>
      <c r="BJ27" s="87"/>
      <c r="BK27" s="86"/>
      <c r="BL27" s="87"/>
      <c r="BM27" s="86"/>
      <c r="BN27" s="50"/>
      <c r="BO27" s="170" t="str">
        <f t="shared" si="2"/>
        <v/>
      </c>
      <c r="BP27" s="87"/>
      <c r="BQ27" s="178" t="str">
        <f>IF(BM27="","",BM27)</f>
        <v/>
      </c>
      <c r="BR27"/>
      <c r="BS27"/>
      <c r="BT27"/>
      <c r="BU27"/>
      <c r="BV27"/>
      <c r="BW27"/>
      <c r="BX27"/>
    </row>
    <row r="28" spans="1:76" x14ac:dyDescent="0.35">
      <c r="A28" s="53" t="s">
        <v>22</v>
      </c>
      <c r="B28" s="54"/>
      <c r="C28" s="174" t="str">
        <f>IF('April 2027 Log'!BK28="","",'April 2027 Log'!BK28)</f>
        <v/>
      </c>
      <c r="D28" s="85"/>
      <c r="E28" s="86"/>
      <c r="F28" s="87"/>
      <c r="G28" s="86"/>
      <c r="H28" s="87"/>
      <c r="I28" s="86"/>
      <c r="J28" s="87"/>
      <c r="K28" s="86"/>
      <c r="L28" s="87"/>
      <c r="M28" s="86"/>
      <c r="N28" s="87"/>
      <c r="O28" s="86"/>
      <c r="P28" s="87"/>
      <c r="Q28" s="86"/>
      <c r="R28" s="87"/>
      <c r="S28" s="86"/>
      <c r="T28" s="87"/>
      <c r="U28" s="86"/>
      <c r="V28" s="87"/>
      <c r="W28" s="86"/>
      <c r="X28" s="87"/>
      <c r="Y28" s="86"/>
      <c r="Z28" s="87"/>
      <c r="AA28" s="86"/>
      <c r="AB28" s="87"/>
      <c r="AC28" s="86"/>
      <c r="AD28" s="87"/>
      <c r="AE28" s="86"/>
      <c r="AF28" s="87"/>
      <c r="AG28" s="86"/>
      <c r="AH28" s="87"/>
      <c r="AI28" s="86"/>
      <c r="AJ28" s="87"/>
      <c r="AK28" s="86"/>
      <c r="AL28" s="87"/>
      <c r="AM28" s="86"/>
      <c r="AN28" s="87"/>
      <c r="AO28" s="86"/>
      <c r="AP28" s="87"/>
      <c r="AQ28" s="86"/>
      <c r="AR28" s="87"/>
      <c r="AS28" s="86"/>
      <c r="AT28" s="87"/>
      <c r="AU28" s="86"/>
      <c r="AV28" s="87"/>
      <c r="AW28" s="86"/>
      <c r="AX28" s="87"/>
      <c r="AY28" s="86"/>
      <c r="AZ28" s="87"/>
      <c r="BA28" s="86"/>
      <c r="BB28" s="87"/>
      <c r="BC28" s="86"/>
      <c r="BD28" s="87"/>
      <c r="BE28" s="86"/>
      <c r="BF28" s="87"/>
      <c r="BG28" s="86"/>
      <c r="BH28" s="87"/>
      <c r="BI28" s="86"/>
      <c r="BJ28" s="87"/>
      <c r="BK28" s="86"/>
      <c r="BL28" s="87"/>
      <c r="BM28" s="86"/>
      <c r="BN28" s="50"/>
      <c r="BO28" s="170" t="str">
        <f t="shared" si="2"/>
        <v/>
      </c>
      <c r="BP28" s="87"/>
      <c r="BQ28" s="178" t="str">
        <f>IF(BM28="","",BM28)</f>
        <v/>
      </c>
    </row>
    <row r="29" spans="1:76" s="4" customFormat="1" ht="15" thickBot="1" x14ac:dyDescent="0.4">
      <c r="A29" s="53" t="s">
        <v>23</v>
      </c>
      <c r="B29" s="54"/>
      <c r="C29" s="84"/>
      <c r="D29" s="85"/>
      <c r="E29" s="86"/>
      <c r="F29" s="87"/>
      <c r="G29" s="86"/>
      <c r="H29" s="87"/>
      <c r="I29" s="86"/>
      <c r="J29" s="87"/>
      <c r="K29" s="86"/>
      <c r="L29" s="87"/>
      <c r="M29" s="86"/>
      <c r="N29" s="87"/>
      <c r="O29" s="86"/>
      <c r="P29" s="87"/>
      <c r="Q29" s="86"/>
      <c r="R29" s="87"/>
      <c r="S29" s="86"/>
      <c r="T29" s="87"/>
      <c r="U29" s="86"/>
      <c r="V29" s="87"/>
      <c r="W29" s="86"/>
      <c r="X29" s="87"/>
      <c r="Y29" s="86"/>
      <c r="Z29" s="87"/>
      <c r="AA29" s="86"/>
      <c r="AB29" s="87"/>
      <c r="AC29" s="86"/>
      <c r="AD29" s="87"/>
      <c r="AE29" s="86"/>
      <c r="AF29" s="87"/>
      <c r="AG29" s="86"/>
      <c r="AH29" s="87"/>
      <c r="AI29" s="86"/>
      <c r="AJ29" s="87"/>
      <c r="AK29" s="86"/>
      <c r="AL29" s="87"/>
      <c r="AM29" s="86"/>
      <c r="AN29" s="87"/>
      <c r="AO29" s="86"/>
      <c r="AP29" s="87"/>
      <c r="AQ29" s="86"/>
      <c r="AR29" s="87"/>
      <c r="AS29" s="86"/>
      <c r="AT29" s="87"/>
      <c r="AU29" s="86"/>
      <c r="AV29" s="87"/>
      <c r="AW29" s="86"/>
      <c r="AX29" s="87"/>
      <c r="AY29" s="86"/>
      <c r="AZ29" s="87"/>
      <c r="BA29" s="86"/>
      <c r="BB29" s="87"/>
      <c r="BC29" s="86"/>
      <c r="BD29" s="87"/>
      <c r="BE29" s="86"/>
      <c r="BF29" s="87"/>
      <c r="BG29" s="86"/>
      <c r="BH29" s="87"/>
      <c r="BI29" s="86"/>
      <c r="BJ29" s="87"/>
      <c r="BK29" s="86"/>
      <c r="BL29" s="87"/>
      <c r="BM29" s="86"/>
      <c r="BN29" s="50"/>
      <c r="BO29" s="170" t="str">
        <f t="shared" si="2"/>
        <v/>
      </c>
      <c r="BP29" s="87"/>
      <c r="BQ29" s="88"/>
      <c r="BR29"/>
      <c r="BS29"/>
      <c r="BT29"/>
      <c r="BU29"/>
      <c r="BV29"/>
      <c r="BW29"/>
      <c r="BX29"/>
    </row>
    <row r="30" spans="1:76" s="5" customFormat="1" ht="15" thickBot="1" x14ac:dyDescent="0.4">
      <c r="A30" s="98"/>
      <c r="B30" s="90"/>
      <c r="C30" s="84"/>
      <c r="D30" s="47"/>
      <c r="E30" s="180" t="e">
        <f>E28-(C28-E25+E29)</f>
        <v>#VALUE!</v>
      </c>
      <c r="F30" s="49"/>
      <c r="G30" s="166">
        <f>G28-(E28-G25+G29)</f>
        <v>0</v>
      </c>
      <c r="H30" s="49"/>
      <c r="I30" s="166">
        <f>I28-(G28-I25+I29)</f>
        <v>0</v>
      </c>
      <c r="J30" s="49"/>
      <c r="K30" s="180">
        <f>K28-(I28-K25+K29)</f>
        <v>0</v>
      </c>
      <c r="L30" s="49"/>
      <c r="M30" s="166">
        <f>M28-(K28-M25+M29)</f>
        <v>0</v>
      </c>
      <c r="N30" s="49"/>
      <c r="O30" s="166">
        <f>O28-(M28-O25+O29)</f>
        <v>0</v>
      </c>
      <c r="P30" s="49"/>
      <c r="Q30" s="166">
        <f>Q28-(O28-Q25+Q29)</f>
        <v>0</v>
      </c>
      <c r="R30" s="49"/>
      <c r="S30" s="166">
        <f>S28-(Q28-S25+S29)</f>
        <v>0</v>
      </c>
      <c r="T30" s="49"/>
      <c r="U30" s="166">
        <f>U28-(S28-U25+U29)</f>
        <v>0</v>
      </c>
      <c r="V30" s="49"/>
      <c r="W30" s="166">
        <f>W28-(U28-W25+W29)</f>
        <v>0</v>
      </c>
      <c r="X30" s="49"/>
      <c r="Y30" s="166">
        <f>Y28-(W28-Y25+Y29)</f>
        <v>0</v>
      </c>
      <c r="Z30" s="49"/>
      <c r="AA30" s="166">
        <f>AA28-(Y28-AA25+AA29)</f>
        <v>0</v>
      </c>
      <c r="AB30" s="49"/>
      <c r="AC30" s="166">
        <f>AC28-(AA28-AC25+AC29)</f>
        <v>0</v>
      </c>
      <c r="AD30" s="49"/>
      <c r="AE30" s="166">
        <f>AE28-(AC28-AE25+AE29)</f>
        <v>0</v>
      </c>
      <c r="AF30" s="49"/>
      <c r="AG30" s="166">
        <f>AG28-(AE28-AG25+AG29)</f>
        <v>0</v>
      </c>
      <c r="AH30" s="49"/>
      <c r="AI30" s="166">
        <f>AI28-(AG28-AI25+AI29)</f>
        <v>0</v>
      </c>
      <c r="AJ30" s="49"/>
      <c r="AK30" s="166">
        <f>AK28-(AI28-AK25+AK29)</f>
        <v>0</v>
      </c>
      <c r="AL30" s="49"/>
      <c r="AM30" s="166">
        <f>AM28-(AK28-AM25+AM29)</f>
        <v>0</v>
      </c>
      <c r="AN30" s="49"/>
      <c r="AO30" s="166">
        <f>AO28-(AM28-AO25+AO29)</f>
        <v>0</v>
      </c>
      <c r="AP30" s="49"/>
      <c r="AQ30" s="166">
        <f>AQ28-(AO28-AQ25+AQ29)</f>
        <v>0</v>
      </c>
      <c r="AR30" s="49"/>
      <c r="AS30" s="166">
        <f>AS28-(AQ28-AS25+AS29)</f>
        <v>0</v>
      </c>
      <c r="AT30" s="49"/>
      <c r="AU30" s="166">
        <f>AU28-(AS28-AU25+AU29)</f>
        <v>0</v>
      </c>
      <c r="AV30" s="49"/>
      <c r="AW30" s="166">
        <f>AW28-(AU28-AW25+AW29)</f>
        <v>0</v>
      </c>
      <c r="AX30" s="49"/>
      <c r="AY30" s="166">
        <f>AY28-(AW28-AY25+AY29)</f>
        <v>0</v>
      </c>
      <c r="AZ30" s="49"/>
      <c r="BA30" s="166">
        <f>BA28-(AY28-BA25+BA29)</f>
        <v>0</v>
      </c>
      <c r="BB30" s="49"/>
      <c r="BC30" s="166">
        <f>BC28-(BA28-BC25+BC29)</f>
        <v>0</v>
      </c>
      <c r="BD30" s="49"/>
      <c r="BE30" s="166">
        <f>BE28-(BC28-BE25+BE29)</f>
        <v>0</v>
      </c>
      <c r="BF30" s="49"/>
      <c r="BG30" s="166">
        <f>BG28-(BE28-BG25+BG29)</f>
        <v>0</v>
      </c>
      <c r="BH30" s="49"/>
      <c r="BI30" s="166">
        <f>BI28-(BG28-BI25+BI29)</f>
        <v>0</v>
      </c>
      <c r="BJ30" s="49"/>
      <c r="BK30" s="166">
        <f>BK28-(BI28-BK25+BK29)</f>
        <v>0</v>
      </c>
      <c r="BL30" s="49"/>
      <c r="BM30" s="166">
        <f>BM28-(BK28-BM25+BM29)</f>
        <v>0</v>
      </c>
      <c r="BN30" s="50"/>
      <c r="BO30" s="170" t="e">
        <f t="shared" si="2"/>
        <v>#VALUE!</v>
      </c>
      <c r="BP30" s="49"/>
      <c r="BQ30" s="52"/>
      <c r="BR30"/>
      <c r="BS30"/>
      <c r="BT30"/>
      <c r="BU30"/>
      <c r="BV30"/>
      <c r="BW30"/>
      <c r="BX30"/>
    </row>
    <row r="31" spans="1:76" s="5" customFormat="1" ht="15" thickBot="1" x14ac:dyDescent="0.4">
      <c r="A31" s="98"/>
      <c r="B31" s="90"/>
      <c r="C31" s="84"/>
      <c r="D31" s="47"/>
      <c r="E31" s="166" t="str">
        <f>IF(E25=0,"",E30/E25*100)</f>
        <v/>
      </c>
      <c r="F31" s="49"/>
      <c r="G31" s="166" t="str">
        <f>IF(G25=0,"",G30/G25*100)</f>
        <v/>
      </c>
      <c r="H31" s="49"/>
      <c r="I31" s="166" t="str">
        <f>IF(I25=0,"",I30/I25*100)</f>
        <v/>
      </c>
      <c r="J31" s="49"/>
      <c r="K31" s="166" t="str">
        <f>IF(K25=0,"",K30/K25*100)</f>
        <v/>
      </c>
      <c r="L31" s="49"/>
      <c r="M31" s="166" t="str">
        <f>IF(M25=0,"",M30/M25*100)</f>
        <v/>
      </c>
      <c r="N31" s="49"/>
      <c r="O31" s="166" t="str">
        <f>IF(O25=0,"",O30/O25*100)</f>
        <v/>
      </c>
      <c r="P31" s="49"/>
      <c r="Q31" s="166" t="str">
        <f>IF(Q25=0,"",Q30/Q25*100)</f>
        <v/>
      </c>
      <c r="R31" s="49"/>
      <c r="S31" s="166" t="str">
        <f>IF(S25=0,"",S30/S25*100)</f>
        <v/>
      </c>
      <c r="T31" s="49"/>
      <c r="U31" s="166" t="str">
        <f>IF(U25=0,"",U30/U25*100)</f>
        <v/>
      </c>
      <c r="V31" s="49"/>
      <c r="W31" s="166" t="str">
        <f>IF(W25=0,"",W30/W25*100)</f>
        <v/>
      </c>
      <c r="X31" s="49"/>
      <c r="Y31" s="166" t="str">
        <f>IF(Y25=0,"",Y30/Y25*100)</f>
        <v/>
      </c>
      <c r="Z31" s="49"/>
      <c r="AA31" s="166" t="str">
        <f>IF(AA25=0,"",AA30/AA25*100)</f>
        <v/>
      </c>
      <c r="AB31" s="49"/>
      <c r="AC31" s="166" t="str">
        <f>IF(AC25=0,"",AC30/AC25*100)</f>
        <v/>
      </c>
      <c r="AD31" s="49"/>
      <c r="AE31" s="166" t="str">
        <f>IF(AE25=0,"",AE30/AE25*100)</f>
        <v/>
      </c>
      <c r="AF31" s="49"/>
      <c r="AG31" s="166" t="str">
        <f>IF(AG25=0,"",AG30/AG25*100)</f>
        <v/>
      </c>
      <c r="AH31" s="49"/>
      <c r="AI31" s="166" t="str">
        <f>IF(AI25=0,"",AI30/AI25*100)</f>
        <v/>
      </c>
      <c r="AJ31" s="49"/>
      <c r="AK31" s="166" t="str">
        <f>IF(AK25=0,"",AK30/AK25*100)</f>
        <v/>
      </c>
      <c r="AL31" s="49"/>
      <c r="AM31" s="166" t="str">
        <f>IF(AM25=0,"",AM30/AM25*100)</f>
        <v/>
      </c>
      <c r="AN31" s="49"/>
      <c r="AO31" s="166" t="str">
        <f>IF(AO25=0,"",AO30/AO25*100)</f>
        <v/>
      </c>
      <c r="AP31" s="49"/>
      <c r="AQ31" s="166" t="str">
        <f>IF(AQ25=0,"",AQ30/AQ25*100)</f>
        <v/>
      </c>
      <c r="AR31" s="49"/>
      <c r="AS31" s="166" t="str">
        <f>IF(AS25=0,"",AS30/AS25*100)</f>
        <v/>
      </c>
      <c r="AT31" s="49"/>
      <c r="AU31" s="166" t="str">
        <f>IF(AU25=0,"",AU30/AU25*100)</f>
        <v/>
      </c>
      <c r="AV31" s="49"/>
      <c r="AW31" s="166" t="str">
        <f>IF(AW25=0,"",AW30/AW25*100)</f>
        <v/>
      </c>
      <c r="AX31" s="49"/>
      <c r="AY31" s="166" t="str">
        <f>IF(AY25=0,"",AY30/AY25*100)</f>
        <v/>
      </c>
      <c r="AZ31" s="49"/>
      <c r="BA31" s="166" t="str">
        <f>IF(BA25=0,"",BA30/BA25*100)</f>
        <v/>
      </c>
      <c r="BB31" s="49"/>
      <c r="BC31" s="166" t="str">
        <f>IF(BC25=0,"",BC30/BC25*100)</f>
        <v/>
      </c>
      <c r="BD31" s="49"/>
      <c r="BE31" s="166" t="str">
        <f>IF(BE25=0,"",BE30/BE25*100)</f>
        <v/>
      </c>
      <c r="BF31" s="49"/>
      <c r="BG31" s="166" t="str">
        <f>IF(BG25=0,"",BG30/BG25*100)</f>
        <v/>
      </c>
      <c r="BH31" s="49"/>
      <c r="BI31" s="166" t="str">
        <f>IF(BI25=0,"",BI30/BI25*100)</f>
        <v/>
      </c>
      <c r="BJ31" s="49"/>
      <c r="BK31" s="166" t="str">
        <f>IF(BK25=0,"",BK30/BK25*100)</f>
        <v/>
      </c>
      <c r="BL31" s="49"/>
      <c r="BM31" s="166" t="str">
        <f>IF(BM25=0,"",BM30/BM25*100)</f>
        <v/>
      </c>
      <c r="BN31" s="50"/>
      <c r="BO31" s="170" t="str">
        <f t="shared" si="2"/>
        <v/>
      </c>
      <c r="BP31" s="49"/>
      <c r="BQ31" s="52"/>
      <c r="BR31"/>
      <c r="BS31"/>
      <c r="BT31"/>
      <c r="BU31"/>
      <c r="BV31"/>
      <c r="BW31"/>
      <c r="BX31"/>
    </row>
    <row r="32" spans="1:76" x14ac:dyDescent="0.35">
      <c r="A32" s="83" t="s">
        <v>5</v>
      </c>
      <c r="B32" s="54"/>
      <c r="C32" s="174" t="str">
        <f>IF('April 2027 Log'!BK32="","",'April 2027 Log'!BK32)</f>
        <v/>
      </c>
      <c r="D32" s="85"/>
      <c r="E32" s="86"/>
      <c r="F32" s="87"/>
      <c r="G32" s="86"/>
      <c r="H32" s="87"/>
      <c r="I32" s="86"/>
      <c r="J32" s="87"/>
      <c r="K32" s="86"/>
      <c r="L32" s="87"/>
      <c r="M32" s="86"/>
      <c r="N32" s="87"/>
      <c r="O32" s="86"/>
      <c r="P32" s="87"/>
      <c r="Q32" s="86"/>
      <c r="R32" s="87"/>
      <c r="S32" s="86"/>
      <c r="T32" s="87"/>
      <c r="U32" s="86"/>
      <c r="V32" s="87"/>
      <c r="W32" s="86"/>
      <c r="X32" s="87"/>
      <c r="Y32" s="86"/>
      <c r="Z32" s="87"/>
      <c r="AA32" s="86"/>
      <c r="AB32" s="87"/>
      <c r="AC32" s="86"/>
      <c r="AD32" s="87"/>
      <c r="AE32" s="86"/>
      <c r="AF32" s="87"/>
      <c r="AG32" s="86"/>
      <c r="AH32" s="87"/>
      <c r="AI32" s="86"/>
      <c r="AJ32" s="87"/>
      <c r="AK32" s="86"/>
      <c r="AL32" s="87"/>
      <c r="AM32" s="86"/>
      <c r="AN32" s="87"/>
      <c r="AO32" s="86"/>
      <c r="AP32" s="87"/>
      <c r="AQ32" s="86"/>
      <c r="AR32" s="87"/>
      <c r="AS32" s="86"/>
      <c r="AT32" s="87"/>
      <c r="AU32" s="86"/>
      <c r="AV32" s="87"/>
      <c r="AW32" s="86"/>
      <c r="AX32" s="87"/>
      <c r="AY32" s="86"/>
      <c r="AZ32" s="87"/>
      <c r="BA32" s="86"/>
      <c r="BB32" s="87"/>
      <c r="BC32" s="86"/>
      <c r="BD32" s="87"/>
      <c r="BE32" s="86"/>
      <c r="BF32" s="87"/>
      <c r="BG32" s="86"/>
      <c r="BH32" s="87"/>
      <c r="BI32" s="86"/>
      <c r="BJ32" s="87"/>
      <c r="BK32" s="86"/>
      <c r="BL32" s="87"/>
      <c r="BM32" s="86"/>
      <c r="BN32" s="50"/>
      <c r="BO32" s="170" t="str">
        <f t="shared" si="2"/>
        <v/>
      </c>
      <c r="BP32" s="87"/>
      <c r="BQ32" s="178" t="str">
        <f>IF(BM32="","",BM32)</f>
        <v/>
      </c>
    </row>
    <row r="33" spans="1:76" x14ac:dyDescent="0.35">
      <c r="A33" s="83" t="s">
        <v>6</v>
      </c>
      <c r="B33" s="54"/>
      <c r="C33" s="174" t="str">
        <f>IF('April 2027 Log'!BK33="","",'April 2027 Log'!BK33)</f>
        <v/>
      </c>
      <c r="D33" s="85"/>
      <c r="E33" s="86"/>
      <c r="F33" s="87"/>
      <c r="G33" s="86"/>
      <c r="H33" s="87"/>
      <c r="I33" s="86"/>
      <c r="J33" s="87"/>
      <c r="K33" s="86"/>
      <c r="L33" s="87"/>
      <c r="M33" s="86"/>
      <c r="N33" s="87"/>
      <c r="O33" s="86"/>
      <c r="P33" s="87"/>
      <c r="Q33" s="86"/>
      <c r="R33" s="87"/>
      <c r="S33" s="86"/>
      <c r="T33" s="87"/>
      <c r="U33" s="86"/>
      <c r="V33" s="87"/>
      <c r="W33" s="86"/>
      <c r="X33" s="87"/>
      <c r="Y33" s="86"/>
      <c r="Z33" s="87"/>
      <c r="AA33" s="86"/>
      <c r="AB33" s="87"/>
      <c r="AC33" s="86"/>
      <c r="AD33" s="87"/>
      <c r="AE33" s="86"/>
      <c r="AF33" s="87"/>
      <c r="AG33" s="86"/>
      <c r="AH33" s="87"/>
      <c r="AI33" s="86"/>
      <c r="AJ33" s="87"/>
      <c r="AK33" s="86"/>
      <c r="AL33" s="87"/>
      <c r="AM33" s="86"/>
      <c r="AN33" s="87"/>
      <c r="AO33" s="86"/>
      <c r="AP33" s="87"/>
      <c r="AQ33" s="86"/>
      <c r="AR33" s="87"/>
      <c r="AS33" s="86"/>
      <c r="AT33" s="87"/>
      <c r="AU33" s="86"/>
      <c r="AV33" s="87"/>
      <c r="AW33" s="86"/>
      <c r="AX33" s="87"/>
      <c r="AY33" s="86"/>
      <c r="AZ33" s="87"/>
      <c r="BA33" s="86"/>
      <c r="BB33" s="87"/>
      <c r="BC33" s="86"/>
      <c r="BD33" s="87"/>
      <c r="BE33" s="86"/>
      <c r="BF33" s="87"/>
      <c r="BG33" s="86"/>
      <c r="BH33" s="87"/>
      <c r="BI33" s="86"/>
      <c r="BJ33" s="87"/>
      <c r="BK33" s="86"/>
      <c r="BL33" s="87"/>
      <c r="BM33" s="86"/>
      <c r="BN33" s="50"/>
      <c r="BO33" s="170" t="str">
        <f t="shared" si="2"/>
        <v/>
      </c>
      <c r="BP33" s="87"/>
      <c r="BQ33" s="178" t="str">
        <f>IF(BM33="","",BM33)</f>
        <v/>
      </c>
    </row>
    <row r="34" spans="1:76" x14ac:dyDescent="0.35">
      <c r="A34" s="83" t="s">
        <v>7</v>
      </c>
      <c r="B34" s="54"/>
      <c r="C34" s="174" t="str">
        <f>IF('April 2027 Log'!BK34="","",'April 2027 Log'!BK34)</f>
        <v/>
      </c>
      <c r="D34" s="85"/>
      <c r="E34" s="86"/>
      <c r="F34" s="87"/>
      <c r="G34" s="86"/>
      <c r="H34" s="87"/>
      <c r="I34" s="86"/>
      <c r="J34" s="87"/>
      <c r="K34" s="86"/>
      <c r="L34" s="87"/>
      <c r="M34" s="86"/>
      <c r="N34" s="87"/>
      <c r="O34" s="86"/>
      <c r="P34" s="87"/>
      <c r="Q34" s="86"/>
      <c r="R34" s="87"/>
      <c r="S34" s="86"/>
      <c r="T34" s="87"/>
      <c r="U34" s="86"/>
      <c r="V34" s="87"/>
      <c r="W34" s="86"/>
      <c r="X34" s="87"/>
      <c r="Y34" s="86"/>
      <c r="Z34" s="87"/>
      <c r="AA34" s="86"/>
      <c r="AB34" s="87"/>
      <c r="AC34" s="86"/>
      <c r="AD34" s="87"/>
      <c r="AE34" s="86"/>
      <c r="AF34" s="87"/>
      <c r="AG34" s="86"/>
      <c r="AH34" s="87"/>
      <c r="AI34" s="86"/>
      <c r="AJ34" s="87"/>
      <c r="AK34" s="86"/>
      <c r="AL34" s="87"/>
      <c r="AM34" s="86"/>
      <c r="AN34" s="87"/>
      <c r="AO34" s="86"/>
      <c r="AP34" s="87"/>
      <c r="AQ34" s="86"/>
      <c r="AR34" s="87"/>
      <c r="AS34" s="86"/>
      <c r="AT34" s="99"/>
      <c r="AU34" s="86"/>
      <c r="AV34" s="87"/>
      <c r="AW34" s="86"/>
      <c r="AX34" s="87"/>
      <c r="AY34" s="86"/>
      <c r="AZ34" s="87"/>
      <c r="BA34" s="86"/>
      <c r="BB34" s="87"/>
      <c r="BC34" s="86"/>
      <c r="BD34" s="87"/>
      <c r="BE34" s="86"/>
      <c r="BF34" s="87"/>
      <c r="BG34" s="86"/>
      <c r="BH34" s="87"/>
      <c r="BI34" s="86"/>
      <c r="BJ34" s="87"/>
      <c r="BK34" s="86"/>
      <c r="BL34" s="87"/>
      <c r="BM34" s="86"/>
      <c r="BN34" s="50"/>
      <c r="BO34" s="170" t="str">
        <f t="shared" si="2"/>
        <v/>
      </c>
      <c r="BP34" s="87"/>
      <c r="BQ34" s="178" t="str">
        <f>IF(BM34="","",BM34)</f>
        <v/>
      </c>
    </row>
    <row r="35" spans="1:76" x14ac:dyDescent="0.35">
      <c r="A35" s="100"/>
      <c r="B35" s="75"/>
      <c r="C35" s="101"/>
      <c r="D35" s="102"/>
      <c r="E35" s="103"/>
      <c r="F35" s="104"/>
      <c r="G35" s="103"/>
      <c r="H35" s="104"/>
      <c r="I35" s="103"/>
      <c r="J35" s="104"/>
      <c r="K35" s="103"/>
      <c r="L35" s="104"/>
      <c r="M35" s="103"/>
      <c r="N35" s="104"/>
      <c r="O35" s="103"/>
      <c r="P35" s="104"/>
      <c r="Q35" s="103"/>
      <c r="R35" s="104"/>
      <c r="S35" s="103"/>
      <c r="T35" s="104"/>
      <c r="U35" s="103"/>
      <c r="V35" s="104"/>
      <c r="W35" s="103"/>
      <c r="X35" s="104"/>
      <c r="Y35" s="103"/>
      <c r="Z35" s="104"/>
      <c r="AA35" s="103"/>
      <c r="AB35" s="104"/>
      <c r="AC35" s="103"/>
      <c r="AD35" s="104"/>
      <c r="AE35" s="103"/>
      <c r="AF35" s="104"/>
      <c r="AG35" s="103"/>
      <c r="AH35" s="104"/>
      <c r="AI35" s="103"/>
      <c r="AJ35" s="104"/>
      <c r="AK35" s="103"/>
      <c r="AL35" s="104"/>
      <c r="AM35" s="103"/>
      <c r="AN35" s="104"/>
      <c r="AO35" s="103"/>
      <c r="AP35" s="104"/>
      <c r="AQ35" s="103"/>
      <c r="AR35" s="104"/>
      <c r="AS35" s="103"/>
      <c r="AT35" s="104"/>
      <c r="AU35" s="103"/>
      <c r="AV35" s="104"/>
      <c r="AW35" s="103"/>
      <c r="AX35" s="104"/>
      <c r="AY35" s="103"/>
      <c r="AZ35" s="104"/>
      <c r="BA35" s="103"/>
      <c r="BB35" s="104"/>
      <c r="BC35" s="103"/>
      <c r="BD35" s="104"/>
      <c r="BE35" s="103"/>
      <c r="BF35" s="104"/>
      <c r="BG35" s="103"/>
      <c r="BH35" s="104"/>
      <c r="BI35" s="103"/>
      <c r="BJ35" s="104"/>
      <c r="BK35" s="103"/>
      <c r="BL35" s="104"/>
      <c r="BM35" s="103"/>
      <c r="BN35" s="105"/>
      <c r="BO35" s="183" t="str">
        <f t="shared" si="2"/>
        <v/>
      </c>
      <c r="BP35" s="104"/>
      <c r="BQ35" s="107"/>
    </row>
    <row r="36" spans="1:76" x14ac:dyDescent="0.35">
      <c r="A36" s="83" t="s">
        <v>59</v>
      </c>
      <c r="B36" s="54" t="s">
        <v>58</v>
      </c>
      <c r="C36" s="174" t="str">
        <f>IF('April 2027 Log'!BK36="","",'April 2027 Log'!BK36)</f>
        <v/>
      </c>
      <c r="D36" s="85"/>
      <c r="E36" s="86"/>
      <c r="F36" s="87"/>
      <c r="G36" s="86"/>
      <c r="H36" s="87"/>
      <c r="I36" s="86"/>
      <c r="J36" s="87"/>
      <c r="K36" s="86"/>
      <c r="L36" s="87"/>
      <c r="M36" s="86"/>
      <c r="N36" s="87"/>
      <c r="O36" s="86"/>
      <c r="P36" s="87"/>
      <c r="Q36" s="86"/>
      <c r="R36" s="87"/>
      <c r="S36" s="86"/>
      <c r="T36" s="87"/>
      <c r="U36" s="86"/>
      <c r="V36" s="87"/>
      <c r="W36" s="86"/>
      <c r="X36" s="87"/>
      <c r="Y36" s="86"/>
      <c r="Z36" s="87"/>
      <c r="AA36" s="86"/>
      <c r="AB36" s="87"/>
      <c r="AC36" s="86"/>
      <c r="AD36" s="87"/>
      <c r="AE36" s="86"/>
      <c r="AF36" s="87"/>
      <c r="AG36" s="86"/>
      <c r="AH36" s="87"/>
      <c r="AI36" s="86"/>
      <c r="AJ36" s="87"/>
      <c r="AK36" s="86"/>
      <c r="AL36" s="87"/>
      <c r="AM36" s="86"/>
      <c r="AN36" s="87"/>
      <c r="AO36" s="86"/>
      <c r="AP36" s="87"/>
      <c r="AQ36" s="86"/>
      <c r="AR36" s="87"/>
      <c r="AS36" s="86"/>
      <c r="AT36" s="87"/>
      <c r="AU36" s="86"/>
      <c r="AV36" s="87"/>
      <c r="AW36" s="86"/>
      <c r="AX36" s="87"/>
      <c r="AY36" s="86"/>
      <c r="AZ36" s="87"/>
      <c r="BA36" s="86"/>
      <c r="BB36" s="87"/>
      <c r="BC36" s="86"/>
      <c r="BD36" s="87"/>
      <c r="BE36" s="86"/>
      <c r="BF36" s="87"/>
      <c r="BG36" s="86"/>
      <c r="BH36" s="87"/>
      <c r="BI36" s="86"/>
      <c r="BJ36" s="87"/>
      <c r="BK36" s="86"/>
      <c r="BL36" s="87"/>
      <c r="BM36" s="86"/>
      <c r="BN36" s="50"/>
      <c r="BO36" s="170" t="str">
        <f t="shared" si="2"/>
        <v/>
      </c>
      <c r="BP36" s="87"/>
      <c r="BQ36" s="178" t="str">
        <f>IF(BM36="","",BM36)</f>
        <v/>
      </c>
    </row>
    <row r="37" spans="1:76" x14ac:dyDescent="0.35">
      <c r="A37" s="83"/>
      <c r="B37" s="54"/>
      <c r="C37" s="84"/>
      <c r="D37" s="85"/>
      <c r="E37" s="86"/>
      <c r="F37" s="87"/>
      <c r="G37" s="86"/>
      <c r="H37" s="87"/>
      <c r="I37" s="86"/>
      <c r="J37" s="87"/>
      <c r="K37" s="86"/>
      <c r="L37" s="87"/>
      <c r="M37" s="86"/>
      <c r="N37" s="87"/>
      <c r="O37" s="86"/>
      <c r="P37" s="87"/>
      <c r="Q37" s="86"/>
      <c r="R37" s="87"/>
      <c r="S37" s="86"/>
      <c r="T37" s="87"/>
      <c r="U37" s="86"/>
      <c r="V37" s="87"/>
      <c r="W37" s="86"/>
      <c r="X37" s="87"/>
      <c r="Y37" s="86"/>
      <c r="Z37" s="87"/>
      <c r="AA37" s="86"/>
      <c r="AB37" s="87"/>
      <c r="AC37" s="86"/>
      <c r="AD37" s="87"/>
      <c r="AE37" s="86"/>
      <c r="AF37" s="87"/>
      <c r="AG37" s="86"/>
      <c r="AH37" s="87"/>
      <c r="AI37" s="86"/>
      <c r="AJ37" s="87"/>
      <c r="AK37" s="86"/>
      <c r="AL37" s="87"/>
      <c r="AM37" s="86"/>
      <c r="AN37" s="87"/>
      <c r="AO37" s="86"/>
      <c r="AP37" s="87"/>
      <c r="AQ37" s="86"/>
      <c r="AR37" s="87"/>
      <c r="AS37" s="86"/>
      <c r="AT37" s="87"/>
      <c r="AU37" s="86"/>
      <c r="AV37" s="87"/>
      <c r="AW37" s="86"/>
      <c r="AX37" s="87"/>
      <c r="AY37" s="86"/>
      <c r="AZ37" s="87"/>
      <c r="BA37" s="86"/>
      <c r="BB37" s="87"/>
      <c r="BC37" s="86"/>
      <c r="BD37" s="87"/>
      <c r="BE37" s="86"/>
      <c r="BF37" s="87"/>
      <c r="BG37" s="86"/>
      <c r="BH37" s="87"/>
      <c r="BI37" s="86"/>
      <c r="BJ37" s="87"/>
      <c r="BK37" s="86"/>
      <c r="BL37" s="87"/>
      <c r="BM37" s="86"/>
      <c r="BN37" s="50"/>
      <c r="BO37" s="170" t="str">
        <f t="shared" si="2"/>
        <v/>
      </c>
      <c r="BP37" s="87"/>
      <c r="BQ37" s="88"/>
    </row>
    <row r="38" spans="1:76" x14ac:dyDescent="0.35">
      <c r="A38" s="83" t="s">
        <v>62</v>
      </c>
      <c r="B38" s="54" t="s">
        <v>63</v>
      </c>
      <c r="C38" s="174" t="str">
        <f>IF('April 2027 Log'!BK38="","",'April 2027 Log'!BK38)</f>
        <v/>
      </c>
      <c r="D38" s="85"/>
      <c r="E38" s="86"/>
      <c r="F38" s="87"/>
      <c r="G38" s="86"/>
      <c r="H38" s="87"/>
      <c r="I38" s="86"/>
      <c r="J38" s="87"/>
      <c r="K38" s="86"/>
      <c r="L38" s="87"/>
      <c r="M38" s="86"/>
      <c r="N38" s="87"/>
      <c r="O38" s="86"/>
      <c r="P38" s="87"/>
      <c r="Q38" s="86"/>
      <c r="R38" s="87"/>
      <c r="S38" s="86"/>
      <c r="T38" s="87"/>
      <c r="U38" s="86"/>
      <c r="V38" s="87"/>
      <c r="W38" s="86"/>
      <c r="X38" s="87"/>
      <c r="Y38" s="86"/>
      <c r="Z38" s="87"/>
      <c r="AA38" s="86"/>
      <c r="AB38" s="87"/>
      <c r="AC38" s="86"/>
      <c r="AD38" s="87"/>
      <c r="AE38" s="86"/>
      <c r="AF38" s="87"/>
      <c r="AG38" s="86"/>
      <c r="AH38" s="87"/>
      <c r="AI38" s="86"/>
      <c r="AJ38" s="87"/>
      <c r="AK38" s="86"/>
      <c r="AL38" s="87"/>
      <c r="AM38" s="86"/>
      <c r="AN38" s="87"/>
      <c r="AO38" s="86"/>
      <c r="AP38" s="87"/>
      <c r="AQ38" s="86"/>
      <c r="AR38" s="87"/>
      <c r="AS38" s="86"/>
      <c r="AT38" s="87"/>
      <c r="AU38" s="86"/>
      <c r="AV38" s="87"/>
      <c r="AW38" s="86"/>
      <c r="AX38" s="87"/>
      <c r="AY38" s="86"/>
      <c r="AZ38" s="87"/>
      <c r="BA38" s="86"/>
      <c r="BB38" s="87"/>
      <c r="BC38" s="86"/>
      <c r="BD38" s="87"/>
      <c r="BE38" s="86"/>
      <c r="BF38" s="87"/>
      <c r="BG38" s="86"/>
      <c r="BH38" s="87"/>
      <c r="BI38" s="86"/>
      <c r="BJ38" s="87"/>
      <c r="BK38" s="86"/>
      <c r="BL38" s="87"/>
      <c r="BM38" s="86"/>
      <c r="BN38" s="50"/>
      <c r="BO38" s="170" t="str">
        <f t="shared" si="2"/>
        <v/>
      </c>
      <c r="BP38" s="87"/>
      <c r="BQ38" s="178" t="str">
        <f>IF(BM38="","",BM38)</f>
        <v/>
      </c>
    </row>
    <row r="39" spans="1:76" x14ac:dyDescent="0.35">
      <c r="A39" s="83" t="s">
        <v>64</v>
      </c>
      <c r="B39" s="54" t="s">
        <v>63</v>
      </c>
      <c r="C39" s="174" t="str">
        <f>IF('April 2027 Log'!BK39="","",'April 2027 Log'!BK39)</f>
        <v/>
      </c>
      <c r="D39" s="85"/>
      <c r="E39" s="86"/>
      <c r="F39" s="87"/>
      <c r="G39" s="86"/>
      <c r="H39" s="87"/>
      <c r="I39" s="86"/>
      <c r="J39" s="87"/>
      <c r="K39" s="86"/>
      <c r="L39" s="87"/>
      <c r="M39" s="86"/>
      <c r="N39" s="87"/>
      <c r="O39" s="86"/>
      <c r="P39" s="87"/>
      <c r="Q39" s="86"/>
      <c r="R39" s="87"/>
      <c r="S39" s="86"/>
      <c r="T39" s="87"/>
      <c r="U39" s="86"/>
      <c r="V39" s="87"/>
      <c r="W39" s="86"/>
      <c r="X39" s="87"/>
      <c r="Y39" s="86"/>
      <c r="Z39" s="87"/>
      <c r="AA39" s="86"/>
      <c r="AB39" s="87"/>
      <c r="AC39" s="86"/>
      <c r="AD39" s="87"/>
      <c r="AE39" s="86"/>
      <c r="AF39" s="87"/>
      <c r="AG39" s="86"/>
      <c r="AH39" s="87"/>
      <c r="AI39" s="86"/>
      <c r="AJ39" s="87"/>
      <c r="AK39" s="86"/>
      <c r="AL39" s="87"/>
      <c r="AM39" s="86"/>
      <c r="AN39" s="87"/>
      <c r="AO39" s="86"/>
      <c r="AP39" s="87"/>
      <c r="AQ39" s="86"/>
      <c r="AR39" s="87"/>
      <c r="AS39" s="86"/>
      <c r="AT39" s="87"/>
      <c r="AU39" s="86"/>
      <c r="AV39" s="87"/>
      <c r="AW39" s="86"/>
      <c r="AX39" s="87"/>
      <c r="AY39" s="86"/>
      <c r="AZ39" s="87"/>
      <c r="BA39" s="86"/>
      <c r="BB39" s="87"/>
      <c r="BC39" s="86"/>
      <c r="BD39" s="87"/>
      <c r="BE39" s="86"/>
      <c r="BF39" s="87"/>
      <c r="BG39" s="86"/>
      <c r="BH39" s="87"/>
      <c r="BI39" s="86"/>
      <c r="BJ39" s="87"/>
      <c r="BK39" s="86"/>
      <c r="BL39" s="87"/>
      <c r="BM39" s="86"/>
      <c r="BN39" s="50"/>
      <c r="BO39" s="170" t="str">
        <f t="shared" si="2"/>
        <v/>
      </c>
      <c r="BP39" s="87"/>
      <c r="BQ39" s="178" t="str">
        <f>IF(BM39="","",BM39)</f>
        <v/>
      </c>
    </row>
    <row r="40" spans="1:76" x14ac:dyDescent="0.35">
      <c r="A40" s="83" t="s">
        <v>44</v>
      </c>
      <c r="B40" s="54"/>
      <c r="C40" s="84"/>
      <c r="D40" s="85"/>
      <c r="E40" s="86"/>
      <c r="F40" s="87"/>
      <c r="G40" s="86"/>
      <c r="H40" s="87"/>
      <c r="I40" s="86"/>
      <c r="J40" s="87"/>
      <c r="K40" s="86"/>
      <c r="L40" s="87"/>
      <c r="M40" s="86"/>
      <c r="N40" s="87"/>
      <c r="O40" s="86"/>
      <c r="P40" s="87"/>
      <c r="Q40" s="86"/>
      <c r="R40" s="87"/>
      <c r="S40" s="86"/>
      <c r="T40" s="87"/>
      <c r="U40" s="86"/>
      <c r="V40" s="87"/>
      <c r="W40" s="86"/>
      <c r="X40" s="87"/>
      <c r="Y40" s="86"/>
      <c r="Z40" s="87"/>
      <c r="AA40" s="86"/>
      <c r="AB40" s="87"/>
      <c r="AC40" s="86"/>
      <c r="AD40" s="87"/>
      <c r="AE40" s="86"/>
      <c r="AF40" s="87"/>
      <c r="AG40" s="86"/>
      <c r="AH40" s="87"/>
      <c r="AI40" s="86"/>
      <c r="AJ40" s="87"/>
      <c r="AK40" s="86"/>
      <c r="AL40" s="87"/>
      <c r="AM40" s="86"/>
      <c r="AN40" s="87"/>
      <c r="AO40" s="86"/>
      <c r="AP40" s="87"/>
      <c r="AQ40" s="86"/>
      <c r="AR40" s="87"/>
      <c r="AS40" s="86"/>
      <c r="AT40" s="87"/>
      <c r="AU40" s="86"/>
      <c r="AV40" s="87"/>
      <c r="AW40" s="86"/>
      <c r="AX40" s="87"/>
      <c r="AY40" s="86"/>
      <c r="AZ40" s="87"/>
      <c r="BA40" s="86"/>
      <c r="BB40" s="87"/>
      <c r="BC40" s="86"/>
      <c r="BD40" s="87"/>
      <c r="BE40" s="86"/>
      <c r="BF40" s="87"/>
      <c r="BG40" s="86"/>
      <c r="BH40" s="87"/>
      <c r="BI40" s="86"/>
      <c r="BJ40" s="87"/>
      <c r="BK40" s="86"/>
      <c r="BL40" s="87"/>
      <c r="BM40" s="86"/>
      <c r="BN40" s="50"/>
      <c r="BO40" s="170" t="str">
        <f t="shared" si="2"/>
        <v/>
      </c>
      <c r="BP40" s="87"/>
      <c r="BQ40" s="88"/>
    </row>
    <row r="41" spans="1:76" x14ac:dyDescent="0.35">
      <c r="A41" s="83" t="s">
        <v>54</v>
      </c>
      <c r="B41" s="54"/>
      <c r="C41" s="84"/>
      <c r="D41" s="85"/>
      <c r="E41" s="86"/>
      <c r="F41" s="87"/>
      <c r="G41" s="86"/>
      <c r="H41" s="87"/>
      <c r="I41" s="86"/>
      <c r="J41" s="87"/>
      <c r="K41" s="86"/>
      <c r="L41" s="87"/>
      <c r="M41" s="86"/>
      <c r="N41" s="87"/>
      <c r="O41" s="86"/>
      <c r="P41" s="87"/>
      <c r="Q41" s="86"/>
      <c r="R41" s="87"/>
      <c r="S41" s="86"/>
      <c r="T41" s="87"/>
      <c r="U41" s="86"/>
      <c r="V41" s="87"/>
      <c r="W41" s="86"/>
      <c r="X41" s="87"/>
      <c r="Y41" s="86"/>
      <c r="Z41" s="87"/>
      <c r="AA41" s="86"/>
      <c r="AB41" s="87"/>
      <c r="AC41" s="86"/>
      <c r="AD41" s="87"/>
      <c r="AE41" s="86"/>
      <c r="AF41" s="87"/>
      <c r="AG41" s="86"/>
      <c r="AH41" s="87"/>
      <c r="AI41" s="86"/>
      <c r="AJ41" s="87"/>
      <c r="AK41" s="86"/>
      <c r="AL41" s="87"/>
      <c r="AM41" s="86"/>
      <c r="AN41" s="87"/>
      <c r="AO41" s="86"/>
      <c r="AP41" s="87"/>
      <c r="AQ41" s="86"/>
      <c r="AR41" s="87"/>
      <c r="AS41" s="86"/>
      <c r="AT41" s="87"/>
      <c r="AU41" s="86"/>
      <c r="AV41" s="87"/>
      <c r="AW41" s="86"/>
      <c r="AX41" s="87"/>
      <c r="AY41" s="86"/>
      <c r="AZ41" s="87"/>
      <c r="BA41" s="86"/>
      <c r="BB41" s="87"/>
      <c r="BC41" s="86"/>
      <c r="BD41" s="87"/>
      <c r="BE41" s="86"/>
      <c r="BF41" s="87"/>
      <c r="BG41" s="86"/>
      <c r="BH41" s="87"/>
      <c r="BI41" s="86"/>
      <c r="BJ41" s="87"/>
      <c r="BK41" s="86"/>
      <c r="BL41" s="87"/>
      <c r="BM41" s="86"/>
      <c r="BN41" s="50"/>
      <c r="BO41" s="170" t="str">
        <f t="shared" si="2"/>
        <v/>
      </c>
      <c r="BP41" s="87"/>
      <c r="BQ41" s="88"/>
    </row>
    <row r="42" spans="1:76" s="1" customFormat="1" x14ac:dyDescent="0.35">
      <c r="A42" s="89" t="s">
        <v>35</v>
      </c>
      <c r="B42" s="90"/>
      <c r="C42" s="174">
        <f>IF('April 2027 Log'!BK42="","",'April 2027 Log'!BK42)</f>
        <v>0</v>
      </c>
      <c r="D42" s="47"/>
      <c r="E42" s="166">
        <f>SUM(E36:E41)</f>
        <v>0</v>
      </c>
      <c r="F42" s="49"/>
      <c r="G42" s="166">
        <f>SUM(G36:G41)</f>
        <v>0</v>
      </c>
      <c r="H42" s="49"/>
      <c r="I42" s="166">
        <f>SUM(I36:I41)</f>
        <v>0</v>
      </c>
      <c r="J42" s="49"/>
      <c r="K42" s="166">
        <f>SUM(K36:K41)</f>
        <v>0</v>
      </c>
      <c r="L42" s="49"/>
      <c r="M42" s="166">
        <f>SUM(M36:M41)</f>
        <v>0</v>
      </c>
      <c r="N42" s="49"/>
      <c r="O42" s="166">
        <f>SUM(O36:O41)</f>
        <v>0</v>
      </c>
      <c r="P42" s="49"/>
      <c r="Q42" s="166">
        <f>SUM(Q36:Q41)</f>
        <v>0</v>
      </c>
      <c r="R42" s="49"/>
      <c r="S42" s="166">
        <f>SUM(S36:S41)</f>
        <v>0</v>
      </c>
      <c r="T42" s="49"/>
      <c r="U42" s="166">
        <f>SUM(U36:U41)</f>
        <v>0</v>
      </c>
      <c r="V42" s="49"/>
      <c r="W42" s="166">
        <f>SUM(W36:W41)</f>
        <v>0</v>
      </c>
      <c r="X42" s="49"/>
      <c r="Y42" s="166">
        <f>SUM(Y36:Y41)</f>
        <v>0</v>
      </c>
      <c r="Z42" s="49"/>
      <c r="AA42" s="166">
        <f>SUM(AA36:AA41)</f>
        <v>0</v>
      </c>
      <c r="AB42" s="49"/>
      <c r="AC42" s="166">
        <f>SUM(AC36:AC41)</f>
        <v>0</v>
      </c>
      <c r="AD42" s="49"/>
      <c r="AE42" s="166">
        <f>SUM(AE36:AE41)</f>
        <v>0</v>
      </c>
      <c r="AF42" s="49"/>
      <c r="AG42" s="166">
        <f>SUM(AG36:AG41)</f>
        <v>0</v>
      </c>
      <c r="AH42" s="49"/>
      <c r="AI42" s="166">
        <f>SUM(AI36:AI41)</f>
        <v>0</v>
      </c>
      <c r="AJ42" s="49"/>
      <c r="AK42" s="166">
        <f>SUM(AK36:AK41)</f>
        <v>0</v>
      </c>
      <c r="AL42" s="49"/>
      <c r="AM42" s="166">
        <f>SUM(AM36:AM41)</f>
        <v>0</v>
      </c>
      <c r="AN42" s="49"/>
      <c r="AO42" s="166">
        <f>SUM(AO36:AO41)</f>
        <v>0</v>
      </c>
      <c r="AP42" s="49"/>
      <c r="AQ42" s="166">
        <f>SUM(AQ36:AQ41)</f>
        <v>0</v>
      </c>
      <c r="AR42" s="49"/>
      <c r="AS42" s="166">
        <f>SUM(AS36:AS41)</f>
        <v>0</v>
      </c>
      <c r="AT42" s="49"/>
      <c r="AU42" s="166">
        <f>SUM(AU36:AU41)</f>
        <v>0</v>
      </c>
      <c r="AV42" s="49"/>
      <c r="AW42" s="166">
        <f>SUM(AW36:AW41)</f>
        <v>0</v>
      </c>
      <c r="AX42" s="49"/>
      <c r="AY42" s="166">
        <f>SUM(AY36:AY41)</f>
        <v>0</v>
      </c>
      <c r="AZ42" s="49"/>
      <c r="BA42" s="166">
        <f>SUM(BA36:BA41)</f>
        <v>0</v>
      </c>
      <c r="BB42" s="49"/>
      <c r="BC42" s="166">
        <f>SUM(BC36:BC41)</f>
        <v>0</v>
      </c>
      <c r="BD42" s="49"/>
      <c r="BE42" s="166">
        <f>SUM(BE36:BE41)</f>
        <v>0</v>
      </c>
      <c r="BF42" s="49"/>
      <c r="BG42" s="166">
        <f>SUM(BG36:BG41)</f>
        <v>0</v>
      </c>
      <c r="BH42" s="49"/>
      <c r="BI42" s="166">
        <f>SUM(BI36:BI41)</f>
        <v>0</v>
      </c>
      <c r="BJ42" s="49"/>
      <c r="BK42" s="166">
        <f>SUM(BK36:BK41)</f>
        <v>0</v>
      </c>
      <c r="BL42" s="49"/>
      <c r="BM42" s="166">
        <f>SUM(BM36:BM41)</f>
        <v>0</v>
      </c>
      <c r="BN42" s="50"/>
      <c r="BO42" s="170">
        <f t="shared" si="2"/>
        <v>0</v>
      </c>
      <c r="BP42" s="49"/>
      <c r="BQ42" s="172">
        <f>IF(BM42="","",BM42)</f>
        <v>0</v>
      </c>
      <c r="BR42"/>
      <c r="BS42"/>
      <c r="BT42"/>
      <c r="BU42"/>
      <c r="BV42"/>
      <c r="BW42"/>
      <c r="BX42"/>
    </row>
    <row r="43" spans="1:76" x14ac:dyDescent="0.35">
      <c r="A43" s="83" t="s">
        <v>61</v>
      </c>
      <c r="B43" s="54" t="s">
        <v>60</v>
      </c>
      <c r="C43" s="174" t="str">
        <f>IF('April 2027 Log'!BK43="","",'April 2027 Log'!BK43)</f>
        <v/>
      </c>
      <c r="D43" s="85"/>
      <c r="E43" s="86"/>
      <c r="F43" s="87"/>
      <c r="G43" s="86"/>
      <c r="H43" s="87"/>
      <c r="I43" s="86"/>
      <c r="J43" s="87"/>
      <c r="K43" s="86"/>
      <c r="L43" s="87"/>
      <c r="M43" s="86"/>
      <c r="N43" s="87"/>
      <c r="O43" s="86"/>
      <c r="P43" s="87"/>
      <c r="Q43" s="86"/>
      <c r="R43" s="87"/>
      <c r="S43" s="86"/>
      <c r="T43" s="87"/>
      <c r="U43" s="86"/>
      <c r="V43" s="87"/>
      <c r="W43" s="86"/>
      <c r="X43" s="87"/>
      <c r="Y43" s="86"/>
      <c r="Z43" s="87"/>
      <c r="AA43" s="86"/>
      <c r="AB43" s="87"/>
      <c r="AC43" s="86"/>
      <c r="AD43" s="87"/>
      <c r="AE43" s="86"/>
      <c r="AF43" s="87"/>
      <c r="AG43" s="86"/>
      <c r="AH43" s="87"/>
      <c r="AI43" s="86"/>
      <c r="AJ43" s="87"/>
      <c r="AK43" s="86"/>
      <c r="AL43" s="87"/>
      <c r="AM43" s="86"/>
      <c r="AN43" s="87"/>
      <c r="AO43" s="86"/>
      <c r="AP43" s="87"/>
      <c r="AQ43" s="86"/>
      <c r="AR43" s="87"/>
      <c r="AS43" s="86"/>
      <c r="AT43" s="87"/>
      <c r="AU43" s="86"/>
      <c r="AV43" s="87"/>
      <c r="AW43" s="86"/>
      <c r="AX43" s="87"/>
      <c r="AY43" s="86"/>
      <c r="AZ43" s="87"/>
      <c r="BA43" s="86"/>
      <c r="BB43" s="87"/>
      <c r="BC43" s="86"/>
      <c r="BD43" s="87"/>
      <c r="BE43" s="86"/>
      <c r="BF43" s="87"/>
      <c r="BG43" s="86"/>
      <c r="BH43" s="87"/>
      <c r="BI43" s="86"/>
      <c r="BJ43" s="87"/>
      <c r="BK43" s="86"/>
      <c r="BL43" s="87"/>
      <c r="BM43" s="86"/>
      <c r="BN43" s="50"/>
      <c r="BO43" s="170" t="str">
        <f t="shared" si="2"/>
        <v/>
      </c>
      <c r="BP43" s="87"/>
      <c r="BQ43" s="178" t="str">
        <f>IF(BM43="","",BM43)</f>
        <v/>
      </c>
    </row>
    <row r="44" spans="1:76" hidden="1" x14ac:dyDescent="0.35">
      <c r="A44" s="83" t="s">
        <v>8</v>
      </c>
      <c r="B44" s="54"/>
      <c r="C44" s="84"/>
      <c r="D44" s="85"/>
      <c r="E44" s="86"/>
      <c r="F44" s="87"/>
      <c r="G44" s="86"/>
      <c r="H44" s="87"/>
      <c r="I44" s="86"/>
      <c r="J44" s="87"/>
      <c r="K44" s="86"/>
      <c r="L44" s="87"/>
      <c r="M44" s="86"/>
      <c r="N44" s="87"/>
      <c r="O44" s="86"/>
      <c r="P44" s="87"/>
      <c r="Q44" s="86"/>
      <c r="R44" s="87"/>
      <c r="S44" s="86"/>
      <c r="T44" s="87"/>
      <c r="U44" s="86"/>
      <c r="V44" s="87"/>
      <c r="W44" s="86"/>
      <c r="X44" s="87"/>
      <c r="Y44" s="86"/>
      <c r="Z44" s="87"/>
      <c r="AA44" s="86"/>
      <c r="AB44" s="87"/>
      <c r="AC44" s="86"/>
      <c r="AD44" s="87"/>
      <c r="AE44" s="86"/>
      <c r="AF44" s="87"/>
      <c r="AG44" s="86"/>
      <c r="AH44" s="87"/>
      <c r="AI44" s="86"/>
      <c r="AJ44" s="87"/>
      <c r="AK44" s="86"/>
      <c r="AL44" s="87"/>
      <c r="AM44" s="86"/>
      <c r="AN44" s="87"/>
      <c r="AO44" s="86"/>
      <c r="AP44" s="87"/>
      <c r="AQ44" s="86"/>
      <c r="AR44" s="87"/>
      <c r="AS44" s="86"/>
      <c r="AT44" s="87"/>
      <c r="AU44" s="86"/>
      <c r="AV44" s="87"/>
      <c r="AW44" s="86"/>
      <c r="AX44" s="87"/>
      <c r="AY44" s="86"/>
      <c r="AZ44" s="87"/>
      <c r="BA44" s="86"/>
      <c r="BB44" s="87"/>
      <c r="BC44" s="86"/>
      <c r="BD44" s="87"/>
      <c r="BE44" s="86"/>
      <c r="BF44" s="87"/>
      <c r="BG44" s="86"/>
      <c r="BH44" s="87"/>
      <c r="BI44" s="86"/>
      <c r="BJ44" s="87"/>
      <c r="BK44" s="86"/>
      <c r="BL44" s="87"/>
      <c r="BM44" s="86"/>
      <c r="BN44" s="50"/>
      <c r="BO44" s="170" t="str">
        <f t="shared" si="2"/>
        <v/>
      </c>
      <c r="BP44" s="87"/>
      <c r="BQ44" s="88"/>
    </row>
    <row r="45" spans="1:76" hidden="1" x14ac:dyDescent="0.35">
      <c r="A45" s="83" t="s">
        <v>9</v>
      </c>
      <c r="B45" s="54"/>
      <c r="C45" s="84"/>
      <c r="D45" s="85"/>
      <c r="E45" s="86"/>
      <c r="F45" s="87"/>
      <c r="G45" s="86"/>
      <c r="H45" s="87"/>
      <c r="I45" s="86"/>
      <c r="J45" s="87"/>
      <c r="K45" s="86"/>
      <c r="L45" s="87"/>
      <c r="M45" s="86"/>
      <c r="N45" s="87"/>
      <c r="O45" s="86"/>
      <c r="P45" s="87"/>
      <c r="Q45" s="86"/>
      <c r="R45" s="87"/>
      <c r="S45" s="86"/>
      <c r="T45" s="87"/>
      <c r="U45" s="86"/>
      <c r="V45" s="87"/>
      <c r="W45" s="86"/>
      <c r="X45" s="87"/>
      <c r="Y45" s="86"/>
      <c r="Z45" s="87"/>
      <c r="AA45" s="86"/>
      <c r="AB45" s="87"/>
      <c r="AC45" s="86"/>
      <c r="AD45" s="87"/>
      <c r="AE45" s="86"/>
      <c r="AF45" s="87"/>
      <c r="AG45" s="86"/>
      <c r="AH45" s="87"/>
      <c r="AI45" s="86"/>
      <c r="AJ45" s="87"/>
      <c r="AK45" s="86"/>
      <c r="AL45" s="87"/>
      <c r="AM45" s="86"/>
      <c r="AN45" s="87"/>
      <c r="AO45" s="86"/>
      <c r="AP45" s="87"/>
      <c r="AQ45" s="86"/>
      <c r="AR45" s="87"/>
      <c r="AS45" s="86"/>
      <c r="AT45" s="87"/>
      <c r="AU45" s="86"/>
      <c r="AV45" s="87"/>
      <c r="AW45" s="86"/>
      <c r="AX45" s="87"/>
      <c r="AY45" s="86"/>
      <c r="AZ45" s="87"/>
      <c r="BA45" s="86"/>
      <c r="BB45" s="87"/>
      <c r="BC45" s="86"/>
      <c r="BD45" s="87"/>
      <c r="BE45" s="86"/>
      <c r="BF45" s="87"/>
      <c r="BG45" s="86"/>
      <c r="BH45" s="87"/>
      <c r="BI45" s="86"/>
      <c r="BJ45" s="87"/>
      <c r="BK45" s="86"/>
      <c r="BL45" s="87"/>
      <c r="BM45" s="86"/>
      <c r="BN45" s="50"/>
      <c r="BO45" s="170" t="str">
        <f t="shared" si="2"/>
        <v/>
      </c>
      <c r="BP45" s="87"/>
      <c r="BQ45" s="88"/>
    </row>
    <row r="46" spans="1:76" hidden="1" x14ac:dyDescent="0.35">
      <c r="A46" s="83" t="s">
        <v>43</v>
      </c>
      <c r="B46" s="54"/>
      <c r="C46" s="84"/>
      <c r="D46" s="85"/>
      <c r="E46" s="86"/>
      <c r="F46" s="87"/>
      <c r="G46" s="86"/>
      <c r="H46" s="87"/>
      <c r="I46" s="86"/>
      <c r="J46" s="87"/>
      <c r="K46" s="86"/>
      <c r="L46" s="87"/>
      <c r="M46" s="86"/>
      <c r="N46" s="87"/>
      <c r="O46" s="86"/>
      <c r="P46" s="87"/>
      <c r="Q46" s="86"/>
      <c r="R46" s="87"/>
      <c r="S46" s="86"/>
      <c r="T46" s="87"/>
      <c r="U46" s="86"/>
      <c r="V46" s="87"/>
      <c r="W46" s="86"/>
      <c r="X46" s="87"/>
      <c r="Y46" s="86"/>
      <c r="Z46" s="87"/>
      <c r="AA46" s="86"/>
      <c r="AB46" s="87"/>
      <c r="AC46" s="86"/>
      <c r="AD46" s="87"/>
      <c r="AE46" s="86"/>
      <c r="AF46" s="87"/>
      <c r="AG46" s="86"/>
      <c r="AH46" s="87"/>
      <c r="AI46" s="86"/>
      <c r="AJ46" s="87"/>
      <c r="AK46" s="86"/>
      <c r="AL46" s="87"/>
      <c r="AM46" s="86"/>
      <c r="AN46" s="87"/>
      <c r="AO46" s="86"/>
      <c r="AP46" s="87"/>
      <c r="AQ46" s="86"/>
      <c r="AR46" s="87"/>
      <c r="AS46" s="86"/>
      <c r="AT46" s="87"/>
      <c r="AU46" s="86"/>
      <c r="AV46" s="87"/>
      <c r="AW46" s="86"/>
      <c r="AX46" s="87"/>
      <c r="AY46" s="86"/>
      <c r="AZ46" s="87"/>
      <c r="BA46" s="86"/>
      <c r="BB46" s="87"/>
      <c r="BC46" s="86"/>
      <c r="BD46" s="87"/>
      <c r="BE46" s="86"/>
      <c r="BF46" s="87"/>
      <c r="BG46" s="86"/>
      <c r="BH46" s="87"/>
      <c r="BI46" s="86"/>
      <c r="BJ46" s="87"/>
      <c r="BK46" s="86"/>
      <c r="BL46" s="87"/>
      <c r="BM46" s="86"/>
      <c r="BN46" s="50"/>
      <c r="BO46" s="170" t="str">
        <f t="shared" si="2"/>
        <v/>
      </c>
      <c r="BP46" s="87"/>
      <c r="BQ46" s="88"/>
    </row>
    <row r="47" spans="1:76" hidden="1" x14ac:dyDescent="0.35">
      <c r="A47" s="83" t="s">
        <v>10</v>
      </c>
      <c r="B47" s="54"/>
      <c r="C47" s="84"/>
      <c r="D47" s="85"/>
      <c r="E47" s="86"/>
      <c r="F47" s="87"/>
      <c r="G47" s="86"/>
      <c r="H47" s="87"/>
      <c r="I47" s="86"/>
      <c r="J47" s="87"/>
      <c r="K47" s="86"/>
      <c r="L47" s="87"/>
      <c r="M47" s="86"/>
      <c r="N47" s="87"/>
      <c r="O47" s="86"/>
      <c r="P47" s="87"/>
      <c r="Q47" s="86"/>
      <c r="R47" s="87"/>
      <c r="S47" s="86"/>
      <c r="T47" s="87"/>
      <c r="U47" s="86"/>
      <c r="V47" s="87"/>
      <c r="W47" s="86"/>
      <c r="X47" s="87"/>
      <c r="Y47" s="86"/>
      <c r="Z47" s="87"/>
      <c r="AA47" s="86"/>
      <c r="AB47" s="87"/>
      <c r="AC47" s="86"/>
      <c r="AD47" s="87"/>
      <c r="AE47" s="86"/>
      <c r="AF47" s="87"/>
      <c r="AG47" s="86"/>
      <c r="AH47" s="87"/>
      <c r="AI47" s="86"/>
      <c r="AJ47" s="87"/>
      <c r="AK47" s="86"/>
      <c r="AL47" s="87"/>
      <c r="AM47" s="86"/>
      <c r="AN47" s="87"/>
      <c r="AO47" s="86"/>
      <c r="AP47" s="87"/>
      <c r="AQ47" s="86"/>
      <c r="AR47" s="87"/>
      <c r="AS47" s="86"/>
      <c r="AT47" s="87"/>
      <c r="AU47" s="86"/>
      <c r="AV47" s="87"/>
      <c r="AW47" s="86"/>
      <c r="AX47" s="87"/>
      <c r="AY47" s="86"/>
      <c r="AZ47" s="87"/>
      <c r="BA47" s="86"/>
      <c r="BB47" s="87"/>
      <c r="BC47" s="86"/>
      <c r="BD47" s="87"/>
      <c r="BE47" s="86"/>
      <c r="BF47" s="87"/>
      <c r="BG47" s="86"/>
      <c r="BH47" s="87"/>
      <c r="BI47" s="86"/>
      <c r="BJ47" s="87"/>
      <c r="BK47" s="86"/>
      <c r="BL47" s="87"/>
      <c r="BM47" s="86"/>
      <c r="BN47" s="50"/>
      <c r="BO47" s="170" t="str">
        <f t="shared" si="2"/>
        <v/>
      </c>
      <c r="BP47" s="87"/>
      <c r="BQ47" s="88"/>
    </row>
    <row r="48" spans="1:76" hidden="1" x14ac:dyDescent="0.35">
      <c r="A48" s="83" t="s">
        <v>11</v>
      </c>
      <c r="B48" s="54"/>
      <c r="C48" s="84"/>
      <c r="D48" s="85"/>
      <c r="E48" s="86"/>
      <c r="F48" s="87"/>
      <c r="G48" s="86"/>
      <c r="H48" s="87"/>
      <c r="I48" s="86"/>
      <c r="J48" s="87"/>
      <c r="K48" s="86"/>
      <c r="L48" s="87"/>
      <c r="M48" s="86"/>
      <c r="N48" s="87"/>
      <c r="O48" s="86"/>
      <c r="P48" s="87"/>
      <c r="Q48" s="86"/>
      <c r="R48" s="87"/>
      <c r="S48" s="86"/>
      <c r="T48" s="87"/>
      <c r="U48" s="86"/>
      <c r="V48" s="87"/>
      <c r="W48" s="86"/>
      <c r="X48" s="87"/>
      <c r="Y48" s="86"/>
      <c r="Z48" s="87"/>
      <c r="AA48" s="86"/>
      <c r="AB48" s="87"/>
      <c r="AC48" s="86"/>
      <c r="AD48" s="87"/>
      <c r="AE48" s="86"/>
      <c r="AF48" s="87"/>
      <c r="AG48" s="86"/>
      <c r="AH48" s="87"/>
      <c r="AI48" s="86"/>
      <c r="AJ48" s="87"/>
      <c r="AK48" s="86"/>
      <c r="AL48" s="87"/>
      <c r="AM48" s="86"/>
      <c r="AN48" s="87"/>
      <c r="AO48" s="86"/>
      <c r="AP48" s="87"/>
      <c r="AQ48" s="86"/>
      <c r="AR48" s="87"/>
      <c r="AS48" s="86"/>
      <c r="AT48" s="87"/>
      <c r="AU48" s="86"/>
      <c r="AV48" s="87"/>
      <c r="AW48" s="86"/>
      <c r="AX48" s="87"/>
      <c r="AY48" s="86"/>
      <c r="AZ48" s="87"/>
      <c r="BA48" s="86"/>
      <c r="BB48" s="87"/>
      <c r="BC48" s="86"/>
      <c r="BD48" s="87"/>
      <c r="BE48" s="86"/>
      <c r="BF48" s="87"/>
      <c r="BG48" s="86"/>
      <c r="BH48" s="87"/>
      <c r="BI48" s="86"/>
      <c r="BJ48" s="87"/>
      <c r="BK48" s="86"/>
      <c r="BL48" s="87"/>
      <c r="BM48" s="86"/>
      <c r="BN48" s="50"/>
      <c r="BO48" s="170" t="str">
        <f t="shared" si="2"/>
        <v/>
      </c>
      <c r="BP48" s="87"/>
      <c r="BQ48" s="88"/>
    </row>
    <row r="49" spans="1:76" s="1" customFormat="1" x14ac:dyDescent="0.35">
      <c r="A49" s="89" t="s">
        <v>36</v>
      </c>
      <c r="B49" s="90"/>
      <c r="C49" s="174">
        <f>IF('April 2027 Log'!BK49="","",'April 2027 Log'!BK49)</f>
        <v>0</v>
      </c>
      <c r="D49" s="47"/>
      <c r="E49" s="166">
        <f>SUM(E43:E48)</f>
        <v>0</v>
      </c>
      <c r="F49" s="49"/>
      <c r="G49" s="166">
        <f>SUM(G43:G48)</f>
        <v>0</v>
      </c>
      <c r="H49" s="49"/>
      <c r="I49" s="166">
        <f>SUM(I43:I48)</f>
        <v>0</v>
      </c>
      <c r="J49" s="49"/>
      <c r="K49" s="166">
        <f>SUM(K43:K48)</f>
        <v>0</v>
      </c>
      <c r="L49" s="49"/>
      <c r="M49" s="166">
        <f>SUM(M43:M48)</f>
        <v>0</v>
      </c>
      <c r="N49" s="49"/>
      <c r="O49" s="166">
        <f>SUM(O43:O48)</f>
        <v>0</v>
      </c>
      <c r="P49" s="49"/>
      <c r="Q49" s="166">
        <f>SUM(Q43:Q48)</f>
        <v>0</v>
      </c>
      <c r="R49" s="49"/>
      <c r="S49" s="166">
        <f>SUM(S43:S48)</f>
        <v>0</v>
      </c>
      <c r="T49" s="49"/>
      <c r="U49" s="166">
        <f>SUM(U43:U48)</f>
        <v>0</v>
      </c>
      <c r="V49" s="49"/>
      <c r="W49" s="166">
        <f>SUM(W43:W48)</f>
        <v>0</v>
      </c>
      <c r="X49" s="49"/>
      <c r="Y49" s="166">
        <f>SUM(Y43:Y48)</f>
        <v>0</v>
      </c>
      <c r="Z49" s="49"/>
      <c r="AA49" s="166">
        <f>SUM(AA43:AA48)</f>
        <v>0</v>
      </c>
      <c r="AB49" s="49"/>
      <c r="AC49" s="166">
        <f>SUM(AC43:AC48)</f>
        <v>0</v>
      </c>
      <c r="AD49" s="49"/>
      <c r="AE49" s="166">
        <f>SUM(AE43:AE48)</f>
        <v>0</v>
      </c>
      <c r="AF49" s="49"/>
      <c r="AG49" s="166">
        <f>SUM(AG43:AG48)</f>
        <v>0</v>
      </c>
      <c r="AH49" s="49"/>
      <c r="AI49" s="166">
        <f>SUM(AI43:AI48)</f>
        <v>0</v>
      </c>
      <c r="AJ49" s="49"/>
      <c r="AK49" s="166">
        <f>SUM(AK43:AK48)</f>
        <v>0</v>
      </c>
      <c r="AL49" s="49"/>
      <c r="AM49" s="166">
        <f>SUM(AM43:AM48)</f>
        <v>0</v>
      </c>
      <c r="AN49" s="49"/>
      <c r="AO49" s="166">
        <f>SUM(AO43:AO48)</f>
        <v>0</v>
      </c>
      <c r="AP49" s="49"/>
      <c r="AQ49" s="166">
        <f>SUM(AQ43:AQ48)</f>
        <v>0</v>
      </c>
      <c r="AR49" s="49"/>
      <c r="AS49" s="166">
        <f>SUM(AS43:AS48)</f>
        <v>0</v>
      </c>
      <c r="AT49" s="49"/>
      <c r="AU49" s="166">
        <f>SUM(AU43:AU48)</f>
        <v>0</v>
      </c>
      <c r="AV49" s="49"/>
      <c r="AW49" s="166">
        <f>SUM(AW43:AW48)</f>
        <v>0</v>
      </c>
      <c r="AX49" s="49"/>
      <c r="AY49" s="166">
        <f>SUM(AY43:AY48)</f>
        <v>0</v>
      </c>
      <c r="AZ49" s="49"/>
      <c r="BA49" s="166">
        <f>SUM(BA43:BA48)</f>
        <v>0</v>
      </c>
      <c r="BB49" s="49"/>
      <c r="BC49" s="166">
        <f>SUM(BC43:BC48)</f>
        <v>0</v>
      </c>
      <c r="BD49" s="49"/>
      <c r="BE49" s="166">
        <f>SUM(BE43:BE48)</f>
        <v>0</v>
      </c>
      <c r="BF49" s="49"/>
      <c r="BG49" s="166">
        <f>SUM(BG43:BG48)</f>
        <v>0</v>
      </c>
      <c r="BH49" s="49"/>
      <c r="BI49" s="166">
        <f>SUM(BI43:BI48)</f>
        <v>0</v>
      </c>
      <c r="BJ49" s="49"/>
      <c r="BK49" s="166">
        <f>SUM(BK43:BK48)</f>
        <v>0</v>
      </c>
      <c r="BL49" s="49"/>
      <c r="BM49" s="166">
        <f>SUM(BM43:BM48)</f>
        <v>0</v>
      </c>
      <c r="BN49" s="50"/>
      <c r="BO49" s="170">
        <f t="shared" si="2"/>
        <v>0</v>
      </c>
      <c r="BP49" s="49"/>
      <c r="BQ49" s="172">
        <f>IF(BM49="","",BM49)</f>
        <v>0</v>
      </c>
      <c r="BR49"/>
      <c r="BS49"/>
      <c r="BT49"/>
      <c r="BU49"/>
      <c r="BV49"/>
      <c r="BW49"/>
      <c r="BX49"/>
    </row>
    <row r="50" spans="1:76" s="1" customFormat="1" x14ac:dyDescent="0.35">
      <c r="A50" s="89" t="s">
        <v>12</v>
      </c>
      <c r="B50" s="90"/>
      <c r="C50" s="174">
        <f>IF('April 2027 Log'!BK50="","",'April 2027 Log'!BK50)</f>
        <v>0</v>
      </c>
      <c r="D50" s="47"/>
      <c r="E50" s="166">
        <f t="shared" ref="E50" si="34">+E42+E49</f>
        <v>0</v>
      </c>
      <c r="F50" s="49"/>
      <c r="G50" s="166">
        <f t="shared" ref="G50" si="35">+G42+G49</f>
        <v>0</v>
      </c>
      <c r="H50" s="49"/>
      <c r="I50" s="166">
        <f t="shared" ref="I50" si="36">+I42+I49</f>
        <v>0</v>
      </c>
      <c r="J50" s="49"/>
      <c r="K50" s="166">
        <f t="shared" ref="K50" si="37">+K42+K49</f>
        <v>0</v>
      </c>
      <c r="L50" s="49"/>
      <c r="M50" s="166">
        <f t="shared" ref="M50" si="38">+M42+M49</f>
        <v>0</v>
      </c>
      <c r="N50" s="49"/>
      <c r="O50" s="166">
        <f t="shared" ref="O50" si="39">+O42+O49</f>
        <v>0</v>
      </c>
      <c r="P50" s="49"/>
      <c r="Q50" s="166">
        <f t="shared" ref="Q50" si="40">+Q42+Q49</f>
        <v>0</v>
      </c>
      <c r="R50" s="49"/>
      <c r="S50" s="166">
        <f t="shared" ref="S50" si="41">+S42+S49</f>
        <v>0</v>
      </c>
      <c r="T50" s="49"/>
      <c r="U50" s="166">
        <f t="shared" ref="U50" si="42">+U42+U49</f>
        <v>0</v>
      </c>
      <c r="V50" s="49"/>
      <c r="W50" s="166">
        <f t="shared" ref="W50" si="43">+W42+W49</f>
        <v>0</v>
      </c>
      <c r="X50" s="49"/>
      <c r="Y50" s="166">
        <f t="shared" ref="Y50" si="44">+Y42+Y49</f>
        <v>0</v>
      </c>
      <c r="Z50" s="49"/>
      <c r="AA50" s="166">
        <f t="shared" ref="AA50" si="45">+AA42+AA49</f>
        <v>0</v>
      </c>
      <c r="AB50" s="49"/>
      <c r="AC50" s="166">
        <f t="shared" ref="AC50" si="46">+AC42+AC49</f>
        <v>0</v>
      </c>
      <c r="AD50" s="49"/>
      <c r="AE50" s="166">
        <f t="shared" ref="AE50" si="47">+AE42+AE49</f>
        <v>0</v>
      </c>
      <c r="AF50" s="49"/>
      <c r="AG50" s="166">
        <f t="shared" ref="AG50" si="48">+AG42+AG49</f>
        <v>0</v>
      </c>
      <c r="AH50" s="49"/>
      <c r="AI50" s="166">
        <f t="shared" ref="AI50" si="49">+AI42+AI49</f>
        <v>0</v>
      </c>
      <c r="AJ50" s="49"/>
      <c r="AK50" s="166">
        <f t="shared" ref="AK50" si="50">+AK42+AK49</f>
        <v>0</v>
      </c>
      <c r="AL50" s="49"/>
      <c r="AM50" s="166">
        <f t="shared" ref="AM50" si="51">+AM42+AM49</f>
        <v>0</v>
      </c>
      <c r="AN50" s="49"/>
      <c r="AO50" s="166">
        <f t="shared" ref="AO50" si="52">+AO42+AO49</f>
        <v>0</v>
      </c>
      <c r="AP50" s="49"/>
      <c r="AQ50" s="166">
        <f t="shared" ref="AQ50" si="53">+AQ42+AQ49</f>
        <v>0</v>
      </c>
      <c r="AR50" s="49"/>
      <c r="AS50" s="166">
        <f t="shared" ref="AS50" si="54">+AS42+AS49</f>
        <v>0</v>
      </c>
      <c r="AT50" s="49"/>
      <c r="AU50" s="166">
        <f t="shared" ref="AU50" si="55">+AU42+AU49</f>
        <v>0</v>
      </c>
      <c r="AV50" s="49"/>
      <c r="AW50" s="166">
        <f t="shared" ref="AW50" si="56">+AW42+AW49</f>
        <v>0</v>
      </c>
      <c r="AX50" s="49"/>
      <c r="AY50" s="166">
        <f t="shared" ref="AY50" si="57">+AY42+AY49</f>
        <v>0</v>
      </c>
      <c r="AZ50" s="49"/>
      <c r="BA50" s="166">
        <f t="shared" ref="BA50" si="58">+BA42+BA49</f>
        <v>0</v>
      </c>
      <c r="BB50" s="49"/>
      <c r="BC50" s="166">
        <f t="shared" ref="BC50" si="59">+BC42+BC49</f>
        <v>0</v>
      </c>
      <c r="BD50" s="49"/>
      <c r="BE50" s="166">
        <f t="shared" ref="BE50" si="60">+BE42+BE49</f>
        <v>0</v>
      </c>
      <c r="BF50" s="49"/>
      <c r="BG50" s="166">
        <f t="shared" ref="BG50" si="61">+BG42+BG49</f>
        <v>0</v>
      </c>
      <c r="BH50" s="49"/>
      <c r="BI50" s="166">
        <f t="shared" ref="BI50" si="62">+BI42+BI49</f>
        <v>0</v>
      </c>
      <c r="BJ50" s="49"/>
      <c r="BK50" s="166">
        <f t="shared" ref="BK50" si="63">+BK42+BK49</f>
        <v>0</v>
      </c>
      <c r="BL50" s="49"/>
      <c r="BM50" s="166">
        <f t="shared" ref="BM50" si="64">+BM42+BM49</f>
        <v>0</v>
      </c>
      <c r="BN50" s="50"/>
      <c r="BO50" s="170">
        <f t="shared" si="2"/>
        <v>0</v>
      </c>
      <c r="BP50" s="49"/>
      <c r="BQ50" s="172">
        <f>IF(BM50="","",BM50)</f>
        <v>0</v>
      </c>
      <c r="BR50"/>
      <c r="BS50"/>
      <c r="BT50"/>
      <c r="BU50"/>
      <c r="BV50"/>
      <c r="BW50"/>
      <c r="BX50"/>
    </row>
    <row r="51" spans="1:76" x14ac:dyDescent="0.35">
      <c r="A51" s="83" t="s">
        <v>13</v>
      </c>
      <c r="B51" s="54"/>
      <c r="C51" s="84"/>
      <c r="D51" s="85"/>
      <c r="E51" s="86"/>
      <c r="F51" s="87"/>
      <c r="G51" s="86"/>
      <c r="H51" s="87"/>
      <c r="I51" s="86"/>
      <c r="J51" s="87"/>
      <c r="K51" s="86"/>
      <c r="L51" s="87"/>
      <c r="M51" s="86"/>
      <c r="N51" s="87"/>
      <c r="O51" s="86"/>
      <c r="P51" s="87"/>
      <c r="Q51" s="86"/>
      <c r="R51" s="87"/>
      <c r="S51" s="86"/>
      <c r="T51" s="87"/>
      <c r="U51" s="86"/>
      <c r="V51" s="87"/>
      <c r="W51" s="86"/>
      <c r="X51" s="87"/>
      <c r="Y51" s="86"/>
      <c r="Z51" s="87"/>
      <c r="AA51" s="86"/>
      <c r="AB51" s="87"/>
      <c r="AC51" s="86"/>
      <c r="AD51" s="87"/>
      <c r="AE51" s="86"/>
      <c r="AF51" s="87"/>
      <c r="AG51" s="86"/>
      <c r="AH51" s="87"/>
      <c r="AI51" s="86"/>
      <c r="AJ51" s="87"/>
      <c r="AK51" s="86"/>
      <c r="AL51" s="87"/>
      <c r="AM51" s="86"/>
      <c r="AN51" s="87"/>
      <c r="AO51" s="86"/>
      <c r="AP51" s="87"/>
      <c r="AQ51" s="86"/>
      <c r="AR51" s="87"/>
      <c r="AS51" s="86"/>
      <c r="AT51" s="87"/>
      <c r="AU51" s="86"/>
      <c r="AV51" s="87"/>
      <c r="AW51" s="86"/>
      <c r="AX51" s="87"/>
      <c r="AY51" s="86"/>
      <c r="AZ51" s="87"/>
      <c r="BA51" s="86"/>
      <c r="BB51" s="87"/>
      <c r="BC51" s="86"/>
      <c r="BD51" s="87"/>
      <c r="BE51" s="86"/>
      <c r="BF51" s="87"/>
      <c r="BG51" s="86"/>
      <c r="BH51" s="87"/>
      <c r="BI51" s="86"/>
      <c r="BJ51" s="87"/>
      <c r="BK51" s="86"/>
      <c r="BL51" s="87"/>
      <c r="BM51" s="86"/>
      <c r="BN51" s="50"/>
      <c r="BO51" s="170" t="str">
        <f t="shared" si="2"/>
        <v/>
      </c>
      <c r="BP51" s="87"/>
      <c r="BQ51" s="88"/>
    </row>
    <row r="52" spans="1:76" x14ac:dyDescent="0.35">
      <c r="A52" s="83" t="s">
        <v>14</v>
      </c>
      <c r="B52" s="54"/>
      <c r="C52" s="84"/>
      <c r="D52" s="85"/>
      <c r="E52" s="86"/>
      <c r="F52" s="87"/>
      <c r="G52" s="86"/>
      <c r="H52" s="87"/>
      <c r="I52" s="86"/>
      <c r="J52" s="87"/>
      <c r="K52" s="86"/>
      <c r="L52" s="87"/>
      <c r="M52" s="86"/>
      <c r="N52" s="87"/>
      <c r="O52" s="86"/>
      <c r="P52" s="87"/>
      <c r="Q52" s="86"/>
      <c r="R52" s="87"/>
      <c r="S52" s="86"/>
      <c r="T52" s="87"/>
      <c r="U52" s="86"/>
      <c r="V52" s="87"/>
      <c r="W52" s="86"/>
      <c r="X52" s="87"/>
      <c r="Y52" s="86"/>
      <c r="Z52" s="87"/>
      <c r="AA52" s="86"/>
      <c r="AB52" s="87"/>
      <c r="AC52" s="86"/>
      <c r="AD52" s="87"/>
      <c r="AE52" s="86"/>
      <c r="AF52" s="87"/>
      <c r="AG52" s="86"/>
      <c r="AH52" s="87"/>
      <c r="AI52" s="86"/>
      <c r="AJ52" s="87"/>
      <c r="AK52" s="86"/>
      <c r="AL52" s="87"/>
      <c r="AM52" s="86"/>
      <c r="AN52" s="87"/>
      <c r="AO52" s="86"/>
      <c r="AP52" s="87"/>
      <c r="AQ52" s="86"/>
      <c r="AR52" s="87"/>
      <c r="AS52" s="86"/>
      <c r="AT52" s="87"/>
      <c r="AU52" s="86"/>
      <c r="AV52" s="87"/>
      <c r="AW52" s="86"/>
      <c r="AX52" s="87"/>
      <c r="AY52" s="86"/>
      <c r="AZ52" s="87"/>
      <c r="BA52" s="86"/>
      <c r="BB52" s="87"/>
      <c r="BC52" s="86"/>
      <c r="BD52" s="87"/>
      <c r="BE52" s="86"/>
      <c r="BF52" s="87"/>
      <c r="BG52" s="86"/>
      <c r="BH52" s="87"/>
      <c r="BI52" s="86"/>
      <c r="BJ52" s="87"/>
      <c r="BK52" s="86"/>
      <c r="BL52" s="87"/>
      <c r="BM52" s="86"/>
      <c r="BN52" s="50"/>
      <c r="BO52" s="170" t="str">
        <f t="shared" si="2"/>
        <v/>
      </c>
      <c r="BP52" s="87"/>
      <c r="BQ52" s="88"/>
    </row>
    <row r="53" spans="1:76" x14ac:dyDescent="0.35">
      <c r="A53" s="83" t="s">
        <v>42</v>
      </c>
      <c r="B53" s="54"/>
      <c r="C53" s="84"/>
      <c r="D53" s="85"/>
      <c r="E53" s="86"/>
      <c r="F53" s="87"/>
      <c r="G53" s="86"/>
      <c r="H53" s="87"/>
      <c r="I53" s="86"/>
      <c r="J53" s="87"/>
      <c r="K53" s="86"/>
      <c r="L53" s="87"/>
      <c r="M53" s="86"/>
      <c r="N53" s="87"/>
      <c r="O53" s="86"/>
      <c r="P53" s="87"/>
      <c r="Q53" s="86"/>
      <c r="R53" s="87"/>
      <c r="S53" s="86"/>
      <c r="T53" s="87"/>
      <c r="U53" s="86"/>
      <c r="V53" s="87"/>
      <c r="W53" s="86"/>
      <c r="X53" s="87"/>
      <c r="Y53" s="86"/>
      <c r="Z53" s="87"/>
      <c r="AA53" s="86"/>
      <c r="AB53" s="87"/>
      <c r="AC53" s="86"/>
      <c r="AD53" s="87"/>
      <c r="AE53" s="86"/>
      <c r="AF53" s="87"/>
      <c r="AG53" s="86"/>
      <c r="AH53" s="87"/>
      <c r="AI53" s="86"/>
      <c r="AJ53" s="87"/>
      <c r="AK53" s="86"/>
      <c r="AL53" s="87"/>
      <c r="AM53" s="86"/>
      <c r="AN53" s="87"/>
      <c r="AO53" s="86"/>
      <c r="AP53" s="87"/>
      <c r="AQ53" s="86"/>
      <c r="AR53" s="87"/>
      <c r="AS53" s="86"/>
      <c r="AT53" s="87"/>
      <c r="AU53" s="86"/>
      <c r="AV53" s="87"/>
      <c r="AW53" s="86"/>
      <c r="AX53" s="87"/>
      <c r="AY53" s="86"/>
      <c r="AZ53" s="87"/>
      <c r="BA53" s="86"/>
      <c r="BB53" s="87"/>
      <c r="BC53" s="86"/>
      <c r="BD53" s="87"/>
      <c r="BE53" s="86"/>
      <c r="BF53" s="87"/>
      <c r="BG53" s="86"/>
      <c r="BH53" s="87"/>
      <c r="BI53" s="86"/>
      <c r="BJ53" s="87"/>
      <c r="BK53" s="86"/>
      <c r="BL53" s="87"/>
      <c r="BM53" s="86"/>
      <c r="BN53" s="50"/>
      <c r="BO53" s="170" t="str">
        <f t="shared" si="2"/>
        <v/>
      </c>
      <c r="BP53" s="87"/>
      <c r="BQ53" s="88"/>
    </row>
    <row r="54" spans="1:76" x14ac:dyDescent="0.35">
      <c r="A54" s="89" t="s">
        <v>15</v>
      </c>
      <c r="B54" s="90"/>
      <c r="C54" s="174">
        <f>IF('April 2027 Log'!BK54="","",'April 2027 Log'!BK54)</f>
        <v>0</v>
      </c>
      <c r="D54" s="47"/>
      <c r="E54" s="166">
        <f>E22+E23+E32+E34+E50+E51+E52-E33+E24+E53+E112</f>
        <v>0</v>
      </c>
      <c r="F54" s="49"/>
      <c r="G54" s="166">
        <f>G22+G23+G32+G34+G50+G51+G52-G33+G24+G53+G112</f>
        <v>0</v>
      </c>
      <c r="H54" s="49"/>
      <c r="I54" s="166">
        <f>I22+I23+I32+I34+I50+I51+I52-I33+I24+I53+I112</f>
        <v>0</v>
      </c>
      <c r="J54" s="49"/>
      <c r="K54" s="166">
        <f>K22+K23+K32+K34+K50+K51+K52-K33+K24+K53+K112</f>
        <v>0</v>
      </c>
      <c r="L54" s="49"/>
      <c r="M54" s="166">
        <f>M22+M23+M32+M34+M50+M51+M52-M33+M24+M53+M112</f>
        <v>0</v>
      </c>
      <c r="N54" s="49"/>
      <c r="O54" s="166">
        <f>O22+O23+O32+O34+O50+O51+O52-O33+O24+O53+O112</f>
        <v>0</v>
      </c>
      <c r="P54" s="49"/>
      <c r="Q54" s="166">
        <f>Q22+Q23+Q32+Q34+Q50+Q51+Q52-Q33+Q24+Q53+Q112</f>
        <v>0</v>
      </c>
      <c r="R54" s="49"/>
      <c r="S54" s="166">
        <f>S22+S23+S32+S34+S50+S51+S52-S33+S24+S53+S112</f>
        <v>0</v>
      </c>
      <c r="T54" s="49"/>
      <c r="U54" s="166">
        <f>U22+U23+U32+U34+U50+U51+U52-U33+U24+U53+U112</f>
        <v>0</v>
      </c>
      <c r="V54" s="49"/>
      <c r="W54" s="166">
        <f>W22+W23+W32+W34+W50+W51+W52-W33+W24+W53+W112</f>
        <v>0</v>
      </c>
      <c r="X54" s="49"/>
      <c r="Y54" s="166">
        <f>Y22+Y23+Y32+Y34+Y50+Y51+Y52-Y33+Y24+Y53+Y112</f>
        <v>0</v>
      </c>
      <c r="Z54" s="49"/>
      <c r="AA54" s="166">
        <f>AA22+AA23+AA32+AA34+AA50+AA51+AA52-AA33+AA24+AA53+AA112</f>
        <v>0</v>
      </c>
      <c r="AB54" s="49"/>
      <c r="AC54" s="166">
        <f>AC22+AC23+AC32+AC34+AC50+AC51+AC52-AC33+AC24+AC53+AC112</f>
        <v>0</v>
      </c>
      <c r="AD54" s="49"/>
      <c r="AE54" s="166">
        <f>AE22+AE23+AE32+AE34+AE50+AE51+AE52-AE33+AE24+AE53+AE112</f>
        <v>0</v>
      </c>
      <c r="AF54" s="49"/>
      <c r="AG54" s="166">
        <f>AG22+AG23+AG32+AG34+AG50+AG51+AG52-AG33+AG24+AG53+AG112</f>
        <v>0</v>
      </c>
      <c r="AH54" s="49"/>
      <c r="AI54" s="166">
        <f>AI22+AI23+AI32+AI34+AI50+AI51+AI52-AI33+AI24+AI53+AI112</f>
        <v>0</v>
      </c>
      <c r="AJ54" s="49"/>
      <c r="AK54" s="166">
        <f>AK22+AK23+AK32+AK34+AK50+AK51+AK52-AK33+AK24+AK53+AK112</f>
        <v>0</v>
      </c>
      <c r="AL54" s="49"/>
      <c r="AM54" s="166">
        <f>AM22+AM23+AM32+AM34+AM50+AM51+AM52-AM33+AM24+AM53+AM112</f>
        <v>0</v>
      </c>
      <c r="AN54" s="49"/>
      <c r="AO54" s="166">
        <f>AO22+AO23+AO32+AO34+AO50+AO51+AO52-AO33+AO24+AO53+AO112</f>
        <v>0</v>
      </c>
      <c r="AP54" s="49"/>
      <c r="AQ54" s="166">
        <f>AQ22+AQ23+AQ32+AQ34+AQ50+AQ51+AQ52-AQ33+AQ24+AQ53+AQ112</f>
        <v>0</v>
      </c>
      <c r="AR54" s="49"/>
      <c r="AS54" s="166">
        <f>AS22+AS23+AS32+AS34+AS50+AS51+AS52-AS33+AS24+AS53+AS112</f>
        <v>0</v>
      </c>
      <c r="AT54" s="49"/>
      <c r="AU54" s="166">
        <f>AU22+AU23+AU32+AU34+AU50+AU51+AU52-AU33+AU24+AU53+AU112</f>
        <v>0</v>
      </c>
      <c r="AV54" s="49"/>
      <c r="AW54" s="166">
        <f>AW22+AW23+AW32+AW34+AW50+AW51+AW52-AW33+AW24+AW53+AW112</f>
        <v>0</v>
      </c>
      <c r="AX54" s="49"/>
      <c r="AY54" s="166">
        <f>AY22+AY23+AY32+AY34+AY50+AY51+AY52-AY33+AY24+AY53+AY112</f>
        <v>0</v>
      </c>
      <c r="AZ54" s="49"/>
      <c r="BA54" s="166">
        <f>BA22+BA23+BA32+BA34+BA50+BA51+BA52-BA33+BA24+BA53+BA112</f>
        <v>0</v>
      </c>
      <c r="BB54" s="49"/>
      <c r="BC54" s="166">
        <f>BC22+BC23+BC32+BC34+BC50+BC51+BC52-BC33+BC24+BC53+BC112</f>
        <v>0</v>
      </c>
      <c r="BD54" s="49"/>
      <c r="BE54" s="166">
        <f>BE22+BE23+BE32+BE34+BE50+BE51+BE52-BE33+BE24+BE53+BE112</f>
        <v>0</v>
      </c>
      <c r="BF54" s="49"/>
      <c r="BG54" s="166">
        <f>BG22+BG23+BG32+BG34+BG50+BG51+BG52-BG33+BG24+BG53+BG112</f>
        <v>0</v>
      </c>
      <c r="BH54" s="49"/>
      <c r="BI54" s="166">
        <f>BI22+BI23+BI32+BI34+BI50+BI51+BI52-BI33+BI24+BI53+BI112</f>
        <v>0</v>
      </c>
      <c r="BJ54" s="49"/>
      <c r="BK54" s="166">
        <f>BK22+BK23+BK32+BK34+BK50+BK51+BK52-BK33+BK24+BK53+BK112</f>
        <v>0</v>
      </c>
      <c r="BL54" s="49"/>
      <c r="BM54" s="166">
        <f>BM22+BM23+BM32+BM34+BM50+BM51+BM52-BM33+BM24+BM53+BM112</f>
        <v>0</v>
      </c>
      <c r="BN54" s="50"/>
      <c r="BO54" s="170">
        <f t="shared" si="2"/>
        <v>0</v>
      </c>
      <c r="BP54" s="49"/>
      <c r="BQ54" s="172">
        <f t="shared" ref="BQ54:BQ59" si="65">IF(BM54="","",BM54)</f>
        <v>0</v>
      </c>
    </row>
    <row r="55" spans="1:76" x14ac:dyDescent="0.35">
      <c r="A55" s="83" t="s">
        <v>16</v>
      </c>
      <c r="B55" s="54"/>
      <c r="C55" s="174" t="str">
        <f>IF('April 2027 Log'!BK55="","",'April 2027 Log'!BK55)</f>
        <v/>
      </c>
      <c r="D55" s="85"/>
      <c r="E55" s="86"/>
      <c r="F55" s="87"/>
      <c r="G55" s="86"/>
      <c r="H55" s="87"/>
      <c r="I55" s="86"/>
      <c r="J55" s="87"/>
      <c r="K55" s="86"/>
      <c r="L55" s="87"/>
      <c r="M55" s="86"/>
      <c r="N55" s="87"/>
      <c r="O55" s="86"/>
      <c r="P55" s="87"/>
      <c r="Q55" s="86"/>
      <c r="R55" s="87"/>
      <c r="S55" s="86"/>
      <c r="T55" s="87"/>
      <c r="U55" s="86"/>
      <c r="V55" s="87"/>
      <c r="W55" s="86"/>
      <c r="X55" s="87"/>
      <c r="Y55" s="86"/>
      <c r="Z55" s="87"/>
      <c r="AA55" s="86"/>
      <c r="AB55" s="87"/>
      <c r="AC55" s="86"/>
      <c r="AD55" s="87"/>
      <c r="AE55" s="86"/>
      <c r="AF55" s="87"/>
      <c r="AG55" s="86"/>
      <c r="AH55" s="87"/>
      <c r="AI55" s="86"/>
      <c r="AJ55" s="87"/>
      <c r="AK55" s="86"/>
      <c r="AL55" s="87"/>
      <c r="AM55" s="86"/>
      <c r="AN55" s="87"/>
      <c r="AO55" s="86"/>
      <c r="AP55" s="87"/>
      <c r="AQ55" s="86"/>
      <c r="AR55" s="87"/>
      <c r="AS55" s="86"/>
      <c r="AT55" s="87"/>
      <c r="AU55" s="86"/>
      <c r="AV55" s="87"/>
      <c r="AW55" s="86"/>
      <c r="AX55" s="87"/>
      <c r="AY55" s="86"/>
      <c r="AZ55" s="87"/>
      <c r="BA55" s="86"/>
      <c r="BB55" s="87"/>
      <c r="BC55" s="86"/>
      <c r="BD55" s="87"/>
      <c r="BE55" s="86"/>
      <c r="BF55" s="87"/>
      <c r="BG55" s="86"/>
      <c r="BH55" s="87"/>
      <c r="BI55" s="86"/>
      <c r="BJ55" s="87"/>
      <c r="BK55" s="86"/>
      <c r="BL55" s="87"/>
      <c r="BM55" s="86"/>
      <c r="BN55" s="50"/>
      <c r="BO55" s="170" t="str">
        <f t="shared" si="2"/>
        <v/>
      </c>
      <c r="BP55" s="87"/>
      <c r="BQ55" s="178" t="str">
        <f t="shared" si="65"/>
        <v/>
      </c>
    </row>
    <row r="56" spans="1:76" x14ac:dyDescent="0.35">
      <c r="A56" s="83" t="s">
        <v>17</v>
      </c>
      <c r="B56" s="54"/>
      <c r="C56" s="174" t="str">
        <f>IF('April 2027 Log'!BK56="","",'April 2027 Log'!BK56)</f>
        <v/>
      </c>
      <c r="D56" s="85"/>
      <c r="E56" s="86"/>
      <c r="F56" s="87"/>
      <c r="G56" s="86"/>
      <c r="H56" s="87"/>
      <c r="I56" s="86"/>
      <c r="J56" s="87"/>
      <c r="K56" s="86"/>
      <c r="L56" s="87"/>
      <c r="M56" s="86"/>
      <c r="N56" s="87"/>
      <c r="O56" s="86"/>
      <c r="P56" s="87"/>
      <c r="Q56" s="86"/>
      <c r="R56" s="87"/>
      <c r="S56" s="86"/>
      <c r="T56" s="87"/>
      <c r="U56" s="86"/>
      <c r="V56" s="87"/>
      <c r="W56" s="86"/>
      <c r="X56" s="87"/>
      <c r="Y56" s="86"/>
      <c r="Z56" s="87"/>
      <c r="AA56" s="86"/>
      <c r="AB56" s="87"/>
      <c r="AC56" s="86"/>
      <c r="AD56" s="87"/>
      <c r="AE56" s="86"/>
      <c r="AF56" s="87"/>
      <c r="AG56" s="86"/>
      <c r="AH56" s="87"/>
      <c r="AI56" s="86"/>
      <c r="AJ56" s="87"/>
      <c r="AK56" s="86"/>
      <c r="AL56" s="87"/>
      <c r="AM56" s="86"/>
      <c r="AN56" s="87"/>
      <c r="AO56" s="86"/>
      <c r="AP56" s="87"/>
      <c r="AQ56" s="86"/>
      <c r="AR56" s="87"/>
      <c r="AS56" s="86"/>
      <c r="AT56" s="87"/>
      <c r="AU56" s="86"/>
      <c r="AV56" s="87"/>
      <c r="AW56" s="86"/>
      <c r="AX56" s="87"/>
      <c r="AY56" s="86"/>
      <c r="AZ56" s="87"/>
      <c r="BA56" s="86"/>
      <c r="BB56" s="87"/>
      <c r="BC56" s="86"/>
      <c r="BD56" s="87"/>
      <c r="BE56" s="86"/>
      <c r="BF56" s="87"/>
      <c r="BG56" s="86"/>
      <c r="BH56" s="87"/>
      <c r="BI56" s="86"/>
      <c r="BJ56" s="87"/>
      <c r="BK56" s="86"/>
      <c r="BL56" s="87"/>
      <c r="BM56" s="86"/>
      <c r="BN56" s="50"/>
      <c r="BO56" s="170" t="str">
        <f t="shared" si="2"/>
        <v/>
      </c>
      <c r="BP56" s="87"/>
      <c r="BQ56" s="178" t="str">
        <f t="shared" si="65"/>
        <v/>
      </c>
    </row>
    <row r="57" spans="1:76" x14ac:dyDescent="0.35">
      <c r="A57" s="89" t="s">
        <v>18</v>
      </c>
      <c r="B57" s="90"/>
      <c r="C57" s="174">
        <f>IF('April 2027 Log'!BK57="","",'April 2027 Log'!BK57)</f>
        <v>0</v>
      </c>
      <c r="D57" s="47"/>
      <c r="E57" s="166">
        <f>SUM(E55:E56)</f>
        <v>0</v>
      </c>
      <c r="F57" s="49"/>
      <c r="G57" s="166">
        <f>SUM(G55:G56)</f>
        <v>0</v>
      </c>
      <c r="H57" s="49"/>
      <c r="I57" s="166">
        <f>SUM(I55:I56)</f>
        <v>0</v>
      </c>
      <c r="J57" s="49"/>
      <c r="K57" s="166">
        <f>SUM(K55:K56)</f>
        <v>0</v>
      </c>
      <c r="L57" s="49"/>
      <c r="M57" s="166">
        <f>SUM(M55:M56)</f>
        <v>0</v>
      </c>
      <c r="N57" s="49"/>
      <c r="O57" s="166">
        <f>SUM(O55:O56)</f>
        <v>0</v>
      </c>
      <c r="P57" s="49"/>
      <c r="Q57" s="166">
        <f>SUM(Q55:Q56)</f>
        <v>0</v>
      </c>
      <c r="R57" s="49"/>
      <c r="S57" s="166">
        <f>SUM(S55:S56)</f>
        <v>0</v>
      </c>
      <c r="T57" s="49"/>
      <c r="U57" s="166">
        <f>SUM(U55:U56)</f>
        <v>0</v>
      </c>
      <c r="V57" s="49"/>
      <c r="W57" s="166">
        <f>SUM(W55:W56)</f>
        <v>0</v>
      </c>
      <c r="X57" s="49"/>
      <c r="Y57" s="166">
        <f>SUM(Y55:Y56)</f>
        <v>0</v>
      </c>
      <c r="Z57" s="49"/>
      <c r="AA57" s="166">
        <f>SUM(AA55:AA56)</f>
        <v>0</v>
      </c>
      <c r="AB57" s="49"/>
      <c r="AC57" s="166">
        <f>SUM(AC55:AC56)</f>
        <v>0</v>
      </c>
      <c r="AD57" s="49"/>
      <c r="AE57" s="166">
        <f>SUM(AE55:AE56)</f>
        <v>0</v>
      </c>
      <c r="AF57" s="49"/>
      <c r="AG57" s="166">
        <f>SUM(AG55:AG56)</f>
        <v>0</v>
      </c>
      <c r="AH57" s="49"/>
      <c r="AI57" s="166">
        <f>SUM(AI55:AI56)</f>
        <v>0</v>
      </c>
      <c r="AJ57" s="49"/>
      <c r="AK57" s="166">
        <f>SUM(AK55:AK56)</f>
        <v>0</v>
      </c>
      <c r="AL57" s="49"/>
      <c r="AM57" s="166">
        <f>SUM(AM55:AM56)</f>
        <v>0</v>
      </c>
      <c r="AN57" s="49"/>
      <c r="AO57" s="166">
        <f>SUM(AO55:AO56)</f>
        <v>0</v>
      </c>
      <c r="AP57" s="49"/>
      <c r="AQ57" s="166">
        <f>SUM(AQ55:AQ56)</f>
        <v>0</v>
      </c>
      <c r="AR57" s="49"/>
      <c r="AS57" s="166">
        <f>SUM(AS55:AS56)</f>
        <v>0</v>
      </c>
      <c r="AT57" s="49"/>
      <c r="AU57" s="166">
        <f>SUM(AU55:AU56)</f>
        <v>0</v>
      </c>
      <c r="AV57" s="49"/>
      <c r="AW57" s="166">
        <f>SUM(AW55:AW56)</f>
        <v>0</v>
      </c>
      <c r="AX57" s="49"/>
      <c r="AY57" s="166">
        <f>SUM(AY55:AY56)</f>
        <v>0</v>
      </c>
      <c r="AZ57" s="49"/>
      <c r="BA57" s="166">
        <f>SUM(BA55:BA56)</f>
        <v>0</v>
      </c>
      <c r="BB57" s="49"/>
      <c r="BC57" s="166">
        <f>SUM(BC55:BC56)</f>
        <v>0</v>
      </c>
      <c r="BD57" s="49"/>
      <c r="BE57" s="166">
        <f>SUM(BE55:BE56)</f>
        <v>0</v>
      </c>
      <c r="BF57" s="49"/>
      <c r="BG57" s="166">
        <f>SUM(BG55:BG56)</f>
        <v>0</v>
      </c>
      <c r="BH57" s="49"/>
      <c r="BI57" s="166">
        <f>SUM(BI55:BI56)</f>
        <v>0</v>
      </c>
      <c r="BJ57" s="49"/>
      <c r="BK57" s="166">
        <f>SUM(BK55:BK56)</f>
        <v>0</v>
      </c>
      <c r="BL57" s="49"/>
      <c r="BM57" s="166">
        <f>SUM(BM55:BM56)</f>
        <v>0</v>
      </c>
      <c r="BN57" s="50"/>
      <c r="BO57" s="170">
        <f t="shared" si="2"/>
        <v>0</v>
      </c>
      <c r="BP57" s="49"/>
      <c r="BQ57" s="172">
        <f t="shared" si="65"/>
        <v>0</v>
      </c>
    </row>
    <row r="58" spans="1:76" x14ac:dyDescent="0.35">
      <c r="A58" s="108" t="s">
        <v>19</v>
      </c>
      <c r="B58" s="109"/>
      <c r="C58" s="174">
        <f>IF('April 2027 Log'!BK58="","",'April 2027 Log'!BK58)</f>
        <v>0</v>
      </c>
      <c r="D58" s="47"/>
      <c r="E58" s="166">
        <f>+E54-E57</f>
        <v>0</v>
      </c>
      <c r="F58" s="49"/>
      <c r="G58" s="166">
        <f>+G54-G57</f>
        <v>0</v>
      </c>
      <c r="H58" s="49"/>
      <c r="I58" s="166">
        <f>+I54-I57</f>
        <v>0</v>
      </c>
      <c r="J58" s="49"/>
      <c r="K58" s="166">
        <f>+K54-K57</f>
        <v>0</v>
      </c>
      <c r="L58" s="49"/>
      <c r="M58" s="166">
        <f>+M54-M57</f>
        <v>0</v>
      </c>
      <c r="N58" s="49"/>
      <c r="O58" s="166">
        <f>+O54-O57</f>
        <v>0</v>
      </c>
      <c r="P58" s="49"/>
      <c r="Q58" s="166">
        <f>+Q54-Q57</f>
        <v>0</v>
      </c>
      <c r="R58" s="49"/>
      <c r="S58" s="166">
        <f>+S54-S57</f>
        <v>0</v>
      </c>
      <c r="T58" s="49"/>
      <c r="U58" s="166">
        <f>+U54-U57</f>
        <v>0</v>
      </c>
      <c r="V58" s="49"/>
      <c r="W58" s="166">
        <f>+W54-W57</f>
        <v>0</v>
      </c>
      <c r="X58" s="49"/>
      <c r="Y58" s="166">
        <f>+Y54-Y57</f>
        <v>0</v>
      </c>
      <c r="Z58" s="49"/>
      <c r="AA58" s="166">
        <f>+AA54-AA57</f>
        <v>0</v>
      </c>
      <c r="AB58" s="49"/>
      <c r="AC58" s="166">
        <f>+AC54-AC57</f>
        <v>0</v>
      </c>
      <c r="AD58" s="49"/>
      <c r="AE58" s="166">
        <f>+AE54-AE57</f>
        <v>0</v>
      </c>
      <c r="AF58" s="49"/>
      <c r="AG58" s="166">
        <f>+AG54-AG57</f>
        <v>0</v>
      </c>
      <c r="AH58" s="49"/>
      <c r="AI58" s="166">
        <f>+AI54-AI57</f>
        <v>0</v>
      </c>
      <c r="AJ58" s="49"/>
      <c r="AK58" s="166">
        <f>+AK54-AK57</f>
        <v>0</v>
      </c>
      <c r="AL58" s="49"/>
      <c r="AM58" s="166">
        <f>+AM54-AM57</f>
        <v>0</v>
      </c>
      <c r="AN58" s="49"/>
      <c r="AO58" s="166">
        <f>+AO54-AO57</f>
        <v>0</v>
      </c>
      <c r="AP58" s="49"/>
      <c r="AQ58" s="166">
        <f>+AQ54-AQ57</f>
        <v>0</v>
      </c>
      <c r="AR58" s="49"/>
      <c r="AS58" s="166">
        <f>+AS54-AS57</f>
        <v>0</v>
      </c>
      <c r="AT58" s="49"/>
      <c r="AU58" s="166">
        <f>+AU54-AU57</f>
        <v>0</v>
      </c>
      <c r="AV58" s="49"/>
      <c r="AW58" s="166">
        <f>+AW54-AW57</f>
        <v>0</v>
      </c>
      <c r="AX58" s="49"/>
      <c r="AY58" s="166">
        <f>+AY54-AY57</f>
        <v>0</v>
      </c>
      <c r="AZ58" s="49"/>
      <c r="BA58" s="166">
        <f>+BA54-BA57</f>
        <v>0</v>
      </c>
      <c r="BB58" s="49"/>
      <c r="BC58" s="166">
        <f>+BC54-BC57</f>
        <v>0</v>
      </c>
      <c r="BD58" s="49"/>
      <c r="BE58" s="166">
        <f>+BE54-BE57</f>
        <v>0</v>
      </c>
      <c r="BF58" s="49"/>
      <c r="BG58" s="166">
        <f>+BG54-BG57</f>
        <v>0</v>
      </c>
      <c r="BH58" s="49"/>
      <c r="BI58" s="166">
        <f>+BI54-BI57</f>
        <v>0</v>
      </c>
      <c r="BJ58" s="49"/>
      <c r="BK58" s="166">
        <f>+BK54-BK57</f>
        <v>0</v>
      </c>
      <c r="BL58" s="49"/>
      <c r="BM58" s="166">
        <f>+BM54-BM57</f>
        <v>0</v>
      </c>
      <c r="BN58" s="50"/>
      <c r="BO58" s="170">
        <f t="shared" si="2"/>
        <v>0</v>
      </c>
      <c r="BP58" s="49"/>
      <c r="BQ58" s="172">
        <f t="shared" si="65"/>
        <v>0</v>
      </c>
    </row>
    <row r="59" spans="1:76" x14ac:dyDescent="0.35">
      <c r="A59" s="108" t="s">
        <v>20</v>
      </c>
      <c r="B59" s="109"/>
      <c r="C59" s="174">
        <f>IF('April 2027 Log'!BK59="","",'April 2027 Log'!BK59)</f>
        <v>0</v>
      </c>
      <c r="D59" s="47"/>
      <c r="E59" s="166">
        <f>-E25+E26</f>
        <v>0</v>
      </c>
      <c r="F59" s="49"/>
      <c r="G59" s="166">
        <f>-G25+G26</f>
        <v>0</v>
      </c>
      <c r="H59" s="49"/>
      <c r="I59" s="166">
        <f>-I25+I26</f>
        <v>0</v>
      </c>
      <c r="J59" s="49"/>
      <c r="K59" s="166">
        <f>-K25+K26</f>
        <v>0</v>
      </c>
      <c r="L59" s="49"/>
      <c r="M59" s="166">
        <f>-M25+M26</f>
        <v>0</v>
      </c>
      <c r="N59" s="49"/>
      <c r="O59" s="166">
        <f>-O25+O26</f>
        <v>0</v>
      </c>
      <c r="P59" s="49"/>
      <c r="Q59" s="166">
        <f>-Q25+Q26</f>
        <v>0</v>
      </c>
      <c r="R59" s="49"/>
      <c r="S59" s="166">
        <f>-S25+S26</f>
        <v>0</v>
      </c>
      <c r="T59" s="49"/>
      <c r="U59" s="166">
        <f>-U25+U26</f>
        <v>0</v>
      </c>
      <c r="V59" s="49"/>
      <c r="W59" s="166">
        <f>-W25+W26</f>
        <v>0</v>
      </c>
      <c r="X59" s="49"/>
      <c r="Y59" s="166">
        <f>-Y25+Y26</f>
        <v>0</v>
      </c>
      <c r="Z59" s="49"/>
      <c r="AA59" s="166">
        <f>-AA25+AA26</f>
        <v>0</v>
      </c>
      <c r="AB59" s="49"/>
      <c r="AC59" s="166">
        <f>-AC25+AC26</f>
        <v>0</v>
      </c>
      <c r="AD59" s="49"/>
      <c r="AE59" s="166">
        <f>-AE25+AE26</f>
        <v>0</v>
      </c>
      <c r="AF59" s="49"/>
      <c r="AG59" s="166">
        <f>-AG25+AG26</f>
        <v>0</v>
      </c>
      <c r="AH59" s="49"/>
      <c r="AI59" s="166">
        <f>-AI25+AI26</f>
        <v>0</v>
      </c>
      <c r="AJ59" s="49"/>
      <c r="AK59" s="166">
        <f>-AK25+AK26</f>
        <v>0</v>
      </c>
      <c r="AL59" s="49"/>
      <c r="AM59" s="166">
        <f>-AM25+AM26</f>
        <v>0</v>
      </c>
      <c r="AN59" s="49"/>
      <c r="AO59" s="166">
        <f>-AO25+AO26</f>
        <v>0</v>
      </c>
      <c r="AP59" s="49"/>
      <c r="AQ59" s="166">
        <f>-AQ25+AQ26</f>
        <v>0</v>
      </c>
      <c r="AR59" s="49"/>
      <c r="AS59" s="166">
        <f>-AS25+AS26</f>
        <v>0</v>
      </c>
      <c r="AT59" s="49"/>
      <c r="AU59" s="166">
        <f>-AU25+AU26</f>
        <v>0</v>
      </c>
      <c r="AV59" s="49"/>
      <c r="AW59" s="166">
        <f>-AW25+AW26</f>
        <v>0</v>
      </c>
      <c r="AX59" s="49"/>
      <c r="AY59" s="166">
        <f>-AY25+AY26</f>
        <v>0</v>
      </c>
      <c r="AZ59" s="49"/>
      <c r="BA59" s="166">
        <f>-BA25+BA26</f>
        <v>0</v>
      </c>
      <c r="BB59" s="49"/>
      <c r="BC59" s="166">
        <f>-BC25+BC26</f>
        <v>0</v>
      </c>
      <c r="BD59" s="49"/>
      <c r="BE59" s="166">
        <f>-BE25+BE26</f>
        <v>0</v>
      </c>
      <c r="BF59" s="49"/>
      <c r="BG59" s="166">
        <f>-BG25+BG26</f>
        <v>0</v>
      </c>
      <c r="BH59" s="49"/>
      <c r="BI59" s="166">
        <f>-BI25+BI26</f>
        <v>0</v>
      </c>
      <c r="BJ59" s="49"/>
      <c r="BK59" s="166">
        <f>-BK25+BK26</f>
        <v>0</v>
      </c>
      <c r="BL59" s="49"/>
      <c r="BM59" s="166">
        <f>-BM25+BM26</f>
        <v>0</v>
      </c>
      <c r="BN59" s="50"/>
      <c r="BO59" s="170">
        <f t="shared" si="2"/>
        <v>0</v>
      </c>
      <c r="BP59" s="49"/>
      <c r="BQ59" s="172">
        <f t="shared" si="65"/>
        <v>0</v>
      </c>
    </row>
    <row r="60" spans="1:76" x14ac:dyDescent="0.35">
      <c r="A60" s="74"/>
      <c r="B60" s="75"/>
      <c r="C60" s="141"/>
      <c r="D60" s="102"/>
      <c r="E60" s="142"/>
      <c r="F60" s="104"/>
      <c r="G60" s="142"/>
      <c r="H60" s="104"/>
      <c r="I60" s="142"/>
      <c r="J60" s="104"/>
      <c r="K60" s="142"/>
      <c r="L60" s="104"/>
      <c r="M60" s="142"/>
      <c r="N60" s="104"/>
      <c r="O60" s="142"/>
      <c r="P60" s="104"/>
      <c r="Q60" s="142"/>
      <c r="R60" s="104"/>
      <c r="S60" s="142"/>
      <c r="T60" s="104"/>
      <c r="U60" s="142"/>
      <c r="V60" s="104"/>
      <c r="W60" s="142"/>
      <c r="X60" s="104"/>
      <c r="Y60" s="142"/>
      <c r="Z60" s="104"/>
      <c r="AA60" s="142"/>
      <c r="AB60" s="104"/>
      <c r="AC60" s="142"/>
      <c r="AD60" s="104"/>
      <c r="AE60" s="142"/>
      <c r="AF60" s="104"/>
      <c r="AG60" s="142"/>
      <c r="AH60" s="104"/>
      <c r="AI60" s="142"/>
      <c r="AJ60" s="104"/>
      <c r="AK60" s="142"/>
      <c r="AL60" s="104"/>
      <c r="AM60" s="142"/>
      <c r="AN60" s="104"/>
      <c r="AO60" s="142"/>
      <c r="AP60" s="104"/>
      <c r="AQ60" s="142"/>
      <c r="AR60" s="104"/>
      <c r="AS60" s="142"/>
      <c r="AT60" s="104"/>
      <c r="AU60" s="142"/>
      <c r="AV60" s="104"/>
      <c r="AW60" s="142"/>
      <c r="AX60" s="104"/>
      <c r="AY60" s="142"/>
      <c r="AZ60" s="104"/>
      <c r="BA60" s="142"/>
      <c r="BB60" s="104"/>
      <c r="BC60" s="142"/>
      <c r="BD60" s="104"/>
      <c r="BE60" s="142"/>
      <c r="BF60" s="104"/>
      <c r="BG60" s="142"/>
      <c r="BH60" s="104"/>
      <c r="BI60" s="142"/>
      <c r="BJ60" s="104"/>
      <c r="BK60" s="142"/>
      <c r="BL60" s="104"/>
      <c r="BM60" s="142"/>
      <c r="BN60" s="105"/>
      <c r="BO60" s="106"/>
      <c r="BP60" s="104"/>
      <c r="BQ60" s="107"/>
    </row>
    <row r="61" spans="1:76" s="8" customFormat="1" x14ac:dyDescent="0.35">
      <c r="A61" s="213" t="s">
        <v>68</v>
      </c>
      <c r="B61" s="214"/>
      <c r="C61" s="215"/>
      <c r="D61" s="47"/>
      <c r="E61" s="166" t="e">
        <f t="shared" ref="E61" si="66">+E73-D67</f>
        <v>#VALUE!</v>
      </c>
      <c r="F61" s="49"/>
      <c r="G61" s="166">
        <f t="shared" ref="G61" si="67">+G73-F67</f>
        <v>0</v>
      </c>
      <c r="H61" s="49"/>
      <c r="I61" s="166">
        <f t="shared" ref="I61" si="68">+I73-H67</f>
        <v>0</v>
      </c>
      <c r="J61" s="49"/>
      <c r="K61" s="166">
        <f t="shared" ref="K61" si="69">+K73-J67</f>
        <v>0</v>
      </c>
      <c r="L61" s="49"/>
      <c r="M61" s="166">
        <f t="shared" ref="M61" si="70">+M73-L67</f>
        <v>0</v>
      </c>
      <c r="N61" s="49"/>
      <c r="O61" s="166">
        <f t="shared" ref="O61" si="71">+O73-N67</f>
        <v>0</v>
      </c>
      <c r="P61" s="49"/>
      <c r="Q61" s="166">
        <f t="shared" ref="Q61" si="72">+Q73-P67</f>
        <v>0</v>
      </c>
      <c r="R61" s="49"/>
      <c r="S61" s="166">
        <f t="shared" ref="S61" si="73">+S73-R67</f>
        <v>0</v>
      </c>
      <c r="T61" s="49"/>
      <c r="U61" s="166">
        <f t="shared" ref="U61" si="74">+U73-T67</f>
        <v>0</v>
      </c>
      <c r="V61" s="49"/>
      <c r="W61" s="166">
        <f t="shared" ref="W61" si="75">+W73-V67</f>
        <v>0</v>
      </c>
      <c r="X61" s="49"/>
      <c r="Y61" s="166">
        <f t="shared" ref="Y61" si="76">+Y73-X67</f>
        <v>0</v>
      </c>
      <c r="Z61" s="49"/>
      <c r="AA61" s="166">
        <f t="shared" ref="AA61" si="77">+AA73-Z67</f>
        <v>0</v>
      </c>
      <c r="AB61" s="49"/>
      <c r="AC61" s="166">
        <f t="shared" ref="AC61" si="78">+AC73-AB67</f>
        <v>0</v>
      </c>
      <c r="AD61" s="49"/>
      <c r="AE61" s="166">
        <f t="shared" ref="AE61" si="79">+AE73-AD67</f>
        <v>0</v>
      </c>
      <c r="AF61" s="49"/>
      <c r="AG61" s="166">
        <f t="shared" ref="AG61" si="80">+AG73-AF67</f>
        <v>0</v>
      </c>
      <c r="AH61" s="49"/>
      <c r="AI61" s="166">
        <f t="shared" ref="AI61" si="81">+AI73-AH67</f>
        <v>0</v>
      </c>
      <c r="AJ61" s="49"/>
      <c r="AK61" s="166">
        <f t="shared" ref="AK61" si="82">+AK73-AJ67</f>
        <v>0</v>
      </c>
      <c r="AL61" s="49"/>
      <c r="AM61" s="166">
        <f t="shared" ref="AM61" si="83">+AM73-AL67</f>
        <v>0</v>
      </c>
      <c r="AN61" s="49"/>
      <c r="AO61" s="166">
        <f t="shared" ref="AO61" si="84">+AO73-AN67</f>
        <v>0</v>
      </c>
      <c r="AP61" s="49"/>
      <c r="AQ61" s="166">
        <f t="shared" ref="AQ61" si="85">+AQ73-AP67</f>
        <v>0</v>
      </c>
      <c r="AR61" s="49"/>
      <c r="AS61" s="166">
        <f t="shared" ref="AS61" si="86">+AS73-AR67</f>
        <v>0</v>
      </c>
      <c r="AT61" s="49"/>
      <c r="AU61" s="166">
        <f t="shared" ref="AU61" si="87">+AU73-AT67</f>
        <v>0</v>
      </c>
      <c r="AV61" s="49"/>
      <c r="AW61" s="166">
        <f t="shared" ref="AW61" si="88">+AW73-AV67</f>
        <v>0</v>
      </c>
      <c r="AX61" s="49"/>
      <c r="AY61" s="166">
        <f t="shared" ref="AY61" si="89">+AY73-AX67</f>
        <v>0</v>
      </c>
      <c r="AZ61" s="49"/>
      <c r="BA61" s="166">
        <f t="shared" ref="BA61" si="90">+BA73-AZ67</f>
        <v>0</v>
      </c>
      <c r="BB61" s="49"/>
      <c r="BC61" s="166">
        <f t="shared" ref="BC61" si="91">+BC73-BB67</f>
        <v>0</v>
      </c>
      <c r="BD61" s="49"/>
      <c r="BE61" s="166">
        <f t="shared" ref="BE61" si="92">+BE73-BD67</f>
        <v>0</v>
      </c>
      <c r="BF61" s="49"/>
      <c r="BG61" s="166">
        <f>+BG73-BF67</f>
        <v>0</v>
      </c>
      <c r="BH61" s="49"/>
      <c r="BI61" s="166">
        <f>+BI73-BH67</f>
        <v>0</v>
      </c>
      <c r="BJ61" s="49"/>
      <c r="BK61" s="166">
        <f t="shared" ref="BK61" si="93">+BK73-BJ67</f>
        <v>0</v>
      </c>
      <c r="BL61" s="49"/>
      <c r="BM61" s="166">
        <f t="shared" ref="BM61" si="94">+BM73-BL67</f>
        <v>0</v>
      </c>
      <c r="BN61" s="50"/>
      <c r="BO61" s="170" t="e">
        <f>IF(COUNT(E61,G61,I61,K61,M61,O61,Q61,S61,U61,W61,Y61,AA61,AC61,AE61,AG61,AI61,AK61,AM61,AO61,AQ61,AS61,AU61,AW61,AY61,BA61,BC61,BE61,BG61,BI61,BK61,BM61)=0,"",SUM(E61,G61,I61,K61,M61,O61,Q61,S61,U61,W61,Y61,AA61,AC61,AE61,AG61,AI61,AK61,AM61,AO61,AQ61,AS61,AU61,AW61,AY61,BA61,BC61,BE61,BG61,BI61,BK61,BM61))</f>
        <v>#VALUE!</v>
      </c>
      <c r="BP61" s="49"/>
      <c r="BQ61" s="52"/>
      <c r="BR61"/>
      <c r="BS61"/>
      <c r="BT61"/>
      <c r="BU61"/>
      <c r="BV61"/>
      <c r="BW61"/>
      <c r="BX61"/>
    </row>
    <row r="62" spans="1:76" x14ac:dyDescent="0.35">
      <c r="A62" s="53" t="s">
        <v>24</v>
      </c>
      <c r="B62" s="187" t="e">
        <f>C62-C106</f>
        <v>#VALUE!</v>
      </c>
      <c r="C62" s="174" t="str">
        <f>IF('April 2027 Log'!BK62="","",'April 2027 Log'!BK62)</f>
        <v/>
      </c>
      <c r="D62" s="189" t="e">
        <f>+C62-E62+E106</f>
        <v>#VALUE!</v>
      </c>
      <c r="E62" s="48"/>
      <c r="F62" s="167">
        <f>+E62-G62+G106</f>
        <v>0</v>
      </c>
      <c r="G62" s="48"/>
      <c r="H62" s="167">
        <f>+G62-I62+I106</f>
        <v>0</v>
      </c>
      <c r="I62" s="48"/>
      <c r="J62" s="167">
        <f>+I62-K62+K106</f>
        <v>0</v>
      </c>
      <c r="K62" s="48"/>
      <c r="L62" s="167">
        <f>+K62-M62+M106</f>
        <v>0</v>
      </c>
      <c r="M62" s="48"/>
      <c r="N62" s="167">
        <f>+M62-O62+O106</f>
        <v>0</v>
      </c>
      <c r="O62" s="48"/>
      <c r="P62" s="167">
        <f>+O62-Q62+Q106</f>
        <v>0</v>
      </c>
      <c r="Q62" s="48"/>
      <c r="R62" s="167">
        <f>+Q62-S62+S106</f>
        <v>0</v>
      </c>
      <c r="S62" s="48"/>
      <c r="T62" s="167">
        <f>+S62-U62+U106</f>
        <v>0</v>
      </c>
      <c r="U62" s="48"/>
      <c r="V62" s="167">
        <f>+U62-W62+W106</f>
        <v>0</v>
      </c>
      <c r="W62" s="48"/>
      <c r="X62" s="167">
        <f>+W62-Y62+Y106</f>
        <v>0</v>
      </c>
      <c r="Y62" s="48"/>
      <c r="Z62" s="167">
        <f>+Y62-AA62+AA106</f>
        <v>0</v>
      </c>
      <c r="AA62" s="48"/>
      <c r="AB62" s="167">
        <f>+AA62-AC62+AC106</f>
        <v>0</v>
      </c>
      <c r="AC62" s="48"/>
      <c r="AD62" s="167">
        <f>+AC62-AE62+AE106</f>
        <v>0</v>
      </c>
      <c r="AE62" s="48"/>
      <c r="AF62" s="167">
        <f>+AE62-AG62+AG106</f>
        <v>0</v>
      </c>
      <c r="AG62" s="48"/>
      <c r="AH62" s="167">
        <f>+AG62-AI62+AI106</f>
        <v>0</v>
      </c>
      <c r="AI62" s="48"/>
      <c r="AJ62" s="167">
        <f>+AI62-AK62+AK106</f>
        <v>0</v>
      </c>
      <c r="AK62" s="48"/>
      <c r="AL62" s="167">
        <f>+AK62-AM62+AM106</f>
        <v>0</v>
      </c>
      <c r="AM62" s="48"/>
      <c r="AN62" s="167">
        <f>+AM62-AO62+AO106</f>
        <v>0</v>
      </c>
      <c r="AO62" s="48"/>
      <c r="AP62" s="167">
        <f>+AO62-AQ62+AQ106</f>
        <v>0</v>
      </c>
      <c r="AQ62" s="48"/>
      <c r="AR62" s="167">
        <f>+AQ62-AS62+AS106</f>
        <v>0</v>
      </c>
      <c r="AS62" s="48"/>
      <c r="AT62" s="167">
        <f>+AS62-AU62+AU106</f>
        <v>0</v>
      </c>
      <c r="AU62" s="48"/>
      <c r="AV62" s="167">
        <f>+AU62-AW62+AW106</f>
        <v>0</v>
      </c>
      <c r="AW62" s="48"/>
      <c r="AX62" s="167">
        <f>+AW62-AY62+AY106</f>
        <v>0</v>
      </c>
      <c r="AY62" s="48"/>
      <c r="AZ62" s="167">
        <f>+AY62-BA62+BA106</f>
        <v>0</v>
      </c>
      <c r="BA62" s="48"/>
      <c r="BB62" s="167">
        <f>+BA62-BC62+BC106</f>
        <v>0</v>
      </c>
      <c r="BC62" s="48"/>
      <c r="BD62" s="167">
        <f>+BC62-BE62+BE106</f>
        <v>0</v>
      </c>
      <c r="BE62" s="48"/>
      <c r="BF62" s="167">
        <f>+BE62-BG62+BG106</f>
        <v>0</v>
      </c>
      <c r="BG62" s="48"/>
      <c r="BH62" s="167">
        <f>+BG62-BI62+BI106</f>
        <v>0</v>
      </c>
      <c r="BI62" s="48"/>
      <c r="BJ62" s="167">
        <f>+BI62-BK62+BK106</f>
        <v>0</v>
      </c>
      <c r="BK62" s="48"/>
      <c r="BL62" s="167">
        <f>+BK62-BM62+BM106</f>
        <v>0</v>
      </c>
      <c r="BM62" s="48"/>
      <c r="BN62" s="50"/>
      <c r="BO62" s="170" t="e">
        <f>IF(COUNT(D62,F62,H62,J62,L62,N62,P62,R62,T62,V62,X62,Z62,AB62,AD62,AF62,AH62,AJ62,AL62,AN62,AP62,AR62,AT62,AV62,AX62,AZ62,BB62,BD62,BF62,BH62,BJ62,BL62)=0,"",SUM(D62,F62,H62,J62,L62,N62,P62,R62,T62,V62,X62,Z62,AB62,AD62,AF62,AH62,AJ62,AL62,AN62,AP62,AR62,AT62,AV62,AX62,AZ62,BB62,BD62,BF62,BH62,BJ62,BL62))</f>
        <v>#VALUE!</v>
      </c>
      <c r="BP62" s="167" t="e">
        <f>+BM62-BQ62+BQ106</f>
        <v>#VALUE!</v>
      </c>
      <c r="BQ62" s="178" t="str">
        <f>IF(BM62="","",BM62)</f>
        <v/>
      </c>
    </row>
    <row r="63" spans="1:76" x14ac:dyDescent="0.35">
      <c r="A63" s="53" t="s">
        <v>25</v>
      </c>
      <c r="B63" s="187" t="e">
        <f>C63-C107</f>
        <v>#VALUE!</v>
      </c>
      <c r="C63" s="174" t="str">
        <f>IF('April 2027 Log'!BK63="","",'April 2027 Log'!BK63)</f>
        <v/>
      </c>
      <c r="D63" s="189" t="e">
        <f>+C63-E63+E107</f>
        <v>#VALUE!</v>
      </c>
      <c r="E63" s="48"/>
      <c r="F63" s="167">
        <f>+E63-G63+G107</f>
        <v>0</v>
      </c>
      <c r="G63" s="48"/>
      <c r="H63" s="167">
        <f>+G63-I63+I107</f>
        <v>0</v>
      </c>
      <c r="I63" s="48"/>
      <c r="J63" s="167">
        <f>+I63-K63+K107</f>
        <v>0</v>
      </c>
      <c r="K63" s="48"/>
      <c r="L63" s="167">
        <f>+K63-M63+M107</f>
        <v>0</v>
      </c>
      <c r="M63" s="48"/>
      <c r="N63" s="167">
        <f>+M63-O63+O107</f>
        <v>0</v>
      </c>
      <c r="O63" s="48"/>
      <c r="P63" s="167">
        <f>+O63-Q63+Q107</f>
        <v>0</v>
      </c>
      <c r="Q63" s="48"/>
      <c r="R63" s="167">
        <f>+Q63-S63+S107</f>
        <v>0</v>
      </c>
      <c r="S63" s="48"/>
      <c r="T63" s="167">
        <f>+S63-U63+U107</f>
        <v>0</v>
      </c>
      <c r="U63" s="48"/>
      <c r="V63" s="167">
        <f>+U63-W63+W107</f>
        <v>0</v>
      </c>
      <c r="W63" s="48"/>
      <c r="X63" s="167">
        <f>+W63-Y63+Y107</f>
        <v>0</v>
      </c>
      <c r="Y63" s="48"/>
      <c r="Z63" s="167">
        <f>+Y63-AA63+AA107</f>
        <v>0</v>
      </c>
      <c r="AA63" s="48"/>
      <c r="AB63" s="167">
        <f>+AA63-AC63+AC107</f>
        <v>0</v>
      </c>
      <c r="AC63" s="48"/>
      <c r="AD63" s="167">
        <f>+AC63-AE63+AE107</f>
        <v>0</v>
      </c>
      <c r="AE63" s="48"/>
      <c r="AF63" s="167">
        <f>+AE63-AG63+AG107</f>
        <v>0</v>
      </c>
      <c r="AG63" s="48"/>
      <c r="AH63" s="167">
        <f>+AG63-AI63+AI107</f>
        <v>0</v>
      </c>
      <c r="AI63" s="48"/>
      <c r="AJ63" s="167">
        <f>+AI63-AK63+AK107</f>
        <v>0</v>
      </c>
      <c r="AK63" s="48"/>
      <c r="AL63" s="167">
        <f>+AK63-AM63+AM107</f>
        <v>0</v>
      </c>
      <c r="AM63" s="48"/>
      <c r="AN63" s="167">
        <f>+AM63-AO63+AO107</f>
        <v>0</v>
      </c>
      <c r="AO63" s="48"/>
      <c r="AP63" s="167">
        <f>+AO63-AQ63+AQ107</f>
        <v>0</v>
      </c>
      <c r="AQ63" s="48"/>
      <c r="AR63" s="167">
        <f>+AQ63-AS63+AS107</f>
        <v>0</v>
      </c>
      <c r="AS63" s="48"/>
      <c r="AT63" s="167">
        <f>+AS63-AU63+AU107</f>
        <v>0</v>
      </c>
      <c r="AU63" s="48"/>
      <c r="AV63" s="167">
        <f>+AU63-AW63+AW107</f>
        <v>0</v>
      </c>
      <c r="AW63" s="48"/>
      <c r="AX63" s="167">
        <f>+AW63-AY63+AY107</f>
        <v>0</v>
      </c>
      <c r="AY63" s="48"/>
      <c r="AZ63" s="167">
        <f>+AY63-BA63+BA107</f>
        <v>0</v>
      </c>
      <c r="BA63" s="48"/>
      <c r="BB63" s="167">
        <f>+BA63-BC63+BC107</f>
        <v>0</v>
      </c>
      <c r="BC63" s="48"/>
      <c r="BD63" s="167">
        <f>+BC63-BE63+BE107</f>
        <v>0</v>
      </c>
      <c r="BE63" s="48"/>
      <c r="BF63" s="167">
        <f>+BE63-BG63+BG107</f>
        <v>0</v>
      </c>
      <c r="BG63" s="48"/>
      <c r="BH63" s="167">
        <f>+BG63-BI63+BI107</f>
        <v>0</v>
      </c>
      <c r="BI63" s="48"/>
      <c r="BJ63" s="167">
        <f>+BI63-BK63+BK107</f>
        <v>0</v>
      </c>
      <c r="BK63" s="48"/>
      <c r="BL63" s="167">
        <f>+BK63-BM63+BM107</f>
        <v>0</v>
      </c>
      <c r="BM63" s="48"/>
      <c r="BN63" s="50"/>
      <c r="BO63" s="170" t="e">
        <f>IF(COUNT(D63,F63,H63,J63,L63,N63,P63,R63,T63,V63,X63,Z63,AB63,AD63,AF63,AH63,AJ63,AL63,AN63,AP63,AR63,AT63,AV63,AX63,AZ63,BB63,BD63,BF63,BH63,BJ63,BL63)=0,"",SUM(D63,F63,H63,J63,L63,N63,P63,R63,T63,V63,X63,Z63,AB63,AD63,AF63,AH63,AJ63,AL63,AN63,AP63,AR63,AT63,AV63,AX63,AZ63,BB63,BD63,BF63,BH63,BJ63,BL63))</f>
        <v>#VALUE!</v>
      </c>
      <c r="BP63" s="167" t="e">
        <f>+BM63-BQ63+BQ107</f>
        <v>#VALUE!</v>
      </c>
      <c r="BQ63" s="178" t="str">
        <f>IF(BM63="","",BM63)</f>
        <v/>
      </c>
    </row>
    <row r="64" spans="1:76" x14ac:dyDescent="0.35">
      <c r="A64" s="53" t="s">
        <v>25</v>
      </c>
      <c r="B64" s="187" t="e">
        <f>C64-C108</f>
        <v>#VALUE!</v>
      </c>
      <c r="C64" s="174" t="str">
        <f>IF('April 2027 Log'!BK64="","",'April 2027 Log'!BK64)</f>
        <v/>
      </c>
      <c r="D64" s="189" t="e">
        <f>+C64-E64+E108</f>
        <v>#VALUE!</v>
      </c>
      <c r="E64" s="48"/>
      <c r="F64" s="167">
        <f>+E64-G64+G108</f>
        <v>0</v>
      </c>
      <c r="G64" s="48"/>
      <c r="H64" s="167">
        <f>+G64-I64+I108</f>
        <v>0</v>
      </c>
      <c r="I64" s="48"/>
      <c r="J64" s="167">
        <f>+I64-K64+K108</f>
        <v>0</v>
      </c>
      <c r="K64" s="48"/>
      <c r="L64" s="167">
        <f>+K64-M64+M108</f>
        <v>0</v>
      </c>
      <c r="M64" s="48"/>
      <c r="N64" s="167">
        <f>+M64-O64+O108</f>
        <v>0</v>
      </c>
      <c r="O64" s="48"/>
      <c r="P64" s="167">
        <f>+O64-Q64+Q108</f>
        <v>0</v>
      </c>
      <c r="Q64" s="48"/>
      <c r="R64" s="167">
        <f>+Q64-S64+S108</f>
        <v>0</v>
      </c>
      <c r="S64" s="48"/>
      <c r="T64" s="167">
        <f>+S64-U64+U108</f>
        <v>0</v>
      </c>
      <c r="U64" s="48"/>
      <c r="V64" s="167">
        <f>+U64-W64+W108</f>
        <v>0</v>
      </c>
      <c r="W64" s="48"/>
      <c r="X64" s="167">
        <f>+W64-Y64+Y108</f>
        <v>0</v>
      </c>
      <c r="Y64" s="48"/>
      <c r="Z64" s="167">
        <f>+Y64-AA64+AA108</f>
        <v>0</v>
      </c>
      <c r="AA64" s="48"/>
      <c r="AB64" s="167">
        <f>+AA64-AC64+AC108</f>
        <v>0</v>
      </c>
      <c r="AC64" s="48"/>
      <c r="AD64" s="167">
        <f>+AC64-AE64+AE108</f>
        <v>0</v>
      </c>
      <c r="AE64" s="48"/>
      <c r="AF64" s="167">
        <f>+AE64-AG64+AG108</f>
        <v>0</v>
      </c>
      <c r="AG64" s="48"/>
      <c r="AH64" s="167">
        <f>+AG64-AI64+AI108</f>
        <v>0</v>
      </c>
      <c r="AI64" s="48"/>
      <c r="AJ64" s="167">
        <f>+AI64-AK64+AK108</f>
        <v>0</v>
      </c>
      <c r="AK64" s="48"/>
      <c r="AL64" s="167">
        <f>+AK64-AM64+AM108</f>
        <v>0</v>
      </c>
      <c r="AM64" s="48"/>
      <c r="AN64" s="167">
        <f>+AM64-AO64+AO108</f>
        <v>0</v>
      </c>
      <c r="AO64" s="48"/>
      <c r="AP64" s="167">
        <f>+AO64-AQ64+AQ108</f>
        <v>0</v>
      </c>
      <c r="AQ64" s="48"/>
      <c r="AR64" s="167">
        <f>+AQ64-AS64+AS108</f>
        <v>0</v>
      </c>
      <c r="AS64" s="48"/>
      <c r="AT64" s="167">
        <f>+AS64-AU64+AU108</f>
        <v>0</v>
      </c>
      <c r="AU64" s="48"/>
      <c r="AV64" s="167">
        <f>+AU64-AW64+AW108</f>
        <v>0</v>
      </c>
      <c r="AW64" s="48"/>
      <c r="AX64" s="167">
        <f>+AW64-AY64+AY108</f>
        <v>0</v>
      </c>
      <c r="AY64" s="48"/>
      <c r="AZ64" s="167">
        <f>+AY64-BA64+BA108</f>
        <v>0</v>
      </c>
      <c r="BA64" s="48"/>
      <c r="BB64" s="167">
        <f>+BA64-BC64+BC108</f>
        <v>0</v>
      </c>
      <c r="BC64" s="48"/>
      <c r="BD64" s="167">
        <f>+BC64-BE64+BE108</f>
        <v>0</v>
      </c>
      <c r="BE64" s="48"/>
      <c r="BF64" s="167">
        <f>+BE64-BG64+BG108</f>
        <v>0</v>
      </c>
      <c r="BG64" s="48"/>
      <c r="BH64" s="167">
        <f>+BG64-BI64+BI108</f>
        <v>0</v>
      </c>
      <c r="BI64" s="48"/>
      <c r="BJ64" s="167">
        <f>+BI64-BK64+BK108</f>
        <v>0</v>
      </c>
      <c r="BK64" s="48"/>
      <c r="BL64" s="167">
        <f>+BK64-BM64+BM108</f>
        <v>0</v>
      </c>
      <c r="BM64" s="48"/>
      <c r="BN64" s="50"/>
      <c r="BO64" s="170" t="e">
        <f>IF(COUNT(D64,F64,H64,J64,L64,N64,P64,R64,T64,V64,X64,Z64,AB64,AD64,AF64,AH64,AJ64,AL64,AN64,AP64,AR64,AT64,AV64,AX64,AZ64,BB64,BD64,BF64,BH64,BJ64,BL64)=0,"",SUM(D64,F64,H64,J64,L64,N64,P64,R64,T64,V64,X64,Z64,AB64,AD64,AF64,AH64,AJ64,AL64,AN64,AP64,AR64,AT64,AV64,AX64,AZ64,BB64,BD64,BF64,BH64,BJ64,BL64))</f>
        <v>#VALUE!</v>
      </c>
      <c r="BP64" s="167" t="e">
        <f>+BM64-BQ64+BQ108</f>
        <v>#VALUE!</v>
      </c>
      <c r="BQ64" s="178" t="str">
        <f>IF(BM64="","",BM64)</f>
        <v/>
      </c>
    </row>
    <row r="65" spans="1:69" x14ac:dyDescent="0.35">
      <c r="A65" s="53" t="s">
        <v>26</v>
      </c>
      <c r="B65" s="187" t="e">
        <f>C65-C109</f>
        <v>#VALUE!</v>
      </c>
      <c r="C65" s="174" t="str">
        <f>IF('April 2027 Log'!BK65="","",'April 2027 Log'!BK65)</f>
        <v/>
      </c>
      <c r="D65" s="189" t="e">
        <f>+C65-E65+E109</f>
        <v>#VALUE!</v>
      </c>
      <c r="E65" s="48"/>
      <c r="F65" s="167">
        <f>+E65-G65+G109</f>
        <v>0</v>
      </c>
      <c r="G65" s="48"/>
      <c r="H65" s="167">
        <f>+G65-I65+I109</f>
        <v>0</v>
      </c>
      <c r="I65" s="48"/>
      <c r="J65" s="167">
        <f>+I65-K65+K109</f>
        <v>0</v>
      </c>
      <c r="K65" s="48"/>
      <c r="L65" s="167">
        <f>+K65-M65+M109</f>
        <v>0</v>
      </c>
      <c r="M65" s="48"/>
      <c r="N65" s="167">
        <f>+M65-O65+O109</f>
        <v>0</v>
      </c>
      <c r="O65" s="48"/>
      <c r="P65" s="167">
        <f>+O65-Q65+Q109</f>
        <v>0</v>
      </c>
      <c r="Q65" s="48"/>
      <c r="R65" s="167">
        <f>+Q65-S65+S109</f>
        <v>0</v>
      </c>
      <c r="S65" s="48"/>
      <c r="T65" s="167">
        <f>+S65-U65+U109</f>
        <v>0</v>
      </c>
      <c r="U65" s="48"/>
      <c r="V65" s="167">
        <f>+U65-W65+W109</f>
        <v>0</v>
      </c>
      <c r="W65" s="48"/>
      <c r="X65" s="167">
        <f>+W65-Y65+Y109</f>
        <v>0</v>
      </c>
      <c r="Y65" s="48"/>
      <c r="Z65" s="167">
        <f>+Y65-AA65+AA109</f>
        <v>0</v>
      </c>
      <c r="AA65" s="48"/>
      <c r="AB65" s="167">
        <f>+AA65-AC65+AC109</f>
        <v>0</v>
      </c>
      <c r="AC65" s="48"/>
      <c r="AD65" s="167">
        <f>+AC65-AE65+AE109</f>
        <v>0</v>
      </c>
      <c r="AE65" s="48"/>
      <c r="AF65" s="167">
        <f>+AE65-AG65+AG109</f>
        <v>0</v>
      </c>
      <c r="AG65" s="48"/>
      <c r="AH65" s="167">
        <f>+AG65-AI65+AI109</f>
        <v>0</v>
      </c>
      <c r="AI65" s="48"/>
      <c r="AJ65" s="167">
        <f>+AI65-AK65+AK109</f>
        <v>0</v>
      </c>
      <c r="AK65" s="48"/>
      <c r="AL65" s="167">
        <f>+AK65-AM65+AM109</f>
        <v>0</v>
      </c>
      <c r="AM65" s="48"/>
      <c r="AN65" s="167">
        <f>+AM65-AO65+AO109</f>
        <v>0</v>
      </c>
      <c r="AO65" s="48"/>
      <c r="AP65" s="167">
        <f>+AO65-AQ65+AQ109</f>
        <v>0</v>
      </c>
      <c r="AQ65" s="48"/>
      <c r="AR65" s="167">
        <f>+AQ65-AS65+AS109</f>
        <v>0</v>
      </c>
      <c r="AS65" s="48"/>
      <c r="AT65" s="167">
        <f>+AS65-AU65+AU109</f>
        <v>0</v>
      </c>
      <c r="AU65" s="48"/>
      <c r="AV65" s="167">
        <f>+AU65-AW65+AW109</f>
        <v>0</v>
      </c>
      <c r="AW65" s="48"/>
      <c r="AX65" s="167">
        <f>+AW65-AY65+AY109</f>
        <v>0</v>
      </c>
      <c r="AY65" s="48"/>
      <c r="AZ65" s="167">
        <f>+AY65-BA65+BA109</f>
        <v>0</v>
      </c>
      <c r="BA65" s="48"/>
      <c r="BB65" s="167">
        <f>+BA65-BC65+BC109</f>
        <v>0</v>
      </c>
      <c r="BC65" s="48"/>
      <c r="BD65" s="167">
        <f>+BC65-BE65+BE109</f>
        <v>0</v>
      </c>
      <c r="BE65" s="48"/>
      <c r="BF65" s="167">
        <f>+BE65-BG65+BG109</f>
        <v>0</v>
      </c>
      <c r="BG65" s="48"/>
      <c r="BH65" s="167">
        <f>+BG65-BI65+BI109</f>
        <v>0</v>
      </c>
      <c r="BI65" s="48"/>
      <c r="BJ65" s="167">
        <f>+BI65-BK65+BK109</f>
        <v>0</v>
      </c>
      <c r="BK65" s="48"/>
      <c r="BL65" s="167">
        <f>+BK65-BM65+BM109</f>
        <v>0</v>
      </c>
      <c r="BM65" s="48"/>
      <c r="BN65" s="50"/>
      <c r="BO65" s="170" t="e">
        <f>IF(COUNT(D65,F65,H65,J65,L65,N65,P65,R65,T65,V65,X65,Z65,AB65,AD65,AF65,AH65,AJ65,AL65,AN65,AP65,AR65,AT65,AV65,AX65,AZ65,BB65,BD65,BF65,BH65,BJ65,BL65)=0,"",SUM(D65,F65,H65,J65,L65,N65,P65,R65,T65,V65,X65,Z65,AB65,AD65,AF65,AH65,AJ65,AL65,AN65,AP65,AR65,AT65,AV65,AX65,AZ65,BB65,BD65,BF65,BH65,BJ65,BL65))</f>
        <v>#VALUE!</v>
      </c>
      <c r="BP65" s="167" t="e">
        <f>+BM65-BQ65+BQ109</f>
        <v>#VALUE!</v>
      </c>
      <c r="BQ65" s="178" t="str">
        <f>IF(BM65="","",BM65)</f>
        <v/>
      </c>
    </row>
    <row r="66" spans="1:69" x14ac:dyDescent="0.35">
      <c r="A66" s="53" t="s">
        <v>26</v>
      </c>
      <c r="B66" s="187" t="e">
        <f>C66-C110</f>
        <v>#VALUE!</v>
      </c>
      <c r="C66" s="174" t="str">
        <f>IF('April 2027 Log'!BK66="","",'April 2027 Log'!BK66)</f>
        <v/>
      </c>
      <c r="D66" s="189" t="e">
        <f>+C66-E66+E110</f>
        <v>#VALUE!</v>
      </c>
      <c r="E66" s="48"/>
      <c r="F66" s="167">
        <f>+E66-G66+G110</f>
        <v>0</v>
      </c>
      <c r="G66" s="48"/>
      <c r="H66" s="167">
        <f>+G66-I66+I110</f>
        <v>0</v>
      </c>
      <c r="I66" s="48"/>
      <c r="J66" s="167">
        <f>+I66-K66+K110</f>
        <v>0</v>
      </c>
      <c r="K66" s="48"/>
      <c r="L66" s="167">
        <f>+K66-M66+M110</f>
        <v>0</v>
      </c>
      <c r="M66" s="48"/>
      <c r="N66" s="167">
        <f>+M66-O66+O110</f>
        <v>0</v>
      </c>
      <c r="O66" s="48"/>
      <c r="P66" s="167">
        <f>+O66-Q66+Q110</f>
        <v>0</v>
      </c>
      <c r="Q66" s="48"/>
      <c r="R66" s="167">
        <f>+Q66-S66+S110</f>
        <v>0</v>
      </c>
      <c r="S66" s="48"/>
      <c r="T66" s="167">
        <f>+S66-U66+U110</f>
        <v>0</v>
      </c>
      <c r="U66" s="48"/>
      <c r="V66" s="167">
        <f>+U66-W66+W110</f>
        <v>0</v>
      </c>
      <c r="W66" s="48"/>
      <c r="X66" s="167">
        <f>+W66-Y66+Y110</f>
        <v>0</v>
      </c>
      <c r="Y66" s="48"/>
      <c r="Z66" s="167">
        <f>+Y66-AA66+AA110</f>
        <v>0</v>
      </c>
      <c r="AA66" s="48"/>
      <c r="AB66" s="167">
        <f>+AA66-AC66+AC110</f>
        <v>0</v>
      </c>
      <c r="AC66" s="48"/>
      <c r="AD66" s="167">
        <f>+AC66-AE66+AE110</f>
        <v>0</v>
      </c>
      <c r="AE66" s="48"/>
      <c r="AF66" s="167">
        <f>+AE66-AG66+AG110</f>
        <v>0</v>
      </c>
      <c r="AG66" s="48"/>
      <c r="AH66" s="167">
        <f>+AG66-AI66+AI110</f>
        <v>0</v>
      </c>
      <c r="AI66" s="48"/>
      <c r="AJ66" s="167">
        <f>+AI66-AK66+AK110</f>
        <v>0</v>
      </c>
      <c r="AK66" s="48"/>
      <c r="AL66" s="167">
        <f>+AK66-AM66+AM110</f>
        <v>0</v>
      </c>
      <c r="AM66" s="48"/>
      <c r="AN66" s="167">
        <f>+AM66-AO66+AO110</f>
        <v>0</v>
      </c>
      <c r="AO66" s="48"/>
      <c r="AP66" s="167">
        <f>+AO66-AQ66+AQ110</f>
        <v>0</v>
      </c>
      <c r="AQ66" s="48"/>
      <c r="AR66" s="167">
        <f>+AQ66-AS66+AS110</f>
        <v>0</v>
      </c>
      <c r="AS66" s="48"/>
      <c r="AT66" s="167">
        <f>+AS66-AU66+AU110</f>
        <v>0</v>
      </c>
      <c r="AU66" s="48"/>
      <c r="AV66" s="167">
        <f>+AU66-AW66+AW110</f>
        <v>0</v>
      </c>
      <c r="AW66" s="48"/>
      <c r="AX66" s="167">
        <f>+AW66-AY66+AY110</f>
        <v>0</v>
      </c>
      <c r="AY66" s="48"/>
      <c r="AZ66" s="167">
        <f>+AY66-BA66+BA110</f>
        <v>0</v>
      </c>
      <c r="BA66" s="48"/>
      <c r="BB66" s="167">
        <f>+BA66-BC66+BC110</f>
        <v>0</v>
      </c>
      <c r="BC66" s="48"/>
      <c r="BD66" s="167">
        <f>+BC66-BE66+BE110</f>
        <v>0</v>
      </c>
      <c r="BE66" s="48"/>
      <c r="BF66" s="167">
        <f>+BE66-BG66+BG110</f>
        <v>0</v>
      </c>
      <c r="BG66" s="48"/>
      <c r="BH66" s="167">
        <f>+BG66-BI66+BI110</f>
        <v>0</v>
      </c>
      <c r="BI66" s="48"/>
      <c r="BJ66" s="167">
        <f>+BI66-BK66+BK110</f>
        <v>0</v>
      </c>
      <c r="BK66" s="48"/>
      <c r="BL66" s="167">
        <f>+BK66-BM66+BM110</f>
        <v>0</v>
      </c>
      <c r="BM66" s="48"/>
      <c r="BN66" s="50"/>
      <c r="BO66" s="170" t="e">
        <f>IF(COUNT(D66,F66,H66,J66,L66,N66,P66,R66,T66,V66,X66,Z66,AB66,AD66,AF66,AH66,AJ66,AL66,AN66,AP66,AR66,AT66,AV66,AX66,AZ66,BB66,BD66,BF66,BH66,BJ66,BL66)=0,"",SUM(D66,F66,H66,J66,L66,N66,P66,R66,T66,V66,X66,Z66,AB66,AD66,AF66,AH66,AJ66,AL66,AN66,AP66,AR66,AT66,AV66,AX66,AZ66,BB66,BD66,BF66,BH66,BJ66,BL66))</f>
        <v>#VALUE!</v>
      </c>
      <c r="BP66" s="167" t="e">
        <f>+BM66-BQ66+BQ110</f>
        <v>#VALUE!</v>
      </c>
      <c r="BQ66" s="178" t="str">
        <f>IF(BM66="","",BM66)</f>
        <v/>
      </c>
    </row>
    <row r="67" spans="1:69" x14ac:dyDescent="0.35">
      <c r="A67" s="98"/>
      <c r="B67" s="90"/>
      <c r="C67" s="131"/>
      <c r="D67" s="189" t="e">
        <f>SUM(D62:D66)</f>
        <v>#VALUE!</v>
      </c>
      <c r="E67" s="166" t="e">
        <f>+E73-D73</f>
        <v>#VALUE!</v>
      </c>
      <c r="F67" s="167">
        <f>SUM(F62:F66)</f>
        <v>0</v>
      </c>
      <c r="G67" s="166">
        <f>+G73-F73</f>
        <v>0</v>
      </c>
      <c r="H67" s="167">
        <f>SUM(H62:H66)</f>
        <v>0</v>
      </c>
      <c r="I67" s="166">
        <f>+I73-H73</f>
        <v>0</v>
      </c>
      <c r="J67" s="167">
        <f>SUM(J62:J66)</f>
        <v>0</v>
      </c>
      <c r="K67" s="166">
        <f>+K73-J73</f>
        <v>0</v>
      </c>
      <c r="L67" s="167">
        <f>SUM(L62:L66)</f>
        <v>0</v>
      </c>
      <c r="M67" s="166">
        <f>+M73-L73</f>
        <v>0</v>
      </c>
      <c r="N67" s="167">
        <f>SUM(N62:N66)</f>
        <v>0</v>
      </c>
      <c r="O67" s="166">
        <f>+O73-N73</f>
        <v>0</v>
      </c>
      <c r="P67" s="167">
        <f>SUM(P62:P66)</f>
        <v>0</v>
      </c>
      <c r="Q67" s="166">
        <f>+Q73-P73</f>
        <v>0</v>
      </c>
      <c r="R67" s="167">
        <f>SUM(R62:R66)</f>
        <v>0</v>
      </c>
      <c r="S67" s="166">
        <f>+S73-R73</f>
        <v>0</v>
      </c>
      <c r="T67" s="167">
        <f>SUM(T62:T66)</f>
        <v>0</v>
      </c>
      <c r="U67" s="166">
        <f>+U73-T73</f>
        <v>0</v>
      </c>
      <c r="V67" s="167">
        <f>SUM(V62:V66)</f>
        <v>0</v>
      </c>
      <c r="W67" s="166">
        <f>+W73-V73</f>
        <v>0</v>
      </c>
      <c r="X67" s="167">
        <f>SUM(X62:X66)</f>
        <v>0</v>
      </c>
      <c r="Y67" s="166">
        <f>+Y73-X73</f>
        <v>0</v>
      </c>
      <c r="Z67" s="167">
        <f>SUM(Z62:Z66)</f>
        <v>0</v>
      </c>
      <c r="AA67" s="166">
        <f>+AA73-Z73</f>
        <v>0</v>
      </c>
      <c r="AB67" s="167">
        <f>SUM(AB62:AB66)</f>
        <v>0</v>
      </c>
      <c r="AC67" s="166">
        <f>+AC73-AB73</f>
        <v>0</v>
      </c>
      <c r="AD67" s="167">
        <f>SUM(AD62:AD66)</f>
        <v>0</v>
      </c>
      <c r="AE67" s="166">
        <f>+AE73-AD73</f>
        <v>0</v>
      </c>
      <c r="AF67" s="167">
        <f>SUM(AF62:AF66)</f>
        <v>0</v>
      </c>
      <c r="AG67" s="166">
        <f>+AG73-AF73</f>
        <v>0</v>
      </c>
      <c r="AH67" s="167">
        <f>SUM(AH62:AH66)</f>
        <v>0</v>
      </c>
      <c r="AI67" s="166">
        <f>+AI73-AH73</f>
        <v>0</v>
      </c>
      <c r="AJ67" s="167">
        <f>SUM(AJ62:AJ66)</f>
        <v>0</v>
      </c>
      <c r="AK67" s="166">
        <f>+AK73-AJ73</f>
        <v>0</v>
      </c>
      <c r="AL67" s="167">
        <f>SUM(AL62:AL66)</f>
        <v>0</v>
      </c>
      <c r="AM67" s="166">
        <f>+AM73-AL73</f>
        <v>0</v>
      </c>
      <c r="AN67" s="167">
        <f>SUM(AN62:AN66)</f>
        <v>0</v>
      </c>
      <c r="AO67" s="166">
        <f>+AO73-AN73</f>
        <v>0</v>
      </c>
      <c r="AP67" s="167">
        <f>SUM(AP62:AP66)</f>
        <v>0</v>
      </c>
      <c r="AQ67" s="166">
        <f>+AQ73-AP73</f>
        <v>0</v>
      </c>
      <c r="AR67" s="167">
        <f>SUM(AR62:AR66)</f>
        <v>0</v>
      </c>
      <c r="AS67" s="166">
        <f>+AS73-AR73</f>
        <v>0</v>
      </c>
      <c r="AT67" s="167">
        <f>SUM(AT62:AT66)</f>
        <v>0</v>
      </c>
      <c r="AU67" s="166">
        <f>+AU73-AT73</f>
        <v>0</v>
      </c>
      <c r="AV67" s="167">
        <f>SUM(AV62:AV66)</f>
        <v>0</v>
      </c>
      <c r="AW67" s="166">
        <f>+AW73-AV73</f>
        <v>0</v>
      </c>
      <c r="AX67" s="167">
        <f>SUM(AX62:AX66)</f>
        <v>0</v>
      </c>
      <c r="AY67" s="166">
        <f>+AY73-AX73</f>
        <v>0</v>
      </c>
      <c r="AZ67" s="167">
        <f>SUM(AZ62:AZ66)</f>
        <v>0</v>
      </c>
      <c r="BA67" s="166">
        <f>+BA73-AZ73</f>
        <v>0</v>
      </c>
      <c r="BB67" s="167">
        <f>SUM(BB62:BB66)</f>
        <v>0</v>
      </c>
      <c r="BC67" s="166">
        <f>+BC73-BB73</f>
        <v>0</v>
      </c>
      <c r="BD67" s="167">
        <f>SUM(BD62:BD66)</f>
        <v>0</v>
      </c>
      <c r="BE67" s="166">
        <f>+BE73-BD73</f>
        <v>0</v>
      </c>
      <c r="BF67" s="167">
        <f>SUM(BF62:BF66)</f>
        <v>0</v>
      </c>
      <c r="BG67" s="166">
        <f>+BG73-BF73</f>
        <v>0</v>
      </c>
      <c r="BH67" s="167">
        <f>SUM(BH62:BH66)</f>
        <v>0</v>
      </c>
      <c r="BI67" s="166">
        <f>+BI73-BH73</f>
        <v>0</v>
      </c>
      <c r="BJ67" s="167">
        <f>SUM(BJ62:BJ66)</f>
        <v>0</v>
      </c>
      <c r="BK67" s="166">
        <f>+BK73-BJ73</f>
        <v>0</v>
      </c>
      <c r="BL67" s="167">
        <f>SUM(BL62:BL66)</f>
        <v>0</v>
      </c>
      <c r="BM67" s="166">
        <f>+BM73-BL73</f>
        <v>0</v>
      </c>
      <c r="BN67" s="50"/>
      <c r="BO67" s="170" t="e">
        <f t="shared" ref="BO67:BO75" si="95">IF(COUNT(E67,G67,I67,K67,M67,O67,Q67,S67,U67,W67,Y67,AA67,AC67,AE67,AG67,AI67,AK67,AM67,AO67,AQ67,AS67,AU67,AW67,AY67,BA67,BC67,BE67,BG67,BI67,BK67,BM67)=0,"",SUM(E67,G67,I67,K67,M67,O67,Q67,S67,U67,W67,Y67,AA67,AC67,AE67,AG67,AI67,AK67,AM67,AO67,AQ67,AS67,AU67,AW67,AY67,BA67,BC67,BE67,BG67,BI67,BK67,BM67))</f>
        <v>#VALUE!</v>
      </c>
      <c r="BP67" s="167" t="e">
        <f>SUM(BP62:BP66)</f>
        <v>#VALUE!</v>
      </c>
      <c r="BQ67" s="52"/>
    </row>
    <row r="68" spans="1:69" x14ac:dyDescent="0.35">
      <c r="A68" s="132" t="s">
        <v>87</v>
      </c>
      <c r="B68" s="133"/>
      <c r="C68" s="131"/>
      <c r="D68" s="189">
        <f>D91+D94</f>
        <v>0</v>
      </c>
      <c r="E68" s="166" t="e">
        <f>+E77-C77+E80-C80</f>
        <v>#VALUE!</v>
      </c>
      <c r="F68" s="167">
        <f>F91+F94</f>
        <v>0</v>
      </c>
      <c r="G68" s="166">
        <f>+G77-E77+G80-E80</f>
        <v>0</v>
      </c>
      <c r="H68" s="167">
        <f>H91+H94</f>
        <v>0</v>
      </c>
      <c r="I68" s="166">
        <f>+I77-G77+I80-G80</f>
        <v>0</v>
      </c>
      <c r="J68" s="167">
        <f>J91+J94</f>
        <v>0</v>
      </c>
      <c r="K68" s="166">
        <f>+K77-I77+K80-I80</f>
        <v>0</v>
      </c>
      <c r="L68" s="167">
        <f>L91+L94</f>
        <v>0</v>
      </c>
      <c r="M68" s="166">
        <f>+M77-K77+M80-K80</f>
        <v>0</v>
      </c>
      <c r="N68" s="167">
        <f>N91+N94</f>
        <v>0</v>
      </c>
      <c r="O68" s="166">
        <f>+O77-M77+O80-M80</f>
        <v>0</v>
      </c>
      <c r="P68" s="167">
        <f>P91+P94</f>
        <v>0</v>
      </c>
      <c r="Q68" s="166">
        <f>+Q77-O77+Q80-O80</f>
        <v>0</v>
      </c>
      <c r="R68" s="167">
        <f>R91+R94</f>
        <v>0</v>
      </c>
      <c r="S68" s="166">
        <f>+S77-Q77+S80-Q80</f>
        <v>0</v>
      </c>
      <c r="T68" s="167">
        <f>T91+T94</f>
        <v>0</v>
      </c>
      <c r="U68" s="166">
        <f>+U77-S77+U80-S80</f>
        <v>0</v>
      </c>
      <c r="V68" s="167">
        <f>V91+V94</f>
        <v>0</v>
      </c>
      <c r="W68" s="166">
        <f>+W77-U77+W80-U80</f>
        <v>0</v>
      </c>
      <c r="X68" s="167">
        <f>X91+X94</f>
        <v>0</v>
      </c>
      <c r="Y68" s="166">
        <f>+Y77-W77+Y80-W80</f>
        <v>0</v>
      </c>
      <c r="Z68" s="167">
        <f>Z91+Z94</f>
        <v>0</v>
      </c>
      <c r="AA68" s="166">
        <f>+AA77-Y77+AA80-Y80</f>
        <v>0</v>
      </c>
      <c r="AB68" s="167">
        <f>AB91+AB94</f>
        <v>0</v>
      </c>
      <c r="AC68" s="166">
        <f>+AC77-AA77+AC80-AA80</f>
        <v>0</v>
      </c>
      <c r="AD68" s="167">
        <f>AD91+AD94</f>
        <v>0</v>
      </c>
      <c r="AE68" s="166">
        <f>+AE77-AC77+AE80-AC80</f>
        <v>0</v>
      </c>
      <c r="AF68" s="167">
        <f>AF91+AF94</f>
        <v>0</v>
      </c>
      <c r="AG68" s="166">
        <f>+AG77-AE77+AG80-AE80</f>
        <v>0</v>
      </c>
      <c r="AH68" s="167">
        <f>AH91+AH94</f>
        <v>0</v>
      </c>
      <c r="AI68" s="166">
        <f>+AI77-AG77+AI80-AG80</f>
        <v>0</v>
      </c>
      <c r="AJ68" s="167">
        <f>AJ91+AJ94</f>
        <v>0</v>
      </c>
      <c r="AK68" s="166">
        <f>+AK77-AI77+AK80-AI80</f>
        <v>0</v>
      </c>
      <c r="AL68" s="167">
        <f>AL91+AL94</f>
        <v>0</v>
      </c>
      <c r="AM68" s="166">
        <f>+AM77-AK77+AM80-AK80</f>
        <v>0</v>
      </c>
      <c r="AN68" s="167">
        <f>AN91+AN94</f>
        <v>0</v>
      </c>
      <c r="AO68" s="166">
        <f>+AO77-AM77+AO80-AM80</f>
        <v>0</v>
      </c>
      <c r="AP68" s="167">
        <f>AP91+AP94</f>
        <v>0</v>
      </c>
      <c r="AQ68" s="166">
        <f>+AQ77-AO77+AQ80-AO80</f>
        <v>0</v>
      </c>
      <c r="AR68" s="167">
        <f>AR91+AR94</f>
        <v>0</v>
      </c>
      <c r="AS68" s="166">
        <f>+AS77-AQ77+AS80-AQ80</f>
        <v>0</v>
      </c>
      <c r="AT68" s="167">
        <f>AT91+AT94</f>
        <v>0</v>
      </c>
      <c r="AU68" s="166">
        <f>+AU77-AS77+AU80-AS80</f>
        <v>0</v>
      </c>
      <c r="AV68" s="167">
        <f>AV91+AV94</f>
        <v>0</v>
      </c>
      <c r="AW68" s="166">
        <f>+AW77-AU77+AW80-AU80</f>
        <v>0</v>
      </c>
      <c r="AX68" s="167">
        <f>AX91+AX94</f>
        <v>0</v>
      </c>
      <c r="AY68" s="166">
        <f>+AY77-AW77+AY80-AW80</f>
        <v>0</v>
      </c>
      <c r="AZ68" s="167">
        <f>AZ91+AZ94</f>
        <v>0</v>
      </c>
      <c r="BA68" s="166">
        <f>+BA77-AY77+BA80-AY80</f>
        <v>0</v>
      </c>
      <c r="BB68" s="167">
        <f>BB91+BB94</f>
        <v>0</v>
      </c>
      <c r="BC68" s="166">
        <f>+BC77-BA77+BC80-BA80</f>
        <v>0</v>
      </c>
      <c r="BD68" s="167">
        <f>BD91+BD94</f>
        <v>0</v>
      </c>
      <c r="BE68" s="166">
        <f>+BE77-BC77+BE80-BC80</f>
        <v>0</v>
      </c>
      <c r="BF68" s="167">
        <f>BF91+BF94</f>
        <v>0</v>
      </c>
      <c r="BG68" s="166">
        <f>+BG77-BE77+BG80-BE80</f>
        <v>0</v>
      </c>
      <c r="BH68" s="167">
        <f>BH91+BH94</f>
        <v>0</v>
      </c>
      <c r="BI68" s="166">
        <f>+BI77-BG77+BI80-BG80</f>
        <v>0</v>
      </c>
      <c r="BJ68" s="167">
        <f>BJ91+BJ94</f>
        <v>0</v>
      </c>
      <c r="BK68" s="166">
        <f>+BK77-BI77+BK80-BI80</f>
        <v>0</v>
      </c>
      <c r="BL68" s="167">
        <f>BL91+BL94</f>
        <v>0</v>
      </c>
      <c r="BM68" s="166">
        <f>+BM77-BK77+BM80-BK80</f>
        <v>0</v>
      </c>
      <c r="BN68" s="50"/>
      <c r="BO68" s="170" t="e">
        <f t="shared" si="95"/>
        <v>#VALUE!</v>
      </c>
      <c r="BP68" s="167">
        <f>BP91+BP94</f>
        <v>0</v>
      </c>
      <c r="BQ68" s="52"/>
    </row>
    <row r="69" spans="1:69" x14ac:dyDescent="0.35">
      <c r="A69" s="44" t="s">
        <v>88</v>
      </c>
      <c r="B69" s="133"/>
      <c r="C69" s="131"/>
      <c r="D69" s="189">
        <f>D99+D102</f>
        <v>0</v>
      </c>
      <c r="E69" s="166" t="e">
        <f>+E85-C85+E88-C88</f>
        <v>#VALUE!</v>
      </c>
      <c r="F69" s="167">
        <f>F99+F102</f>
        <v>0</v>
      </c>
      <c r="G69" s="166">
        <f>+G85-E85+G88-E88</f>
        <v>0</v>
      </c>
      <c r="H69" s="167">
        <f>H99+H102</f>
        <v>0</v>
      </c>
      <c r="I69" s="166">
        <f>+I85-G85+I88-G88</f>
        <v>0</v>
      </c>
      <c r="J69" s="167">
        <f>J99+J102</f>
        <v>0</v>
      </c>
      <c r="K69" s="166">
        <f>+K85-I85+K88-I88</f>
        <v>0</v>
      </c>
      <c r="L69" s="167">
        <f>L99+L102</f>
        <v>0</v>
      </c>
      <c r="M69" s="166">
        <f>+M85-K85+M88-K88</f>
        <v>0</v>
      </c>
      <c r="N69" s="167">
        <f>N99+N102</f>
        <v>0</v>
      </c>
      <c r="O69" s="166">
        <f>+O85-M85+O88-M88</f>
        <v>0</v>
      </c>
      <c r="P69" s="167">
        <f>P99+P102</f>
        <v>0</v>
      </c>
      <c r="Q69" s="166">
        <f>+Q85-O85+Q88-O88</f>
        <v>0</v>
      </c>
      <c r="R69" s="167">
        <f>R99+R102</f>
        <v>0</v>
      </c>
      <c r="S69" s="166">
        <f>+S85-Q85+S88-Q88</f>
        <v>0</v>
      </c>
      <c r="T69" s="167">
        <f>T99+T102</f>
        <v>0</v>
      </c>
      <c r="U69" s="166">
        <f>+U85-S85+U88-S88</f>
        <v>0</v>
      </c>
      <c r="V69" s="167">
        <f>V99+V102</f>
        <v>0</v>
      </c>
      <c r="W69" s="166">
        <f>+W85-U85+W88-U88</f>
        <v>0</v>
      </c>
      <c r="X69" s="167">
        <f>X99+X102</f>
        <v>0</v>
      </c>
      <c r="Y69" s="166">
        <f>+Y85-W85+Y88-W88</f>
        <v>0</v>
      </c>
      <c r="Z69" s="167">
        <f>Z99+Z102</f>
        <v>0</v>
      </c>
      <c r="AA69" s="166">
        <f>+AA85-Y85+AA88-Y88</f>
        <v>0</v>
      </c>
      <c r="AB69" s="167">
        <f>AB99+AB102</f>
        <v>0</v>
      </c>
      <c r="AC69" s="166">
        <f>+AC85-AA85+AC88-AA88</f>
        <v>0</v>
      </c>
      <c r="AD69" s="167">
        <f>AD99+AD102</f>
        <v>0</v>
      </c>
      <c r="AE69" s="166">
        <f>+AE85-AC85+AE88-AC88</f>
        <v>0</v>
      </c>
      <c r="AF69" s="167">
        <f>AF99+AF102</f>
        <v>0</v>
      </c>
      <c r="AG69" s="166">
        <f>+AG85-AE85+AG88-AE88</f>
        <v>0</v>
      </c>
      <c r="AH69" s="167">
        <f>AH99+AH102</f>
        <v>0</v>
      </c>
      <c r="AI69" s="166">
        <f>+AI85-AG85+AI88-AG88</f>
        <v>0</v>
      </c>
      <c r="AJ69" s="167">
        <f>AJ99+AJ102</f>
        <v>0</v>
      </c>
      <c r="AK69" s="166">
        <f>+AK85-AI85+AK88-AI88</f>
        <v>0</v>
      </c>
      <c r="AL69" s="167">
        <f>AL99+AL102</f>
        <v>0</v>
      </c>
      <c r="AM69" s="166">
        <f>+AM85-AK85+AM88-AK88</f>
        <v>0</v>
      </c>
      <c r="AN69" s="167">
        <f>AN99+AN102</f>
        <v>0</v>
      </c>
      <c r="AO69" s="166">
        <f>+AO85-AM85+AO88-AM88</f>
        <v>0</v>
      </c>
      <c r="AP69" s="167">
        <f>AP99+AP102</f>
        <v>0</v>
      </c>
      <c r="AQ69" s="166">
        <f>+AQ85-AO85+AQ88-AO88</f>
        <v>0</v>
      </c>
      <c r="AR69" s="167">
        <f>AR99+AR102</f>
        <v>0</v>
      </c>
      <c r="AS69" s="166">
        <f>+AS85-AQ85+AS88-AQ88</f>
        <v>0</v>
      </c>
      <c r="AT69" s="167">
        <f>AT99+AT102</f>
        <v>0</v>
      </c>
      <c r="AU69" s="166">
        <f>+AU85-AS85+AU88-AS88</f>
        <v>0</v>
      </c>
      <c r="AV69" s="167">
        <f>AV99+AV102</f>
        <v>0</v>
      </c>
      <c r="AW69" s="166">
        <f>+AW85-AU85+AW88-AU88</f>
        <v>0</v>
      </c>
      <c r="AX69" s="167">
        <f>AX99+AX102</f>
        <v>0</v>
      </c>
      <c r="AY69" s="166">
        <f>+AY85-AW85+AY88-AW88</f>
        <v>0</v>
      </c>
      <c r="AZ69" s="167">
        <f>AZ99+AZ102</f>
        <v>0</v>
      </c>
      <c r="BA69" s="166">
        <f>+BA85-AY85+BA88-AY88</f>
        <v>0</v>
      </c>
      <c r="BB69" s="167">
        <f>BB99+BB102</f>
        <v>0</v>
      </c>
      <c r="BC69" s="166">
        <f>+BC85-BA85+BC88-BA88</f>
        <v>0</v>
      </c>
      <c r="BD69" s="167">
        <f>BD99+BD102</f>
        <v>0</v>
      </c>
      <c r="BE69" s="166">
        <f>+BE85-BC85+BE88-BC88</f>
        <v>0</v>
      </c>
      <c r="BF69" s="167">
        <f>BF99+BF102</f>
        <v>0</v>
      </c>
      <c r="BG69" s="166">
        <f>+BG85-BE85+BG88-BE88</f>
        <v>0</v>
      </c>
      <c r="BH69" s="167">
        <f>BH99+BH102</f>
        <v>0</v>
      </c>
      <c r="BI69" s="166">
        <f>+BI85-BG85+BI88-BG88</f>
        <v>0</v>
      </c>
      <c r="BJ69" s="167">
        <f>BJ99+BJ102</f>
        <v>0</v>
      </c>
      <c r="BK69" s="166">
        <f>+BK85-BI85+BK88-BI88</f>
        <v>0</v>
      </c>
      <c r="BL69" s="167">
        <f>BL99+BL102</f>
        <v>0</v>
      </c>
      <c r="BM69" s="166">
        <f>+BM85-BK85+BM88-BK88</f>
        <v>0</v>
      </c>
      <c r="BN69" s="50"/>
      <c r="BO69" s="170" t="e">
        <f t="shared" si="95"/>
        <v>#VALUE!</v>
      </c>
      <c r="BP69" s="167">
        <f>BP99+BP102</f>
        <v>0</v>
      </c>
      <c r="BQ69" s="52"/>
    </row>
    <row r="70" spans="1:69" x14ac:dyDescent="0.35">
      <c r="A70" s="134" t="s">
        <v>89</v>
      </c>
      <c r="B70" s="133"/>
      <c r="C70" s="131"/>
      <c r="D70" s="189">
        <f>D93+D96</f>
        <v>0</v>
      </c>
      <c r="E70" s="166" t="e">
        <f>+E79-C79+E82-C82</f>
        <v>#VALUE!</v>
      </c>
      <c r="F70" s="167">
        <f>F93+F96</f>
        <v>0</v>
      </c>
      <c r="G70" s="166">
        <f>+G79-E79+G82-E82</f>
        <v>0</v>
      </c>
      <c r="H70" s="167">
        <f>H93+H96</f>
        <v>0</v>
      </c>
      <c r="I70" s="166">
        <f>+I79-G79+I82-G82</f>
        <v>0</v>
      </c>
      <c r="J70" s="167">
        <f>J93+J96</f>
        <v>0</v>
      </c>
      <c r="K70" s="166">
        <f>+K79-I79+K82-I82</f>
        <v>0</v>
      </c>
      <c r="L70" s="167">
        <f>L93+L96</f>
        <v>0</v>
      </c>
      <c r="M70" s="166">
        <f>+M79-K79+M82-K82</f>
        <v>0</v>
      </c>
      <c r="N70" s="167">
        <f>N93+N96</f>
        <v>0</v>
      </c>
      <c r="O70" s="166">
        <f>+O79-M79+O82-M82</f>
        <v>0</v>
      </c>
      <c r="P70" s="167">
        <f>P93+P96</f>
        <v>0</v>
      </c>
      <c r="Q70" s="166">
        <f>+Q79-O79+Q82-O82</f>
        <v>0</v>
      </c>
      <c r="R70" s="167">
        <f>R93+R96</f>
        <v>0</v>
      </c>
      <c r="S70" s="166">
        <f>+S79-Q79+S82-Q82</f>
        <v>0</v>
      </c>
      <c r="T70" s="167">
        <f>T93+T96</f>
        <v>0</v>
      </c>
      <c r="U70" s="166">
        <f>+U79-S79+U82-S82</f>
        <v>0</v>
      </c>
      <c r="V70" s="167">
        <f>V93+V96</f>
        <v>0</v>
      </c>
      <c r="W70" s="166">
        <f>+W79-U79+W82-U82</f>
        <v>0</v>
      </c>
      <c r="X70" s="167">
        <f>X93+X96</f>
        <v>0</v>
      </c>
      <c r="Y70" s="166">
        <f>+Y79-W79+Y82-W82</f>
        <v>0</v>
      </c>
      <c r="Z70" s="167">
        <f>Z93+Z96</f>
        <v>0</v>
      </c>
      <c r="AA70" s="166">
        <f>+AA79-Y79+AA82-Y82</f>
        <v>0</v>
      </c>
      <c r="AB70" s="167">
        <f>AB93+AB96</f>
        <v>0</v>
      </c>
      <c r="AC70" s="166">
        <f>+AC79-AA79+AC82-AA82</f>
        <v>0</v>
      </c>
      <c r="AD70" s="167">
        <f>AD93+AD96</f>
        <v>0</v>
      </c>
      <c r="AE70" s="166">
        <f>+AE79-AC79+AE82-AC82</f>
        <v>0</v>
      </c>
      <c r="AF70" s="167">
        <f>AF93+AF96</f>
        <v>0</v>
      </c>
      <c r="AG70" s="166">
        <f>+AG79-AE79+AG82-AE82</f>
        <v>0</v>
      </c>
      <c r="AH70" s="167">
        <f>AH93+AH96</f>
        <v>0</v>
      </c>
      <c r="AI70" s="166">
        <f>+AI79-AG79+AI82-AG82</f>
        <v>0</v>
      </c>
      <c r="AJ70" s="167">
        <f>AJ93+AJ96</f>
        <v>0</v>
      </c>
      <c r="AK70" s="166">
        <f>+AK79-AI79+AK82-AI82</f>
        <v>0</v>
      </c>
      <c r="AL70" s="167">
        <f>AL93+AL96</f>
        <v>0</v>
      </c>
      <c r="AM70" s="166">
        <f>+AM79-AK79+AM82-AK82</f>
        <v>0</v>
      </c>
      <c r="AN70" s="167">
        <f>AN93+AN96</f>
        <v>0</v>
      </c>
      <c r="AO70" s="166">
        <f>+AO79-AM79+AO82-AM82</f>
        <v>0</v>
      </c>
      <c r="AP70" s="167">
        <f>AP93+AP96</f>
        <v>0</v>
      </c>
      <c r="AQ70" s="166">
        <f>+AQ79-AO79+AQ82-AO82</f>
        <v>0</v>
      </c>
      <c r="AR70" s="167">
        <f>AR93+AR96</f>
        <v>0</v>
      </c>
      <c r="AS70" s="166">
        <f>+AS79-AQ79+AS82-AQ82</f>
        <v>0</v>
      </c>
      <c r="AT70" s="167">
        <f>AT93+AT96</f>
        <v>0</v>
      </c>
      <c r="AU70" s="166">
        <f>+AU79-AS79+AU82-AS82</f>
        <v>0</v>
      </c>
      <c r="AV70" s="167">
        <f>AV93+AV96</f>
        <v>0</v>
      </c>
      <c r="AW70" s="166">
        <f>+AW79-AU79+AW82-AU82</f>
        <v>0</v>
      </c>
      <c r="AX70" s="167">
        <f>AX93+AX96</f>
        <v>0</v>
      </c>
      <c r="AY70" s="166">
        <f>+AY79-AW79+AY82-AW82</f>
        <v>0</v>
      </c>
      <c r="AZ70" s="167">
        <f>AZ93+AZ96</f>
        <v>0</v>
      </c>
      <c r="BA70" s="166">
        <f>+BA79-AY79+BA82-AY82</f>
        <v>0</v>
      </c>
      <c r="BB70" s="167">
        <f>BB93+BB96</f>
        <v>0</v>
      </c>
      <c r="BC70" s="166">
        <f>+BC79-BA79+BC82-BA82</f>
        <v>0</v>
      </c>
      <c r="BD70" s="167">
        <f>BD93+BD96</f>
        <v>0</v>
      </c>
      <c r="BE70" s="166">
        <f>+BE79-BC79+BE82-BC82</f>
        <v>0</v>
      </c>
      <c r="BF70" s="167">
        <f>BF93+BF96</f>
        <v>0</v>
      </c>
      <c r="BG70" s="166">
        <f>+BG79-BE79+BG82-BE82</f>
        <v>0</v>
      </c>
      <c r="BH70" s="167">
        <f>BH93+BH96</f>
        <v>0</v>
      </c>
      <c r="BI70" s="166">
        <f>+BI79-BG79+BI82-BG82</f>
        <v>0</v>
      </c>
      <c r="BJ70" s="167">
        <f>BJ93+BJ96</f>
        <v>0</v>
      </c>
      <c r="BK70" s="166">
        <f>+BK79-BI79+BK82-BI82</f>
        <v>0</v>
      </c>
      <c r="BL70" s="167">
        <f>BL93+BL96</f>
        <v>0</v>
      </c>
      <c r="BM70" s="166">
        <f>+BM79-BK79+BM82-BK82</f>
        <v>0</v>
      </c>
      <c r="BN70" s="50"/>
      <c r="BO70" s="170" t="e">
        <f t="shared" si="95"/>
        <v>#VALUE!</v>
      </c>
      <c r="BP70" s="167">
        <f>BP93+BP96</f>
        <v>0</v>
      </c>
      <c r="BQ70" s="52"/>
    </row>
    <row r="71" spans="1:69" x14ac:dyDescent="0.35">
      <c r="A71" s="135" t="s">
        <v>90</v>
      </c>
      <c r="B71" s="133"/>
      <c r="C71" s="131"/>
      <c r="D71" s="189">
        <f>+D97+D100</f>
        <v>0</v>
      </c>
      <c r="E71" s="166" t="e">
        <f>+E83-C83+E86-C86</f>
        <v>#VALUE!</v>
      </c>
      <c r="F71" s="167">
        <f>+F97+F100</f>
        <v>0</v>
      </c>
      <c r="G71" s="166">
        <f>+G83-E83+G86-E86</f>
        <v>0</v>
      </c>
      <c r="H71" s="167">
        <f>+H97+H100</f>
        <v>0</v>
      </c>
      <c r="I71" s="166">
        <f>+I83-G83+I86-G86</f>
        <v>0</v>
      </c>
      <c r="J71" s="167">
        <f>+J97+J100</f>
        <v>0</v>
      </c>
      <c r="K71" s="166">
        <f>+K83-I83+K86-I86</f>
        <v>0</v>
      </c>
      <c r="L71" s="167">
        <f>+L97+L100</f>
        <v>0</v>
      </c>
      <c r="M71" s="166">
        <f>+M83-K83+M86-K86</f>
        <v>0</v>
      </c>
      <c r="N71" s="167">
        <f>+N97+N100</f>
        <v>0</v>
      </c>
      <c r="O71" s="166">
        <f>+O83-M83+O86-M86</f>
        <v>0</v>
      </c>
      <c r="P71" s="167">
        <f>+P97+P100</f>
        <v>0</v>
      </c>
      <c r="Q71" s="166">
        <f>+Q83-O83+Q86-O86</f>
        <v>0</v>
      </c>
      <c r="R71" s="167">
        <f>+R97+R100</f>
        <v>0</v>
      </c>
      <c r="S71" s="166">
        <f>+S83-Q83+S86-Q86</f>
        <v>0</v>
      </c>
      <c r="T71" s="167">
        <f>+T97+T100</f>
        <v>0</v>
      </c>
      <c r="U71" s="166">
        <f>+U83-S83+U86-S86</f>
        <v>0</v>
      </c>
      <c r="V71" s="167">
        <f>+V97+V100</f>
        <v>0</v>
      </c>
      <c r="W71" s="166">
        <f>+W83-U83+W86-U86</f>
        <v>0</v>
      </c>
      <c r="X71" s="167">
        <f>+X97+X100</f>
        <v>0</v>
      </c>
      <c r="Y71" s="166">
        <f>+Y83-W83+Y86-W86</f>
        <v>0</v>
      </c>
      <c r="Z71" s="167">
        <f>+Z97+Z100</f>
        <v>0</v>
      </c>
      <c r="AA71" s="166">
        <f>+AA83-Y83+AA86-Y86</f>
        <v>0</v>
      </c>
      <c r="AB71" s="167">
        <f>+AB97+AB100</f>
        <v>0</v>
      </c>
      <c r="AC71" s="166">
        <f>+AC83-AA83+AC86-AA86</f>
        <v>0</v>
      </c>
      <c r="AD71" s="167">
        <f>+AD97+AD100</f>
        <v>0</v>
      </c>
      <c r="AE71" s="166">
        <f>+AE83-AC83+AE86-AC86</f>
        <v>0</v>
      </c>
      <c r="AF71" s="167">
        <f>+AF97+AF100</f>
        <v>0</v>
      </c>
      <c r="AG71" s="166">
        <f>+AG83-AE83+AG86-AE86</f>
        <v>0</v>
      </c>
      <c r="AH71" s="167">
        <f>+AH97+AH100</f>
        <v>0</v>
      </c>
      <c r="AI71" s="166">
        <f>+AI83-AG83+AI86-AG86</f>
        <v>0</v>
      </c>
      <c r="AJ71" s="167">
        <f>+AJ97+AJ100</f>
        <v>0</v>
      </c>
      <c r="AK71" s="166">
        <f>+AK83-AI83+AK86-AI86</f>
        <v>0</v>
      </c>
      <c r="AL71" s="167">
        <f>+AL97+AL100</f>
        <v>0</v>
      </c>
      <c r="AM71" s="166">
        <f>+AM83-AK83+AM86-AK86</f>
        <v>0</v>
      </c>
      <c r="AN71" s="167">
        <f>+AN97+AN100</f>
        <v>0</v>
      </c>
      <c r="AO71" s="166">
        <f>+AO83-AM83+AO86-AM86</f>
        <v>0</v>
      </c>
      <c r="AP71" s="167">
        <f>+AP97+AP100</f>
        <v>0</v>
      </c>
      <c r="AQ71" s="166">
        <f>+AQ83-AO83+AQ86-AO86</f>
        <v>0</v>
      </c>
      <c r="AR71" s="167">
        <f>+AR97+AR100</f>
        <v>0</v>
      </c>
      <c r="AS71" s="166">
        <f>+AS83-AQ83+AS86-AQ86</f>
        <v>0</v>
      </c>
      <c r="AT71" s="167">
        <f>+AT97+AT100</f>
        <v>0</v>
      </c>
      <c r="AU71" s="166">
        <f>+AU83-AS83+AU86-AS86</f>
        <v>0</v>
      </c>
      <c r="AV71" s="167">
        <f>+AV97+AV100</f>
        <v>0</v>
      </c>
      <c r="AW71" s="166">
        <f>+AW83-AU83+AW86-AU86</f>
        <v>0</v>
      </c>
      <c r="AX71" s="167">
        <f>+AX97+AX100</f>
        <v>0</v>
      </c>
      <c r="AY71" s="166">
        <f>+AY83-AW83+AY86-AW86</f>
        <v>0</v>
      </c>
      <c r="AZ71" s="167">
        <f>+AZ97+AZ100</f>
        <v>0</v>
      </c>
      <c r="BA71" s="166">
        <f>+BA83-AY83+BA86-AY86</f>
        <v>0</v>
      </c>
      <c r="BB71" s="167">
        <f>+BB97+BB100</f>
        <v>0</v>
      </c>
      <c r="BC71" s="166">
        <f>+BC83-BA83+BC86-BA86</f>
        <v>0</v>
      </c>
      <c r="BD71" s="167">
        <f>+BD97+BD100</f>
        <v>0</v>
      </c>
      <c r="BE71" s="166">
        <f>+BE83-BC83+BE86-BC86</f>
        <v>0</v>
      </c>
      <c r="BF71" s="167">
        <f>+BF97+BF100</f>
        <v>0</v>
      </c>
      <c r="BG71" s="166">
        <f>+BG83-BE83+BG86-BE86</f>
        <v>0</v>
      </c>
      <c r="BH71" s="167">
        <f>+BH97+BH100</f>
        <v>0</v>
      </c>
      <c r="BI71" s="166">
        <f>+BI83-BG83+BI86-BG86</f>
        <v>0</v>
      </c>
      <c r="BJ71" s="167">
        <f>+BJ97+BJ100</f>
        <v>0</v>
      </c>
      <c r="BK71" s="166">
        <f>+BK83-BI83+BK86-BI86</f>
        <v>0</v>
      </c>
      <c r="BL71" s="167">
        <f>+BL97+BL100</f>
        <v>0</v>
      </c>
      <c r="BM71" s="166">
        <f>+BM83-BK83+BM86-BK86</f>
        <v>0</v>
      </c>
      <c r="BN71" s="50"/>
      <c r="BO71" s="170" t="e">
        <f t="shared" si="95"/>
        <v>#VALUE!</v>
      </c>
      <c r="BP71" s="167">
        <f>+BP97+BP100</f>
        <v>0</v>
      </c>
      <c r="BQ71" s="52"/>
    </row>
    <row r="72" spans="1:69" x14ac:dyDescent="0.35">
      <c r="A72" s="136" t="s">
        <v>91</v>
      </c>
      <c r="B72" s="133"/>
      <c r="C72" s="131"/>
      <c r="D72" s="189">
        <f>+D92+D95+D98+D101</f>
        <v>0</v>
      </c>
      <c r="E72" s="166" t="e">
        <f>+E78-C78+E81-C81+E84-C84+E87-C87</f>
        <v>#VALUE!</v>
      </c>
      <c r="F72" s="167">
        <f>+F92+F95+F98+F101</f>
        <v>0</v>
      </c>
      <c r="G72" s="166">
        <f>+G78-E78+G81-E81+G84-E84+G87-E87</f>
        <v>0</v>
      </c>
      <c r="H72" s="167">
        <f>+H92+H95+H98+H101</f>
        <v>0</v>
      </c>
      <c r="I72" s="166">
        <f>+I78-G78+I81-G81+I84-G84+I87-G87</f>
        <v>0</v>
      </c>
      <c r="J72" s="167">
        <f>+J92+J95+J98+J101</f>
        <v>0</v>
      </c>
      <c r="K72" s="166">
        <f>+K78-I78+K81-I81+K84-I84+K87-I87</f>
        <v>0</v>
      </c>
      <c r="L72" s="167">
        <f>+L92+L95+L98+L101</f>
        <v>0</v>
      </c>
      <c r="M72" s="166">
        <f>+M78-K78+M81-K81+M84-K84+M87-K87</f>
        <v>0</v>
      </c>
      <c r="N72" s="167">
        <f>+N92+N95+N98+N101</f>
        <v>0</v>
      </c>
      <c r="O72" s="166">
        <f>+O78-M78+O81-M81+O84-M84+O87-M87</f>
        <v>0</v>
      </c>
      <c r="P72" s="167">
        <f>+P92+P95+P98+P101</f>
        <v>0</v>
      </c>
      <c r="Q72" s="166">
        <f>+Q78-O78+Q81-O81+Q84-O84+Q87-O87</f>
        <v>0</v>
      </c>
      <c r="R72" s="167">
        <f>+R92+R95+R98+R101</f>
        <v>0</v>
      </c>
      <c r="S72" s="166">
        <f>+S78-Q78+S81-Q81+S84-Q84+S87-Q87</f>
        <v>0</v>
      </c>
      <c r="T72" s="167">
        <f>+T92+T95+T98+T101</f>
        <v>0</v>
      </c>
      <c r="U72" s="166">
        <f>+U78-S78+U81-S81+U84-S84+U87-S87</f>
        <v>0</v>
      </c>
      <c r="V72" s="167">
        <f>+V92+V95+V98+V101</f>
        <v>0</v>
      </c>
      <c r="W72" s="166">
        <f>+W78-U78+W81-U81+W84-U84+W87-U87</f>
        <v>0</v>
      </c>
      <c r="X72" s="167">
        <f>+X92+X95+X98+X101</f>
        <v>0</v>
      </c>
      <c r="Y72" s="166">
        <f>+Y78-W78+Y81-W81+Y84-W84+Y87-W87</f>
        <v>0</v>
      </c>
      <c r="Z72" s="167">
        <f>+Z92+Z95+Z98+Z101</f>
        <v>0</v>
      </c>
      <c r="AA72" s="166">
        <f>+AA78-Y78+AA81-Y81+AA84-Y84+AA87-Y87</f>
        <v>0</v>
      </c>
      <c r="AB72" s="167">
        <f>+AB92+AB95+AB98+AB101</f>
        <v>0</v>
      </c>
      <c r="AC72" s="166">
        <f>+AC78-AA78+AC81-AA81+AC84-AA84+AC87-AA87</f>
        <v>0</v>
      </c>
      <c r="AD72" s="167">
        <f>+AD92+AD95+AD98+AD101</f>
        <v>0</v>
      </c>
      <c r="AE72" s="166">
        <f>+AE78-AC78+AE81-AC81+AE84-AC84+AE87-AC87</f>
        <v>0</v>
      </c>
      <c r="AF72" s="167">
        <f>+AF92+AF95+AF98+AF101</f>
        <v>0</v>
      </c>
      <c r="AG72" s="166">
        <f>+AG78-AE78+AG81-AE81+AG84-AE84+AG87-AE87</f>
        <v>0</v>
      </c>
      <c r="AH72" s="167">
        <f>+AH92+AH95+AH98+AH101</f>
        <v>0</v>
      </c>
      <c r="AI72" s="166">
        <f>+AI78-AG78+AI81-AG81+AI84-AG84+AI87-AG87</f>
        <v>0</v>
      </c>
      <c r="AJ72" s="167">
        <f>+AJ92+AJ95+AJ98+AJ101</f>
        <v>0</v>
      </c>
      <c r="AK72" s="166">
        <f>+AK78-AI78+AK81-AI81+AK84-AI84+AK87-AI87</f>
        <v>0</v>
      </c>
      <c r="AL72" s="167">
        <f>+AL92+AL95+AL98+AL101</f>
        <v>0</v>
      </c>
      <c r="AM72" s="166">
        <f>+AM78-AK78+AM81-AK81+AM84-AK84+AM87-AK87</f>
        <v>0</v>
      </c>
      <c r="AN72" s="167">
        <f>+AN92+AN95+AN98+AN101</f>
        <v>0</v>
      </c>
      <c r="AO72" s="166">
        <f>+AO78-AM78+AO81-AM81+AO84-AM84+AO87-AM87</f>
        <v>0</v>
      </c>
      <c r="AP72" s="167">
        <f>+AP92+AP95+AP98+AP101</f>
        <v>0</v>
      </c>
      <c r="AQ72" s="166">
        <f>+AQ78-AO78+AQ81-AO81+AQ84-AO84+AQ87-AO87</f>
        <v>0</v>
      </c>
      <c r="AR72" s="167">
        <f>+AR92+AR95+AR98+AR101</f>
        <v>0</v>
      </c>
      <c r="AS72" s="166">
        <f>+AS78-AQ78+AS81-AQ81+AS84-AQ84+AS87-AQ87</f>
        <v>0</v>
      </c>
      <c r="AT72" s="167">
        <f>+AT92+AT95+AT98+AT101</f>
        <v>0</v>
      </c>
      <c r="AU72" s="166">
        <f>+AU78-AS78+AU81-AS81+AU84-AS84+AU87-AS87</f>
        <v>0</v>
      </c>
      <c r="AV72" s="167">
        <f>+AV92+AV95+AV98+AV101</f>
        <v>0</v>
      </c>
      <c r="AW72" s="166">
        <f>+AW78-AU78+AW81-AU81+AW84-AU84+AW87-AU87</f>
        <v>0</v>
      </c>
      <c r="AX72" s="167">
        <f>+AX92+AX95+AX98+AX101</f>
        <v>0</v>
      </c>
      <c r="AY72" s="166">
        <f>+AY78-AW78+AY81-AW81+AY84-AW84+AY87-AW87</f>
        <v>0</v>
      </c>
      <c r="AZ72" s="167">
        <f>+AZ92+AZ95+AZ98+AZ101</f>
        <v>0</v>
      </c>
      <c r="BA72" s="166">
        <f>+BA78-AY78+BA81-AY81+BA84-AY84+BA87-AY87</f>
        <v>0</v>
      </c>
      <c r="BB72" s="167">
        <f>+BB92+BB95+BB98+BB101</f>
        <v>0</v>
      </c>
      <c r="BC72" s="166">
        <f>+BC78-BA78+BC81-BA81+BC84-BA84+BC87-BA87</f>
        <v>0</v>
      </c>
      <c r="BD72" s="167">
        <f>+BD92+BD95+BD98+BD101</f>
        <v>0</v>
      </c>
      <c r="BE72" s="166">
        <f>+BE78-BC78+BE81-BC81+BE84-BC84+BE87-BC87</f>
        <v>0</v>
      </c>
      <c r="BF72" s="167">
        <f>+BF92+BF95+BF98+BF101</f>
        <v>0</v>
      </c>
      <c r="BG72" s="166">
        <f>+BG78-BE78+BG81-BE81+BG84-BE84+BG87-BE87</f>
        <v>0</v>
      </c>
      <c r="BH72" s="167">
        <f>+BH92+BH95+BH98+BH101</f>
        <v>0</v>
      </c>
      <c r="BI72" s="166">
        <f>+BI78-BG78+BI81-BG81+BI84-BG84+BI87-BG87</f>
        <v>0</v>
      </c>
      <c r="BJ72" s="167">
        <f>+BJ92+BJ95+BJ98+BJ101</f>
        <v>0</v>
      </c>
      <c r="BK72" s="166">
        <f>+BK78-BI78+BK81-BI81+BK84-BI84+BK87-BI87</f>
        <v>0</v>
      </c>
      <c r="BL72" s="167">
        <f>+BL92+BL95+BL98+BL101</f>
        <v>0</v>
      </c>
      <c r="BM72" s="166">
        <f>+BM78-BK78+BM81-BK81+BM84-BK84+BM87-BK87</f>
        <v>0</v>
      </c>
      <c r="BN72" s="50"/>
      <c r="BO72" s="170" t="e">
        <f t="shared" si="95"/>
        <v>#VALUE!</v>
      </c>
      <c r="BP72" s="167">
        <f>+BP92+BP95+BP98+BP101</f>
        <v>0</v>
      </c>
      <c r="BQ72" s="52"/>
    </row>
    <row r="73" spans="1:69" x14ac:dyDescent="0.35">
      <c r="A73" s="137"/>
      <c r="B73" s="138"/>
      <c r="C73" s="139"/>
      <c r="D73" s="189">
        <f t="shared" ref="D73:BM73" si="96">SUM(D68:D72)</f>
        <v>0</v>
      </c>
      <c r="E73" s="177" t="e">
        <f t="shared" si="96"/>
        <v>#VALUE!</v>
      </c>
      <c r="F73" s="167">
        <f t="shared" si="96"/>
        <v>0</v>
      </c>
      <c r="G73" s="177">
        <f t="shared" si="96"/>
        <v>0</v>
      </c>
      <c r="H73" s="167">
        <f t="shared" si="96"/>
        <v>0</v>
      </c>
      <c r="I73" s="177">
        <f t="shared" si="96"/>
        <v>0</v>
      </c>
      <c r="J73" s="167">
        <f t="shared" si="96"/>
        <v>0</v>
      </c>
      <c r="K73" s="177">
        <f t="shared" si="96"/>
        <v>0</v>
      </c>
      <c r="L73" s="167">
        <f t="shared" si="96"/>
        <v>0</v>
      </c>
      <c r="M73" s="177">
        <f t="shared" si="96"/>
        <v>0</v>
      </c>
      <c r="N73" s="167">
        <f t="shared" si="96"/>
        <v>0</v>
      </c>
      <c r="O73" s="177">
        <f t="shared" si="96"/>
        <v>0</v>
      </c>
      <c r="P73" s="167">
        <f t="shared" si="96"/>
        <v>0</v>
      </c>
      <c r="Q73" s="177">
        <f t="shared" si="96"/>
        <v>0</v>
      </c>
      <c r="R73" s="167">
        <f t="shared" si="96"/>
        <v>0</v>
      </c>
      <c r="S73" s="177">
        <f t="shared" si="96"/>
        <v>0</v>
      </c>
      <c r="T73" s="167">
        <f t="shared" si="96"/>
        <v>0</v>
      </c>
      <c r="U73" s="177">
        <f t="shared" si="96"/>
        <v>0</v>
      </c>
      <c r="V73" s="167">
        <f t="shared" si="96"/>
        <v>0</v>
      </c>
      <c r="W73" s="177">
        <f t="shared" si="96"/>
        <v>0</v>
      </c>
      <c r="X73" s="167">
        <f t="shared" si="96"/>
        <v>0</v>
      </c>
      <c r="Y73" s="177">
        <f t="shared" si="96"/>
        <v>0</v>
      </c>
      <c r="Z73" s="167">
        <f t="shared" si="96"/>
        <v>0</v>
      </c>
      <c r="AA73" s="177">
        <f t="shared" si="96"/>
        <v>0</v>
      </c>
      <c r="AB73" s="167">
        <f t="shared" si="96"/>
        <v>0</v>
      </c>
      <c r="AC73" s="177">
        <f t="shared" si="96"/>
        <v>0</v>
      </c>
      <c r="AD73" s="167">
        <f t="shared" si="96"/>
        <v>0</v>
      </c>
      <c r="AE73" s="177">
        <f t="shared" si="96"/>
        <v>0</v>
      </c>
      <c r="AF73" s="167">
        <f t="shared" si="96"/>
        <v>0</v>
      </c>
      <c r="AG73" s="177">
        <f t="shared" si="96"/>
        <v>0</v>
      </c>
      <c r="AH73" s="167">
        <f t="shared" si="96"/>
        <v>0</v>
      </c>
      <c r="AI73" s="177">
        <f t="shared" si="96"/>
        <v>0</v>
      </c>
      <c r="AJ73" s="167">
        <f t="shared" si="96"/>
        <v>0</v>
      </c>
      <c r="AK73" s="177">
        <f t="shared" si="96"/>
        <v>0</v>
      </c>
      <c r="AL73" s="167">
        <f t="shared" si="96"/>
        <v>0</v>
      </c>
      <c r="AM73" s="177">
        <f t="shared" si="96"/>
        <v>0</v>
      </c>
      <c r="AN73" s="167">
        <f t="shared" si="96"/>
        <v>0</v>
      </c>
      <c r="AO73" s="177">
        <f t="shared" si="96"/>
        <v>0</v>
      </c>
      <c r="AP73" s="167">
        <f t="shared" si="96"/>
        <v>0</v>
      </c>
      <c r="AQ73" s="177">
        <f t="shared" si="96"/>
        <v>0</v>
      </c>
      <c r="AR73" s="167">
        <f t="shared" si="96"/>
        <v>0</v>
      </c>
      <c r="AS73" s="177">
        <f t="shared" si="96"/>
        <v>0</v>
      </c>
      <c r="AT73" s="167">
        <f t="shared" si="96"/>
        <v>0</v>
      </c>
      <c r="AU73" s="177">
        <f t="shared" si="96"/>
        <v>0</v>
      </c>
      <c r="AV73" s="167">
        <f t="shared" si="96"/>
        <v>0</v>
      </c>
      <c r="AW73" s="177">
        <f t="shared" si="96"/>
        <v>0</v>
      </c>
      <c r="AX73" s="167">
        <f t="shared" si="96"/>
        <v>0</v>
      </c>
      <c r="AY73" s="177">
        <f t="shared" si="96"/>
        <v>0</v>
      </c>
      <c r="AZ73" s="167">
        <f t="shared" si="96"/>
        <v>0</v>
      </c>
      <c r="BA73" s="177">
        <f t="shared" si="96"/>
        <v>0</v>
      </c>
      <c r="BB73" s="167">
        <f t="shared" si="96"/>
        <v>0</v>
      </c>
      <c r="BC73" s="177">
        <f t="shared" si="96"/>
        <v>0</v>
      </c>
      <c r="BD73" s="167">
        <f t="shared" si="96"/>
        <v>0</v>
      </c>
      <c r="BE73" s="177">
        <f t="shared" si="96"/>
        <v>0</v>
      </c>
      <c r="BF73" s="167">
        <f t="shared" si="96"/>
        <v>0</v>
      </c>
      <c r="BG73" s="177">
        <f t="shared" si="96"/>
        <v>0</v>
      </c>
      <c r="BH73" s="167">
        <f t="shared" si="96"/>
        <v>0</v>
      </c>
      <c r="BI73" s="177">
        <f>SUM(BI68:BI72)</f>
        <v>0</v>
      </c>
      <c r="BJ73" s="167">
        <f t="shared" si="96"/>
        <v>0</v>
      </c>
      <c r="BK73" s="177">
        <f t="shared" si="96"/>
        <v>0</v>
      </c>
      <c r="BL73" s="167">
        <f t="shared" si="96"/>
        <v>0</v>
      </c>
      <c r="BM73" s="177">
        <f t="shared" si="96"/>
        <v>0</v>
      </c>
      <c r="BN73" s="92"/>
      <c r="BO73" s="170" t="e">
        <f t="shared" si="95"/>
        <v>#VALUE!</v>
      </c>
      <c r="BP73" s="167">
        <f t="shared" ref="BP73" si="97">SUM(BP68:BP72)</f>
        <v>0</v>
      </c>
      <c r="BQ73" s="93"/>
    </row>
    <row r="74" spans="1:69" x14ac:dyDescent="0.35">
      <c r="A74" s="53" t="s">
        <v>30</v>
      </c>
      <c r="B74" s="138"/>
      <c r="C74" s="210" t="str">
        <f>IF('April 2027 Log'!BK74="","",'April 2027 Log'!BK74)</f>
        <v/>
      </c>
      <c r="D74" s="47"/>
      <c r="E74" s="48"/>
      <c r="F74" s="49"/>
      <c r="G74" s="48"/>
      <c r="H74" s="49"/>
      <c r="I74" s="48"/>
      <c r="J74" s="49"/>
      <c r="K74" s="48"/>
      <c r="L74" s="49"/>
      <c r="M74" s="48"/>
      <c r="N74" s="49"/>
      <c r="O74" s="48"/>
      <c r="P74" s="49"/>
      <c r="Q74" s="48"/>
      <c r="R74" s="49"/>
      <c r="S74" s="48"/>
      <c r="T74" s="49"/>
      <c r="U74" s="48"/>
      <c r="V74" s="49"/>
      <c r="W74" s="48"/>
      <c r="X74" s="49"/>
      <c r="Y74" s="48"/>
      <c r="Z74" s="49"/>
      <c r="AA74" s="48"/>
      <c r="AB74" s="49"/>
      <c r="AC74" s="48"/>
      <c r="AD74" s="49"/>
      <c r="AE74" s="48"/>
      <c r="AF74" s="49"/>
      <c r="AG74" s="48"/>
      <c r="AH74" s="49"/>
      <c r="AI74" s="48"/>
      <c r="AJ74" s="49"/>
      <c r="AK74" s="48"/>
      <c r="AL74" s="49"/>
      <c r="AM74" s="48"/>
      <c r="AN74" s="49"/>
      <c r="AO74" s="48"/>
      <c r="AP74" s="49"/>
      <c r="AQ74" s="48"/>
      <c r="AR74" s="49"/>
      <c r="AS74" s="48"/>
      <c r="AT74" s="49"/>
      <c r="AU74" s="48"/>
      <c r="AV74" s="49"/>
      <c r="AW74" s="48"/>
      <c r="AX74" s="49"/>
      <c r="AY74" s="48"/>
      <c r="AZ74" s="49"/>
      <c r="BA74" s="48"/>
      <c r="BB74" s="49"/>
      <c r="BC74" s="48"/>
      <c r="BD74" s="49"/>
      <c r="BE74" s="48"/>
      <c r="BF74" s="49"/>
      <c r="BG74" s="48"/>
      <c r="BH74" s="49"/>
      <c r="BI74" s="48"/>
      <c r="BJ74" s="49"/>
      <c r="BK74" s="48"/>
      <c r="BL74" s="49"/>
      <c r="BM74" s="48"/>
      <c r="BN74" s="50"/>
      <c r="BO74" s="170" t="str">
        <f t="shared" si="95"/>
        <v/>
      </c>
      <c r="BP74" s="49"/>
      <c r="BQ74" s="178" t="str">
        <f>IF(BM74="","",BM74)</f>
        <v/>
      </c>
    </row>
    <row r="75" spans="1:69" x14ac:dyDescent="0.35">
      <c r="A75" s="98" t="s">
        <v>31</v>
      </c>
      <c r="B75" s="138"/>
      <c r="C75" s="211">
        <f>IF('April 2027 Log'!BK75="","",'April 2027 Log'!BK75)</f>
        <v>0</v>
      </c>
      <c r="D75" s="47"/>
      <c r="E75" s="177">
        <f>+E57-E74</f>
        <v>0</v>
      </c>
      <c r="F75" s="49"/>
      <c r="G75" s="177">
        <f>+G57-G74</f>
        <v>0</v>
      </c>
      <c r="H75" s="49"/>
      <c r="I75" s="177">
        <f>+I57-I74</f>
        <v>0</v>
      </c>
      <c r="J75" s="49"/>
      <c r="K75" s="177">
        <f>+K57-K74</f>
        <v>0</v>
      </c>
      <c r="L75" s="49"/>
      <c r="M75" s="177">
        <f>+M57-M74</f>
        <v>0</v>
      </c>
      <c r="N75" s="49"/>
      <c r="O75" s="177">
        <f>+O57-O74</f>
        <v>0</v>
      </c>
      <c r="P75" s="49"/>
      <c r="Q75" s="177">
        <f>+Q57-Q74</f>
        <v>0</v>
      </c>
      <c r="R75" s="49"/>
      <c r="S75" s="177">
        <f>+S57-S74</f>
        <v>0</v>
      </c>
      <c r="T75" s="49"/>
      <c r="U75" s="177">
        <f>+U57-U74</f>
        <v>0</v>
      </c>
      <c r="V75" s="49"/>
      <c r="W75" s="177">
        <f>+W57-W74</f>
        <v>0</v>
      </c>
      <c r="X75" s="49"/>
      <c r="Y75" s="177">
        <f>+Y57-Y74</f>
        <v>0</v>
      </c>
      <c r="Z75" s="49"/>
      <c r="AA75" s="177">
        <f>+AA57-AA74</f>
        <v>0</v>
      </c>
      <c r="AB75" s="49"/>
      <c r="AC75" s="177">
        <f>+AC57-AC74</f>
        <v>0</v>
      </c>
      <c r="AD75" s="49"/>
      <c r="AE75" s="177">
        <f>+AE57-AE74</f>
        <v>0</v>
      </c>
      <c r="AF75" s="49"/>
      <c r="AG75" s="177">
        <f>+AG57-AG74</f>
        <v>0</v>
      </c>
      <c r="AH75" s="49"/>
      <c r="AI75" s="177">
        <f>+AI57-AI74</f>
        <v>0</v>
      </c>
      <c r="AJ75" s="49"/>
      <c r="AK75" s="177">
        <f>+AK57-AK74</f>
        <v>0</v>
      </c>
      <c r="AL75" s="49"/>
      <c r="AM75" s="177">
        <f>+AM57-AM74</f>
        <v>0</v>
      </c>
      <c r="AN75" s="49"/>
      <c r="AO75" s="177">
        <f>+AO57-AO74</f>
        <v>0</v>
      </c>
      <c r="AP75" s="49"/>
      <c r="AQ75" s="177">
        <f>+AQ57-AQ74</f>
        <v>0</v>
      </c>
      <c r="AR75" s="49"/>
      <c r="AS75" s="177">
        <f>+AS57-AS74</f>
        <v>0</v>
      </c>
      <c r="AT75" s="49"/>
      <c r="AU75" s="177">
        <f>+AU57-AU74</f>
        <v>0</v>
      </c>
      <c r="AV75" s="49"/>
      <c r="AW75" s="177">
        <f>+AW57-AW74</f>
        <v>0</v>
      </c>
      <c r="AX75" s="49"/>
      <c r="AY75" s="177">
        <f>+AY57-AY74</f>
        <v>0</v>
      </c>
      <c r="AZ75" s="49"/>
      <c r="BA75" s="177">
        <f>+BA57-BA74</f>
        <v>0</v>
      </c>
      <c r="BB75" s="49"/>
      <c r="BC75" s="177">
        <f>+BC57-BC74</f>
        <v>0</v>
      </c>
      <c r="BD75" s="49"/>
      <c r="BE75" s="177">
        <f>+BE57-BE74</f>
        <v>0</v>
      </c>
      <c r="BF75" s="49"/>
      <c r="BG75" s="177">
        <f>+BG57-BG74</f>
        <v>0</v>
      </c>
      <c r="BH75" s="49"/>
      <c r="BI75" s="177">
        <f>+BI57-BI74</f>
        <v>0</v>
      </c>
      <c r="BJ75" s="49"/>
      <c r="BK75" s="177">
        <f>+BK57-BK74</f>
        <v>0</v>
      </c>
      <c r="BL75" s="49"/>
      <c r="BM75" s="177">
        <f>+BM57-BM74</f>
        <v>0</v>
      </c>
      <c r="BN75" s="92"/>
      <c r="BO75" s="170">
        <f t="shared" si="95"/>
        <v>0</v>
      </c>
      <c r="BP75" s="49"/>
      <c r="BQ75" s="179">
        <f>IF(BM75="","",BM75)</f>
        <v>0</v>
      </c>
    </row>
    <row r="76" spans="1:69" ht="28.9" customHeight="1" x14ac:dyDescent="0.35">
      <c r="A76" s="74" t="s">
        <v>92</v>
      </c>
      <c r="B76" s="75"/>
      <c r="C76" s="141"/>
      <c r="D76" s="102"/>
      <c r="E76" s="142"/>
      <c r="F76" s="104"/>
      <c r="G76" s="142"/>
      <c r="H76" s="104"/>
      <c r="I76" s="142"/>
      <c r="J76" s="104"/>
      <c r="K76" s="142"/>
      <c r="L76" s="104"/>
      <c r="M76" s="142"/>
      <c r="N76" s="104"/>
      <c r="O76" s="142"/>
      <c r="P76" s="104"/>
      <c r="Q76" s="142"/>
      <c r="R76" s="104"/>
      <c r="S76" s="142"/>
      <c r="T76" s="104"/>
      <c r="U76" s="142"/>
      <c r="V76" s="104"/>
      <c r="W76" s="142"/>
      <c r="X76" s="104"/>
      <c r="Y76" s="142"/>
      <c r="Z76" s="104"/>
      <c r="AA76" s="142"/>
      <c r="AB76" s="104"/>
      <c r="AC76" s="142"/>
      <c r="AD76" s="104"/>
      <c r="AE76" s="142"/>
      <c r="AF76" s="104"/>
      <c r="AG76" s="142"/>
      <c r="AH76" s="104"/>
      <c r="AI76" s="142"/>
      <c r="AJ76" s="104"/>
      <c r="AK76" s="142"/>
      <c r="AL76" s="104"/>
      <c r="AM76" s="142"/>
      <c r="AN76" s="104"/>
      <c r="AO76" s="142"/>
      <c r="AP76" s="104"/>
      <c r="AQ76" s="142"/>
      <c r="AR76" s="104"/>
      <c r="AS76" s="142"/>
      <c r="AT76" s="104"/>
      <c r="AU76" s="142"/>
      <c r="AV76" s="104"/>
      <c r="AW76" s="142"/>
      <c r="AX76" s="104"/>
      <c r="AY76" s="142"/>
      <c r="AZ76" s="104"/>
      <c r="BA76" s="142"/>
      <c r="BB76" s="104"/>
      <c r="BC76" s="142"/>
      <c r="BD76" s="104"/>
      <c r="BE76" s="142"/>
      <c r="BF76" s="104"/>
      <c r="BG76" s="142"/>
      <c r="BH76" s="104"/>
      <c r="BI76" s="142"/>
      <c r="BJ76" s="104"/>
      <c r="BK76" s="142"/>
      <c r="BL76" s="104"/>
      <c r="BM76" s="142"/>
      <c r="BN76" s="105"/>
      <c r="BO76" s="106"/>
      <c r="BP76" s="104"/>
      <c r="BQ76" s="107"/>
    </row>
    <row r="77" spans="1:69" x14ac:dyDescent="0.35">
      <c r="A77" s="132" t="s">
        <v>75</v>
      </c>
      <c r="B77" s="54" t="s">
        <v>65</v>
      </c>
      <c r="C77" s="174" t="str">
        <f>IF('April 2027 Log'!BK77="","",'April 2027 Log'!BK77)</f>
        <v/>
      </c>
      <c r="D77" s="189" t="e">
        <f t="shared" ref="D77:D104" si="98">+E77-C77</f>
        <v>#VALUE!</v>
      </c>
      <c r="E77" s="86"/>
      <c r="F77" s="167">
        <f t="shared" ref="F77:F104" si="99">+G77-E77</f>
        <v>0</v>
      </c>
      <c r="G77" s="86"/>
      <c r="H77" s="167">
        <f t="shared" ref="H77:H104" si="100">+I77-G77</f>
        <v>0</v>
      </c>
      <c r="I77" s="86"/>
      <c r="J77" s="167">
        <f t="shared" ref="J77:J104" si="101">+K77-I77</f>
        <v>0</v>
      </c>
      <c r="K77" s="86"/>
      <c r="L77" s="167">
        <f t="shared" ref="L77:L89" si="102">+M77-K77</f>
        <v>0</v>
      </c>
      <c r="M77" s="86"/>
      <c r="N77" s="167">
        <f t="shared" ref="N77:N89" si="103">+O77-M77</f>
        <v>0</v>
      </c>
      <c r="O77" s="86"/>
      <c r="P77" s="167">
        <f t="shared" ref="P77:P89" si="104">+Q77-O77</f>
        <v>0</v>
      </c>
      <c r="Q77" s="86"/>
      <c r="R77" s="167">
        <f t="shared" ref="R77:R89" si="105">+S77-Q77</f>
        <v>0</v>
      </c>
      <c r="S77" s="86"/>
      <c r="T77" s="167">
        <f t="shared" ref="T77:T89" si="106">+U77-S77</f>
        <v>0</v>
      </c>
      <c r="U77" s="86"/>
      <c r="V77" s="167">
        <f t="shared" ref="V77:V89" si="107">+W77-U77</f>
        <v>0</v>
      </c>
      <c r="W77" s="86"/>
      <c r="X77" s="167">
        <f t="shared" ref="X77:X89" si="108">+Y77-W77</f>
        <v>0</v>
      </c>
      <c r="Y77" s="86"/>
      <c r="Z77" s="167">
        <f t="shared" ref="Z77:Z89" si="109">+AA77-Y77</f>
        <v>0</v>
      </c>
      <c r="AA77" s="86"/>
      <c r="AB77" s="167">
        <f t="shared" ref="AB77:AB89" si="110">+AC77-AA77</f>
        <v>0</v>
      </c>
      <c r="AC77" s="86"/>
      <c r="AD77" s="167">
        <f t="shared" ref="AD77:AD89" si="111">+AE77-AC77</f>
        <v>0</v>
      </c>
      <c r="AE77" s="86"/>
      <c r="AF77" s="167">
        <f t="shared" ref="AF77:AF89" si="112">+AG77-AE77</f>
        <v>0</v>
      </c>
      <c r="AG77" s="86"/>
      <c r="AH77" s="167">
        <f t="shared" ref="AH77:AH89" si="113">+AI77-AG77</f>
        <v>0</v>
      </c>
      <c r="AI77" s="86"/>
      <c r="AJ77" s="167">
        <f t="shared" ref="AJ77:AJ89" si="114">+AK77-AI77</f>
        <v>0</v>
      </c>
      <c r="AK77" s="86"/>
      <c r="AL77" s="167">
        <f t="shared" ref="AL77:AL89" si="115">+AM77-AK77</f>
        <v>0</v>
      </c>
      <c r="AM77" s="86"/>
      <c r="AN77" s="167">
        <f t="shared" ref="AN77:AN89" si="116">+AO77-AM77</f>
        <v>0</v>
      </c>
      <c r="AO77" s="86"/>
      <c r="AP77" s="167">
        <f t="shared" ref="AP77:AP89" si="117">+AQ77-AO77</f>
        <v>0</v>
      </c>
      <c r="AQ77" s="86"/>
      <c r="AR77" s="167">
        <f t="shared" ref="AR77:AR89" si="118">+AS77-AQ77</f>
        <v>0</v>
      </c>
      <c r="AS77" s="86"/>
      <c r="AT77" s="167">
        <f t="shared" ref="AT77:AT89" si="119">+AU77-AS77</f>
        <v>0</v>
      </c>
      <c r="AU77" s="86"/>
      <c r="AV77" s="167">
        <f t="shared" ref="AV77:AV89" si="120">+AW77-AU77</f>
        <v>0</v>
      </c>
      <c r="AW77" s="86"/>
      <c r="AX77" s="167">
        <f t="shared" ref="AX77:AX89" si="121">+AY77-AW77</f>
        <v>0</v>
      </c>
      <c r="AY77" s="86"/>
      <c r="AZ77" s="167">
        <f t="shared" ref="AZ77:AZ89" si="122">+BA77-AY77</f>
        <v>0</v>
      </c>
      <c r="BA77" s="86"/>
      <c r="BB77" s="167">
        <f t="shared" ref="BB77:BB89" si="123">+BC77-BA77</f>
        <v>0</v>
      </c>
      <c r="BC77" s="86"/>
      <c r="BD77" s="167">
        <f t="shared" ref="BD77:BD89" si="124">+BE77-BC77</f>
        <v>0</v>
      </c>
      <c r="BE77" s="86"/>
      <c r="BF77" s="167">
        <f t="shared" ref="BF77:BF89" si="125">+BG77-BE77</f>
        <v>0</v>
      </c>
      <c r="BG77" s="86"/>
      <c r="BH77" s="167">
        <f t="shared" ref="BH77:BH89" si="126">+BI77-BG77</f>
        <v>0</v>
      </c>
      <c r="BI77" s="86"/>
      <c r="BJ77" s="167">
        <f t="shared" ref="BJ77:BJ89" si="127">+BK77-BI77</f>
        <v>0</v>
      </c>
      <c r="BK77" s="86"/>
      <c r="BL77" s="167">
        <f t="shared" ref="BL77:BL89" si="128">+BM77-BK77</f>
        <v>0</v>
      </c>
      <c r="BM77" s="86"/>
      <c r="BN77" s="50"/>
      <c r="BO77" s="170" t="e">
        <f t="shared" ref="BO77:BO88" si="129">IF(COUNT(D77,F77,H77,J77,L77,N77,P77,R77,T77,V77,X77,Z77,AB77,AD77,AF77,AH77,AJ77,AL77,AN77,AP77,AR77,AT77,AV77,AX77,AZ77,BB77,BD77,BF77,BH77,BJ77,BL77)=0,"",SUM(D77,F77,H77,J77,L77,N77,P77,R77,T77,V77,X77,Z77,AB77,AD77,AF77,AH77,AJ77,AL77,AN77,AP77,AR77,AT77,AV77,AX77,AZ77,BB77,BD77,BF77,BH77,BJ77,BL77))</f>
        <v>#VALUE!</v>
      </c>
      <c r="BP77" s="193" t="e">
        <f>+BQ77-BM77</f>
        <v>#VALUE!</v>
      </c>
      <c r="BQ77" s="212" t="str">
        <f t="shared" ref="BQ77:BQ88" si="130">IF(BM77="","",BM77)</f>
        <v/>
      </c>
    </row>
    <row r="78" spans="1:69" x14ac:dyDescent="0.35">
      <c r="A78" s="136" t="s">
        <v>76</v>
      </c>
      <c r="B78" s="54" t="s">
        <v>66</v>
      </c>
      <c r="C78" s="174" t="str">
        <f>IF('April 2027 Log'!BK78="","",'April 2027 Log'!BK78)</f>
        <v/>
      </c>
      <c r="D78" s="189" t="e">
        <f t="shared" si="98"/>
        <v>#VALUE!</v>
      </c>
      <c r="E78" s="86"/>
      <c r="F78" s="167">
        <f t="shared" si="99"/>
        <v>0</v>
      </c>
      <c r="G78" s="86"/>
      <c r="H78" s="167">
        <f t="shared" si="100"/>
        <v>0</v>
      </c>
      <c r="I78" s="86"/>
      <c r="J78" s="167">
        <f t="shared" si="101"/>
        <v>0</v>
      </c>
      <c r="K78" s="86"/>
      <c r="L78" s="167">
        <f t="shared" si="102"/>
        <v>0</v>
      </c>
      <c r="M78" s="86"/>
      <c r="N78" s="167">
        <f t="shared" si="103"/>
        <v>0</v>
      </c>
      <c r="O78" s="86"/>
      <c r="P78" s="167">
        <f t="shared" si="104"/>
        <v>0</v>
      </c>
      <c r="Q78" s="86"/>
      <c r="R78" s="167">
        <f t="shared" si="105"/>
        <v>0</v>
      </c>
      <c r="S78" s="86"/>
      <c r="T78" s="167">
        <f t="shared" si="106"/>
        <v>0</v>
      </c>
      <c r="U78" s="86"/>
      <c r="V78" s="167">
        <f t="shared" si="107"/>
        <v>0</v>
      </c>
      <c r="W78" s="86"/>
      <c r="X78" s="167">
        <f t="shared" si="108"/>
        <v>0</v>
      </c>
      <c r="Y78" s="86"/>
      <c r="Z78" s="167">
        <f t="shared" si="109"/>
        <v>0</v>
      </c>
      <c r="AA78" s="86"/>
      <c r="AB78" s="167">
        <f t="shared" si="110"/>
        <v>0</v>
      </c>
      <c r="AC78" s="86"/>
      <c r="AD78" s="167">
        <f t="shared" si="111"/>
        <v>0</v>
      </c>
      <c r="AE78" s="86"/>
      <c r="AF78" s="167">
        <f t="shared" si="112"/>
        <v>0</v>
      </c>
      <c r="AG78" s="86"/>
      <c r="AH78" s="167">
        <f t="shared" si="113"/>
        <v>0</v>
      </c>
      <c r="AI78" s="86"/>
      <c r="AJ78" s="167">
        <f t="shared" si="114"/>
        <v>0</v>
      </c>
      <c r="AK78" s="86"/>
      <c r="AL78" s="167">
        <f t="shared" si="115"/>
        <v>0</v>
      </c>
      <c r="AM78" s="86"/>
      <c r="AN78" s="167">
        <f t="shared" si="116"/>
        <v>0</v>
      </c>
      <c r="AO78" s="86"/>
      <c r="AP78" s="167">
        <f t="shared" si="117"/>
        <v>0</v>
      </c>
      <c r="AQ78" s="86"/>
      <c r="AR78" s="167">
        <f t="shared" si="118"/>
        <v>0</v>
      </c>
      <c r="AS78" s="86"/>
      <c r="AT78" s="167">
        <f t="shared" si="119"/>
        <v>0</v>
      </c>
      <c r="AU78" s="86"/>
      <c r="AV78" s="167">
        <f t="shared" si="120"/>
        <v>0</v>
      </c>
      <c r="AW78" s="86"/>
      <c r="AX78" s="167">
        <f t="shared" si="121"/>
        <v>0</v>
      </c>
      <c r="AY78" s="86"/>
      <c r="AZ78" s="167">
        <f t="shared" si="122"/>
        <v>0</v>
      </c>
      <c r="BA78" s="86"/>
      <c r="BB78" s="167">
        <f t="shared" si="123"/>
        <v>0</v>
      </c>
      <c r="BC78" s="86"/>
      <c r="BD78" s="167">
        <f t="shared" si="124"/>
        <v>0</v>
      </c>
      <c r="BE78" s="86"/>
      <c r="BF78" s="167">
        <f t="shared" si="125"/>
        <v>0</v>
      </c>
      <c r="BG78" s="86"/>
      <c r="BH78" s="167">
        <f t="shared" si="126"/>
        <v>0</v>
      </c>
      <c r="BI78" s="86"/>
      <c r="BJ78" s="167">
        <f t="shared" si="127"/>
        <v>0</v>
      </c>
      <c r="BK78" s="86"/>
      <c r="BL78" s="167">
        <f t="shared" si="128"/>
        <v>0</v>
      </c>
      <c r="BM78" s="86"/>
      <c r="BN78" s="50"/>
      <c r="BO78" s="170" t="e">
        <f t="shared" si="129"/>
        <v>#VALUE!</v>
      </c>
      <c r="BP78" s="167" t="e">
        <f t="shared" ref="BP78:BP89" si="131">+BQ78-BM78</f>
        <v>#VALUE!</v>
      </c>
      <c r="BQ78" s="178" t="str">
        <f t="shared" si="130"/>
        <v/>
      </c>
    </row>
    <row r="79" spans="1:69" x14ac:dyDescent="0.35">
      <c r="A79" s="134" t="s">
        <v>77</v>
      </c>
      <c r="B79" s="54" t="s">
        <v>67</v>
      </c>
      <c r="C79" s="174" t="str">
        <f>IF('April 2027 Log'!BK79="","",'April 2027 Log'!BK79)</f>
        <v/>
      </c>
      <c r="D79" s="189" t="e">
        <f t="shared" si="98"/>
        <v>#VALUE!</v>
      </c>
      <c r="E79" s="86"/>
      <c r="F79" s="167">
        <f t="shared" si="99"/>
        <v>0</v>
      </c>
      <c r="G79" s="86"/>
      <c r="H79" s="167">
        <f t="shared" si="100"/>
        <v>0</v>
      </c>
      <c r="I79" s="86"/>
      <c r="J79" s="167">
        <f t="shared" si="101"/>
        <v>0</v>
      </c>
      <c r="K79" s="86"/>
      <c r="L79" s="167">
        <f t="shared" si="102"/>
        <v>0</v>
      </c>
      <c r="M79" s="86"/>
      <c r="N79" s="167">
        <f t="shared" si="103"/>
        <v>0</v>
      </c>
      <c r="O79" s="86"/>
      <c r="P79" s="167">
        <f t="shared" si="104"/>
        <v>0</v>
      </c>
      <c r="Q79" s="86"/>
      <c r="R79" s="167">
        <f t="shared" si="105"/>
        <v>0</v>
      </c>
      <c r="S79" s="86"/>
      <c r="T79" s="167">
        <f t="shared" si="106"/>
        <v>0</v>
      </c>
      <c r="U79" s="86"/>
      <c r="V79" s="167">
        <f t="shared" si="107"/>
        <v>0</v>
      </c>
      <c r="W79" s="86"/>
      <c r="X79" s="167">
        <f t="shared" si="108"/>
        <v>0</v>
      </c>
      <c r="Y79" s="86"/>
      <c r="Z79" s="167">
        <f t="shared" si="109"/>
        <v>0</v>
      </c>
      <c r="AA79" s="86"/>
      <c r="AB79" s="167">
        <f t="shared" si="110"/>
        <v>0</v>
      </c>
      <c r="AC79" s="86"/>
      <c r="AD79" s="167">
        <f t="shared" si="111"/>
        <v>0</v>
      </c>
      <c r="AE79" s="86"/>
      <c r="AF79" s="167">
        <f t="shared" si="112"/>
        <v>0</v>
      </c>
      <c r="AG79" s="86"/>
      <c r="AH79" s="167">
        <f t="shared" si="113"/>
        <v>0</v>
      </c>
      <c r="AI79" s="86"/>
      <c r="AJ79" s="167">
        <f t="shared" si="114"/>
        <v>0</v>
      </c>
      <c r="AK79" s="86"/>
      <c r="AL79" s="167">
        <f t="shared" si="115"/>
        <v>0</v>
      </c>
      <c r="AM79" s="86"/>
      <c r="AN79" s="167">
        <f t="shared" si="116"/>
        <v>0</v>
      </c>
      <c r="AO79" s="86"/>
      <c r="AP79" s="167">
        <f t="shared" si="117"/>
        <v>0</v>
      </c>
      <c r="AQ79" s="86"/>
      <c r="AR79" s="167">
        <f t="shared" si="118"/>
        <v>0</v>
      </c>
      <c r="AS79" s="86"/>
      <c r="AT79" s="167">
        <f t="shared" si="119"/>
        <v>0</v>
      </c>
      <c r="AU79" s="86"/>
      <c r="AV79" s="167">
        <f t="shared" si="120"/>
        <v>0</v>
      </c>
      <c r="AW79" s="86"/>
      <c r="AX79" s="167">
        <f t="shared" si="121"/>
        <v>0</v>
      </c>
      <c r="AY79" s="86"/>
      <c r="AZ79" s="167">
        <f t="shared" si="122"/>
        <v>0</v>
      </c>
      <c r="BA79" s="86"/>
      <c r="BB79" s="167">
        <f t="shared" si="123"/>
        <v>0</v>
      </c>
      <c r="BC79" s="86"/>
      <c r="BD79" s="167">
        <f t="shared" si="124"/>
        <v>0</v>
      </c>
      <c r="BE79" s="86"/>
      <c r="BF79" s="167">
        <f t="shared" si="125"/>
        <v>0</v>
      </c>
      <c r="BG79" s="86"/>
      <c r="BH79" s="167">
        <f t="shared" si="126"/>
        <v>0</v>
      </c>
      <c r="BI79" s="86"/>
      <c r="BJ79" s="167">
        <f t="shared" si="127"/>
        <v>0</v>
      </c>
      <c r="BK79" s="86"/>
      <c r="BL79" s="167">
        <f t="shared" si="128"/>
        <v>0</v>
      </c>
      <c r="BM79" s="86"/>
      <c r="BN79" s="50"/>
      <c r="BO79" s="170" t="e">
        <f t="shared" si="129"/>
        <v>#VALUE!</v>
      </c>
      <c r="BP79" s="167" t="e">
        <f t="shared" si="131"/>
        <v>#VALUE!</v>
      </c>
      <c r="BQ79" s="178" t="str">
        <f t="shared" si="130"/>
        <v/>
      </c>
    </row>
    <row r="80" spans="1:69" x14ac:dyDescent="0.35">
      <c r="A80" s="132" t="s">
        <v>78</v>
      </c>
      <c r="B80" s="54" t="s">
        <v>65</v>
      </c>
      <c r="C80" s="174" t="str">
        <f>IF('April 2027 Log'!BK80="","",'April 2027 Log'!BK80)</f>
        <v/>
      </c>
      <c r="D80" s="189" t="e">
        <f t="shared" si="98"/>
        <v>#VALUE!</v>
      </c>
      <c r="E80" s="86"/>
      <c r="F80" s="167">
        <f t="shared" si="99"/>
        <v>0</v>
      </c>
      <c r="G80" s="86"/>
      <c r="H80" s="167">
        <f t="shared" si="100"/>
        <v>0</v>
      </c>
      <c r="I80" s="86"/>
      <c r="J80" s="167">
        <f t="shared" si="101"/>
        <v>0</v>
      </c>
      <c r="K80" s="86"/>
      <c r="L80" s="167">
        <f t="shared" si="102"/>
        <v>0</v>
      </c>
      <c r="M80" s="86"/>
      <c r="N80" s="167">
        <f t="shared" si="103"/>
        <v>0</v>
      </c>
      <c r="O80" s="86"/>
      <c r="P80" s="167">
        <f t="shared" si="104"/>
        <v>0</v>
      </c>
      <c r="Q80" s="86"/>
      <c r="R80" s="167">
        <f t="shared" si="105"/>
        <v>0</v>
      </c>
      <c r="S80" s="86"/>
      <c r="T80" s="167">
        <f t="shared" si="106"/>
        <v>0</v>
      </c>
      <c r="U80" s="86"/>
      <c r="V80" s="167">
        <f t="shared" si="107"/>
        <v>0</v>
      </c>
      <c r="W80" s="86"/>
      <c r="X80" s="167">
        <f t="shared" si="108"/>
        <v>0</v>
      </c>
      <c r="Y80" s="86"/>
      <c r="Z80" s="167">
        <f t="shared" si="109"/>
        <v>0</v>
      </c>
      <c r="AA80" s="86"/>
      <c r="AB80" s="167">
        <f t="shared" si="110"/>
        <v>0</v>
      </c>
      <c r="AC80" s="86"/>
      <c r="AD80" s="167">
        <f t="shared" si="111"/>
        <v>0</v>
      </c>
      <c r="AE80" s="86"/>
      <c r="AF80" s="167">
        <f t="shared" si="112"/>
        <v>0</v>
      </c>
      <c r="AG80" s="86"/>
      <c r="AH80" s="167">
        <f t="shared" si="113"/>
        <v>0</v>
      </c>
      <c r="AI80" s="86"/>
      <c r="AJ80" s="167">
        <f t="shared" si="114"/>
        <v>0</v>
      </c>
      <c r="AK80" s="86"/>
      <c r="AL80" s="167">
        <f t="shared" si="115"/>
        <v>0</v>
      </c>
      <c r="AM80" s="86"/>
      <c r="AN80" s="167">
        <f t="shared" si="116"/>
        <v>0</v>
      </c>
      <c r="AO80" s="86"/>
      <c r="AP80" s="167">
        <f t="shared" si="117"/>
        <v>0</v>
      </c>
      <c r="AQ80" s="86"/>
      <c r="AR80" s="167">
        <f t="shared" si="118"/>
        <v>0</v>
      </c>
      <c r="AS80" s="86"/>
      <c r="AT80" s="167">
        <f t="shared" si="119"/>
        <v>0</v>
      </c>
      <c r="AU80" s="86"/>
      <c r="AV80" s="167">
        <f t="shared" si="120"/>
        <v>0</v>
      </c>
      <c r="AW80" s="86"/>
      <c r="AX80" s="167">
        <f t="shared" si="121"/>
        <v>0</v>
      </c>
      <c r="AY80" s="86"/>
      <c r="AZ80" s="167">
        <f t="shared" si="122"/>
        <v>0</v>
      </c>
      <c r="BA80" s="86"/>
      <c r="BB80" s="167">
        <f t="shared" si="123"/>
        <v>0</v>
      </c>
      <c r="BC80" s="86"/>
      <c r="BD80" s="167">
        <f t="shared" si="124"/>
        <v>0</v>
      </c>
      <c r="BE80" s="86"/>
      <c r="BF80" s="167">
        <f t="shared" si="125"/>
        <v>0</v>
      </c>
      <c r="BG80" s="86"/>
      <c r="BH80" s="167">
        <f t="shared" si="126"/>
        <v>0</v>
      </c>
      <c r="BI80" s="86"/>
      <c r="BJ80" s="167">
        <f t="shared" si="127"/>
        <v>0</v>
      </c>
      <c r="BK80" s="86"/>
      <c r="BL80" s="167">
        <f t="shared" si="128"/>
        <v>0</v>
      </c>
      <c r="BM80" s="86"/>
      <c r="BN80" s="50"/>
      <c r="BO80" s="170" t="e">
        <f t="shared" si="129"/>
        <v>#VALUE!</v>
      </c>
      <c r="BP80" s="167" t="e">
        <f t="shared" si="131"/>
        <v>#VALUE!</v>
      </c>
      <c r="BQ80" s="178" t="str">
        <f t="shared" si="130"/>
        <v/>
      </c>
    </row>
    <row r="81" spans="1:69" x14ac:dyDescent="0.35">
      <c r="A81" s="136" t="s">
        <v>79</v>
      </c>
      <c r="B81" s="54" t="s">
        <v>66</v>
      </c>
      <c r="C81" s="174" t="str">
        <f>IF('April 2027 Log'!BK81="","",'April 2027 Log'!BK81)</f>
        <v/>
      </c>
      <c r="D81" s="189" t="e">
        <f t="shared" si="98"/>
        <v>#VALUE!</v>
      </c>
      <c r="E81" s="86"/>
      <c r="F81" s="167">
        <f t="shared" si="99"/>
        <v>0</v>
      </c>
      <c r="G81" s="86"/>
      <c r="H81" s="167">
        <f t="shared" si="100"/>
        <v>0</v>
      </c>
      <c r="I81" s="86"/>
      <c r="J81" s="167">
        <f t="shared" si="101"/>
        <v>0</v>
      </c>
      <c r="K81" s="86"/>
      <c r="L81" s="167">
        <f t="shared" si="102"/>
        <v>0</v>
      </c>
      <c r="M81" s="86"/>
      <c r="N81" s="167">
        <f t="shared" si="103"/>
        <v>0</v>
      </c>
      <c r="O81" s="86"/>
      <c r="P81" s="167">
        <f t="shared" si="104"/>
        <v>0</v>
      </c>
      <c r="Q81" s="86"/>
      <c r="R81" s="167">
        <f t="shared" si="105"/>
        <v>0</v>
      </c>
      <c r="S81" s="86"/>
      <c r="T81" s="167">
        <f t="shared" si="106"/>
        <v>0</v>
      </c>
      <c r="U81" s="86"/>
      <c r="V81" s="167">
        <f t="shared" si="107"/>
        <v>0</v>
      </c>
      <c r="W81" s="86"/>
      <c r="X81" s="167">
        <f t="shared" si="108"/>
        <v>0</v>
      </c>
      <c r="Y81" s="86"/>
      <c r="Z81" s="167">
        <f t="shared" si="109"/>
        <v>0</v>
      </c>
      <c r="AA81" s="86"/>
      <c r="AB81" s="167">
        <f t="shared" si="110"/>
        <v>0</v>
      </c>
      <c r="AC81" s="86"/>
      <c r="AD81" s="167">
        <f t="shared" si="111"/>
        <v>0</v>
      </c>
      <c r="AE81" s="86"/>
      <c r="AF81" s="167">
        <f t="shared" si="112"/>
        <v>0</v>
      </c>
      <c r="AG81" s="86"/>
      <c r="AH81" s="167">
        <f t="shared" si="113"/>
        <v>0</v>
      </c>
      <c r="AI81" s="86"/>
      <c r="AJ81" s="167">
        <f t="shared" si="114"/>
        <v>0</v>
      </c>
      <c r="AK81" s="86"/>
      <c r="AL81" s="167">
        <f t="shared" si="115"/>
        <v>0</v>
      </c>
      <c r="AM81" s="86"/>
      <c r="AN81" s="167">
        <f t="shared" si="116"/>
        <v>0</v>
      </c>
      <c r="AO81" s="86"/>
      <c r="AP81" s="167">
        <f t="shared" si="117"/>
        <v>0</v>
      </c>
      <c r="AQ81" s="86"/>
      <c r="AR81" s="167">
        <f t="shared" si="118"/>
        <v>0</v>
      </c>
      <c r="AS81" s="86"/>
      <c r="AT81" s="167">
        <f t="shared" si="119"/>
        <v>0</v>
      </c>
      <c r="AU81" s="86"/>
      <c r="AV81" s="167">
        <f t="shared" si="120"/>
        <v>0</v>
      </c>
      <c r="AW81" s="86"/>
      <c r="AX81" s="167">
        <f t="shared" si="121"/>
        <v>0</v>
      </c>
      <c r="AY81" s="86"/>
      <c r="AZ81" s="167">
        <f t="shared" si="122"/>
        <v>0</v>
      </c>
      <c r="BA81" s="86"/>
      <c r="BB81" s="167">
        <f t="shared" si="123"/>
        <v>0</v>
      </c>
      <c r="BC81" s="86"/>
      <c r="BD81" s="167">
        <f t="shared" si="124"/>
        <v>0</v>
      </c>
      <c r="BE81" s="86"/>
      <c r="BF81" s="167">
        <f t="shared" si="125"/>
        <v>0</v>
      </c>
      <c r="BG81" s="86"/>
      <c r="BH81" s="167">
        <f t="shared" si="126"/>
        <v>0</v>
      </c>
      <c r="BI81" s="86"/>
      <c r="BJ81" s="167">
        <f t="shared" si="127"/>
        <v>0</v>
      </c>
      <c r="BK81" s="86"/>
      <c r="BL81" s="167">
        <f t="shared" si="128"/>
        <v>0</v>
      </c>
      <c r="BM81" s="86"/>
      <c r="BN81" s="50"/>
      <c r="BO81" s="170" t="e">
        <f t="shared" si="129"/>
        <v>#VALUE!</v>
      </c>
      <c r="BP81" s="167" t="e">
        <f t="shared" si="131"/>
        <v>#VALUE!</v>
      </c>
      <c r="BQ81" s="178" t="str">
        <f t="shared" si="130"/>
        <v/>
      </c>
    </row>
    <row r="82" spans="1:69" x14ac:dyDescent="0.35">
      <c r="A82" s="134" t="s">
        <v>80</v>
      </c>
      <c r="B82" s="54" t="s">
        <v>67</v>
      </c>
      <c r="C82" s="174" t="str">
        <f>IF('April 2027 Log'!BK82="","",'April 2027 Log'!BK82)</f>
        <v/>
      </c>
      <c r="D82" s="189" t="e">
        <f t="shared" si="98"/>
        <v>#VALUE!</v>
      </c>
      <c r="E82" s="86"/>
      <c r="F82" s="167">
        <f t="shared" si="99"/>
        <v>0</v>
      </c>
      <c r="G82" s="86"/>
      <c r="H82" s="167">
        <f t="shared" si="100"/>
        <v>0</v>
      </c>
      <c r="I82" s="86"/>
      <c r="J82" s="167">
        <f t="shared" si="101"/>
        <v>0</v>
      </c>
      <c r="K82" s="86"/>
      <c r="L82" s="167">
        <f t="shared" si="102"/>
        <v>0</v>
      </c>
      <c r="M82" s="86"/>
      <c r="N82" s="167">
        <f t="shared" si="103"/>
        <v>0</v>
      </c>
      <c r="O82" s="86"/>
      <c r="P82" s="167">
        <f t="shared" si="104"/>
        <v>0</v>
      </c>
      <c r="Q82" s="86"/>
      <c r="R82" s="167">
        <f t="shared" si="105"/>
        <v>0</v>
      </c>
      <c r="S82" s="86"/>
      <c r="T82" s="167">
        <f t="shared" si="106"/>
        <v>0</v>
      </c>
      <c r="U82" s="86"/>
      <c r="V82" s="167">
        <f t="shared" si="107"/>
        <v>0</v>
      </c>
      <c r="W82" s="86"/>
      <c r="X82" s="167">
        <f t="shared" si="108"/>
        <v>0</v>
      </c>
      <c r="Y82" s="86"/>
      <c r="Z82" s="167">
        <f t="shared" si="109"/>
        <v>0</v>
      </c>
      <c r="AA82" s="86"/>
      <c r="AB82" s="167">
        <f t="shared" si="110"/>
        <v>0</v>
      </c>
      <c r="AC82" s="86"/>
      <c r="AD82" s="167">
        <f t="shared" si="111"/>
        <v>0</v>
      </c>
      <c r="AE82" s="86"/>
      <c r="AF82" s="167">
        <f t="shared" si="112"/>
        <v>0</v>
      </c>
      <c r="AG82" s="86"/>
      <c r="AH82" s="167">
        <f t="shared" si="113"/>
        <v>0</v>
      </c>
      <c r="AI82" s="86"/>
      <c r="AJ82" s="167">
        <f t="shared" si="114"/>
        <v>0</v>
      </c>
      <c r="AK82" s="86"/>
      <c r="AL82" s="167">
        <f t="shared" si="115"/>
        <v>0</v>
      </c>
      <c r="AM82" s="86"/>
      <c r="AN82" s="167">
        <f t="shared" si="116"/>
        <v>0</v>
      </c>
      <c r="AO82" s="86"/>
      <c r="AP82" s="167">
        <f t="shared" si="117"/>
        <v>0</v>
      </c>
      <c r="AQ82" s="86"/>
      <c r="AR82" s="167">
        <f t="shared" si="118"/>
        <v>0</v>
      </c>
      <c r="AS82" s="86"/>
      <c r="AT82" s="167">
        <f t="shared" si="119"/>
        <v>0</v>
      </c>
      <c r="AU82" s="86"/>
      <c r="AV82" s="167">
        <f t="shared" si="120"/>
        <v>0</v>
      </c>
      <c r="AW82" s="86"/>
      <c r="AX82" s="167">
        <f t="shared" si="121"/>
        <v>0</v>
      </c>
      <c r="AY82" s="86"/>
      <c r="AZ82" s="167">
        <f t="shared" si="122"/>
        <v>0</v>
      </c>
      <c r="BA82" s="86"/>
      <c r="BB82" s="167">
        <f t="shared" si="123"/>
        <v>0</v>
      </c>
      <c r="BC82" s="86"/>
      <c r="BD82" s="167">
        <f t="shared" si="124"/>
        <v>0</v>
      </c>
      <c r="BE82" s="86"/>
      <c r="BF82" s="167">
        <f t="shared" si="125"/>
        <v>0</v>
      </c>
      <c r="BG82" s="86"/>
      <c r="BH82" s="167">
        <f t="shared" si="126"/>
        <v>0</v>
      </c>
      <c r="BI82" s="86"/>
      <c r="BJ82" s="167">
        <f t="shared" si="127"/>
        <v>0</v>
      </c>
      <c r="BK82" s="86"/>
      <c r="BL82" s="167">
        <f t="shared" si="128"/>
        <v>0</v>
      </c>
      <c r="BM82" s="86"/>
      <c r="BN82" s="50"/>
      <c r="BO82" s="170" t="e">
        <f t="shared" si="129"/>
        <v>#VALUE!</v>
      </c>
      <c r="BP82" s="167" t="e">
        <f t="shared" si="131"/>
        <v>#VALUE!</v>
      </c>
      <c r="BQ82" s="178" t="str">
        <f t="shared" si="130"/>
        <v/>
      </c>
    </row>
    <row r="83" spans="1:69" x14ac:dyDescent="0.35">
      <c r="A83" s="135" t="s">
        <v>81</v>
      </c>
      <c r="B83" s="54" t="s">
        <v>67</v>
      </c>
      <c r="C83" s="174" t="str">
        <f>IF('April 2027 Log'!BK83="","",'April 2027 Log'!BK83)</f>
        <v/>
      </c>
      <c r="D83" s="189" t="e">
        <f t="shared" si="98"/>
        <v>#VALUE!</v>
      </c>
      <c r="E83" s="86"/>
      <c r="F83" s="167">
        <f t="shared" si="99"/>
        <v>0</v>
      </c>
      <c r="G83" s="86"/>
      <c r="H83" s="167">
        <f t="shared" si="100"/>
        <v>0</v>
      </c>
      <c r="I83" s="86"/>
      <c r="J83" s="167">
        <f t="shared" si="101"/>
        <v>0</v>
      </c>
      <c r="K83" s="86"/>
      <c r="L83" s="167">
        <f t="shared" si="102"/>
        <v>0</v>
      </c>
      <c r="M83" s="86"/>
      <c r="N83" s="167">
        <f t="shared" si="103"/>
        <v>0</v>
      </c>
      <c r="O83" s="86"/>
      <c r="P83" s="167">
        <f t="shared" si="104"/>
        <v>0</v>
      </c>
      <c r="Q83" s="86"/>
      <c r="R83" s="167">
        <f t="shared" si="105"/>
        <v>0</v>
      </c>
      <c r="S83" s="86"/>
      <c r="T83" s="167">
        <f t="shared" si="106"/>
        <v>0</v>
      </c>
      <c r="U83" s="86"/>
      <c r="V83" s="167">
        <f t="shared" si="107"/>
        <v>0</v>
      </c>
      <c r="W83" s="86"/>
      <c r="X83" s="167">
        <f t="shared" si="108"/>
        <v>0</v>
      </c>
      <c r="Y83" s="86"/>
      <c r="Z83" s="167">
        <f t="shared" si="109"/>
        <v>0</v>
      </c>
      <c r="AA83" s="86"/>
      <c r="AB83" s="167">
        <f t="shared" si="110"/>
        <v>0</v>
      </c>
      <c r="AC83" s="86"/>
      <c r="AD83" s="167">
        <f t="shared" si="111"/>
        <v>0</v>
      </c>
      <c r="AE83" s="86"/>
      <c r="AF83" s="167">
        <f t="shared" si="112"/>
        <v>0</v>
      </c>
      <c r="AG83" s="86"/>
      <c r="AH83" s="167">
        <f t="shared" si="113"/>
        <v>0</v>
      </c>
      <c r="AI83" s="86"/>
      <c r="AJ83" s="167">
        <f t="shared" si="114"/>
        <v>0</v>
      </c>
      <c r="AK83" s="86"/>
      <c r="AL83" s="167">
        <f t="shared" si="115"/>
        <v>0</v>
      </c>
      <c r="AM83" s="86"/>
      <c r="AN83" s="167">
        <f t="shared" si="116"/>
        <v>0</v>
      </c>
      <c r="AO83" s="86"/>
      <c r="AP83" s="167">
        <f t="shared" si="117"/>
        <v>0</v>
      </c>
      <c r="AQ83" s="86"/>
      <c r="AR83" s="167">
        <f t="shared" si="118"/>
        <v>0</v>
      </c>
      <c r="AS83" s="86"/>
      <c r="AT83" s="167">
        <f t="shared" si="119"/>
        <v>0</v>
      </c>
      <c r="AU83" s="86"/>
      <c r="AV83" s="167">
        <f t="shared" si="120"/>
        <v>0</v>
      </c>
      <c r="AW83" s="86"/>
      <c r="AX83" s="167">
        <f t="shared" si="121"/>
        <v>0</v>
      </c>
      <c r="AY83" s="86"/>
      <c r="AZ83" s="167">
        <f t="shared" si="122"/>
        <v>0</v>
      </c>
      <c r="BA83" s="86"/>
      <c r="BB83" s="167">
        <f t="shared" si="123"/>
        <v>0</v>
      </c>
      <c r="BC83" s="86"/>
      <c r="BD83" s="167">
        <f t="shared" si="124"/>
        <v>0</v>
      </c>
      <c r="BE83" s="86"/>
      <c r="BF83" s="167">
        <f t="shared" si="125"/>
        <v>0</v>
      </c>
      <c r="BG83" s="86"/>
      <c r="BH83" s="167">
        <f t="shared" si="126"/>
        <v>0</v>
      </c>
      <c r="BI83" s="86"/>
      <c r="BJ83" s="167">
        <f t="shared" si="127"/>
        <v>0</v>
      </c>
      <c r="BK83" s="86"/>
      <c r="BL83" s="167">
        <f t="shared" si="128"/>
        <v>0</v>
      </c>
      <c r="BM83" s="86"/>
      <c r="BN83" s="50"/>
      <c r="BO83" s="170" t="e">
        <f t="shared" si="129"/>
        <v>#VALUE!</v>
      </c>
      <c r="BP83" s="167" t="e">
        <f t="shared" si="131"/>
        <v>#VALUE!</v>
      </c>
      <c r="BQ83" s="178" t="str">
        <f t="shared" si="130"/>
        <v/>
      </c>
    </row>
    <row r="84" spans="1:69" x14ac:dyDescent="0.35">
      <c r="A84" s="136" t="s">
        <v>82</v>
      </c>
      <c r="B84" s="54" t="s">
        <v>66</v>
      </c>
      <c r="C84" s="174" t="str">
        <f>IF('April 2027 Log'!BK84="","",'April 2027 Log'!BK84)</f>
        <v/>
      </c>
      <c r="D84" s="189" t="e">
        <f t="shared" si="98"/>
        <v>#VALUE!</v>
      </c>
      <c r="E84" s="86"/>
      <c r="F84" s="167">
        <f t="shared" si="99"/>
        <v>0</v>
      </c>
      <c r="G84" s="86"/>
      <c r="H84" s="167">
        <f t="shared" si="100"/>
        <v>0</v>
      </c>
      <c r="I84" s="86"/>
      <c r="J84" s="167">
        <f t="shared" si="101"/>
        <v>0</v>
      </c>
      <c r="K84" s="86"/>
      <c r="L84" s="167">
        <f t="shared" si="102"/>
        <v>0</v>
      </c>
      <c r="M84" s="86"/>
      <c r="N84" s="167">
        <f t="shared" si="103"/>
        <v>0</v>
      </c>
      <c r="O84" s="86"/>
      <c r="P84" s="167">
        <f t="shared" si="104"/>
        <v>0</v>
      </c>
      <c r="Q84" s="86"/>
      <c r="R84" s="167">
        <f t="shared" si="105"/>
        <v>0</v>
      </c>
      <c r="S84" s="86"/>
      <c r="T84" s="167">
        <f t="shared" si="106"/>
        <v>0</v>
      </c>
      <c r="U84" s="86"/>
      <c r="V84" s="167">
        <f t="shared" si="107"/>
        <v>0</v>
      </c>
      <c r="W84" s="86"/>
      <c r="X84" s="167">
        <f t="shared" si="108"/>
        <v>0</v>
      </c>
      <c r="Y84" s="86"/>
      <c r="Z84" s="167">
        <f t="shared" si="109"/>
        <v>0</v>
      </c>
      <c r="AA84" s="86"/>
      <c r="AB84" s="167">
        <f t="shared" si="110"/>
        <v>0</v>
      </c>
      <c r="AC84" s="86"/>
      <c r="AD84" s="167">
        <f t="shared" si="111"/>
        <v>0</v>
      </c>
      <c r="AE84" s="86"/>
      <c r="AF84" s="167">
        <f t="shared" si="112"/>
        <v>0</v>
      </c>
      <c r="AG84" s="86"/>
      <c r="AH84" s="167">
        <f t="shared" si="113"/>
        <v>0</v>
      </c>
      <c r="AI84" s="86"/>
      <c r="AJ84" s="167">
        <f t="shared" si="114"/>
        <v>0</v>
      </c>
      <c r="AK84" s="86"/>
      <c r="AL84" s="167">
        <f t="shared" si="115"/>
        <v>0</v>
      </c>
      <c r="AM84" s="86"/>
      <c r="AN84" s="167">
        <f t="shared" si="116"/>
        <v>0</v>
      </c>
      <c r="AO84" s="86"/>
      <c r="AP84" s="167">
        <f t="shared" si="117"/>
        <v>0</v>
      </c>
      <c r="AQ84" s="86"/>
      <c r="AR84" s="167">
        <f t="shared" si="118"/>
        <v>0</v>
      </c>
      <c r="AS84" s="86"/>
      <c r="AT84" s="167">
        <f t="shared" si="119"/>
        <v>0</v>
      </c>
      <c r="AU84" s="86"/>
      <c r="AV84" s="167">
        <f t="shared" si="120"/>
        <v>0</v>
      </c>
      <c r="AW84" s="86"/>
      <c r="AX84" s="167">
        <f t="shared" si="121"/>
        <v>0</v>
      </c>
      <c r="AY84" s="86"/>
      <c r="AZ84" s="167">
        <f t="shared" si="122"/>
        <v>0</v>
      </c>
      <c r="BA84" s="86"/>
      <c r="BB84" s="167">
        <f t="shared" si="123"/>
        <v>0</v>
      </c>
      <c r="BC84" s="86"/>
      <c r="BD84" s="167">
        <f t="shared" si="124"/>
        <v>0</v>
      </c>
      <c r="BE84" s="86"/>
      <c r="BF84" s="167">
        <f t="shared" si="125"/>
        <v>0</v>
      </c>
      <c r="BG84" s="86"/>
      <c r="BH84" s="167">
        <f t="shared" si="126"/>
        <v>0</v>
      </c>
      <c r="BI84" s="86"/>
      <c r="BJ84" s="167">
        <f t="shared" si="127"/>
        <v>0</v>
      </c>
      <c r="BK84" s="86"/>
      <c r="BL84" s="167">
        <f t="shared" si="128"/>
        <v>0</v>
      </c>
      <c r="BM84" s="86"/>
      <c r="BN84" s="50"/>
      <c r="BO84" s="170" t="e">
        <f t="shared" si="129"/>
        <v>#VALUE!</v>
      </c>
      <c r="BP84" s="167" t="e">
        <f t="shared" si="131"/>
        <v>#VALUE!</v>
      </c>
      <c r="BQ84" s="178" t="str">
        <f t="shared" si="130"/>
        <v/>
      </c>
    </row>
    <row r="85" spans="1:69" x14ac:dyDescent="0.35">
      <c r="A85" s="44" t="s">
        <v>83</v>
      </c>
      <c r="B85" s="54" t="s">
        <v>65</v>
      </c>
      <c r="C85" s="174" t="str">
        <f>IF('April 2027 Log'!BK85="","",'April 2027 Log'!BK85)</f>
        <v/>
      </c>
      <c r="D85" s="189" t="e">
        <f t="shared" si="98"/>
        <v>#VALUE!</v>
      </c>
      <c r="E85" s="86"/>
      <c r="F85" s="167">
        <f t="shared" si="99"/>
        <v>0</v>
      </c>
      <c r="G85" s="86"/>
      <c r="H85" s="167">
        <f t="shared" si="100"/>
        <v>0</v>
      </c>
      <c r="I85" s="86"/>
      <c r="J85" s="167">
        <f t="shared" si="101"/>
        <v>0</v>
      </c>
      <c r="K85" s="86"/>
      <c r="L85" s="167">
        <f t="shared" si="102"/>
        <v>0</v>
      </c>
      <c r="M85" s="86"/>
      <c r="N85" s="167">
        <f t="shared" si="103"/>
        <v>0</v>
      </c>
      <c r="O85" s="86"/>
      <c r="P85" s="167">
        <f t="shared" si="104"/>
        <v>0</v>
      </c>
      <c r="Q85" s="86"/>
      <c r="R85" s="167">
        <f t="shared" si="105"/>
        <v>0</v>
      </c>
      <c r="S85" s="86"/>
      <c r="T85" s="167">
        <f t="shared" si="106"/>
        <v>0</v>
      </c>
      <c r="U85" s="86"/>
      <c r="V85" s="167">
        <f t="shared" si="107"/>
        <v>0</v>
      </c>
      <c r="W85" s="86"/>
      <c r="X85" s="167">
        <f t="shared" si="108"/>
        <v>0</v>
      </c>
      <c r="Y85" s="86"/>
      <c r="Z85" s="167">
        <f t="shared" si="109"/>
        <v>0</v>
      </c>
      <c r="AA85" s="86"/>
      <c r="AB85" s="167">
        <f t="shared" si="110"/>
        <v>0</v>
      </c>
      <c r="AC85" s="86"/>
      <c r="AD85" s="167">
        <f t="shared" si="111"/>
        <v>0</v>
      </c>
      <c r="AE85" s="86"/>
      <c r="AF85" s="167">
        <f t="shared" si="112"/>
        <v>0</v>
      </c>
      <c r="AG85" s="86"/>
      <c r="AH85" s="167">
        <f t="shared" si="113"/>
        <v>0</v>
      </c>
      <c r="AI85" s="86"/>
      <c r="AJ85" s="167">
        <f t="shared" si="114"/>
        <v>0</v>
      </c>
      <c r="AK85" s="86"/>
      <c r="AL85" s="167">
        <f t="shared" si="115"/>
        <v>0</v>
      </c>
      <c r="AM85" s="86"/>
      <c r="AN85" s="167">
        <f t="shared" si="116"/>
        <v>0</v>
      </c>
      <c r="AO85" s="86"/>
      <c r="AP85" s="167">
        <f t="shared" si="117"/>
        <v>0</v>
      </c>
      <c r="AQ85" s="86"/>
      <c r="AR85" s="167">
        <f t="shared" si="118"/>
        <v>0</v>
      </c>
      <c r="AS85" s="86"/>
      <c r="AT85" s="167">
        <f t="shared" si="119"/>
        <v>0</v>
      </c>
      <c r="AU85" s="86"/>
      <c r="AV85" s="167">
        <f t="shared" si="120"/>
        <v>0</v>
      </c>
      <c r="AW85" s="86"/>
      <c r="AX85" s="167">
        <f t="shared" si="121"/>
        <v>0</v>
      </c>
      <c r="AY85" s="86"/>
      <c r="AZ85" s="167">
        <f t="shared" si="122"/>
        <v>0</v>
      </c>
      <c r="BA85" s="86"/>
      <c r="BB85" s="167">
        <f t="shared" si="123"/>
        <v>0</v>
      </c>
      <c r="BC85" s="86"/>
      <c r="BD85" s="167">
        <f t="shared" si="124"/>
        <v>0</v>
      </c>
      <c r="BE85" s="86"/>
      <c r="BF85" s="167">
        <f t="shared" si="125"/>
        <v>0</v>
      </c>
      <c r="BG85" s="86"/>
      <c r="BH85" s="167">
        <f t="shared" si="126"/>
        <v>0</v>
      </c>
      <c r="BI85" s="86"/>
      <c r="BJ85" s="167">
        <f t="shared" si="127"/>
        <v>0</v>
      </c>
      <c r="BK85" s="86"/>
      <c r="BL85" s="167">
        <f t="shared" si="128"/>
        <v>0</v>
      </c>
      <c r="BM85" s="86"/>
      <c r="BN85" s="50"/>
      <c r="BO85" s="170" t="e">
        <f t="shared" si="129"/>
        <v>#VALUE!</v>
      </c>
      <c r="BP85" s="167" t="e">
        <f t="shared" si="131"/>
        <v>#VALUE!</v>
      </c>
      <c r="BQ85" s="178" t="str">
        <f t="shared" si="130"/>
        <v/>
      </c>
    </row>
    <row r="86" spans="1:69" x14ac:dyDescent="0.35">
      <c r="A86" s="135" t="s">
        <v>84</v>
      </c>
      <c r="B86" s="54" t="s">
        <v>67</v>
      </c>
      <c r="C86" s="174" t="str">
        <f>IF('April 2027 Log'!BK86="","",'April 2027 Log'!BK86)</f>
        <v/>
      </c>
      <c r="D86" s="189" t="e">
        <f t="shared" si="98"/>
        <v>#VALUE!</v>
      </c>
      <c r="E86" s="86"/>
      <c r="F86" s="167">
        <f t="shared" si="99"/>
        <v>0</v>
      </c>
      <c r="G86" s="86"/>
      <c r="H86" s="167">
        <f t="shared" si="100"/>
        <v>0</v>
      </c>
      <c r="I86" s="86"/>
      <c r="J86" s="167">
        <f t="shared" si="101"/>
        <v>0</v>
      </c>
      <c r="K86" s="86"/>
      <c r="L86" s="167">
        <f t="shared" si="102"/>
        <v>0</v>
      </c>
      <c r="M86" s="86"/>
      <c r="N86" s="167">
        <f t="shared" si="103"/>
        <v>0</v>
      </c>
      <c r="O86" s="86"/>
      <c r="P86" s="167">
        <f t="shared" si="104"/>
        <v>0</v>
      </c>
      <c r="Q86" s="86"/>
      <c r="R86" s="167">
        <f t="shared" si="105"/>
        <v>0</v>
      </c>
      <c r="S86" s="86"/>
      <c r="T86" s="167">
        <f t="shared" si="106"/>
        <v>0</v>
      </c>
      <c r="U86" s="86"/>
      <c r="V86" s="167">
        <f t="shared" si="107"/>
        <v>0</v>
      </c>
      <c r="W86" s="86"/>
      <c r="X86" s="167">
        <f t="shared" si="108"/>
        <v>0</v>
      </c>
      <c r="Y86" s="86"/>
      <c r="Z86" s="167">
        <f t="shared" si="109"/>
        <v>0</v>
      </c>
      <c r="AA86" s="86"/>
      <c r="AB86" s="167">
        <f t="shared" si="110"/>
        <v>0</v>
      </c>
      <c r="AC86" s="86"/>
      <c r="AD86" s="167">
        <f t="shared" si="111"/>
        <v>0</v>
      </c>
      <c r="AE86" s="86"/>
      <c r="AF86" s="167">
        <f t="shared" si="112"/>
        <v>0</v>
      </c>
      <c r="AG86" s="86"/>
      <c r="AH86" s="167">
        <f t="shared" si="113"/>
        <v>0</v>
      </c>
      <c r="AI86" s="86"/>
      <c r="AJ86" s="167">
        <f t="shared" si="114"/>
        <v>0</v>
      </c>
      <c r="AK86" s="86"/>
      <c r="AL86" s="167">
        <f t="shared" si="115"/>
        <v>0</v>
      </c>
      <c r="AM86" s="86"/>
      <c r="AN86" s="167">
        <f t="shared" si="116"/>
        <v>0</v>
      </c>
      <c r="AO86" s="86"/>
      <c r="AP86" s="167">
        <f t="shared" si="117"/>
        <v>0</v>
      </c>
      <c r="AQ86" s="86"/>
      <c r="AR86" s="167">
        <f t="shared" si="118"/>
        <v>0</v>
      </c>
      <c r="AS86" s="86"/>
      <c r="AT86" s="167">
        <f t="shared" si="119"/>
        <v>0</v>
      </c>
      <c r="AU86" s="86"/>
      <c r="AV86" s="167">
        <f t="shared" si="120"/>
        <v>0</v>
      </c>
      <c r="AW86" s="86"/>
      <c r="AX86" s="167">
        <f t="shared" si="121"/>
        <v>0</v>
      </c>
      <c r="AY86" s="86"/>
      <c r="AZ86" s="167">
        <f t="shared" si="122"/>
        <v>0</v>
      </c>
      <c r="BA86" s="86"/>
      <c r="BB86" s="167">
        <f t="shared" si="123"/>
        <v>0</v>
      </c>
      <c r="BC86" s="86"/>
      <c r="BD86" s="167">
        <f t="shared" si="124"/>
        <v>0</v>
      </c>
      <c r="BE86" s="86"/>
      <c r="BF86" s="167">
        <f t="shared" si="125"/>
        <v>0</v>
      </c>
      <c r="BG86" s="86"/>
      <c r="BH86" s="167">
        <f t="shared" si="126"/>
        <v>0</v>
      </c>
      <c r="BI86" s="86"/>
      <c r="BJ86" s="167">
        <f t="shared" si="127"/>
        <v>0</v>
      </c>
      <c r="BK86" s="86"/>
      <c r="BL86" s="167">
        <f t="shared" si="128"/>
        <v>0</v>
      </c>
      <c r="BM86" s="86"/>
      <c r="BN86" s="50"/>
      <c r="BO86" s="170" t="e">
        <f t="shared" si="129"/>
        <v>#VALUE!</v>
      </c>
      <c r="BP86" s="167" t="e">
        <f t="shared" si="131"/>
        <v>#VALUE!</v>
      </c>
      <c r="BQ86" s="178" t="str">
        <f t="shared" si="130"/>
        <v/>
      </c>
    </row>
    <row r="87" spans="1:69" x14ac:dyDescent="0.35">
      <c r="A87" s="136" t="s">
        <v>85</v>
      </c>
      <c r="B87" s="54" t="s">
        <v>66</v>
      </c>
      <c r="C87" s="174" t="str">
        <f>IF('April 2027 Log'!BK87="","",'April 2027 Log'!BK87)</f>
        <v/>
      </c>
      <c r="D87" s="189" t="e">
        <f t="shared" si="98"/>
        <v>#VALUE!</v>
      </c>
      <c r="E87" s="86"/>
      <c r="F87" s="167">
        <f t="shared" si="99"/>
        <v>0</v>
      </c>
      <c r="G87" s="86"/>
      <c r="H87" s="167">
        <f t="shared" si="100"/>
        <v>0</v>
      </c>
      <c r="I87" s="86"/>
      <c r="J87" s="167">
        <f t="shared" si="101"/>
        <v>0</v>
      </c>
      <c r="K87" s="86"/>
      <c r="L87" s="167">
        <f t="shared" si="102"/>
        <v>0</v>
      </c>
      <c r="M87" s="86"/>
      <c r="N87" s="167">
        <f t="shared" si="103"/>
        <v>0</v>
      </c>
      <c r="O87" s="86"/>
      <c r="P87" s="167">
        <f t="shared" si="104"/>
        <v>0</v>
      </c>
      <c r="Q87" s="86"/>
      <c r="R87" s="167">
        <f t="shared" si="105"/>
        <v>0</v>
      </c>
      <c r="S87" s="86"/>
      <c r="T87" s="167">
        <f t="shared" si="106"/>
        <v>0</v>
      </c>
      <c r="U87" s="86"/>
      <c r="V87" s="167">
        <f t="shared" si="107"/>
        <v>0</v>
      </c>
      <c r="W87" s="86"/>
      <c r="X87" s="167">
        <f t="shared" si="108"/>
        <v>0</v>
      </c>
      <c r="Y87" s="86"/>
      <c r="Z87" s="167">
        <f t="shared" si="109"/>
        <v>0</v>
      </c>
      <c r="AA87" s="86"/>
      <c r="AB87" s="167">
        <f t="shared" si="110"/>
        <v>0</v>
      </c>
      <c r="AC87" s="86"/>
      <c r="AD87" s="167">
        <f t="shared" si="111"/>
        <v>0</v>
      </c>
      <c r="AE87" s="86"/>
      <c r="AF87" s="167">
        <f t="shared" si="112"/>
        <v>0</v>
      </c>
      <c r="AG87" s="86"/>
      <c r="AH87" s="167">
        <f t="shared" si="113"/>
        <v>0</v>
      </c>
      <c r="AI87" s="86"/>
      <c r="AJ87" s="167">
        <f t="shared" si="114"/>
        <v>0</v>
      </c>
      <c r="AK87" s="86"/>
      <c r="AL87" s="167">
        <f t="shared" si="115"/>
        <v>0</v>
      </c>
      <c r="AM87" s="86"/>
      <c r="AN87" s="167">
        <f t="shared" si="116"/>
        <v>0</v>
      </c>
      <c r="AO87" s="86"/>
      <c r="AP87" s="167">
        <f t="shared" si="117"/>
        <v>0</v>
      </c>
      <c r="AQ87" s="86"/>
      <c r="AR87" s="167">
        <f t="shared" si="118"/>
        <v>0</v>
      </c>
      <c r="AS87" s="86"/>
      <c r="AT87" s="167">
        <f t="shared" si="119"/>
        <v>0</v>
      </c>
      <c r="AU87" s="86"/>
      <c r="AV87" s="167">
        <f t="shared" si="120"/>
        <v>0</v>
      </c>
      <c r="AW87" s="86"/>
      <c r="AX87" s="167">
        <f t="shared" si="121"/>
        <v>0</v>
      </c>
      <c r="AY87" s="86"/>
      <c r="AZ87" s="167">
        <f t="shared" si="122"/>
        <v>0</v>
      </c>
      <c r="BA87" s="86"/>
      <c r="BB87" s="167">
        <f t="shared" si="123"/>
        <v>0</v>
      </c>
      <c r="BC87" s="86"/>
      <c r="BD87" s="167">
        <f t="shared" si="124"/>
        <v>0</v>
      </c>
      <c r="BE87" s="86"/>
      <c r="BF87" s="167">
        <f t="shared" si="125"/>
        <v>0</v>
      </c>
      <c r="BG87" s="86"/>
      <c r="BH87" s="167">
        <f t="shared" si="126"/>
        <v>0</v>
      </c>
      <c r="BI87" s="86"/>
      <c r="BJ87" s="167">
        <f t="shared" si="127"/>
        <v>0</v>
      </c>
      <c r="BK87" s="86"/>
      <c r="BL87" s="167">
        <f t="shared" si="128"/>
        <v>0</v>
      </c>
      <c r="BM87" s="86"/>
      <c r="BN87" s="50"/>
      <c r="BO87" s="170" t="e">
        <f t="shared" si="129"/>
        <v>#VALUE!</v>
      </c>
      <c r="BP87" s="167" t="e">
        <f t="shared" si="131"/>
        <v>#VALUE!</v>
      </c>
      <c r="BQ87" s="178" t="str">
        <f t="shared" si="130"/>
        <v/>
      </c>
    </row>
    <row r="88" spans="1:69" x14ac:dyDescent="0.35">
      <c r="A88" s="44" t="s">
        <v>86</v>
      </c>
      <c r="B88" s="54" t="s">
        <v>65</v>
      </c>
      <c r="C88" s="174" t="str">
        <f>IF('April 2027 Log'!BK88="","",'April 2027 Log'!BK88)</f>
        <v/>
      </c>
      <c r="D88" s="189" t="e">
        <f t="shared" si="98"/>
        <v>#VALUE!</v>
      </c>
      <c r="E88" s="86"/>
      <c r="F88" s="167">
        <f t="shared" si="99"/>
        <v>0</v>
      </c>
      <c r="G88" s="86"/>
      <c r="H88" s="167">
        <f t="shared" si="100"/>
        <v>0</v>
      </c>
      <c r="I88" s="86"/>
      <c r="J88" s="167">
        <f t="shared" si="101"/>
        <v>0</v>
      </c>
      <c r="K88" s="86"/>
      <c r="L88" s="167">
        <f t="shared" si="102"/>
        <v>0</v>
      </c>
      <c r="M88" s="86"/>
      <c r="N88" s="167">
        <f t="shared" si="103"/>
        <v>0</v>
      </c>
      <c r="O88" s="86"/>
      <c r="P88" s="167">
        <f t="shared" si="104"/>
        <v>0</v>
      </c>
      <c r="Q88" s="86"/>
      <c r="R88" s="167">
        <f t="shared" si="105"/>
        <v>0</v>
      </c>
      <c r="S88" s="86"/>
      <c r="T88" s="167">
        <f t="shared" si="106"/>
        <v>0</v>
      </c>
      <c r="U88" s="86"/>
      <c r="V88" s="167">
        <f t="shared" si="107"/>
        <v>0</v>
      </c>
      <c r="W88" s="86"/>
      <c r="X88" s="167">
        <f t="shared" si="108"/>
        <v>0</v>
      </c>
      <c r="Y88" s="86"/>
      <c r="Z88" s="167">
        <f t="shared" si="109"/>
        <v>0</v>
      </c>
      <c r="AA88" s="86"/>
      <c r="AB88" s="167">
        <f t="shared" si="110"/>
        <v>0</v>
      </c>
      <c r="AC88" s="86"/>
      <c r="AD88" s="167">
        <f t="shared" si="111"/>
        <v>0</v>
      </c>
      <c r="AE88" s="86"/>
      <c r="AF88" s="167">
        <f t="shared" si="112"/>
        <v>0</v>
      </c>
      <c r="AG88" s="86"/>
      <c r="AH88" s="167">
        <f t="shared" si="113"/>
        <v>0</v>
      </c>
      <c r="AI88" s="86"/>
      <c r="AJ88" s="167">
        <f t="shared" si="114"/>
        <v>0</v>
      </c>
      <c r="AK88" s="86"/>
      <c r="AL88" s="167">
        <f t="shared" si="115"/>
        <v>0</v>
      </c>
      <c r="AM88" s="86"/>
      <c r="AN88" s="167">
        <f t="shared" si="116"/>
        <v>0</v>
      </c>
      <c r="AO88" s="86"/>
      <c r="AP88" s="167">
        <f t="shared" si="117"/>
        <v>0</v>
      </c>
      <c r="AQ88" s="86"/>
      <c r="AR88" s="167">
        <f t="shared" si="118"/>
        <v>0</v>
      </c>
      <c r="AS88" s="86"/>
      <c r="AT88" s="167">
        <f t="shared" si="119"/>
        <v>0</v>
      </c>
      <c r="AU88" s="86"/>
      <c r="AV88" s="167">
        <f t="shared" si="120"/>
        <v>0</v>
      </c>
      <c r="AW88" s="86"/>
      <c r="AX88" s="167">
        <f t="shared" si="121"/>
        <v>0</v>
      </c>
      <c r="AY88" s="86"/>
      <c r="AZ88" s="167">
        <f t="shared" si="122"/>
        <v>0</v>
      </c>
      <c r="BA88" s="86"/>
      <c r="BB88" s="167">
        <f t="shared" si="123"/>
        <v>0</v>
      </c>
      <c r="BC88" s="86"/>
      <c r="BD88" s="167">
        <f t="shared" si="124"/>
        <v>0</v>
      </c>
      <c r="BE88" s="86"/>
      <c r="BF88" s="167">
        <f t="shared" si="125"/>
        <v>0</v>
      </c>
      <c r="BG88" s="86"/>
      <c r="BH88" s="167">
        <f t="shared" si="126"/>
        <v>0</v>
      </c>
      <c r="BI88" s="86"/>
      <c r="BJ88" s="167">
        <f t="shared" si="127"/>
        <v>0</v>
      </c>
      <c r="BK88" s="86"/>
      <c r="BL88" s="167">
        <f t="shared" si="128"/>
        <v>0</v>
      </c>
      <c r="BM88" s="86"/>
      <c r="BN88" s="50"/>
      <c r="BO88" s="170" t="e">
        <f t="shared" si="129"/>
        <v>#VALUE!</v>
      </c>
      <c r="BP88" s="167" t="e">
        <f t="shared" si="131"/>
        <v>#VALUE!</v>
      </c>
      <c r="BQ88" s="178" t="str">
        <f t="shared" si="130"/>
        <v/>
      </c>
    </row>
    <row r="89" spans="1:69" x14ac:dyDescent="0.35">
      <c r="A89" s="53"/>
      <c r="B89" s="54"/>
      <c r="C89" s="144"/>
      <c r="D89" s="192">
        <f t="shared" si="98"/>
        <v>0</v>
      </c>
      <c r="E89" s="145"/>
      <c r="F89" s="173">
        <f t="shared" si="99"/>
        <v>0</v>
      </c>
      <c r="G89" s="145"/>
      <c r="H89" s="173">
        <f t="shared" si="100"/>
        <v>0</v>
      </c>
      <c r="I89" s="145"/>
      <c r="J89" s="173">
        <f t="shared" si="101"/>
        <v>0</v>
      </c>
      <c r="K89" s="145"/>
      <c r="L89" s="173">
        <f t="shared" si="102"/>
        <v>0</v>
      </c>
      <c r="M89" s="145"/>
      <c r="N89" s="173">
        <f t="shared" si="103"/>
        <v>0</v>
      </c>
      <c r="O89" s="145"/>
      <c r="P89" s="173">
        <f t="shared" si="104"/>
        <v>0</v>
      </c>
      <c r="Q89" s="145"/>
      <c r="R89" s="173">
        <f t="shared" si="105"/>
        <v>0</v>
      </c>
      <c r="S89" s="145"/>
      <c r="T89" s="173">
        <f t="shared" si="106"/>
        <v>0</v>
      </c>
      <c r="U89" s="145"/>
      <c r="V89" s="173">
        <f t="shared" si="107"/>
        <v>0</v>
      </c>
      <c r="W89" s="145"/>
      <c r="X89" s="173">
        <f t="shared" si="108"/>
        <v>0</v>
      </c>
      <c r="Y89" s="145"/>
      <c r="Z89" s="173">
        <f t="shared" si="109"/>
        <v>0</v>
      </c>
      <c r="AA89" s="145"/>
      <c r="AB89" s="173">
        <f t="shared" si="110"/>
        <v>0</v>
      </c>
      <c r="AC89" s="145"/>
      <c r="AD89" s="173">
        <f t="shared" si="111"/>
        <v>0</v>
      </c>
      <c r="AE89" s="145"/>
      <c r="AF89" s="173">
        <f t="shared" si="112"/>
        <v>0</v>
      </c>
      <c r="AG89" s="145"/>
      <c r="AH89" s="173">
        <f t="shared" si="113"/>
        <v>0</v>
      </c>
      <c r="AI89" s="145"/>
      <c r="AJ89" s="173">
        <f t="shared" si="114"/>
        <v>0</v>
      </c>
      <c r="AK89" s="145"/>
      <c r="AL89" s="173">
        <f t="shared" si="115"/>
        <v>0</v>
      </c>
      <c r="AM89" s="145"/>
      <c r="AN89" s="173">
        <f t="shared" si="116"/>
        <v>0</v>
      </c>
      <c r="AO89" s="145"/>
      <c r="AP89" s="173">
        <f t="shared" si="117"/>
        <v>0</v>
      </c>
      <c r="AQ89" s="145"/>
      <c r="AR89" s="173">
        <f t="shared" si="118"/>
        <v>0</v>
      </c>
      <c r="AS89" s="145"/>
      <c r="AT89" s="173">
        <f t="shared" si="119"/>
        <v>0</v>
      </c>
      <c r="AU89" s="145"/>
      <c r="AV89" s="173">
        <f t="shared" si="120"/>
        <v>0</v>
      </c>
      <c r="AW89" s="145"/>
      <c r="AX89" s="173">
        <f t="shared" si="121"/>
        <v>0</v>
      </c>
      <c r="AY89" s="145"/>
      <c r="AZ89" s="173">
        <f t="shared" si="122"/>
        <v>0</v>
      </c>
      <c r="BA89" s="145"/>
      <c r="BB89" s="173">
        <f t="shared" si="123"/>
        <v>0</v>
      </c>
      <c r="BC89" s="145"/>
      <c r="BD89" s="173">
        <f t="shared" si="124"/>
        <v>0</v>
      </c>
      <c r="BE89" s="145"/>
      <c r="BF89" s="173">
        <f t="shared" si="125"/>
        <v>0</v>
      </c>
      <c r="BG89" s="145"/>
      <c r="BH89" s="173">
        <f t="shared" si="126"/>
        <v>0</v>
      </c>
      <c r="BI89" s="145"/>
      <c r="BJ89" s="173">
        <f t="shared" si="127"/>
        <v>0</v>
      </c>
      <c r="BK89" s="145"/>
      <c r="BL89" s="173">
        <f t="shared" si="128"/>
        <v>0</v>
      </c>
      <c r="BM89" s="145"/>
      <c r="BN89" s="50"/>
      <c r="BO89" s="51"/>
      <c r="BP89" s="173">
        <f t="shared" si="131"/>
        <v>0</v>
      </c>
      <c r="BQ89" s="88"/>
    </row>
    <row r="90" spans="1:69" x14ac:dyDescent="0.35">
      <c r="A90" s="74" t="s">
        <v>93</v>
      </c>
      <c r="B90" s="75"/>
      <c r="C90" s="141"/>
      <c r="D90" s="102"/>
      <c r="E90" s="142"/>
      <c r="F90" s="104"/>
      <c r="G90" s="142"/>
      <c r="H90" s="104"/>
      <c r="I90" s="142"/>
      <c r="J90" s="104"/>
      <c r="K90" s="142"/>
      <c r="L90" s="104"/>
      <c r="M90" s="142"/>
      <c r="N90" s="104"/>
      <c r="O90" s="142"/>
      <c r="P90" s="104"/>
      <c r="Q90" s="142"/>
      <c r="R90" s="104"/>
      <c r="S90" s="142"/>
      <c r="T90" s="104"/>
      <c r="U90" s="142"/>
      <c r="V90" s="104"/>
      <c r="W90" s="142"/>
      <c r="X90" s="104"/>
      <c r="Y90" s="142"/>
      <c r="Z90" s="104"/>
      <c r="AA90" s="142"/>
      <c r="AB90" s="104"/>
      <c r="AC90" s="142"/>
      <c r="AD90" s="104"/>
      <c r="AE90" s="142"/>
      <c r="AF90" s="104"/>
      <c r="AG90" s="142"/>
      <c r="AH90" s="104"/>
      <c r="AI90" s="142"/>
      <c r="AJ90" s="104"/>
      <c r="AK90" s="142"/>
      <c r="AL90" s="104"/>
      <c r="AM90" s="142"/>
      <c r="AN90" s="104"/>
      <c r="AO90" s="142"/>
      <c r="AP90" s="104"/>
      <c r="AQ90" s="142"/>
      <c r="AR90" s="104"/>
      <c r="AS90" s="142"/>
      <c r="AT90" s="104"/>
      <c r="AU90" s="142"/>
      <c r="AV90" s="104"/>
      <c r="AW90" s="142"/>
      <c r="AX90" s="104"/>
      <c r="AY90" s="142"/>
      <c r="AZ90" s="104"/>
      <c r="BA90" s="142"/>
      <c r="BB90" s="104"/>
      <c r="BC90" s="142"/>
      <c r="BD90" s="104"/>
      <c r="BE90" s="142"/>
      <c r="BF90" s="104"/>
      <c r="BG90" s="142"/>
      <c r="BH90" s="104"/>
      <c r="BI90" s="142"/>
      <c r="BJ90" s="104"/>
      <c r="BK90" s="142"/>
      <c r="BL90" s="104"/>
      <c r="BM90" s="142"/>
      <c r="BN90" s="105"/>
      <c r="BO90" s="106"/>
      <c r="BP90" s="104"/>
      <c r="BQ90" s="107"/>
    </row>
    <row r="91" spans="1:69" x14ac:dyDescent="0.35">
      <c r="A91" s="132" t="s">
        <v>75</v>
      </c>
      <c r="B91" s="54" t="s">
        <v>65</v>
      </c>
      <c r="C91" s="144"/>
      <c r="D91" s="146"/>
      <c r="E91" s="166" t="e">
        <f>+D91-D77</f>
        <v>#VALUE!</v>
      </c>
      <c r="F91" s="147"/>
      <c r="G91" s="166">
        <f>+F91-F77</f>
        <v>0</v>
      </c>
      <c r="H91" s="147"/>
      <c r="I91" s="166">
        <f>+H91-H77</f>
        <v>0</v>
      </c>
      <c r="J91" s="147"/>
      <c r="K91" s="166">
        <f>+J91-J77</f>
        <v>0</v>
      </c>
      <c r="L91" s="147"/>
      <c r="M91" s="166">
        <f>+L91-L77</f>
        <v>0</v>
      </c>
      <c r="N91" s="147"/>
      <c r="O91" s="166">
        <f>+N91-N77</f>
        <v>0</v>
      </c>
      <c r="P91" s="147"/>
      <c r="Q91" s="166">
        <f>+P91-P77</f>
        <v>0</v>
      </c>
      <c r="R91" s="147"/>
      <c r="S91" s="166">
        <f>+R91-R77</f>
        <v>0</v>
      </c>
      <c r="T91" s="147"/>
      <c r="U91" s="166">
        <f>+T91-T77</f>
        <v>0</v>
      </c>
      <c r="V91" s="147"/>
      <c r="W91" s="166">
        <f>+V91-V77</f>
        <v>0</v>
      </c>
      <c r="X91" s="147"/>
      <c r="Y91" s="166">
        <f>+X91-X77</f>
        <v>0</v>
      </c>
      <c r="Z91" s="147"/>
      <c r="AA91" s="166">
        <f>+Z91-Z77</f>
        <v>0</v>
      </c>
      <c r="AB91" s="147"/>
      <c r="AC91" s="166">
        <f>+AB91-AB77</f>
        <v>0</v>
      </c>
      <c r="AD91" s="147"/>
      <c r="AE91" s="166">
        <f>+AD91-AD77</f>
        <v>0</v>
      </c>
      <c r="AF91" s="147"/>
      <c r="AG91" s="166">
        <f>+AF91-AF77</f>
        <v>0</v>
      </c>
      <c r="AH91" s="147"/>
      <c r="AI91" s="166">
        <f>+AH91-AH77</f>
        <v>0</v>
      </c>
      <c r="AJ91" s="147"/>
      <c r="AK91" s="166">
        <f>+AJ91-AJ77</f>
        <v>0</v>
      </c>
      <c r="AL91" s="147"/>
      <c r="AM91" s="166">
        <f>+AL91-AL77</f>
        <v>0</v>
      </c>
      <c r="AN91" s="147"/>
      <c r="AO91" s="166">
        <f>+AN91-AN77</f>
        <v>0</v>
      </c>
      <c r="AP91" s="147"/>
      <c r="AQ91" s="166">
        <f>+AP91-AP77</f>
        <v>0</v>
      </c>
      <c r="AR91" s="147"/>
      <c r="AS91" s="166">
        <f>+AR91-AR77</f>
        <v>0</v>
      </c>
      <c r="AT91" s="147"/>
      <c r="AU91" s="166">
        <f>+AT91-AT77</f>
        <v>0</v>
      </c>
      <c r="AV91" s="147"/>
      <c r="AW91" s="166">
        <f>+AV91-AV77</f>
        <v>0</v>
      </c>
      <c r="AX91" s="147"/>
      <c r="AY91" s="166">
        <f>+AX91-AX77</f>
        <v>0</v>
      </c>
      <c r="AZ91" s="147"/>
      <c r="BA91" s="166">
        <f>+AZ91-AZ77</f>
        <v>0</v>
      </c>
      <c r="BB91" s="147"/>
      <c r="BC91" s="166">
        <f>+BB91-BB77</f>
        <v>0</v>
      </c>
      <c r="BD91" s="147"/>
      <c r="BE91" s="166">
        <f>+BD91-BD77</f>
        <v>0</v>
      </c>
      <c r="BF91" s="147"/>
      <c r="BG91" s="166">
        <f>+BF91-BF77</f>
        <v>0</v>
      </c>
      <c r="BH91" s="147"/>
      <c r="BI91" s="166">
        <f>+BH91-BH77</f>
        <v>0</v>
      </c>
      <c r="BJ91" s="147"/>
      <c r="BK91" s="166">
        <f>+BJ91-BJ77</f>
        <v>0</v>
      </c>
      <c r="BL91" s="147"/>
      <c r="BM91" s="166">
        <f>+BL91-BL77</f>
        <v>0</v>
      </c>
      <c r="BN91" s="50"/>
      <c r="BO91" s="170" t="e">
        <f t="shared" ref="BO91:BO103" si="132">IF(COUNT(E91,G91,I91,K91,M91,O91,Q91,S91,U91,W91,Y91,AA91,AC91,AE91,AG91,AI91,AK91,AM91,AO91,AQ91,AS91,AU91,AW91,AY91,BA91,BC91,BE91,BG91,BI91,BK91,BM91)=0,"",SUM(E91,G91,I91,K91,M91,O91,Q91,S91,U91,W91,Y91,AA91,AC91,AE91,AG91,AI91,AK91,AM91,AO91,AQ91,AS91,AU91,AW91,AY91,BA91,BC91,BE91,BG91,BI91,BK91,BM91))</f>
        <v>#VALUE!</v>
      </c>
      <c r="BP91" s="87"/>
      <c r="BQ91" s="52"/>
    </row>
    <row r="92" spans="1:69" x14ac:dyDescent="0.35">
      <c r="A92" s="136"/>
      <c r="B92" s="54" t="s">
        <v>66</v>
      </c>
      <c r="C92" s="144"/>
      <c r="D92" s="146"/>
      <c r="E92" s="166" t="e">
        <f t="shared" ref="E92:K102" si="133">+D92-D78</f>
        <v>#VALUE!</v>
      </c>
      <c r="F92" s="147"/>
      <c r="G92" s="166">
        <f t="shared" si="133"/>
        <v>0</v>
      </c>
      <c r="H92" s="147"/>
      <c r="I92" s="166">
        <f t="shared" si="133"/>
        <v>0</v>
      </c>
      <c r="J92" s="147"/>
      <c r="K92" s="166">
        <f t="shared" si="133"/>
        <v>0</v>
      </c>
      <c r="L92" s="147"/>
      <c r="M92" s="166">
        <f t="shared" ref="M92:M102" si="134">+L92-L78</f>
        <v>0</v>
      </c>
      <c r="N92" s="147"/>
      <c r="O92" s="166">
        <f t="shared" ref="O92:O102" si="135">+N92-N78</f>
        <v>0</v>
      </c>
      <c r="P92" s="147"/>
      <c r="Q92" s="166">
        <f t="shared" ref="Q92:Q102" si="136">+P92-P78</f>
        <v>0</v>
      </c>
      <c r="R92" s="147"/>
      <c r="S92" s="166">
        <f t="shared" ref="S92:S102" si="137">+R92-R78</f>
        <v>0</v>
      </c>
      <c r="T92" s="147"/>
      <c r="U92" s="166">
        <f t="shared" ref="U92:U102" si="138">+T92-T78</f>
        <v>0</v>
      </c>
      <c r="V92" s="147"/>
      <c r="W92" s="166">
        <f t="shared" ref="W92:W102" si="139">+V92-V78</f>
        <v>0</v>
      </c>
      <c r="X92" s="147"/>
      <c r="Y92" s="166">
        <f t="shared" ref="Y92:Y102" si="140">+X92-X78</f>
        <v>0</v>
      </c>
      <c r="Z92" s="147"/>
      <c r="AA92" s="166">
        <f t="shared" ref="AA92:AA102" si="141">+Z92-Z78</f>
        <v>0</v>
      </c>
      <c r="AB92" s="147"/>
      <c r="AC92" s="166">
        <f t="shared" ref="AC92:AC102" si="142">+AB92-AB78</f>
        <v>0</v>
      </c>
      <c r="AD92" s="147"/>
      <c r="AE92" s="166">
        <f t="shared" ref="AE92:AE102" si="143">+AD92-AD78</f>
        <v>0</v>
      </c>
      <c r="AF92" s="147"/>
      <c r="AG92" s="166">
        <f t="shared" ref="AG92:AG102" si="144">+AF92-AF78</f>
        <v>0</v>
      </c>
      <c r="AH92" s="147"/>
      <c r="AI92" s="166">
        <f t="shared" ref="AI92:AI102" si="145">+AH92-AH78</f>
        <v>0</v>
      </c>
      <c r="AJ92" s="147"/>
      <c r="AK92" s="166">
        <f t="shared" ref="AK92:AK102" si="146">+AJ92-AJ78</f>
        <v>0</v>
      </c>
      <c r="AL92" s="147"/>
      <c r="AM92" s="166">
        <f t="shared" ref="AM92:AM102" si="147">+AL92-AL78</f>
        <v>0</v>
      </c>
      <c r="AN92" s="147"/>
      <c r="AO92" s="166">
        <f t="shared" ref="AO92:AO102" si="148">+AN92-AN78</f>
        <v>0</v>
      </c>
      <c r="AP92" s="147"/>
      <c r="AQ92" s="166">
        <f t="shared" ref="AQ92:AQ102" si="149">+AP92-AP78</f>
        <v>0</v>
      </c>
      <c r="AR92" s="147"/>
      <c r="AS92" s="166">
        <f t="shared" ref="AS92:AS102" si="150">+AR92-AR78</f>
        <v>0</v>
      </c>
      <c r="AT92" s="147"/>
      <c r="AU92" s="166">
        <f t="shared" ref="AU92:AU102" si="151">+AT92-AT78</f>
        <v>0</v>
      </c>
      <c r="AV92" s="147"/>
      <c r="AW92" s="166">
        <f t="shared" ref="AW92:AW102" si="152">+AV92-AV78</f>
        <v>0</v>
      </c>
      <c r="AX92" s="147"/>
      <c r="AY92" s="166">
        <f t="shared" ref="AY92:AY102" si="153">+AX92-AX78</f>
        <v>0</v>
      </c>
      <c r="AZ92" s="147"/>
      <c r="BA92" s="166">
        <f t="shared" ref="BA92:BA102" si="154">+AZ92-AZ78</f>
        <v>0</v>
      </c>
      <c r="BB92" s="147"/>
      <c r="BC92" s="166">
        <f t="shared" ref="BC92:BC102" si="155">+BB92-BB78</f>
        <v>0</v>
      </c>
      <c r="BD92" s="147"/>
      <c r="BE92" s="166">
        <f t="shared" ref="BE92:BE102" si="156">+BD92-BD78</f>
        <v>0</v>
      </c>
      <c r="BF92" s="147"/>
      <c r="BG92" s="166">
        <f t="shared" ref="BG92:BG102" si="157">+BF92-BF78</f>
        <v>0</v>
      </c>
      <c r="BH92" s="147"/>
      <c r="BI92" s="166">
        <f t="shared" ref="BI92:BI102" si="158">+BH92-BH78</f>
        <v>0</v>
      </c>
      <c r="BJ92" s="147"/>
      <c r="BK92" s="166">
        <f t="shared" ref="BK92:BK102" si="159">+BJ92-BJ78</f>
        <v>0</v>
      </c>
      <c r="BL92" s="147"/>
      <c r="BM92" s="166">
        <f t="shared" ref="BM92:BM102" si="160">+BL92-BL78</f>
        <v>0</v>
      </c>
      <c r="BN92" s="50"/>
      <c r="BO92" s="170" t="e">
        <f t="shared" si="132"/>
        <v>#VALUE!</v>
      </c>
      <c r="BP92" s="87"/>
      <c r="BQ92" s="52"/>
    </row>
    <row r="93" spans="1:69" x14ac:dyDescent="0.35">
      <c r="A93" s="134" t="s">
        <v>77</v>
      </c>
      <c r="B93" s="54" t="s">
        <v>67</v>
      </c>
      <c r="C93" s="144"/>
      <c r="D93" s="146"/>
      <c r="E93" s="166" t="e">
        <f t="shared" si="133"/>
        <v>#VALUE!</v>
      </c>
      <c r="F93" s="147"/>
      <c r="G93" s="166">
        <f t="shared" si="133"/>
        <v>0</v>
      </c>
      <c r="H93" s="147"/>
      <c r="I93" s="166">
        <f t="shared" si="133"/>
        <v>0</v>
      </c>
      <c r="J93" s="147"/>
      <c r="K93" s="166">
        <f t="shared" si="133"/>
        <v>0</v>
      </c>
      <c r="L93" s="147"/>
      <c r="M93" s="166">
        <f t="shared" si="134"/>
        <v>0</v>
      </c>
      <c r="N93" s="147"/>
      <c r="O93" s="166">
        <f t="shared" si="135"/>
        <v>0</v>
      </c>
      <c r="P93" s="147"/>
      <c r="Q93" s="166">
        <f t="shared" si="136"/>
        <v>0</v>
      </c>
      <c r="R93" s="147"/>
      <c r="S93" s="166">
        <f t="shared" si="137"/>
        <v>0</v>
      </c>
      <c r="T93" s="147"/>
      <c r="U93" s="166">
        <f t="shared" si="138"/>
        <v>0</v>
      </c>
      <c r="V93" s="147"/>
      <c r="W93" s="166">
        <f t="shared" si="139"/>
        <v>0</v>
      </c>
      <c r="X93" s="147"/>
      <c r="Y93" s="166">
        <f t="shared" si="140"/>
        <v>0</v>
      </c>
      <c r="Z93" s="147"/>
      <c r="AA93" s="166">
        <f t="shared" si="141"/>
        <v>0</v>
      </c>
      <c r="AB93" s="147"/>
      <c r="AC93" s="166">
        <f t="shared" si="142"/>
        <v>0</v>
      </c>
      <c r="AD93" s="147"/>
      <c r="AE93" s="166">
        <f t="shared" si="143"/>
        <v>0</v>
      </c>
      <c r="AF93" s="147"/>
      <c r="AG93" s="166">
        <f t="shared" si="144"/>
        <v>0</v>
      </c>
      <c r="AH93" s="147"/>
      <c r="AI93" s="166">
        <f t="shared" si="145"/>
        <v>0</v>
      </c>
      <c r="AJ93" s="147"/>
      <c r="AK93" s="166">
        <f t="shared" si="146"/>
        <v>0</v>
      </c>
      <c r="AL93" s="147"/>
      <c r="AM93" s="166">
        <f t="shared" si="147"/>
        <v>0</v>
      </c>
      <c r="AN93" s="147"/>
      <c r="AO93" s="48"/>
      <c r="AP93" s="147"/>
      <c r="AQ93" s="166">
        <f t="shared" si="149"/>
        <v>0</v>
      </c>
      <c r="AR93" s="147"/>
      <c r="AS93" s="166">
        <f t="shared" si="150"/>
        <v>0</v>
      </c>
      <c r="AT93" s="147"/>
      <c r="AU93" s="166">
        <f t="shared" si="151"/>
        <v>0</v>
      </c>
      <c r="AV93" s="147"/>
      <c r="AW93" s="166">
        <f t="shared" si="152"/>
        <v>0</v>
      </c>
      <c r="AX93" s="147"/>
      <c r="AY93" s="166">
        <f t="shared" si="153"/>
        <v>0</v>
      </c>
      <c r="AZ93" s="147"/>
      <c r="BA93" s="166">
        <f t="shared" si="154"/>
        <v>0</v>
      </c>
      <c r="BB93" s="147"/>
      <c r="BC93" s="166">
        <f t="shared" si="155"/>
        <v>0</v>
      </c>
      <c r="BD93" s="147"/>
      <c r="BE93" s="166">
        <f t="shared" si="156"/>
        <v>0</v>
      </c>
      <c r="BF93" s="147"/>
      <c r="BG93" s="166">
        <f t="shared" si="157"/>
        <v>0</v>
      </c>
      <c r="BH93" s="147"/>
      <c r="BI93" s="166">
        <f t="shared" si="158"/>
        <v>0</v>
      </c>
      <c r="BJ93" s="147"/>
      <c r="BK93" s="166">
        <f t="shared" si="159"/>
        <v>0</v>
      </c>
      <c r="BL93" s="147"/>
      <c r="BM93" s="166">
        <f t="shared" si="160"/>
        <v>0</v>
      </c>
      <c r="BN93" s="50"/>
      <c r="BO93" s="170" t="e">
        <f t="shared" si="132"/>
        <v>#VALUE!</v>
      </c>
      <c r="BP93" s="87"/>
      <c r="BQ93" s="52"/>
    </row>
    <row r="94" spans="1:69" x14ac:dyDescent="0.35">
      <c r="A94" s="132" t="s">
        <v>78</v>
      </c>
      <c r="B94" s="54" t="s">
        <v>65</v>
      </c>
      <c r="C94" s="144"/>
      <c r="D94" s="146"/>
      <c r="E94" s="166" t="e">
        <f t="shared" si="133"/>
        <v>#VALUE!</v>
      </c>
      <c r="F94" s="147"/>
      <c r="G94" s="166">
        <f t="shared" si="133"/>
        <v>0</v>
      </c>
      <c r="H94" s="147"/>
      <c r="I94" s="166">
        <f t="shared" si="133"/>
        <v>0</v>
      </c>
      <c r="J94" s="147"/>
      <c r="K94" s="166">
        <f t="shared" si="133"/>
        <v>0</v>
      </c>
      <c r="L94" s="147"/>
      <c r="M94" s="166">
        <f t="shared" si="134"/>
        <v>0</v>
      </c>
      <c r="N94" s="147"/>
      <c r="O94" s="166">
        <f t="shared" si="135"/>
        <v>0</v>
      </c>
      <c r="P94" s="147"/>
      <c r="Q94" s="166">
        <f t="shared" si="136"/>
        <v>0</v>
      </c>
      <c r="R94" s="147"/>
      <c r="S94" s="166">
        <f t="shared" si="137"/>
        <v>0</v>
      </c>
      <c r="T94" s="147"/>
      <c r="U94" s="166">
        <f t="shared" si="138"/>
        <v>0</v>
      </c>
      <c r="V94" s="147"/>
      <c r="W94" s="166">
        <f t="shared" si="139"/>
        <v>0</v>
      </c>
      <c r="X94" s="147"/>
      <c r="Y94" s="166">
        <f t="shared" si="140"/>
        <v>0</v>
      </c>
      <c r="Z94" s="147"/>
      <c r="AA94" s="166">
        <f t="shared" si="141"/>
        <v>0</v>
      </c>
      <c r="AB94" s="147"/>
      <c r="AC94" s="166">
        <f t="shared" si="142"/>
        <v>0</v>
      </c>
      <c r="AD94" s="147"/>
      <c r="AE94" s="166">
        <f t="shared" si="143"/>
        <v>0</v>
      </c>
      <c r="AF94" s="147"/>
      <c r="AG94" s="166">
        <f t="shared" si="144"/>
        <v>0</v>
      </c>
      <c r="AH94" s="147"/>
      <c r="AI94" s="166">
        <f t="shared" si="145"/>
        <v>0</v>
      </c>
      <c r="AJ94" s="147"/>
      <c r="AK94" s="166">
        <f t="shared" si="146"/>
        <v>0</v>
      </c>
      <c r="AL94" s="147"/>
      <c r="AM94" s="166">
        <f t="shared" si="147"/>
        <v>0</v>
      </c>
      <c r="AN94" s="147"/>
      <c r="AO94" s="166">
        <f t="shared" si="148"/>
        <v>0</v>
      </c>
      <c r="AP94" s="147"/>
      <c r="AQ94" s="166">
        <f t="shared" si="149"/>
        <v>0</v>
      </c>
      <c r="AR94" s="147"/>
      <c r="AS94" s="166">
        <f t="shared" si="150"/>
        <v>0</v>
      </c>
      <c r="AT94" s="147"/>
      <c r="AU94" s="166">
        <f t="shared" si="151"/>
        <v>0</v>
      </c>
      <c r="AV94" s="147"/>
      <c r="AW94" s="166">
        <f t="shared" si="152"/>
        <v>0</v>
      </c>
      <c r="AX94" s="147"/>
      <c r="AY94" s="166">
        <f t="shared" si="153"/>
        <v>0</v>
      </c>
      <c r="AZ94" s="147"/>
      <c r="BA94" s="166">
        <f t="shared" si="154"/>
        <v>0</v>
      </c>
      <c r="BB94" s="147"/>
      <c r="BC94" s="166">
        <f t="shared" si="155"/>
        <v>0</v>
      </c>
      <c r="BD94" s="147"/>
      <c r="BE94" s="166">
        <f t="shared" si="156"/>
        <v>0</v>
      </c>
      <c r="BF94" s="147"/>
      <c r="BG94" s="166">
        <f t="shared" si="157"/>
        <v>0</v>
      </c>
      <c r="BH94" s="147"/>
      <c r="BI94" s="166">
        <f t="shared" si="158"/>
        <v>0</v>
      </c>
      <c r="BJ94" s="147"/>
      <c r="BK94" s="166">
        <f t="shared" si="159"/>
        <v>0</v>
      </c>
      <c r="BL94" s="147"/>
      <c r="BM94" s="166">
        <f t="shared" si="160"/>
        <v>0</v>
      </c>
      <c r="BN94" s="50"/>
      <c r="BO94" s="170" t="e">
        <f t="shared" si="132"/>
        <v>#VALUE!</v>
      </c>
      <c r="BP94" s="87"/>
      <c r="BQ94" s="52"/>
    </row>
    <row r="95" spans="1:69" x14ac:dyDescent="0.35">
      <c r="A95" s="136"/>
      <c r="B95" s="54" t="s">
        <v>66</v>
      </c>
      <c r="C95" s="144"/>
      <c r="D95" s="146"/>
      <c r="E95" s="166" t="e">
        <f t="shared" si="133"/>
        <v>#VALUE!</v>
      </c>
      <c r="F95" s="147"/>
      <c r="G95" s="166">
        <f t="shared" si="133"/>
        <v>0</v>
      </c>
      <c r="H95" s="147"/>
      <c r="I95" s="166">
        <f t="shared" si="133"/>
        <v>0</v>
      </c>
      <c r="J95" s="147"/>
      <c r="K95" s="166">
        <f t="shared" si="133"/>
        <v>0</v>
      </c>
      <c r="L95" s="147"/>
      <c r="M95" s="166">
        <f t="shared" si="134"/>
        <v>0</v>
      </c>
      <c r="N95" s="147"/>
      <c r="O95" s="166">
        <f t="shared" si="135"/>
        <v>0</v>
      </c>
      <c r="P95" s="147"/>
      <c r="Q95" s="166">
        <f t="shared" si="136"/>
        <v>0</v>
      </c>
      <c r="R95" s="147"/>
      <c r="S95" s="166">
        <f t="shared" si="137"/>
        <v>0</v>
      </c>
      <c r="T95" s="147"/>
      <c r="U95" s="166">
        <f t="shared" si="138"/>
        <v>0</v>
      </c>
      <c r="V95" s="147"/>
      <c r="W95" s="166">
        <f t="shared" si="139"/>
        <v>0</v>
      </c>
      <c r="X95" s="147"/>
      <c r="Y95" s="166">
        <f t="shared" si="140"/>
        <v>0</v>
      </c>
      <c r="Z95" s="147"/>
      <c r="AA95" s="166">
        <f t="shared" si="141"/>
        <v>0</v>
      </c>
      <c r="AB95" s="147"/>
      <c r="AC95" s="166">
        <f t="shared" si="142"/>
        <v>0</v>
      </c>
      <c r="AD95" s="147"/>
      <c r="AE95" s="166">
        <f t="shared" si="143"/>
        <v>0</v>
      </c>
      <c r="AF95" s="147"/>
      <c r="AG95" s="166">
        <f t="shared" si="144"/>
        <v>0</v>
      </c>
      <c r="AH95" s="147"/>
      <c r="AI95" s="166">
        <f t="shared" si="145"/>
        <v>0</v>
      </c>
      <c r="AJ95" s="147"/>
      <c r="AK95" s="166">
        <f t="shared" si="146"/>
        <v>0</v>
      </c>
      <c r="AL95" s="147"/>
      <c r="AM95" s="166">
        <f t="shared" si="147"/>
        <v>0</v>
      </c>
      <c r="AN95" s="147"/>
      <c r="AO95" s="166">
        <f t="shared" si="148"/>
        <v>0</v>
      </c>
      <c r="AP95" s="147"/>
      <c r="AQ95" s="166">
        <f t="shared" si="149"/>
        <v>0</v>
      </c>
      <c r="AR95" s="147"/>
      <c r="AS95" s="166">
        <f t="shared" si="150"/>
        <v>0</v>
      </c>
      <c r="AT95" s="147"/>
      <c r="AU95" s="166">
        <f t="shared" si="151"/>
        <v>0</v>
      </c>
      <c r="AV95" s="147"/>
      <c r="AW95" s="166">
        <f t="shared" si="152"/>
        <v>0</v>
      </c>
      <c r="AX95" s="147"/>
      <c r="AY95" s="166">
        <f t="shared" si="153"/>
        <v>0</v>
      </c>
      <c r="AZ95" s="147"/>
      <c r="BA95" s="166">
        <f t="shared" si="154"/>
        <v>0</v>
      </c>
      <c r="BB95" s="147"/>
      <c r="BC95" s="166">
        <f t="shared" si="155"/>
        <v>0</v>
      </c>
      <c r="BD95" s="147"/>
      <c r="BE95" s="166">
        <f t="shared" si="156"/>
        <v>0</v>
      </c>
      <c r="BF95" s="147"/>
      <c r="BG95" s="166">
        <f t="shared" si="157"/>
        <v>0</v>
      </c>
      <c r="BH95" s="147"/>
      <c r="BI95" s="166">
        <f t="shared" si="158"/>
        <v>0</v>
      </c>
      <c r="BJ95" s="147"/>
      <c r="BK95" s="166">
        <f t="shared" si="159"/>
        <v>0</v>
      </c>
      <c r="BL95" s="147"/>
      <c r="BM95" s="166">
        <f t="shared" si="160"/>
        <v>0</v>
      </c>
      <c r="BN95" s="50"/>
      <c r="BO95" s="170" t="e">
        <f t="shared" si="132"/>
        <v>#VALUE!</v>
      </c>
      <c r="BP95" s="87"/>
      <c r="BQ95" s="52"/>
    </row>
    <row r="96" spans="1:69" x14ac:dyDescent="0.35">
      <c r="A96" s="134" t="s">
        <v>80</v>
      </c>
      <c r="B96" s="54" t="s">
        <v>67</v>
      </c>
      <c r="C96" s="144"/>
      <c r="D96" s="146"/>
      <c r="E96" s="166" t="e">
        <f t="shared" si="133"/>
        <v>#VALUE!</v>
      </c>
      <c r="F96" s="147"/>
      <c r="G96" s="166">
        <f t="shared" si="133"/>
        <v>0</v>
      </c>
      <c r="H96" s="147"/>
      <c r="I96" s="166">
        <f t="shared" si="133"/>
        <v>0</v>
      </c>
      <c r="J96" s="147"/>
      <c r="K96" s="166">
        <f t="shared" si="133"/>
        <v>0</v>
      </c>
      <c r="L96" s="147"/>
      <c r="M96" s="166">
        <f t="shared" si="134"/>
        <v>0</v>
      </c>
      <c r="N96" s="147"/>
      <c r="O96" s="166">
        <f t="shared" si="135"/>
        <v>0</v>
      </c>
      <c r="P96" s="147"/>
      <c r="Q96" s="166">
        <f t="shared" si="136"/>
        <v>0</v>
      </c>
      <c r="R96" s="147"/>
      <c r="S96" s="166">
        <f t="shared" si="137"/>
        <v>0</v>
      </c>
      <c r="T96" s="147"/>
      <c r="U96" s="166">
        <f t="shared" si="138"/>
        <v>0</v>
      </c>
      <c r="V96" s="147"/>
      <c r="W96" s="166">
        <f t="shared" si="139"/>
        <v>0</v>
      </c>
      <c r="X96" s="147"/>
      <c r="Y96" s="166">
        <f t="shared" si="140"/>
        <v>0</v>
      </c>
      <c r="Z96" s="147"/>
      <c r="AA96" s="166">
        <f t="shared" si="141"/>
        <v>0</v>
      </c>
      <c r="AB96" s="147"/>
      <c r="AC96" s="166">
        <f t="shared" si="142"/>
        <v>0</v>
      </c>
      <c r="AD96" s="147"/>
      <c r="AE96" s="166">
        <f t="shared" si="143"/>
        <v>0</v>
      </c>
      <c r="AF96" s="147"/>
      <c r="AG96" s="166">
        <f t="shared" si="144"/>
        <v>0</v>
      </c>
      <c r="AH96" s="147"/>
      <c r="AI96" s="166">
        <f t="shared" si="145"/>
        <v>0</v>
      </c>
      <c r="AJ96" s="147"/>
      <c r="AK96" s="166">
        <f t="shared" si="146"/>
        <v>0</v>
      </c>
      <c r="AL96" s="147"/>
      <c r="AM96" s="166">
        <f t="shared" si="147"/>
        <v>0</v>
      </c>
      <c r="AN96" s="147"/>
      <c r="AO96" s="166">
        <f t="shared" si="148"/>
        <v>0</v>
      </c>
      <c r="AP96" s="147"/>
      <c r="AQ96" s="166">
        <f t="shared" si="149"/>
        <v>0</v>
      </c>
      <c r="AR96" s="147"/>
      <c r="AS96" s="166">
        <f t="shared" si="150"/>
        <v>0</v>
      </c>
      <c r="AT96" s="147"/>
      <c r="AU96" s="166">
        <f t="shared" si="151"/>
        <v>0</v>
      </c>
      <c r="AV96" s="147"/>
      <c r="AW96" s="166">
        <f t="shared" si="152"/>
        <v>0</v>
      </c>
      <c r="AX96" s="147"/>
      <c r="AY96" s="166">
        <f t="shared" si="153"/>
        <v>0</v>
      </c>
      <c r="AZ96" s="147"/>
      <c r="BA96" s="166">
        <f t="shared" si="154"/>
        <v>0</v>
      </c>
      <c r="BB96" s="147"/>
      <c r="BC96" s="166">
        <f t="shared" si="155"/>
        <v>0</v>
      </c>
      <c r="BD96" s="147"/>
      <c r="BE96" s="166">
        <f t="shared" si="156"/>
        <v>0</v>
      </c>
      <c r="BF96" s="147"/>
      <c r="BG96" s="166">
        <f t="shared" si="157"/>
        <v>0</v>
      </c>
      <c r="BH96" s="147"/>
      <c r="BI96" s="166">
        <f t="shared" si="158"/>
        <v>0</v>
      </c>
      <c r="BJ96" s="147"/>
      <c r="BK96" s="166">
        <f t="shared" si="159"/>
        <v>0</v>
      </c>
      <c r="BL96" s="147"/>
      <c r="BM96" s="166">
        <f t="shared" si="160"/>
        <v>0</v>
      </c>
      <c r="BN96" s="50"/>
      <c r="BO96" s="170" t="e">
        <f t="shared" si="132"/>
        <v>#VALUE!</v>
      </c>
      <c r="BP96" s="87"/>
      <c r="BQ96" s="52"/>
    </row>
    <row r="97" spans="1:76" x14ac:dyDescent="0.35">
      <c r="A97" s="135"/>
      <c r="B97" s="54" t="s">
        <v>67</v>
      </c>
      <c r="C97" s="144"/>
      <c r="D97" s="146"/>
      <c r="E97" s="166" t="e">
        <f t="shared" si="133"/>
        <v>#VALUE!</v>
      </c>
      <c r="F97" s="147"/>
      <c r="G97" s="166">
        <f t="shared" si="133"/>
        <v>0</v>
      </c>
      <c r="H97" s="147"/>
      <c r="I97" s="166">
        <f t="shared" si="133"/>
        <v>0</v>
      </c>
      <c r="J97" s="147"/>
      <c r="K97" s="166">
        <f t="shared" si="133"/>
        <v>0</v>
      </c>
      <c r="L97" s="147"/>
      <c r="M97" s="166">
        <f t="shared" si="134"/>
        <v>0</v>
      </c>
      <c r="N97" s="147"/>
      <c r="O97" s="166">
        <f t="shared" si="135"/>
        <v>0</v>
      </c>
      <c r="P97" s="147"/>
      <c r="Q97" s="166">
        <f t="shared" si="136"/>
        <v>0</v>
      </c>
      <c r="R97" s="147"/>
      <c r="S97" s="166">
        <f t="shared" si="137"/>
        <v>0</v>
      </c>
      <c r="T97" s="147"/>
      <c r="U97" s="166">
        <f t="shared" si="138"/>
        <v>0</v>
      </c>
      <c r="V97" s="147"/>
      <c r="W97" s="166">
        <f t="shared" si="139"/>
        <v>0</v>
      </c>
      <c r="X97" s="147"/>
      <c r="Y97" s="166">
        <f t="shared" si="140"/>
        <v>0</v>
      </c>
      <c r="Z97" s="147"/>
      <c r="AA97" s="166">
        <f t="shared" si="141"/>
        <v>0</v>
      </c>
      <c r="AB97" s="147"/>
      <c r="AC97" s="166">
        <f t="shared" si="142"/>
        <v>0</v>
      </c>
      <c r="AD97" s="147"/>
      <c r="AE97" s="166">
        <f t="shared" si="143"/>
        <v>0</v>
      </c>
      <c r="AF97" s="147"/>
      <c r="AG97" s="166">
        <f t="shared" si="144"/>
        <v>0</v>
      </c>
      <c r="AH97" s="147"/>
      <c r="AI97" s="166">
        <f t="shared" si="145"/>
        <v>0</v>
      </c>
      <c r="AJ97" s="147"/>
      <c r="AK97" s="166">
        <f t="shared" si="146"/>
        <v>0</v>
      </c>
      <c r="AL97" s="147"/>
      <c r="AM97" s="166">
        <f t="shared" si="147"/>
        <v>0</v>
      </c>
      <c r="AN97" s="147"/>
      <c r="AO97" s="166">
        <f t="shared" si="148"/>
        <v>0</v>
      </c>
      <c r="AP97" s="147"/>
      <c r="AQ97" s="166">
        <f t="shared" si="149"/>
        <v>0</v>
      </c>
      <c r="AR97" s="147"/>
      <c r="AS97" s="166">
        <f t="shared" si="150"/>
        <v>0</v>
      </c>
      <c r="AT97" s="147"/>
      <c r="AU97" s="166">
        <f t="shared" si="151"/>
        <v>0</v>
      </c>
      <c r="AV97" s="147"/>
      <c r="AW97" s="166">
        <f t="shared" si="152"/>
        <v>0</v>
      </c>
      <c r="AX97" s="147"/>
      <c r="AY97" s="166">
        <f t="shared" si="153"/>
        <v>0</v>
      </c>
      <c r="AZ97" s="147"/>
      <c r="BA97" s="166">
        <f t="shared" si="154"/>
        <v>0</v>
      </c>
      <c r="BB97" s="147"/>
      <c r="BC97" s="166">
        <f t="shared" si="155"/>
        <v>0</v>
      </c>
      <c r="BD97" s="147"/>
      <c r="BE97" s="166">
        <f t="shared" si="156"/>
        <v>0</v>
      </c>
      <c r="BF97" s="147"/>
      <c r="BG97" s="166">
        <f t="shared" si="157"/>
        <v>0</v>
      </c>
      <c r="BH97" s="147"/>
      <c r="BI97" s="166">
        <f t="shared" si="158"/>
        <v>0</v>
      </c>
      <c r="BJ97" s="147"/>
      <c r="BK97" s="166">
        <f t="shared" si="159"/>
        <v>0</v>
      </c>
      <c r="BL97" s="147"/>
      <c r="BM97" s="166">
        <f t="shared" si="160"/>
        <v>0</v>
      </c>
      <c r="BN97" s="50"/>
      <c r="BO97" s="170" t="e">
        <f t="shared" si="132"/>
        <v>#VALUE!</v>
      </c>
      <c r="BP97" s="87"/>
      <c r="BQ97" s="52"/>
    </row>
    <row r="98" spans="1:76" x14ac:dyDescent="0.35">
      <c r="A98" s="136" t="s">
        <v>82</v>
      </c>
      <c r="B98" s="54" t="s">
        <v>66</v>
      </c>
      <c r="C98" s="144"/>
      <c r="D98" s="146"/>
      <c r="E98" s="166" t="e">
        <f t="shared" si="133"/>
        <v>#VALUE!</v>
      </c>
      <c r="F98" s="147"/>
      <c r="G98" s="166">
        <f t="shared" si="133"/>
        <v>0</v>
      </c>
      <c r="H98" s="147"/>
      <c r="I98" s="166">
        <f t="shared" si="133"/>
        <v>0</v>
      </c>
      <c r="J98" s="147"/>
      <c r="K98" s="166">
        <f t="shared" si="133"/>
        <v>0</v>
      </c>
      <c r="L98" s="147"/>
      <c r="M98" s="166">
        <f t="shared" si="134"/>
        <v>0</v>
      </c>
      <c r="N98" s="147"/>
      <c r="O98" s="166">
        <f t="shared" si="135"/>
        <v>0</v>
      </c>
      <c r="P98" s="147"/>
      <c r="Q98" s="166">
        <f t="shared" si="136"/>
        <v>0</v>
      </c>
      <c r="R98" s="147"/>
      <c r="S98" s="166">
        <f t="shared" si="137"/>
        <v>0</v>
      </c>
      <c r="T98" s="147"/>
      <c r="U98" s="166">
        <f t="shared" si="138"/>
        <v>0</v>
      </c>
      <c r="V98" s="147"/>
      <c r="W98" s="166">
        <f t="shared" si="139"/>
        <v>0</v>
      </c>
      <c r="X98" s="147"/>
      <c r="Y98" s="166">
        <f t="shared" si="140"/>
        <v>0</v>
      </c>
      <c r="Z98" s="147"/>
      <c r="AA98" s="166">
        <f t="shared" si="141"/>
        <v>0</v>
      </c>
      <c r="AB98" s="147"/>
      <c r="AC98" s="166">
        <f t="shared" si="142"/>
        <v>0</v>
      </c>
      <c r="AD98" s="147"/>
      <c r="AE98" s="166">
        <f t="shared" si="143"/>
        <v>0</v>
      </c>
      <c r="AF98" s="147"/>
      <c r="AG98" s="166">
        <f t="shared" si="144"/>
        <v>0</v>
      </c>
      <c r="AH98" s="147"/>
      <c r="AI98" s="166">
        <f t="shared" si="145"/>
        <v>0</v>
      </c>
      <c r="AJ98" s="147"/>
      <c r="AK98" s="166">
        <f t="shared" si="146"/>
        <v>0</v>
      </c>
      <c r="AL98" s="147"/>
      <c r="AM98" s="166">
        <f t="shared" si="147"/>
        <v>0</v>
      </c>
      <c r="AN98" s="147"/>
      <c r="AO98" s="166">
        <f t="shared" si="148"/>
        <v>0</v>
      </c>
      <c r="AP98" s="147"/>
      <c r="AQ98" s="166">
        <f t="shared" si="149"/>
        <v>0</v>
      </c>
      <c r="AR98" s="147"/>
      <c r="AS98" s="166">
        <f t="shared" si="150"/>
        <v>0</v>
      </c>
      <c r="AT98" s="147"/>
      <c r="AU98" s="166">
        <f t="shared" si="151"/>
        <v>0</v>
      </c>
      <c r="AV98" s="147"/>
      <c r="AW98" s="166">
        <f t="shared" si="152"/>
        <v>0</v>
      </c>
      <c r="AX98" s="147"/>
      <c r="AY98" s="166">
        <f t="shared" si="153"/>
        <v>0</v>
      </c>
      <c r="AZ98" s="147"/>
      <c r="BA98" s="166">
        <f t="shared" si="154"/>
        <v>0</v>
      </c>
      <c r="BB98" s="147"/>
      <c r="BC98" s="166">
        <f t="shared" si="155"/>
        <v>0</v>
      </c>
      <c r="BD98" s="147"/>
      <c r="BE98" s="166">
        <f t="shared" si="156"/>
        <v>0</v>
      </c>
      <c r="BF98" s="147"/>
      <c r="BG98" s="166">
        <f t="shared" si="157"/>
        <v>0</v>
      </c>
      <c r="BH98" s="147"/>
      <c r="BI98" s="166">
        <f t="shared" si="158"/>
        <v>0</v>
      </c>
      <c r="BJ98" s="147"/>
      <c r="BK98" s="166">
        <f t="shared" si="159"/>
        <v>0</v>
      </c>
      <c r="BL98" s="147"/>
      <c r="BM98" s="166">
        <f t="shared" si="160"/>
        <v>0</v>
      </c>
      <c r="BN98" s="50"/>
      <c r="BO98" s="170" t="e">
        <f t="shared" si="132"/>
        <v>#VALUE!</v>
      </c>
      <c r="BP98" s="87"/>
      <c r="BQ98" s="52"/>
    </row>
    <row r="99" spans="1:76" x14ac:dyDescent="0.35">
      <c r="A99" s="44"/>
      <c r="B99" s="54" t="s">
        <v>65</v>
      </c>
      <c r="C99" s="144"/>
      <c r="D99" s="146"/>
      <c r="E99" s="166" t="e">
        <f t="shared" si="133"/>
        <v>#VALUE!</v>
      </c>
      <c r="F99" s="147"/>
      <c r="G99" s="166">
        <f t="shared" si="133"/>
        <v>0</v>
      </c>
      <c r="H99" s="147"/>
      <c r="I99" s="166">
        <f t="shared" si="133"/>
        <v>0</v>
      </c>
      <c r="J99" s="147"/>
      <c r="K99" s="166">
        <f t="shared" si="133"/>
        <v>0</v>
      </c>
      <c r="L99" s="147"/>
      <c r="M99" s="166">
        <f t="shared" si="134"/>
        <v>0</v>
      </c>
      <c r="N99" s="147"/>
      <c r="O99" s="166">
        <f t="shared" si="135"/>
        <v>0</v>
      </c>
      <c r="P99" s="147"/>
      <c r="Q99" s="166">
        <f t="shared" si="136"/>
        <v>0</v>
      </c>
      <c r="R99" s="147"/>
      <c r="S99" s="166">
        <f t="shared" si="137"/>
        <v>0</v>
      </c>
      <c r="T99" s="147"/>
      <c r="U99" s="166">
        <f t="shared" si="138"/>
        <v>0</v>
      </c>
      <c r="V99" s="147"/>
      <c r="W99" s="166">
        <f t="shared" si="139"/>
        <v>0</v>
      </c>
      <c r="X99" s="147"/>
      <c r="Y99" s="166">
        <f t="shared" si="140"/>
        <v>0</v>
      </c>
      <c r="Z99" s="147"/>
      <c r="AA99" s="166">
        <f t="shared" si="141"/>
        <v>0</v>
      </c>
      <c r="AB99" s="147"/>
      <c r="AC99" s="166">
        <f t="shared" si="142"/>
        <v>0</v>
      </c>
      <c r="AD99" s="147"/>
      <c r="AE99" s="166">
        <f t="shared" si="143"/>
        <v>0</v>
      </c>
      <c r="AF99" s="147"/>
      <c r="AG99" s="166">
        <f t="shared" si="144"/>
        <v>0</v>
      </c>
      <c r="AH99" s="147"/>
      <c r="AI99" s="166">
        <f t="shared" si="145"/>
        <v>0</v>
      </c>
      <c r="AJ99" s="147"/>
      <c r="AK99" s="166">
        <f t="shared" si="146"/>
        <v>0</v>
      </c>
      <c r="AL99" s="147"/>
      <c r="AM99" s="166">
        <f t="shared" si="147"/>
        <v>0</v>
      </c>
      <c r="AN99" s="147"/>
      <c r="AO99" s="166">
        <f t="shared" si="148"/>
        <v>0</v>
      </c>
      <c r="AP99" s="147"/>
      <c r="AQ99" s="166">
        <f t="shared" si="149"/>
        <v>0</v>
      </c>
      <c r="AR99" s="147"/>
      <c r="AS99" s="166">
        <f t="shared" si="150"/>
        <v>0</v>
      </c>
      <c r="AT99" s="147"/>
      <c r="AU99" s="166">
        <f t="shared" si="151"/>
        <v>0</v>
      </c>
      <c r="AV99" s="147"/>
      <c r="AW99" s="166">
        <f t="shared" si="152"/>
        <v>0</v>
      </c>
      <c r="AX99" s="147"/>
      <c r="AY99" s="166">
        <f t="shared" si="153"/>
        <v>0</v>
      </c>
      <c r="AZ99" s="147"/>
      <c r="BA99" s="166">
        <f t="shared" si="154"/>
        <v>0</v>
      </c>
      <c r="BB99" s="147"/>
      <c r="BC99" s="166">
        <f t="shared" si="155"/>
        <v>0</v>
      </c>
      <c r="BD99" s="147"/>
      <c r="BE99" s="166">
        <f t="shared" si="156"/>
        <v>0</v>
      </c>
      <c r="BF99" s="147"/>
      <c r="BG99" s="166">
        <f t="shared" si="157"/>
        <v>0</v>
      </c>
      <c r="BH99" s="147"/>
      <c r="BI99" s="166">
        <f t="shared" si="158"/>
        <v>0</v>
      </c>
      <c r="BJ99" s="147"/>
      <c r="BK99" s="166">
        <f t="shared" si="159"/>
        <v>0</v>
      </c>
      <c r="BL99" s="147"/>
      <c r="BM99" s="166">
        <f t="shared" si="160"/>
        <v>0</v>
      </c>
      <c r="BN99" s="50"/>
      <c r="BO99" s="170" t="e">
        <f t="shared" si="132"/>
        <v>#VALUE!</v>
      </c>
      <c r="BP99" s="87"/>
      <c r="BQ99" s="52"/>
    </row>
    <row r="100" spans="1:76" x14ac:dyDescent="0.35">
      <c r="A100" s="135" t="s">
        <v>84</v>
      </c>
      <c r="B100" s="54" t="s">
        <v>67</v>
      </c>
      <c r="C100" s="144"/>
      <c r="D100" s="146"/>
      <c r="E100" s="166" t="e">
        <f t="shared" si="133"/>
        <v>#VALUE!</v>
      </c>
      <c r="F100" s="147"/>
      <c r="G100" s="166">
        <f t="shared" si="133"/>
        <v>0</v>
      </c>
      <c r="H100" s="147"/>
      <c r="I100" s="166">
        <f t="shared" si="133"/>
        <v>0</v>
      </c>
      <c r="J100" s="147"/>
      <c r="K100" s="166">
        <f t="shared" si="133"/>
        <v>0</v>
      </c>
      <c r="L100" s="147"/>
      <c r="M100" s="166">
        <f t="shared" si="134"/>
        <v>0</v>
      </c>
      <c r="N100" s="147"/>
      <c r="O100" s="166">
        <f t="shared" si="135"/>
        <v>0</v>
      </c>
      <c r="P100" s="147"/>
      <c r="Q100" s="166">
        <f t="shared" si="136"/>
        <v>0</v>
      </c>
      <c r="R100" s="147"/>
      <c r="S100" s="166">
        <f t="shared" si="137"/>
        <v>0</v>
      </c>
      <c r="T100" s="147"/>
      <c r="U100" s="166">
        <f t="shared" si="138"/>
        <v>0</v>
      </c>
      <c r="V100" s="147"/>
      <c r="W100" s="166">
        <f t="shared" si="139"/>
        <v>0</v>
      </c>
      <c r="X100" s="147"/>
      <c r="Y100" s="166">
        <f t="shared" si="140"/>
        <v>0</v>
      </c>
      <c r="Z100" s="147"/>
      <c r="AA100" s="166">
        <f t="shared" si="141"/>
        <v>0</v>
      </c>
      <c r="AB100" s="147"/>
      <c r="AC100" s="166">
        <f t="shared" si="142"/>
        <v>0</v>
      </c>
      <c r="AD100" s="147"/>
      <c r="AE100" s="166">
        <f t="shared" si="143"/>
        <v>0</v>
      </c>
      <c r="AF100" s="147"/>
      <c r="AG100" s="166">
        <f t="shared" si="144"/>
        <v>0</v>
      </c>
      <c r="AH100" s="147"/>
      <c r="AI100" s="166">
        <f t="shared" si="145"/>
        <v>0</v>
      </c>
      <c r="AJ100" s="147"/>
      <c r="AK100" s="166">
        <f t="shared" si="146"/>
        <v>0</v>
      </c>
      <c r="AL100" s="147"/>
      <c r="AM100" s="166">
        <f t="shared" si="147"/>
        <v>0</v>
      </c>
      <c r="AN100" s="147"/>
      <c r="AO100" s="166">
        <f t="shared" si="148"/>
        <v>0</v>
      </c>
      <c r="AP100" s="147"/>
      <c r="AQ100" s="166">
        <f t="shared" si="149"/>
        <v>0</v>
      </c>
      <c r="AR100" s="147"/>
      <c r="AS100" s="166">
        <f t="shared" si="150"/>
        <v>0</v>
      </c>
      <c r="AT100" s="147"/>
      <c r="AU100" s="166">
        <f t="shared" si="151"/>
        <v>0</v>
      </c>
      <c r="AV100" s="147"/>
      <c r="AW100" s="166">
        <f t="shared" si="152"/>
        <v>0</v>
      </c>
      <c r="AX100" s="147"/>
      <c r="AY100" s="166">
        <f t="shared" si="153"/>
        <v>0</v>
      </c>
      <c r="AZ100" s="147"/>
      <c r="BA100" s="166">
        <f t="shared" si="154"/>
        <v>0</v>
      </c>
      <c r="BB100" s="147"/>
      <c r="BC100" s="166">
        <f t="shared" si="155"/>
        <v>0</v>
      </c>
      <c r="BD100" s="147"/>
      <c r="BE100" s="166">
        <f t="shared" si="156"/>
        <v>0</v>
      </c>
      <c r="BF100" s="147"/>
      <c r="BG100" s="166">
        <f t="shared" si="157"/>
        <v>0</v>
      </c>
      <c r="BH100" s="147"/>
      <c r="BI100" s="166">
        <f t="shared" si="158"/>
        <v>0</v>
      </c>
      <c r="BJ100" s="147"/>
      <c r="BK100" s="166">
        <f t="shared" si="159"/>
        <v>0</v>
      </c>
      <c r="BL100" s="147"/>
      <c r="BM100" s="166">
        <f t="shared" si="160"/>
        <v>0</v>
      </c>
      <c r="BN100" s="50"/>
      <c r="BO100" s="170" t="e">
        <f t="shared" si="132"/>
        <v>#VALUE!</v>
      </c>
      <c r="BP100" s="87"/>
      <c r="BQ100" s="52"/>
    </row>
    <row r="101" spans="1:76" x14ac:dyDescent="0.35">
      <c r="A101" s="136" t="s">
        <v>85</v>
      </c>
      <c r="B101" s="54" t="s">
        <v>66</v>
      </c>
      <c r="C101" s="144"/>
      <c r="D101" s="146"/>
      <c r="E101" s="166" t="e">
        <f t="shared" si="133"/>
        <v>#VALUE!</v>
      </c>
      <c r="F101" s="147"/>
      <c r="G101" s="166">
        <f t="shared" si="133"/>
        <v>0</v>
      </c>
      <c r="H101" s="147"/>
      <c r="I101" s="166">
        <f t="shared" si="133"/>
        <v>0</v>
      </c>
      <c r="J101" s="147"/>
      <c r="K101" s="166">
        <f t="shared" si="133"/>
        <v>0</v>
      </c>
      <c r="L101" s="147"/>
      <c r="M101" s="166">
        <f t="shared" si="134"/>
        <v>0</v>
      </c>
      <c r="N101" s="147"/>
      <c r="O101" s="166">
        <f t="shared" si="135"/>
        <v>0</v>
      </c>
      <c r="P101" s="147"/>
      <c r="Q101" s="166">
        <f t="shared" si="136"/>
        <v>0</v>
      </c>
      <c r="R101" s="147"/>
      <c r="S101" s="166">
        <f t="shared" si="137"/>
        <v>0</v>
      </c>
      <c r="T101" s="147"/>
      <c r="U101" s="166">
        <f t="shared" si="138"/>
        <v>0</v>
      </c>
      <c r="V101" s="147"/>
      <c r="W101" s="166">
        <f t="shared" si="139"/>
        <v>0</v>
      </c>
      <c r="X101" s="147"/>
      <c r="Y101" s="166">
        <f t="shared" si="140"/>
        <v>0</v>
      </c>
      <c r="Z101" s="147"/>
      <c r="AA101" s="166">
        <f t="shared" si="141"/>
        <v>0</v>
      </c>
      <c r="AB101" s="147"/>
      <c r="AC101" s="166">
        <f t="shared" si="142"/>
        <v>0</v>
      </c>
      <c r="AD101" s="147"/>
      <c r="AE101" s="166">
        <f t="shared" si="143"/>
        <v>0</v>
      </c>
      <c r="AF101" s="147"/>
      <c r="AG101" s="166">
        <f t="shared" si="144"/>
        <v>0</v>
      </c>
      <c r="AH101" s="147"/>
      <c r="AI101" s="166">
        <f t="shared" si="145"/>
        <v>0</v>
      </c>
      <c r="AJ101" s="147"/>
      <c r="AK101" s="166">
        <f t="shared" si="146"/>
        <v>0</v>
      </c>
      <c r="AL101" s="147"/>
      <c r="AM101" s="166">
        <f t="shared" si="147"/>
        <v>0</v>
      </c>
      <c r="AN101" s="147"/>
      <c r="AO101" s="166">
        <f t="shared" si="148"/>
        <v>0</v>
      </c>
      <c r="AP101" s="147"/>
      <c r="AQ101" s="166">
        <f t="shared" si="149"/>
        <v>0</v>
      </c>
      <c r="AR101" s="147"/>
      <c r="AS101" s="166">
        <f t="shared" si="150"/>
        <v>0</v>
      </c>
      <c r="AT101" s="147"/>
      <c r="AU101" s="166">
        <f t="shared" si="151"/>
        <v>0</v>
      </c>
      <c r="AV101" s="147"/>
      <c r="AW101" s="166">
        <f t="shared" si="152"/>
        <v>0</v>
      </c>
      <c r="AX101" s="147"/>
      <c r="AY101" s="166">
        <f t="shared" si="153"/>
        <v>0</v>
      </c>
      <c r="AZ101" s="147"/>
      <c r="BA101" s="166">
        <f t="shared" si="154"/>
        <v>0</v>
      </c>
      <c r="BB101" s="147"/>
      <c r="BC101" s="166">
        <f t="shared" si="155"/>
        <v>0</v>
      </c>
      <c r="BD101" s="147"/>
      <c r="BE101" s="166">
        <f t="shared" si="156"/>
        <v>0</v>
      </c>
      <c r="BF101" s="147"/>
      <c r="BG101" s="166">
        <f t="shared" si="157"/>
        <v>0</v>
      </c>
      <c r="BH101" s="147"/>
      <c r="BI101" s="166">
        <f t="shared" si="158"/>
        <v>0</v>
      </c>
      <c r="BJ101" s="147"/>
      <c r="BK101" s="166">
        <f t="shared" si="159"/>
        <v>0</v>
      </c>
      <c r="BL101" s="147"/>
      <c r="BM101" s="166">
        <f t="shared" si="160"/>
        <v>0</v>
      </c>
      <c r="BN101" s="50"/>
      <c r="BO101" s="170" t="e">
        <f t="shared" si="132"/>
        <v>#VALUE!</v>
      </c>
      <c r="BP101" s="87"/>
      <c r="BQ101" s="52"/>
    </row>
    <row r="102" spans="1:76" x14ac:dyDescent="0.35">
      <c r="A102" s="44" t="s">
        <v>86</v>
      </c>
      <c r="B102" s="54" t="s">
        <v>65</v>
      </c>
      <c r="C102" s="144"/>
      <c r="D102" s="146"/>
      <c r="E102" s="166" t="e">
        <f t="shared" si="133"/>
        <v>#VALUE!</v>
      </c>
      <c r="F102" s="147"/>
      <c r="G102" s="166">
        <f t="shared" si="133"/>
        <v>0</v>
      </c>
      <c r="H102" s="147"/>
      <c r="I102" s="166">
        <f t="shared" si="133"/>
        <v>0</v>
      </c>
      <c r="J102" s="147"/>
      <c r="K102" s="166">
        <f t="shared" si="133"/>
        <v>0</v>
      </c>
      <c r="L102" s="147"/>
      <c r="M102" s="166">
        <f t="shared" si="134"/>
        <v>0</v>
      </c>
      <c r="N102" s="147"/>
      <c r="O102" s="166">
        <f t="shared" si="135"/>
        <v>0</v>
      </c>
      <c r="P102" s="147"/>
      <c r="Q102" s="166">
        <f t="shared" si="136"/>
        <v>0</v>
      </c>
      <c r="R102" s="147"/>
      <c r="S102" s="166">
        <f t="shared" si="137"/>
        <v>0</v>
      </c>
      <c r="T102" s="147"/>
      <c r="U102" s="166">
        <f t="shared" si="138"/>
        <v>0</v>
      </c>
      <c r="V102" s="147"/>
      <c r="W102" s="166">
        <f t="shared" si="139"/>
        <v>0</v>
      </c>
      <c r="X102" s="147"/>
      <c r="Y102" s="166">
        <f t="shared" si="140"/>
        <v>0</v>
      </c>
      <c r="Z102" s="147"/>
      <c r="AA102" s="166">
        <f t="shared" si="141"/>
        <v>0</v>
      </c>
      <c r="AB102" s="147"/>
      <c r="AC102" s="166">
        <f t="shared" si="142"/>
        <v>0</v>
      </c>
      <c r="AD102" s="147"/>
      <c r="AE102" s="166">
        <f t="shared" si="143"/>
        <v>0</v>
      </c>
      <c r="AF102" s="147"/>
      <c r="AG102" s="166">
        <f t="shared" si="144"/>
        <v>0</v>
      </c>
      <c r="AH102" s="147"/>
      <c r="AI102" s="166">
        <f t="shared" si="145"/>
        <v>0</v>
      </c>
      <c r="AJ102" s="147"/>
      <c r="AK102" s="166">
        <f t="shared" si="146"/>
        <v>0</v>
      </c>
      <c r="AL102" s="147"/>
      <c r="AM102" s="166">
        <f t="shared" si="147"/>
        <v>0</v>
      </c>
      <c r="AN102" s="147"/>
      <c r="AO102" s="166">
        <f t="shared" si="148"/>
        <v>0</v>
      </c>
      <c r="AP102" s="147"/>
      <c r="AQ102" s="166">
        <f t="shared" si="149"/>
        <v>0</v>
      </c>
      <c r="AR102" s="147"/>
      <c r="AS102" s="166">
        <f t="shared" si="150"/>
        <v>0</v>
      </c>
      <c r="AT102" s="147"/>
      <c r="AU102" s="166">
        <f t="shared" si="151"/>
        <v>0</v>
      </c>
      <c r="AV102" s="147"/>
      <c r="AW102" s="166">
        <f t="shared" si="152"/>
        <v>0</v>
      </c>
      <c r="AX102" s="147"/>
      <c r="AY102" s="166">
        <f t="shared" si="153"/>
        <v>0</v>
      </c>
      <c r="AZ102" s="147"/>
      <c r="BA102" s="166">
        <f t="shared" si="154"/>
        <v>0</v>
      </c>
      <c r="BB102" s="147"/>
      <c r="BC102" s="166">
        <f t="shared" si="155"/>
        <v>0</v>
      </c>
      <c r="BD102" s="147"/>
      <c r="BE102" s="166">
        <f t="shared" si="156"/>
        <v>0</v>
      </c>
      <c r="BF102" s="147"/>
      <c r="BG102" s="166">
        <f t="shared" si="157"/>
        <v>0</v>
      </c>
      <c r="BH102" s="147"/>
      <c r="BI102" s="166">
        <f t="shared" si="158"/>
        <v>0</v>
      </c>
      <c r="BJ102" s="147"/>
      <c r="BK102" s="166">
        <f t="shared" si="159"/>
        <v>0</v>
      </c>
      <c r="BL102" s="147"/>
      <c r="BM102" s="166">
        <f t="shared" si="160"/>
        <v>0</v>
      </c>
      <c r="BN102" s="50"/>
      <c r="BO102" s="170" t="e">
        <f t="shared" si="132"/>
        <v>#VALUE!</v>
      </c>
      <c r="BP102" s="87"/>
      <c r="BQ102" s="52"/>
    </row>
    <row r="103" spans="1:76" x14ac:dyDescent="0.35">
      <c r="A103" s="53"/>
      <c r="B103" s="54"/>
      <c r="C103" s="144"/>
      <c r="D103" s="189">
        <f>SUM(D91:D102)</f>
        <v>0</v>
      </c>
      <c r="E103" s="166" t="e">
        <f t="shared" ref="E103:BP103" si="161">SUM(E91:E102)</f>
        <v>#VALUE!</v>
      </c>
      <c r="F103" s="167">
        <f t="shared" si="161"/>
        <v>0</v>
      </c>
      <c r="G103" s="166">
        <f t="shared" si="161"/>
        <v>0</v>
      </c>
      <c r="H103" s="167">
        <f t="shared" si="161"/>
        <v>0</v>
      </c>
      <c r="I103" s="166">
        <f t="shared" si="161"/>
        <v>0</v>
      </c>
      <c r="J103" s="167">
        <f t="shared" si="161"/>
        <v>0</v>
      </c>
      <c r="K103" s="166">
        <f t="shared" si="161"/>
        <v>0</v>
      </c>
      <c r="L103" s="167">
        <f t="shared" si="161"/>
        <v>0</v>
      </c>
      <c r="M103" s="166">
        <f t="shared" si="161"/>
        <v>0</v>
      </c>
      <c r="N103" s="167">
        <f t="shared" si="161"/>
        <v>0</v>
      </c>
      <c r="O103" s="166">
        <f t="shared" si="161"/>
        <v>0</v>
      </c>
      <c r="P103" s="167">
        <f t="shared" si="161"/>
        <v>0</v>
      </c>
      <c r="Q103" s="166">
        <f t="shared" si="161"/>
        <v>0</v>
      </c>
      <c r="R103" s="167">
        <f t="shared" si="161"/>
        <v>0</v>
      </c>
      <c r="S103" s="166">
        <f t="shared" si="161"/>
        <v>0</v>
      </c>
      <c r="T103" s="167">
        <f t="shared" si="161"/>
        <v>0</v>
      </c>
      <c r="U103" s="166">
        <f t="shared" si="161"/>
        <v>0</v>
      </c>
      <c r="V103" s="167">
        <f t="shared" si="161"/>
        <v>0</v>
      </c>
      <c r="W103" s="166">
        <f t="shared" si="161"/>
        <v>0</v>
      </c>
      <c r="X103" s="167">
        <f t="shared" si="161"/>
        <v>0</v>
      </c>
      <c r="Y103" s="166">
        <f t="shared" si="161"/>
        <v>0</v>
      </c>
      <c r="Z103" s="167">
        <f t="shared" si="161"/>
        <v>0</v>
      </c>
      <c r="AA103" s="166">
        <f t="shared" si="161"/>
        <v>0</v>
      </c>
      <c r="AB103" s="167">
        <f t="shared" si="161"/>
        <v>0</v>
      </c>
      <c r="AC103" s="166">
        <f t="shared" si="161"/>
        <v>0</v>
      </c>
      <c r="AD103" s="167">
        <f t="shared" si="161"/>
        <v>0</v>
      </c>
      <c r="AE103" s="166">
        <f t="shared" si="161"/>
        <v>0</v>
      </c>
      <c r="AF103" s="167">
        <f t="shared" si="161"/>
        <v>0</v>
      </c>
      <c r="AG103" s="166">
        <f t="shared" si="161"/>
        <v>0</v>
      </c>
      <c r="AH103" s="167">
        <f t="shared" si="161"/>
        <v>0</v>
      </c>
      <c r="AI103" s="166">
        <f t="shared" si="161"/>
        <v>0</v>
      </c>
      <c r="AJ103" s="167">
        <f t="shared" si="161"/>
        <v>0</v>
      </c>
      <c r="AK103" s="166">
        <f t="shared" si="161"/>
        <v>0</v>
      </c>
      <c r="AL103" s="167">
        <f t="shared" si="161"/>
        <v>0</v>
      </c>
      <c r="AM103" s="166">
        <f t="shared" si="161"/>
        <v>0</v>
      </c>
      <c r="AN103" s="167">
        <f t="shared" si="161"/>
        <v>0</v>
      </c>
      <c r="AO103" s="166">
        <f t="shared" si="161"/>
        <v>0</v>
      </c>
      <c r="AP103" s="167">
        <f t="shared" si="161"/>
        <v>0</v>
      </c>
      <c r="AQ103" s="194">
        <f t="shared" si="161"/>
        <v>0</v>
      </c>
      <c r="AR103" s="167">
        <f t="shared" si="161"/>
        <v>0</v>
      </c>
      <c r="AS103" s="166">
        <f t="shared" si="161"/>
        <v>0</v>
      </c>
      <c r="AT103" s="167">
        <f t="shared" si="161"/>
        <v>0</v>
      </c>
      <c r="AU103" s="166">
        <f t="shared" si="161"/>
        <v>0</v>
      </c>
      <c r="AV103" s="167">
        <f t="shared" si="161"/>
        <v>0</v>
      </c>
      <c r="AW103" s="166">
        <f t="shared" si="161"/>
        <v>0</v>
      </c>
      <c r="AX103" s="167">
        <f t="shared" si="161"/>
        <v>0</v>
      </c>
      <c r="AY103" s="166">
        <f t="shared" si="161"/>
        <v>0</v>
      </c>
      <c r="AZ103" s="167">
        <f t="shared" si="161"/>
        <v>0</v>
      </c>
      <c r="BA103" s="166">
        <f t="shared" si="161"/>
        <v>0</v>
      </c>
      <c r="BB103" s="167">
        <f t="shared" si="161"/>
        <v>0</v>
      </c>
      <c r="BC103" s="166">
        <f t="shared" si="161"/>
        <v>0</v>
      </c>
      <c r="BD103" s="167">
        <f t="shared" si="161"/>
        <v>0</v>
      </c>
      <c r="BE103" s="166">
        <f t="shared" si="161"/>
        <v>0</v>
      </c>
      <c r="BF103" s="167">
        <f t="shared" si="161"/>
        <v>0</v>
      </c>
      <c r="BG103" s="166">
        <f t="shared" si="161"/>
        <v>0</v>
      </c>
      <c r="BH103" s="167">
        <f t="shared" si="161"/>
        <v>0</v>
      </c>
      <c r="BI103" s="166">
        <f t="shared" si="161"/>
        <v>0</v>
      </c>
      <c r="BJ103" s="167">
        <f t="shared" si="161"/>
        <v>0</v>
      </c>
      <c r="BK103" s="166">
        <f t="shared" si="161"/>
        <v>0</v>
      </c>
      <c r="BL103" s="167">
        <f t="shared" si="161"/>
        <v>0</v>
      </c>
      <c r="BM103" s="166">
        <f t="shared" si="161"/>
        <v>0</v>
      </c>
      <c r="BN103" s="50"/>
      <c r="BO103" s="170" t="e">
        <f t="shared" si="132"/>
        <v>#VALUE!</v>
      </c>
      <c r="BP103" s="173">
        <f t="shared" si="161"/>
        <v>0</v>
      </c>
      <c r="BQ103" s="52"/>
    </row>
    <row r="104" spans="1:76" x14ac:dyDescent="0.35">
      <c r="A104" s="53"/>
      <c r="B104" s="54"/>
      <c r="C104" s="144"/>
      <c r="D104" s="189">
        <f t="shared" si="98"/>
        <v>0</v>
      </c>
      <c r="E104" s="48"/>
      <c r="F104" s="167">
        <f t="shared" si="99"/>
        <v>0</v>
      </c>
      <c r="G104" s="48"/>
      <c r="H104" s="167">
        <f t="shared" si="100"/>
        <v>0</v>
      </c>
      <c r="I104" s="48"/>
      <c r="J104" s="167">
        <f t="shared" si="101"/>
        <v>0</v>
      </c>
      <c r="K104" s="48"/>
      <c r="L104" s="167">
        <f t="shared" ref="L104" si="162">+M104-K104</f>
        <v>0</v>
      </c>
      <c r="M104" s="48"/>
      <c r="N104" s="167">
        <f t="shared" ref="N104" si="163">+O104-M104</f>
        <v>0</v>
      </c>
      <c r="O104" s="48"/>
      <c r="P104" s="167">
        <f t="shared" ref="P104" si="164">+Q104-O104</f>
        <v>0</v>
      </c>
      <c r="Q104" s="48"/>
      <c r="R104" s="167">
        <f t="shared" ref="R104" si="165">+S104-Q104</f>
        <v>0</v>
      </c>
      <c r="S104" s="48"/>
      <c r="T104" s="167">
        <f t="shared" ref="T104" si="166">+U104-S104</f>
        <v>0</v>
      </c>
      <c r="U104" s="48"/>
      <c r="V104" s="167">
        <f t="shared" ref="V104" si="167">+W104-U104</f>
        <v>0</v>
      </c>
      <c r="W104" s="48"/>
      <c r="X104" s="167">
        <f t="shared" ref="X104" si="168">+Y104-W104</f>
        <v>0</v>
      </c>
      <c r="Y104" s="48"/>
      <c r="Z104" s="167">
        <f t="shared" ref="Z104" si="169">+AA104-Y104</f>
        <v>0</v>
      </c>
      <c r="AA104" s="48"/>
      <c r="AB104" s="167">
        <f t="shared" ref="AB104" si="170">+AC104-AA104</f>
        <v>0</v>
      </c>
      <c r="AC104" s="48"/>
      <c r="AD104" s="167">
        <f t="shared" ref="AD104" si="171">+AE104-AC104</f>
        <v>0</v>
      </c>
      <c r="AE104" s="48"/>
      <c r="AF104" s="167">
        <f t="shared" ref="AF104" si="172">+AG104-AE104</f>
        <v>0</v>
      </c>
      <c r="AG104" s="48"/>
      <c r="AH104" s="167">
        <f t="shared" ref="AH104" si="173">+AI104-AG104</f>
        <v>0</v>
      </c>
      <c r="AI104" s="48"/>
      <c r="AJ104" s="167">
        <f t="shared" ref="AJ104" si="174">+AK104-AI104</f>
        <v>0</v>
      </c>
      <c r="AK104" s="48"/>
      <c r="AL104" s="167">
        <f t="shared" ref="AL104" si="175">+AM104-AK104</f>
        <v>0</v>
      </c>
      <c r="AM104" s="48"/>
      <c r="AN104" s="167">
        <f t="shared" ref="AN104" si="176">+AO104-AM104</f>
        <v>0</v>
      </c>
      <c r="AO104" s="48"/>
      <c r="AP104" s="167">
        <f t="shared" ref="AP104" si="177">+AQ104-AO104</f>
        <v>0</v>
      </c>
      <c r="AQ104" s="48"/>
      <c r="AR104" s="167">
        <f t="shared" ref="AR104" si="178">+AS104-AQ104</f>
        <v>0</v>
      </c>
      <c r="AS104" s="48"/>
      <c r="AT104" s="167">
        <f t="shared" ref="AT104" si="179">+AU104-AS104</f>
        <v>0</v>
      </c>
      <c r="AU104" s="48"/>
      <c r="AV104" s="167">
        <f t="shared" ref="AV104" si="180">+AW104-AU104</f>
        <v>0</v>
      </c>
      <c r="AW104" s="48"/>
      <c r="AX104" s="167">
        <f t="shared" ref="AX104" si="181">+AY104-AW104</f>
        <v>0</v>
      </c>
      <c r="AY104" s="48"/>
      <c r="AZ104" s="167">
        <f t="shared" ref="AZ104" si="182">+BA104-AY104</f>
        <v>0</v>
      </c>
      <c r="BA104" s="48"/>
      <c r="BB104" s="167">
        <f t="shared" ref="BB104" si="183">+BC104-BA104</f>
        <v>0</v>
      </c>
      <c r="BC104" s="48"/>
      <c r="BD104" s="167">
        <f t="shared" ref="BD104" si="184">+BE104-BC104</f>
        <v>0</v>
      </c>
      <c r="BE104" s="48"/>
      <c r="BF104" s="167">
        <f t="shared" ref="BF104" si="185">+BG104-BE104</f>
        <v>0</v>
      </c>
      <c r="BG104" s="48"/>
      <c r="BH104" s="167">
        <f t="shared" ref="BH104" si="186">+BI104-BG104</f>
        <v>0</v>
      </c>
      <c r="BI104" s="48"/>
      <c r="BJ104" s="167">
        <f t="shared" ref="BJ104" si="187">+BK104-BI104</f>
        <v>0</v>
      </c>
      <c r="BK104" s="48"/>
      <c r="BL104" s="167">
        <f t="shared" ref="BL104" si="188">+BM104-BK104</f>
        <v>0</v>
      </c>
      <c r="BM104" s="48"/>
      <c r="BN104" s="50"/>
      <c r="BO104" s="51"/>
      <c r="BP104" s="173">
        <f t="shared" ref="BP104" si="189">+BQ104-BM104</f>
        <v>0</v>
      </c>
      <c r="BQ104" s="52"/>
    </row>
    <row r="105" spans="1:76" x14ac:dyDescent="0.35">
      <c r="A105" s="74"/>
      <c r="B105" s="75"/>
      <c r="C105" s="76"/>
      <c r="D105" s="77"/>
      <c r="E105" s="148"/>
      <c r="F105" s="79"/>
      <c r="G105" s="148"/>
      <c r="H105" s="79"/>
      <c r="I105" s="148"/>
      <c r="J105" s="79"/>
      <c r="K105" s="148"/>
      <c r="L105" s="79"/>
      <c r="M105" s="148"/>
      <c r="N105" s="79"/>
      <c r="O105" s="148"/>
      <c r="P105" s="79"/>
      <c r="Q105" s="148"/>
      <c r="R105" s="79"/>
      <c r="S105" s="148"/>
      <c r="T105" s="79"/>
      <c r="U105" s="148"/>
      <c r="V105" s="79"/>
      <c r="W105" s="148"/>
      <c r="X105" s="79"/>
      <c r="Y105" s="148"/>
      <c r="Z105" s="79"/>
      <c r="AA105" s="148"/>
      <c r="AB105" s="79"/>
      <c r="AC105" s="148"/>
      <c r="AD105" s="79"/>
      <c r="AE105" s="148"/>
      <c r="AF105" s="79"/>
      <c r="AG105" s="148"/>
      <c r="AH105" s="79"/>
      <c r="AI105" s="148"/>
      <c r="AJ105" s="79"/>
      <c r="AK105" s="148"/>
      <c r="AL105" s="79"/>
      <c r="AM105" s="148"/>
      <c r="AN105" s="79"/>
      <c r="AO105" s="148"/>
      <c r="AP105" s="79"/>
      <c r="AQ105" s="148"/>
      <c r="AR105" s="79"/>
      <c r="AS105" s="148"/>
      <c r="AT105" s="79"/>
      <c r="AU105" s="148"/>
      <c r="AV105" s="79"/>
      <c r="AW105" s="148"/>
      <c r="AX105" s="79"/>
      <c r="AY105" s="148"/>
      <c r="AZ105" s="79"/>
      <c r="BA105" s="148"/>
      <c r="BB105" s="79"/>
      <c r="BC105" s="148"/>
      <c r="BD105" s="79"/>
      <c r="BE105" s="148"/>
      <c r="BF105" s="79"/>
      <c r="BG105" s="148"/>
      <c r="BH105" s="79"/>
      <c r="BI105" s="148"/>
      <c r="BJ105" s="79"/>
      <c r="BK105" s="148"/>
      <c r="BL105" s="79"/>
      <c r="BM105" s="148"/>
      <c r="BN105" s="80"/>
      <c r="BO105" s="81"/>
      <c r="BP105" s="79"/>
      <c r="BQ105" s="82"/>
    </row>
    <row r="106" spans="1:76" x14ac:dyDescent="0.35">
      <c r="A106" s="53" t="s">
        <v>32</v>
      </c>
      <c r="B106" s="54"/>
      <c r="C106" s="67"/>
      <c r="D106" s="68"/>
      <c r="E106" s="69"/>
      <c r="F106" s="70"/>
      <c r="G106" s="69"/>
      <c r="H106" s="70"/>
      <c r="I106" s="69"/>
      <c r="J106" s="70"/>
      <c r="K106" s="69"/>
      <c r="L106" s="70"/>
      <c r="M106" s="69"/>
      <c r="N106" s="70"/>
      <c r="O106" s="69"/>
      <c r="P106" s="70"/>
      <c r="Q106" s="69"/>
      <c r="R106" s="70"/>
      <c r="S106" s="69"/>
      <c r="T106" s="70"/>
      <c r="U106" s="69"/>
      <c r="V106" s="70"/>
      <c r="W106" s="69"/>
      <c r="X106" s="70"/>
      <c r="Y106" s="69"/>
      <c r="Z106" s="70"/>
      <c r="AA106" s="69"/>
      <c r="AB106" s="70"/>
      <c r="AC106" s="69"/>
      <c r="AD106" s="70"/>
      <c r="AE106" s="69"/>
      <c r="AF106" s="70"/>
      <c r="AG106" s="69"/>
      <c r="AH106" s="70"/>
      <c r="AI106" s="69"/>
      <c r="AJ106" s="70"/>
      <c r="AK106" s="69"/>
      <c r="AL106" s="70"/>
      <c r="AM106" s="69"/>
      <c r="AN106" s="70"/>
      <c r="AO106" s="69"/>
      <c r="AP106" s="70"/>
      <c r="AQ106" s="69"/>
      <c r="AR106" s="70"/>
      <c r="AS106" s="69"/>
      <c r="AT106" s="70"/>
      <c r="AU106" s="69"/>
      <c r="AV106" s="70"/>
      <c r="AW106" s="69"/>
      <c r="AX106" s="70"/>
      <c r="AY106" s="69"/>
      <c r="AZ106" s="70"/>
      <c r="BA106" s="69"/>
      <c r="BB106" s="70"/>
      <c r="BC106" s="69"/>
      <c r="BD106" s="70"/>
      <c r="BE106" s="69"/>
      <c r="BF106" s="70"/>
      <c r="BG106" s="69"/>
      <c r="BH106" s="70"/>
      <c r="BI106" s="69"/>
      <c r="BJ106" s="70"/>
      <c r="BK106" s="69"/>
      <c r="BL106" s="70"/>
      <c r="BM106" s="69"/>
      <c r="BN106" s="71"/>
      <c r="BO106" s="182" t="str">
        <f t="shared" ref="BO106:BO120" si="190">IF(COUNT(E106,G106,I106,K106,M106,O106,Q106,S106,U106,W106,Y106,AA106,AC106,AE106,AG106,AI106,AK106,AM106,AO106,AQ106,AS106,AU106,AW106,AY106,BA106,BC106,BE106,BG106,BI106,BK106,BM106)=0,"",SUM(E106,G106,I106,K106,M106,O106,Q106,S106,U106,W106,Y106,AA106,AC106,AE106,AG106,AI106,AK106,AM106,AO106,AQ106,AS106,AU106,AW106,AY106,BA106,BC106,BE106,BG106,BI106,BK106,BM106))</f>
        <v/>
      </c>
      <c r="BP106" s="70"/>
      <c r="BQ106" s="73"/>
    </row>
    <row r="107" spans="1:76" x14ac:dyDescent="0.35">
      <c r="A107" s="53" t="s">
        <v>33</v>
      </c>
      <c r="B107" s="54"/>
      <c r="C107" s="67"/>
      <c r="D107" s="68"/>
      <c r="E107" s="69"/>
      <c r="F107" s="70"/>
      <c r="G107" s="69"/>
      <c r="H107" s="70"/>
      <c r="I107" s="69"/>
      <c r="J107" s="70"/>
      <c r="K107" s="69"/>
      <c r="L107" s="70"/>
      <c r="M107" s="69"/>
      <c r="N107" s="70"/>
      <c r="O107" s="69"/>
      <c r="P107" s="70"/>
      <c r="Q107" s="69"/>
      <c r="R107" s="70"/>
      <c r="S107" s="69"/>
      <c r="T107" s="70"/>
      <c r="U107" s="69"/>
      <c r="V107" s="70"/>
      <c r="W107" s="69"/>
      <c r="X107" s="70"/>
      <c r="Y107" s="69"/>
      <c r="Z107" s="70"/>
      <c r="AA107" s="69"/>
      <c r="AB107" s="70"/>
      <c r="AC107" s="69"/>
      <c r="AD107" s="70"/>
      <c r="AE107" s="69"/>
      <c r="AF107" s="70"/>
      <c r="AG107" s="69"/>
      <c r="AH107" s="70"/>
      <c r="AI107" s="69"/>
      <c r="AJ107" s="70"/>
      <c r="AK107" s="69"/>
      <c r="AL107" s="70"/>
      <c r="AM107" s="69"/>
      <c r="AN107" s="70"/>
      <c r="AO107" s="69"/>
      <c r="AP107" s="70"/>
      <c r="AQ107" s="69"/>
      <c r="AR107" s="70"/>
      <c r="AS107" s="69"/>
      <c r="AT107" s="70"/>
      <c r="AU107" s="69"/>
      <c r="AV107" s="70"/>
      <c r="AW107" s="69"/>
      <c r="AX107" s="70"/>
      <c r="AY107" s="69"/>
      <c r="AZ107" s="70"/>
      <c r="BA107" s="69"/>
      <c r="BB107" s="70"/>
      <c r="BC107" s="69"/>
      <c r="BD107" s="70"/>
      <c r="BE107" s="69"/>
      <c r="BF107" s="70"/>
      <c r="BG107" s="69"/>
      <c r="BH107" s="70"/>
      <c r="BI107" s="69"/>
      <c r="BJ107" s="70"/>
      <c r="BK107" s="69"/>
      <c r="BL107" s="70"/>
      <c r="BM107" s="69"/>
      <c r="BN107" s="71"/>
      <c r="BO107" s="182" t="str">
        <f t="shared" si="190"/>
        <v/>
      </c>
      <c r="BP107" s="70"/>
      <c r="BQ107" s="73"/>
    </row>
    <row r="108" spans="1:76" x14ac:dyDescent="0.35">
      <c r="A108" s="53" t="s">
        <v>33</v>
      </c>
      <c r="B108" s="54"/>
      <c r="C108" s="67"/>
      <c r="D108" s="68"/>
      <c r="E108" s="69"/>
      <c r="F108" s="70"/>
      <c r="G108" s="69"/>
      <c r="H108" s="70"/>
      <c r="I108" s="69"/>
      <c r="J108" s="70"/>
      <c r="K108" s="69"/>
      <c r="L108" s="70"/>
      <c r="M108" s="69"/>
      <c r="N108" s="70"/>
      <c r="O108" s="69"/>
      <c r="P108" s="70"/>
      <c r="Q108" s="69"/>
      <c r="R108" s="70"/>
      <c r="S108" s="69"/>
      <c r="T108" s="70"/>
      <c r="U108" s="69"/>
      <c r="V108" s="70"/>
      <c r="W108" s="69"/>
      <c r="X108" s="70"/>
      <c r="Y108" s="69"/>
      <c r="Z108" s="70"/>
      <c r="AA108" s="69"/>
      <c r="AB108" s="70"/>
      <c r="AC108" s="69"/>
      <c r="AD108" s="70"/>
      <c r="AE108" s="69"/>
      <c r="AF108" s="70"/>
      <c r="AG108" s="69"/>
      <c r="AH108" s="70"/>
      <c r="AI108" s="69"/>
      <c r="AJ108" s="70"/>
      <c r="AK108" s="69"/>
      <c r="AL108" s="70"/>
      <c r="AM108" s="69"/>
      <c r="AN108" s="70"/>
      <c r="AO108" s="69"/>
      <c r="AP108" s="70"/>
      <c r="AQ108" s="69"/>
      <c r="AR108" s="70"/>
      <c r="AS108" s="69"/>
      <c r="AT108" s="70"/>
      <c r="AU108" s="69"/>
      <c r="AV108" s="70"/>
      <c r="AW108" s="69"/>
      <c r="AX108" s="70"/>
      <c r="AY108" s="69"/>
      <c r="AZ108" s="70"/>
      <c r="BA108" s="69"/>
      <c r="BB108" s="70"/>
      <c r="BC108" s="69"/>
      <c r="BD108" s="70"/>
      <c r="BE108" s="69"/>
      <c r="BF108" s="70"/>
      <c r="BG108" s="69"/>
      <c r="BH108" s="70"/>
      <c r="BI108" s="69"/>
      <c r="BJ108" s="70"/>
      <c r="BK108" s="69"/>
      <c r="BL108" s="70"/>
      <c r="BM108" s="69"/>
      <c r="BN108" s="71"/>
      <c r="BO108" s="182" t="str">
        <f t="shared" si="190"/>
        <v/>
      </c>
      <c r="BP108" s="70"/>
      <c r="BQ108" s="73"/>
    </row>
    <row r="109" spans="1:76" x14ac:dyDescent="0.35">
      <c r="A109" s="53" t="s">
        <v>34</v>
      </c>
      <c r="B109" s="54"/>
      <c r="C109" s="67"/>
      <c r="D109" s="68"/>
      <c r="E109" s="69"/>
      <c r="F109" s="70"/>
      <c r="G109" s="69"/>
      <c r="H109" s="70"/>
      <c r="I109" s="69"/>
      <c r="J109" s="70"/>
      <c r="K109" s="69"/>
      <c r="L109" s="70"/>
      <c r="M109" s="69"/>
      <c r="N109" s="70"/>
      <c r="O109" s="69"/>
      <c r="P109" s="70"/>
      <c r="Q109" s="69"/>
      <c r="R109" s="70"/>
      <c r="S109" s="69"/>
      <c r="T109" s="70"/>
      <c r="U109" s="69"/>
      <c r="V109" s="70"/>
      <c r="W109" s="69"/>
      <c r="X109" s="70"/>
      <c r="Y109" s="69"/>
      <c r="Z109" s="70"/>
      <c r="AA109" s="69"/>
      <c r="AB109" s="70"/>
      <c r="AC109" s="69"/>
      <c r="AD109" s="70"/>
      <c r="AE109" s="69"/>
      <c r="AF109" s="70"/>
      <c r="AG109" s="69"/>
      <c r="AH109" s="70"/>
      <c r="AI109" s="69"/>
      <c r="AJ109" s="70"/>
      <c r="AK109" s="69"/>
      <c r="AL109" s="70"/>
      <c r="AM109" s="69"/>
      <c r="AN109" s="70"/>
      <c r="AO109" s="69"/>
      <c r="AP109" s="70"/>
      <c r="AQ109" s="69"/>
      <c r="AR109" s="70"/>
      <c r="AS109" s="69"/>
      <c r="AT109" s="70"/>
      <c r="AU109" s="69"/>
      <c r="AV109" s="70"/>
      <c r="AW109" s="69"/>
      <c r="AX109" s="70"/>
      <c r="AY109" s="69"/>
      <c r="AZ109" s="70"/>
      <c r="BA109" s="69"/>
      <c r="BB109" s="70"/>
      <c r="BC109" s="69"/>
      <c r="BD109" s="70"/>
      <c r="BE109" s="69"/>
      <c r="BF109" s="70"/>
      <c r="BG109" s="69"/>
      <c r="BH109" s="70"/>
      <c r="BI109" s="69"/>
      <c r="BJ109" s="70"/>
      <c r="BK109" s="69"/>
      <c r="BL109" s="70"/>
      <c r="BM109" s="69"/>
      <c r="BN109" s="71"/>
      <c r="BO109" s="182" t="str">
        <f t="shared" si="190"/>
        <v/>
      </c>
      <c r="BP109" s="70"/>
      <c r="BQ109" s="73"/>
    </row>
    <row r="110" spans="1:76" x14ac:dyDescent="0.35">
      <c r="A110" s="53" t="s">
        <v>34</v>
      </c>
      <c r="B110" s="54"/>
      <c r="C110" s="67"/>
      <c r="D110" s="68"/>
      <c r="E110" s="69"/>
      <c r="F110" s="70"/>
      <c r="G110" s="69"/>
      <c r="H110" s="70"/>
      <c r="I110" s="69"/>
      <c r="J110" s="70"/>
      <c r="K110" s="69"/>
      <c r="L110" s="70"/>
      <c r="M110" s="69"/>
      <c r="N110" s="70"/>
      <c r="O110" s="69"/>
      <c r="P110" s="70"/>
      <c r="Q110" s="69"/>
      <c r="R110" s="70"/>
      <c r="S110" s="69"/>
      <c r="T110" s="70"/>
      <c r="U110" s="69"/>
      <c r="V110" s="70"/>
      <c r="W110" s="69"/>
      <c r="X110" s="70"/>
      <c r="Y110" s="69"/>
      <c r="Z110" s="70"/>
      <c r="AA110" s="69"/>
      <c r="AB110" s="70"/>
      <c r="AC110" s="69"/>
      <c r="AD110" s="70"/>
      <c r="AE110" s="69"/>
      <c r="AF110" s="70"/>
      <c r="AG110" s="69"/>
      <c r="AH110" s="70"/>
      <c r="AI110" s="69"/>
      <c r="AJ110" s="70"/>
      <c r="AK110" s="69"/>
      <c r="AL110" s="70"/>
      <c r="AM110" s="69"/>
      <c r="AN110" s="70"/>
      <c r="AO110" s="69"/>
      <c r="AP110" s="70"/>
      <c r="AQ110" s="69"/>
      <c r="AR110" s="70"/>
      <c r="AS110" s="69"/>
      <c r="AT110" s="70"/>
      <c r="AU110" s="69"/>
      <c r="AV110" s="70"/>
      <c r="AW110" s="69"/>
      <c r="AX110" s="70"/>
      <c r="AY110" s="69"/>
      <c r="AZ110" s="70"/>
      <c r="BA110" s="69"/>
      <c r="BB110" s="70"/>
      <c r="BC110" s="69"/>
      <c r="BD110" s="70"/>
      <c r="BE110" s="69"/>
      <c r="BF110" s="70"/>
      <c r="BG110" s="69"/>
      <c r="BH110" s="70"/>
      <c r="BI110" s="69"/>
      <c r="BJ110" s="70"/>
      <c r="BK110" s="69"/>
      <c r="BL110" s="70"/>
      <c r="BM110" s="69"/>
      <c r="BN110" s="71"/>
      <c r="BO110" s="182" t="str">
        <f t="shared" si="190"/>
        <v/>
      </c>
      <c r="BP110" s="70"/>
      <c r="BQ110" s="73"/>
    </row>
    <row r="111" spans="1:76" s="6" customFormat="1" x14ac:dyDescent="0.35">
      <c r="A111" s="149" t="s">
        <v>71</v>
      </c>
      <c r="B111" s="150"/>
      <c r="C111" s="67"/>
      <c r="D111" s="151"/>
      <c r="E111" s="69"/>
      <c r="F111" s="152"/>
      <c r="G111" s="69"/>
      <c r="H111" s="152"/>
      <c r="I111" s="69"/>
      <c r="J111" s="152"/>
      <c r="K111" s="69"/>
      <c r="L111" s="152"/>
      <c r="M111" s="69"/>
      <c r="N111" s="152"/>
      <c r="O111" s="69"/>
      <c r="P111" s="152"/>
      <c r="Q111" s="69"/>
      <c r="R111" s="152"/>
      <c r="S111" s="69"/>
      <c r="T111" s="152"/>
      <c r="U111" s="69"/>
      <c r="V111" s="152"/>
      <c r="W111" s="69"/>
      <c r="X111" s="152"/>
      <c r="Y111" s="69"/>
      <c r="Z111" s="152"/>
      <c r="AA111" s="69"/>
      <c r="AB111" s="152"/>
      <c r="AC111" s="69"/>
      <c r="AD111" s="152"/>
      <c r="AE111" s="69"/>
      <c r="AF111" s="152"/>
      <c r="AG111" s="69"/>
      <c r="AH111" s="152"/>
      <c r="AI111" s="69"/>
      <c r="AJ111" s="152"/>
      <c r="AK111" s="69"/>
      <c r="AL111" s="152"/>
      <c r="AM111" s="69"/>
      <c r="AN111" s="152"/>
      <c r="AO111" s="69"/>
      <c r="AP111" s="152"/>
      <c r="AQ111" s="69"/>
      <c r="AR111" s="152"/>
      <c r="AS111" s="69"/>
      <c r="AT111" s="152"/>
      <c r="AU111" s="69"/>
      <c r="AV111" s="152"/>
      <c r="AW111" s="69"/>
      <c r="AX111" s="152"/>
      <c r="AY111" s="69"/>
      <c r="AZ111" s="152"/>
      <c r="BA111" s="69"/>
      <c r="BB111" s="152"/>
      <c r="BC111" s="69"/>
      <c r="BD111" s="152"/>
      <c r="BE111" s="69"/>
      <c r="BF111" s="152"/>
      <c r="BG111" s="69"/>
      <c r="BH111" s="152"/>
      <c r="BI111" s="69"/>
      <c r="BJ111" s="152"/>
      <c r="BK111" s="69"/>
      <c r="BL111" s="152"/>
      <c r="BM111" s="69"/>
      <c r="BN111" s="71"/>
      <c r="BO111" s="182" t="str">
        <f t="shared" si="190"/>
        <v/>
      </c>
      <c r="BP111" s="152"/>
      <c r="BQ111" s="73"/>
      <c r="BR111"/>
      <c r="BS111"/>
      <c r="BT111"/>
      <c r="BU111"/>
      <c r="BV111"/>
      <c r="BW111"/>
      <c r="BX111"/>
    </row>
    <row r="112" spans="1:76" x14ac:dyDescent="0.35">
      <c r="A112" s="53" t="s">
        <v>72</v>
      </c>
      <c r="B112" s="54"/>
      <c r="C112" s="67"/>
      <c r="D112" s="68"/>
      <c r="E112" s="69"/>
      <c r="F112" s="70"/>
      <c r="G112" s="69"/>
      <c r="H112" s="70"/>
      <c r="I112" s="69"/>
      <c r="J112" s="70"/>
      <c r="K112" s="69"/>
      <c r="L112" s="70"/>
      <c r="M112" s="69"/>
      <c r="N112" s="70"/>
      <c r="O112" s="69"/>
      <c r="P112" s="70"/>
      <c r="Q112" s="69"/>
      <c r="R112" s="70"/>
      <c r="S112" s="69"/>
      <c r="T112" s="70"/>
      <c r="U112" s="69"/>
      <c r="V112" s="70"/>
      <c r="W112" s="69"/>
      <c r="X112" s="70"/>
      <c r="Y112" s="69"/>
      <c r="Z112" s="70"/>
      <c r="AA112" s="69"/>
      <c r="AB112" s="70"/>
      <c r="AC112" s="69"/>
      <c r="AD112" s="70"/>
      <c r="AE112" s="69"/>
      <c r="AF112" s="70"/>
      <c r="AG112" s="69"/>
      <c r="AH112" s="70"/>
      <c r="AI112" s="69"/>
      <c r="AJ112" s="70"/>
      <c r="AK112" s="69"/>
      <c r="AL112" s="70"/>
      <c r="AM112" s="69"/>
      <c r="AN112" s="70"/>
      <c r="AO112" s="69"/>
      <c r="AP112" s="70"/>
      <c r="AQ112" s="69"/>
      <c r="AR112" s="70"/>
      <c r="AS112" s="69"/>
      <c r="AT112" s="70"/>
      <c r="AU112" s="69"/>
      <c r="AV112" s="70"/>
      <c r="AW112" s="69"/>
      <c r="AX112" s="70"/>
      <c r="AY112" s="69"/>
      <c r="AZ112" s="70"/>
      <c r="BA112" s="69"/>
      <c r="BB112" s="70"/>
      <c r="BC112" s="69"/>
      <c r="BD112" s="70"/>
      <c r="BE112" s="69"/>
      <c r="BF112" s="70"/>
      <c r="BG112" s="69"/>
      <c r="BH112" s="70"/>
      <c r="BI112" s="69"/>
      <c r="BJ112" s="70"/>
      <c r="BK112" s="69"/>
      <c r="BL112" s="70"/>
      <c r="BM112" s="69"/>
      <c r="BN112" s="71"/>
      <c r="BO112" s="182" t="str">
        <f t="shared" si="190"/>
        <v/>
      </c>
      <c r="BP112" s="70"/>
      <c r="BQ112" s="73"/>
    </row>
    <row r="113" spans="1:69" x14ac:dyDescent="0.35">
      <c r="A113" s="53" t="s">
        <v>73</v>
      </c>
      <c r="B113" s="54"/>
      <c r="C113" s="67"/>
      <c r="D113" s="68"/>
      <c r="E113" s="69"/>
      <c r="F113" s="70"/>
      <c r="G113" s="69"/>
      <c r="H113" s="70"/>
      <c r="I113" s="69"/>
      <c r="J113" s="70"/>
      <c r="K113" s="69"/>
      <c r="L113" s="70"/>
      <c r="M113" s="69"/>
      <c r="N113" s="70"/>
      <c r="O113" s="69"/>
      <c r="P113" s="70"/>
      <c r="Q113" s="69"/>
      <c r="R113" s="70"/>
      <c r="S113" s="69"/>
      <c r="T113" s="70"/>
      <c r="U113" s="69"/>
      <c r="V113" s="70"/>
      <c r="W113" s="69"/>
      <c r="X113" s="70"/>
      <c r="Y113" s="69"/>
      <c r="Z113" s="70"/>
      <c r="AA113" s="69"/>
      <c r="AB113" s="70"/>
      <c r="AC113" s="69"/>
      <c r="AD113" s="70"/>
      <c r="AE113" s="69"/>
      <c r="AF113" s="70"/>
      <c r="AG113" s="69"/>
      <c r="AH113" s="70"/>
      <c r="AI113" s="69"/>
      <c r="AJ113" s="70"/>
      <c r="AK113" s="69"/>
      <c r="AL113" s="70"/>
      <c r="AM113" s="69"/>
      <c r="AN113" s="70"/>
      <c r="AO113" s="69"/>
      <c r="AP113" s="70"/>
      <c r="AQ113" s="69"/>
      <c r="AR113" s="70"/>
      <c r="AS113" s="69"/>
      <c r="AT113" s="70"/>
      <c r="AU113" s="69"/>
      <c r="AV113" s="70"/>
      <c r="AW113" s="69"/>
      <c r="AX113" s="70"/>
      <c r="AY113" s="69"/>
      <c r="AZ113" s="70"/>
      <c r="BA113" s="69"/>
      <c r="BB113" s="70"/>
      <c r="BC113" s="69"/>
      <c r="BD113" s="70"/>
      <c r="BE113" s="69"/>
      <c r="BF113" s="70"/>
      <c r="BG113" s="69"/>
      <c r="BH113" s="70"/>
      <c r="BI113" s="69"/>
      <c r="BJ113" s="70"/>
      <c r="BK113" s="69"/>
      <c r="BL113" s="70"/>
      <c r="BM113" s="69"/>
      <c r="BN113" s="71"/>
      <c r="BO113" s="182" t="str">
        <f t="shared" si="190"/>
        <v/>
      </c>
      <c r="BP113" s="70"/>
      <c r="BQ113" s="73"/>
    </row>
    <row r="114" spans="1:69" x14ac:dyDescent="0.35">
      <c r="A114" s="53" t="s">
        <v>70</v>
      </c>
      <c r="B114" s="54"/>
      <c r="C114" s="67"/>
      <c r="D114" s="68"/>
      <c r="E114" s="69"/>
      <c r="F114" s="70"/>
      <c r="G114" s="69"/>
      <c r="H114" s="70"/>
      <c r="I114" s="69"/>
      <c r="J114" s="70"/>
      <c r="K114" s="69"/>
      <c r="L114" s="70"/>
      <c r="M114" s="69"/>
      <c r="N114" s="70"/>
      <c r="O114" s="69"/>
      <c r="P114" s="70"/>
      <c r="Q114" s="69"/>
      <c r="R114" s="70"/>
      <c r="S114" s="69"/>
      <c r="T114" s="70"/>
      <c r="U114" s="69"/>
      <c r="V114" s="70"/>
      <c r="W114" s="69"/>
      <c r="X114" s="70"/>
      <c r="Y114" s="69"/>
      <c r="Z114" s="70"/>
      <c r="AA114" s="69"/>
      <c r="AB114" s="70"/>
      <c r="AC114" s="69"/>
      <c r="AD114" s="70"/>
      <c r="AE114" s="69"/>
      <c r="AF114" s="70"/>
      <c r="AG114" s="69"/>
      <c r="AH114" s="70"/>
      <c r="AI114" s="69"/>
      <c r="AJ114" s="70"/>
      <c r="AK114" s="69"/>
      <c r="AL114" s="70"/>
      <c r="AM114" s="69"/>
      <c r="AN114" s="70"/>
      <c r="AO114" s="69"/>
      <c r="AP114" s="70"/>
      <c r="AQ114" s="69"/>
      <c r="AR114" s="70"/>
      <c r="AS114" s="69"/>
      <c r="AT114" s="70"/>
      <c r="AU114" s="69"/>
      <c r="AV114" s="70"/>
      <c r="AW114" s="69"/>
      <c r="AX114" s="70"/>
      <c r="AY114" s="69"/>
      <c r="AZ114" s="70"/>
      <c r="BA114" s="69"/>
      <c r="BB114" s="70"/>
      <c r="BC114" s="69"/>
      <c r="BD114" s="70"/>
      <c r="BE114" s="69"/>
      <c r="BF114" s="70"/>
      <c r="BG114" s="69"/>
      <c r="BH114" s="70"/>
      <c r="BI114" s="69"/>
      <c r="BJ114" s="70"/>
      <c r="BK114" s="69"/>
      <c r="BL114" s="70"/>
      <c r="BM114" s="69"/>
      <c r="BN114" s="71"/>
      <c r="BO114" s="182" t="str">
        <f t="shared" si="190"/>
        <v/>
      </c>
      <c r="BP114" s="70"/>
      <c r="BQ114" s="73"/>
    </row>
    <row r="115" spans="1:69" x14ac:dyDescent="0.35">
      <c r="A115" s="53" t="s">
        <v>27</v>
      </c>
      <c r="B115" s="54"/>
      <c r="C115" s="67"/>
      <c r="D115" s="68"/>
      <c r="E115" s="69"/>
      <c r="F115" s="70"/>
      <c r="G115" s="69"/>
      <c r="H115" s="70"/>
      <c r="I115" s="69"/>
      <c r="J115" s="70"/>
      <c r="K115" s="69"/>
      <c r="L115" s="70"/>
      <c r="M115" s="69"/>
      <c r="N115" s="70"/>
      <c r="O115" s="69"/>
      <c r="P115" s="70"/>
      <c r="Q115" s="69"/>
      <c r="R115" s="70"/>
      <c r="S115" s="69"/>
      <c r="T115" s="70"/>
      <c r="U115" s="69"/>
      <c r="V115" s="70"/>
      <c r="W115" s="69"/>
      <c r="X115" s="70"/>
      <c r="Y115" s="69"/>
      <c r="Z115" s="70"/>
      <c r="AA115" s="69"/>
      <c r="AB115" s="70"/>
      <c r="AC115" s="69"/>
      <c r="AD115" s="70"/>
      <c r="AE115" s="69"/>
      <c r="AF115" s="70"/>
      <c r="AG115" s="69"/>
      <c r="AH115" s="70"/>
      <c r="AI115" s="69"/>
      <c r="AJ115" s="70"/>
      <c r="AK115" s="69"/>
      <c r="AL115" s="70"/>
      <c r="AM115" s="69"/>
      <c r="AN115" s="70"/>
      <c r="AO115" s="69"/>
      <c r="AP115" s="70"/>
      <c r="AQ115" s="69"/>
      <c r="AR115" s="70"/>
      <c r="AS115" s="69"/>
      <c r="AT115" s="70"/>
      <c r="AU115" s="69"/>
      <c r="AV115" s="70"/>
      <c r="AW115" s="69"/>
      <c r="AX115" s="70"/>
      <c r="AY115" s="69"/>
      <c r="AZ115" s="70"/>
      <c r="BA115" s="69"/>
      <c r="BB115" s="70"/>
      <c r="BC115" s="69"/>
      <c r="BD115" s="70"/>
      <c r="BE115" s="69"/>
      <c r="BF115" s="70"/>
      <c r="BG115" s="69"/>
      <c r="BH115" s="70"/>
      <c r="BI115" s="69"/>
      <c r="BJ115" s="70"/>
      <c r="BK115" s="69"/>
      <c r="BL115" s="70"/>
      <c r="BM115" s="69"/>
      <c r="BN115" s="71"/>
      <c r="BO115" s="182" t="str">
        <f t="shared" si="190"/>
        <v/>
      </c>
      <c r="BP115" s="70"/>
      <c r="BQ115" s="73"/>
    </row>
    <row r="116" spans="1:69" x14ac:dyDescent="0.35">
      <c r="A116" s="53" t="s">
        <v>28</v>
      </c>
      <c r="B116" s="54"/>
      <c r="C116" s="67"/>
      <c r="D116" s="68"/>
      <c r="E116" s="69"/>
      <c r="F116" s="70"/>
      <c r="G116" s="69"/>
      <c r="H116" s="70"/>
      <c r="I116" s="69"/>
      <c r="J116" s="70"/>
      <c r="K116" s="69"/>
      <c r="L116" s="70"/>
      <c r="M116" s="69"/>
      <c r="N116" s="70"/>
      <c r="O116" s="69"/>
      <c r="P116" s="70"/>
      <c r="Q116" s="69"/>
      <c r="R116" s="70"/>
      <c r="S116" s="69"/>
      <c r="T116" s="70"/>
      <c r="U116" s="69"/>
      <c r="V116" s="70"/>
      <c r="W116" s="69"/>
      <c r="X116" s="70"/>
      <c r="Y116" s="69"/>
      <c r="Z116" s="70"/>
      <c r="AA116" s="69"/>
      <c r="AB116" s="70"/>
      <c r="AC116" s="69"/>
      <c r="AD116" s="70"/>
      <c r="AE116" s="69"/>
      <c r="AF116" s="70"/>
      <c r="AG116" s="69"/>
      <c r="AH116" s="70"/>
      <c r="AI116" s="69"/>
      <c r="AJ116" s="70"/>
      <c r="AK116" s="69"/>
      <c r="AL116" s="70"/>
      <c r="AM116" s="69"/>
      <c r="AN116" s="70"/>
      <c r="AO116" s="69"/>
      <c r="AP116" s="70"/>
      <c r="AQ116" s="69"/>
      <c r="AR116" s="70"/>
      <c r="AS116" s="69"/>
      <c r="AT116" s="70"/>
      <c r="AU116" s="69"/>
      <c r="AV116" s="70"/>
      <c r="AW116" s="69"/>
      <c r="AX116" s="70"/>
      <c r="AY116" s="69"/>
      <c r="AZ116" s="70"/>
      <c r="BA116" s="69"/>
      <c r="BB116" s="70"/>
      <c r="BC116" s="69"/>
      <c r="BD116" s="70"/>
      <c r="BE116" s="69"/>
      <c r="BF116" s="70"/>
      <c r="BG116" s="69"/>
      <c r="BH116" s="70"/>
      <c r="BI116" s="69"/>
      <c r="BJ116" s="70"/>
      <c r="BK116" s="69"/>
      <c r="BL116" s="70"/>
      <c r="BM116" s="69"/>
      <c r="BN116" s="71"/>
      <c r="BO116" s="182" t="str">
        <f t="shared" si="190"/>
        <v/>
      </c>
      <c r="BP116" s="70"/>
      <c r="BQ116" s="73"/>
    </row>
    <row r="117" spans="1:69" x14ac:dyDescent="0.35">
      <c r="A117" s="53" t="s">
        <v>29</v>
      </c>
      <c r="B117" s="54"/>
      <c r="C117" s="67"/>
      <c r="D117" s="68"/>
      <c r="E117" s="69"/>
      <c r="F117" s="70"/>
      <c r="G117" s="69"/>
      <c r="H117" s="70"/>
      <c r="I117" s="69"/>
      <c r="J117" s="70"/>
      <c r="K117" s="69"/>
      <c r="L117" s="70"/>
      <c r="M117" s="69"/>
      <c r="N117" s="70"/>
      <c r="O117" s="69"/>
      <c r="P117" s="70"/>
      <c r="Q117" s="69"/>
      <c r="R117" s="70"/>
      <c r="S117" s="69"/>
      <c r="T117" s="70"/>
      <c r="U117" s="69"/>
      <c r="V117" s="70"/>
      <c r="W117" s="69"/>
      <c r="X117" s="70"/>
      <c r="Y117" s="69"/>
      <c r="Z117" s="70"/>
      <c r="AA117" s="69"/>
      <c r="AB117" s="70"/>
      <c r="AC117" s="69"/>
      <c r="AD117" s="70"/>
      <c r="AE117" s="69"/>
      <c r="AF117" s="70"/>
      <c r="AG117" s="69"/>
      <c r="AH117" s="70"/>
      <c r="AI117" s="69"/>
      <c r="AJ117" s="70"/>
      <c r="AK117" s="69"/>
      <c r="AL117" s="70"/>
      <c r="AM117" s="69"/>
      <c r="AN117" s="70"/>
      <c r="AO117" s="69"/>
      <c r="AP117" s="70"/>
      <c r="AQ117" s="69"/>
      <c r="AR117" s="70"/>
      <c r="AS117" s="69"/>
      <c r="AT117" s="70"/>
      <c r="AU117" s="69"/>
      <c r="AV117" s="70"/>
      <c r="AW117" s="69"/>
      <c r="AX117" s="70"/>
      <c r="AY117" s="69"/>
      <c r="AZ117" s="70"/>
      <c r="BA117" s="69"/>
      <c r="BB117" s="70"/>
      <c r="BC117" s="69"/>
      <c r="BD117" s="70"/>
      <c r="BE117" s="69"/>
      <c r="BF117" s="70"/>
      <c r="BG117" s="69"/>
      <c r="BH117" s="70"/>
      <c r="BI117" s="69"/>
      <c r="BJ117" s="70"/>
      <c r="BK117" s="69"/>
      <c r="BL117" s="70"/>
      <c r="BM117" s="69"/>
      <c r="BN117" s="71"/>
      <c r="BO117" s="182" t="str">
        <f t="shared" si="190"/>
        <v/>
      </c>
      <c r="BP117" s="70"/>
      <c r="BQ117" s="73"/>
    </row>
    <row r="118" spans="1:69" x14ac:dyDescent="0.35">
      <c r="A118" s="74"/>
      <c r="B118" s="75"/>
      <c r="C118" s="153"/>
      <c r="D118" s="77"/>
      <c r="E118" s="78"/>
      <c r="F118" s="79"/>
      <c r="G118" s="78"/>
      <c r="H118" s="79"/>
      <c r="I118" s="78"/>
      <c r="J118" s="79"/>
      <c r="K118" s="78"/>
      <c r="L118" s="79"/>
      <c r="M118" s="78"/>
      <c r="N118" s="79"/>
      <c r="O118" s="78"/>
      <c r="P118" s="79"/>
      <c r="Q118" s="78"/>
      <c r="R118" s="79"/>
      <c r="S118" s="78"/>
      <c r="T118" s="79"/>
      <c r="U118" s="78"/>
      <c r="V118" s="79"/>
      <c r="W118" s="78"/>
      <c r="X118" s="79"/>
      <c r="Y118" s="78"/>
      <c r="Z118" s="79"/>
      <c r="AA118" s="78"/>
      <c r="AB118" s="79"/>
      <c r="AC118" s="78"/>
      <c r="AD118" s="79"/>
      <c r="AE118" s="78"/>
      <c r="AF118" s="79"/>
      <c r="AG118" s="78"/>
      <c r="AH118" s="79"/>
      <c r="AI118" s="78"/>
      <c r="AJ118" s="79"/>
      <c r="AK118" s="78"/>
      <c r="AL118" s="79"/>
      <c r="AM118" s="78"/>
      <c r="AN118" s="79"/>
      <c r="AO118" s="78"/>
      <c r="AP118" s="79"/>
      <c r="AQ118" s="78"/>
      <c r="AR118" s="79"/>
      <c r="AS118" s="78"/>
      <c r="AT118" s="79"/>
      <c r="AU118" s="78"/>
      <c r="AV118" s="79"/>
      <c r="AW118" s="78"/>
      <c r="AX118" s="79"/>
      <c r="AY118" s="78"/>
      <c r="AZ118" s="79"/>
      <c r="BA118" s="78"/>
      <c r="BB118" s="79"/>
      <c r="BC118" s="78"/>
      <c r="BD118" s="79"/>
      <c r="BE118" s="78"/>
      <c r="BF118" s="79"/>
      <c r="BG118" s="78"/>
      <c r="BH118" s="79"/>
      <c r="BI118" s="78"/>
      <c r="BJ118" s="79"/>
      <c r="BK118" s="78"/>
      <c r="BL118" s="79"/>
      <c r="BM118" s="78"/>
      <c r="BN118" s="80"/>
      <c r="BO118" s="195" t="str">
        <f t="shared" si="190"/>
        <v/>
      </c>
      <c r="BP118" s="79"/>
      <c r="BQ118" s="82"/>
    </row>
    <row r="119" spans="1:69" x14ac:dyDescent="0.35">
      <c r="A119" s="53" t="s">
        <v>55</v>
      </c>
      <c r="B119" s="54"/>
      <c r="C119" s="67"/>
      <c r="D119" s="68"/>
      <c r="E119" s="69"/>
      <c r="F119" s="70"/>
      <c r="G119" s="69"/>
      <c r="H119" s="70"/>
      <c r="I119" s="69"/>
      <c r="J119" s="70"/>
      <c r="K119" s="69"/>
      <c r="L119" s="70"/>
      <c r="M119" s="69"/>
      <c r="N119" s="70"/>
      <c r="O119" s="69"/>
      <c r="P119" s="70"/>
      <c r="Q119" s="69"/>
      <c r="R119" s="70"/>
      <c r="S119" s="69"/>
      <c r="T119" s="70"/>
      <c r="U119" s="69"/>
      <c r="V119" s="70"/>
      <c r="W119" s="69"/>
      <c r="X119" s="70"/>
      <c r="Y119" s="69"/>
      <c r="Z119" s="70"/>
      <c r="AA119" s="69"/>
      <c r="AB119" s="70"/>
      <c r="AC119" s="69"/>
      <c r="AD119" s="70"/>
      <c r="AE119" s="69"/>
      <c r="AF119" s="70"/>
      <c r="AG119" s="69"/>
      <c r="AH119" s="70"/>
      <c r="AI119" s="69"/>
      <c r="AJ119" s="70"/>
      <c r="AK119" s="69"/>
      <c r="AL119" s="70"/>
      <c r="AM119" s="69"/>
      <c r="AN119" s="70"/>
      <c r="AO119" s="69"/>
      <c r="AP119" s="70"/>
      <c r="AQ119" s="69"/>
      <c r="AR119" s="70"/>
      <c r="AS119" s="69"/>
      <c r="AT119" s="70"/>
      <c r="AU119" s="69"/>
      <c r="AV119" s="70"/>
      <c r="AW119" s="69"/>
      <c r="AX119" s="70"/>
      <c r="AY119" s="69"/>
      <c r="AZ119" s="70"/>
      <c r="BA119" s="69"/>
      <c r="BB119" s="70"/>
      <c r="BC119" s="69"/>
      <c r="BD119" s="70"/>
      <c r="BE119" s="69"/>
      <c r="BF119" s="70"/>
      <c r="BG119" s="69"/>
      <c r="BH119" s="70"/>
      <c r="BI119" s="69"/>
      <c r="BJ119" s="70"/>
      <c r="BK119" s="69"/>
      <c r="BL119" s="70"/>
      <c r="BM119" s="69"/>
      <c r="BN119" s="71"/>
      <c r="BO119" s="182" t="str">
        <f t="shared" si="190"/>
        <v/>
      </c>
      <c r="BP119" s="70"/>
      <c r="BQ119" s="73"/>
    </row>
    <row r="120" spans="1:69" ht="15" thickBot="1" x14ac:dyDescent="0.4">
      <c r="A120" s="154" t="s">
        <v>56</v>
      </c>
      <c r="B120" s="155"/>
      <c r="C120" s="156"/>
      <c r="D120" s="157"/>
      <c r="E120" s="158"/>
      <c r="F120" s="159"/>
      <c r="G120" s="158"/>
      <c r="H120" s="159"/>
      <c r="I120" s="158"/>
      <c r="J120" s="159"/>
      <c r="K120" s="158"/>
      <c r="L120" s="159"/>
      <c r="M120" s="158"/>
      <c r="N120" s="159"/>
      <c r="O120" s="158"/>
      <c r="P120" s="159"/>
      <c r="Q120" s="158"/>
      <c r="R120" s="159"/>
      <c r="S120" s="158"/>
      <c r="T120" s="159"/>
      <c r="U120" s="158"/>
      <c r="V120" s="159"/>
      <c r="W120" s="158"/>
      <c r="X120" s="159"/>
      <c r="Y120" s="158"/>
      <c r="Z120" s="159"/>
      <c r="AA120" s="158"/>
      <c r="AB120" s="159"/>
      <c r="AC120" s="158"/>
      <c r="AD120" s="159"/>
      <c r="AE120" s="158"/>
      <c r="AF120" s="159"/>
      <c r="AG120" s="158"/>
      <c r="AH120" s="159"/>
      <c r="AI120" s="158"/>
      <c r="AJ120" s="159"/>
      <c r="AK120" s="158"/>
      <c r="AL120" s="159"/>
      <c r="AM120" s="158"/>
      <c r="AN120" s="159"/>
      <c r="AO120" s="158"/>
      <c r="AP120" s="159"/>
      <c r="AQ120" s="158"/>
      <c r="AR120" s="159"/>
      <c r="AS120" s="158"/>
      <c r="AT120" s="159"/>
      <c r="AU120" s="158"/>
      <c r="AV120" s="159"/>
      <c r="AW120" s="158"/>
      <c r="AX120" s="159"/>
      <c r="AY120" s="158"/>
      <c r="AZ120" s="159"/>
      <c r="BA120" s="158"/>
      <c r="BB120" s="159"/>
      <c r="BC120" s="158"/>
      <c r="BD120" s="159"/>
      <c r="BE120" s="158"/>
      <c r="BF120" s="159"/>
      <c r="BG120" s="158"/>
      <c r="BH120" s="159"/>
      <c r="BI120" s="158"/>
      <c r="BJ120" s="159"/>
      <c r="BK120" s="158"/>
      <c r="BL120" s="159"/>
      <c r="BM120" s="158"/>
      <c r="BN120" s="160"/>
      <c r="BO120" s="196" t="str">
        <f t="shared" si="190"/>
        <v/>
      </c>
      <c r="BP120" s="159"/>
      <c r="BQ120" s="161"/>
    </row>
    <row r="121" spans="1:69" x14ac:dyDescent="0.35">
      <c r="AT121"/>
      <c r="AU121"/>
      <c r="AW121"/>
      <c r="BA121"/>
    </row>
    <row r="122" spans="1:69" x14ac:dyDescent="0.35">
      <c r="AT122"/>
      <c r="AU122"/>
      <c r="AW122"/>
      <c r="BA122"/>
    </row>
    <row r="123" spans="1:69" x14ac:dyDescent="0.35">
      <c r="AT123"/>
      <c r="AU123"/>
      <c r="AW123"/>
      <c r="BA123"/>
    </row>
    <row r="124" spans="1:69" x14ac:dyDescent="0.35">
      <c r="AT124"/>
      <c r="AU124"/>
      <c r="AW124"/>
      <c r="BA124"/>
    </row>
    <row r="125" spans="1:69" x14ac:dyDescent="0.35">
      <c r="AT125"/>
      <c r="AU125"/>
      <c r="AW125"/>
      <c r="BA125"/>
    </row>
    <row r="126" spans="1:69" x14ac:dyDescent="0.35">
      <c r="AT126"/>
      <c r="AU126"/>
      <c r="AW126"/>
      <c r="BA126"/>
    </row>
    <row r="127" spans="1:69" x14ac:dyDescent="0.35">
      <c r="AT127"/>
      <c r="AU127"/>
      <c r="AW127"/>
      <c r="BA127"/>
    </row>
    <row r="128" spans="1:69" x14ac:dyDescent="0.35">
      <c r="AT128"/>
      <c r="AU128"/>
      <c r="AW128"/>
      <c r="BA128"/>
    </row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</sheetData>
  <sheetProtection sheet="1" objects="1" scenarios="1"/>
  <mergeCells count="100">
    <mergeCell ref="AD5:AE5"/>
    <mergeCell ref="A1:BQ1"/>
    <mergeCell ref="A2:BQ2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BB5:BC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P5:BQ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BD5:BE5"/>
    <mergeCell ref="BF5:BG5"/>
    <mergeCell ref="BH5:BI5"/>
    <mergeCell ref="BJ5:BK5"/>
    <mergeCell ref="BL5:BM5"/>
    <mergeCell ref="BN5:BO5"/>
    <mergeCell ref="AR6:AS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BP6:BQ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Z12:AA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AX12:AY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BL12:BM12"/>
    <mergeCell ref="BP12:BQ12"/>
    <mergeCell ref="AZ12:BA12"/>
    <mergeCell ref="BB12:BC12"/>
    <mergeCell ref="BD12:BE12"/>
    <mergeCell ref="BF12:BG12"/>
    <mergeCell ref="BH12:BI12"/>
    <mergeCell ref="BJ12:BK12"/>
  </mergeCells>
  <conditionalFormatting sqref="D77:BL88">
    <cfRule type="cellIs" dxfId="39" priority="9" operator="lessThan">
      <formula>0</formula>
    </cfRule>
  </conditionalFormatting>
  <conditionalFormatting sqref="D7:BM11 BP7:BQ104 BO7:BO120">
    <cfRule type="cellIs" dxfId="38" priority="1" operator="lessThan">
      <formula>0</formula>
    </cfRule>
  </conditionalFormatting>
  <conditionalFormatting sqref="D22:BM22">
    <cfRule type="cellIs" dxfId="37" priority="2" operator="lessThan">
      <formula>0</formula>
    </cfRule>
  </conditionalFormatting>
  <conditionalFormatting sqref="D30:BM31">
    <cfRule type="cellIs" dxfId="36" priority="3" operator="lessThan">
      <formula>0</formula>
    </cfRule>
  </conditionalFormatting>
  <conditionalFormatting sqref="D42:BM42">
    <cfRule type="cellIs" dxfId="35" priority="4" operator="lessThan">
      <formula>0</formula>
    </cfRule>
  </conditionalFormatting>
  <conditionalFormatting sqref="D49:BM50">
    <cfRule type="cellIs" dxfId="34" priority="5" operator="lessThan">
      <formula>0</formula>
    </cfRule>
  </conditionalFormatting>
  <conditionalFormatting sqref="D54:BM54">
    <cfRule type="cellIs" dxfId="33" priority="6" operator="lessThan">
      <formula>0</formula>
    </cfRule>
  </conditionalFormatting>
  <conditionalFormatting sqref="D57:BM59">
    <cfRule type="cellIs" dxfId="32" priority="7" operator="lessThan">
      <formula>0</formula>
    </cfRule>
  </conditionalFormatting>
  <conditionalFormatting sqref="D61:BM75">
    <cfRule type="cellIs" dxfId="31" priority="8" operator="lessThan">
      <formula>0</formula>
    </cfRule>
  </conditionalFormatting>
  <conditionalFormatting sqref="E91:BM104">
    <cfRule type="cellIs" dxfId="30" priority="10" operator="lessThan">
      <formula>0</formula>
    </cfRule>
  </conditionalFormatting>
  <pageMargins left="0.25" right="0.25" top="0.75" bottom="0.75" header="0.3" footer="0.3"/>
  <pageSetup scale="1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6E00-8B1B-4B1B-AD99-0774F6303EA8}">
  <sheetPr>
    <pageSetUpPr fitToPage="1"/>
  </sheetPr>
  <dimension ref="A1:BX134"/>
  <sheetViews>
    <sheetView zoomScaleNormal="100" workbookViewId="0">
      <pane xSplit="1" ySplit="12" topLeftCell="B13" activePane="bottomRight" state="frozen"/>
      <selection pane="topRight" activeCell="B1" sqref="B1"/>
      <selection pane="bottomLeft" activeCell="A9" sqref="A9"/>
      <selection pane="bottomRight" activeCell="A13" sqref="A13:XFD13"/>
    </sheetView>
  </sheetViews>
  <sheetFormatPr defaultRowHeight="14.5" x14ac:dyDescent="0.35"/>
  <cols>
    <col min="1" max="1" width="28.54296875" customWidth="1"/>
    <col min="2" max="2" width="15.26953125" customWidth="1"/>
    <col min="3" max="3" width="18.1796875" customWidth="1"/>
    <col min="4" max="45" width="11.81640625" customWidth="1"/>
    <col min="46" max="47" width="11.81640625" style="3" customWidth="1"/>
    <col min="48" max="48" width="11.81640625" customWidth="1"/>
    <col min="49" max="49" width="11.81640625" style="3" customWidth="1"/>
    <col min="50" max="52" width="11.81640625" customWidth="1"/>
    <col min="53" max="53" width="11.81640625" style="3" customWidth="1"/>
    <col min="54" max="65" width="11.81640625" customWidth="1"/>
    <col min="66" max="69" width="15.54296875" customWidth="1"/>
    <col min="70" max="70" width="12.7265625" customWidth="1"/>
    <col min="71" max="71" width="11.1796875" bestFit="1" customWidth="1"/>
    <col min="72" max="72" width="14.81640625" customWidth="1"/>
    <col min="73" max="73" width="8.81640625" customWidth="1"/>
    <col min="74" max="74" width="11.26953125" customWidth="1"/>
    <col min="75" max="75" width="9.26953125" bestFit="1" customWidth="1"/>
    <col min="76" max="76" width="13.453125" customWidth="1"/>
  </cols>
  <sheetData>
    <row r="1" spans="1:76" ht="48" customHeight="1" x14ac:dyDescent="0.35">
      <c r="A1" s="241" t="str">
        <f>"TEXAN FILLING STATION — "&amp;UPPER(TEXT(B3,"MMMM YYYY"))&amp;" DAILY CONTROL"</f>
        <v>TEXAN FILLING STATION — JUNE 2027 DAILY CONTROL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  <c r="BL1" s="233"/>
      <c r="BM1" s="233"/>
      <c r="BN1" s="233"/>
      <c r="BO1" s="233"/>
      <c r="BP1" s="233"/>
      <c r="BQ1" s="233"/>
    </row>
    <row r="2" spans="1:76" ht="24" customHeight="1" x14ac:dyDescent="0.35">
      <c r="A2" s="234" t="s">
        <v>108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  <c r="BP2" s="234"/>
      <c r="BQ2" s="234"/>
    </row>
    <row r="3" spans="1:76" x14ac:dyDescent="0.35">
      <c r="A3" s="26" t="s">
        <v>109</v>
      </c>
      <c r="B3" s="27">
        <v>46539</v>
      </c>
      <c r="C3" s="28" t="s">
        <v>110</v>
      </c>
      <c r="D3" s="28" t="s">
        <v>111</v>
      </c>
      <c r="E3" s="29" t="s">
        <v>112</v>
      </c>
      <c r="F3" s="30" t="s">
        <v>113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2"/>
      <c r="AU3" s="32"/>
      <c r="AV3" s="31"/>
      <c r="AW3" s="32"/>
      <c r="AX3" s="31"/>
      <c r="AY3" s="31"/>
      <c r="AZ3" s="31"/>
      <c r="BA3" s="32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</row>
    <row r="4" spans="1:76" ht="15" thickBot="1" x14ac:dyDescent="0.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2"/>
      <c r="AU4" s="32"/>
      <c r="AV4" s="31"/>
      <c r="AW4" s="32"/>
      <c r="AX4" s="31"/>
      <c r="AY4" s="31"/>
      <c r="AZ4" s="31"/>
      <c r="BA4" s="32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</row>
    <row r="5" spans="1:76" ht="16.149999999999999" customHeight="1" x14ac:dyDescent="0.35">
      <c r="A5" s="164">
        <f>68*0.1</f>
        <v>6.8000000000000007</v>
      </c>
      <c r="B5" s="33"/>
      <c r="C5" s="34" t="s">
        <v>116</v>
      </c>
      <c r="D5" s="235" t="str">
        <f>IF(D6="","",UPPER(TEXT(D6,"dddd")))</f>
        <v>TUESDAY</v>
      </c>
      <c r="E5" s="229"/>
      <c r="F5" s="228" t="str">
        <f>IF(F6="","",UPPER(TEXT(F6,"dddd")))</f>
        <v>WEDNESDAY</v>
      </c>
      <c r="G5" s="229"/>
      <c r="H5" s="228" t="str">
        <f>IF(H6="","",UPPER(TEXT(H6,"dddd")))</f>
        <v>THURSDAY</v>
      </c>
      <c r="I5" s="229"/>
      <c r="J5" s="228" t="str">
        <f>IF(J6="","",UPPER(TEXT(J6,"dddd")))</f>
        <v>FRIDAY</v>
      </c>
      <c r="K5" s="229"/>
      <c r="L5" s="228" t="str">
        <f>IF(L6="","",UPPER(TEXT(L6,"dddd")))</f>
        <v>SATURDAY</v>
      </c>
      <c r="M5" s="229"/>
      <c r="N5" s="228" t="str">
        <f>IF(N6="","",UPPER(TEXT(N6,"dddd")))</f>
        <v>SUNDAY</v>
      </c>
      <c r="O5" s="229"/>
      <c r="P5" s="228" t="str">
        <f>IF(P6="","",UPPER(TEXT(P6,"dddd")))</f>
        <v>MONDAY</v>
      </c>
      <c r="Q5" s="229"/>
      <c r="R5" s="228" t="str">
        <f>IF(R6="","",UPPER(TEXT(R6,"dddd")))</f>
        <v>TUESDAY</v>
      </c>
      <c r="S5" s="229"/>
      <c r="T5" s="228" t="str">
        <f>IF(T6="","",UPPER(TEXT(T6,"dddd")))</f>
        <v>WEDNESDAY</v>
      </c>
      <c r="U5" s="229"/>
      <c r="V5" s="228" t="str">
        <f>IF(V6="","",UPPER(TEXT(V6,"dddd")))</f>
        <v>THURSDAY</v>
      </c>
      <c r="W5" s="229"/>
      <c r="X5" s="228" t="str">
        <f>IF(X6="","",UPPER(TEXT(X6,"dddd")))</f>
        <v>FRIDAY</v>
      </c>
      <c r="Y5" s="229"/>
      <c r="Z5" s="228" t="str">
        <f>IF(Z6="","",UPPER(TEXT(Z6,"dddd")))</f>
        <v>SATURDAY</v>
      </c>
      <c r="AA5" s="229"/>
      <c r="AB5" s="228" t="str">
        <f>IF(AB6="","",UPPER(TEXT(AB6,"dddd")))</f>
        <v>SUNDAY</v>
      </c>
      <c r="AC5" s="229"/>
      <c r="AD5" s="228" t="str">
        <f>IF(AD6="","",UPPER(TEXT(AD6,"dddd")))</f>
        <v>MONDAY</v>
      </c>
      <c r="AE5" s="229"/>
      <c r="AF5" s="228" t="str">
        <f>IF(AF6="","",UPPER(TEXT(AF6,"dddd")))</f>
        <v>TUESDAY</v>
      </c>
      <c r="AG5" s="229"/>
      <c r="AH5" s="228" t="str">
        <f>IF(AH6="","",UPPER(TEXT(AH6,"dddd")))</f>
        <v>WEDNESDAY</v>
      </c>
      <c r="AI5" s="229"/>
      <c r="AJ5" s="228" t="str">
        <f>IF(AJ6="","",UPPER(TEXT(AJ6,"dddd")))</f>
        <v>THURSDAY</v>
      </c>
      <c r="AK5" s="229"/>
      <c r="AL5" s="228" t="str">
        <f>IF(AL6="","",UPPER(TEXT(AL6,"dddd")))</f>
        <v>FRIDAY</v>
      </c>
      <c r="AM5" s="229"/>
      <c r="AN5" s="228" t="str">
        <f>IF(AN6="","",UPPER(TEXT(AN6,"dddd")))</f>
        <v>SATURDAY</v>
      </c>
      <c r="AO5" s="229"/>
      <c r="AP5" s="228" t="str">
        <f>IF(AP6="","",UPPER(TEXT(AP6,"dddd")))</f>
        <v>SUNDAY</v>
      </c>
      <c r="AQ5" s="229"/>
      <c r="AR5" s="228" t="str">
        <f>IF(AR6="","",UPPER(TEXT(AR6,"dddd")))</f>
        <v>MONDAY</v>
      </c>
      <c r="AS5" s="229"/>
      <c r="AT5" s="228" t="str">
        <f>IF(AT6="","",UPPER(TEXT(AT6,"dddd")))</f>
        <v>TUESDAY</v>
      </c>
      <c r="AU5" s="229"/>
      <c r="AV5" s="228" t="str">
        <f>IF(AV6="","",UPPER(TEXT(AV6,"dddd")))</f>
        <v>WEDNESDAY</v>
      </c>
      <c r="AW5" s="229"/>
      <c r="AX5" s="228" t="str">
        <f>IF(AX6="","",UPPER(TEXT(AX6,"dddd")))</f>
        <v>THURSDAY</v>
      </c>
      <c r="AY5" s="229"/>
      <c r="AZ5" s="228" t="str">
        <f>IF(AZ6="","",UPPER(TEXT(AZ6,"dddd")))</f>
        <v>FRIDAY</v>
      </c>
      <c r="BA5" s="229"/>
      <c r="BB5" s="228" t="str">
        <f>IF(BB6="","",UPPER(TEXT(BB6,"dddd")))</f>
        <v>SATURDAY</v>
      </c>
      <c r="BC5" s="229"/>
      <c r="BD5" s="228" t="str">
        <f>IF(BD6="","",UPPER(TEXT(BD6,"dddd")))</f>
        <v>SUNDAY</v>
      </c>
      <c r="BE5" s="229"/>
      <c r="BF5" s="228" t="str">
        <f>IF(BF6="","",UPPER(TEXT(BF6,"dddd")))</f>
        <v>MONDAY</v>
      </c>
      <c r="BG5" s="229"/>
      <c r="BH5" s="228" t="str">
        <f>IF(BH6="","",UPPER(TEXT(BH6,"dddd")))</f>
        <v>TUESDAY</v>
      </c>
      <c r="BI5" s="229"/>
      <c r="BJ5" s="228" t="str">
        <f>IF(BJ6="","",UPPER(TEXT(BJ6,"dddd")))</f>
        <v>WEDNESDAY</v>
      </c>
      <c r="BK5" s="229"/>
      <c r="BL5" s="228" t="str">
        <f>IF(BL6="","",UPPER(TEXT(BL6,"dddd")))</f>
        <v/>
      </c>
      <c r="BM5" s="229"/>
      <c r="BN5" s="230" t="s">
        <v>114</v>
      </c>
      <c r="BO5" s="231"/>
      <c r="BP5" s="225" t="s">
        <v>118</v>
      </c>
      <c r="BQ5" s="226"/>
    </row>
    <row r="6" spans="1:76" x14ac:dyDescent="0.35">
      <c r="A6" s="35"/>
      <c r="B6" s="36"/>
      <c r="C6" s="37" t="s">
        <v>117</v>
      </c>
      <c r="D6" s="227">
        <f>IF($B$3="","",IF(MONTH($B$3+0)=MONTH($B$3),$B$3+0,""))</f>
        <v>46539</v>
      </c>
      <c r="E6" s="222"/>
      <c r="F6" s="220">
        <f>IF($B$3="","",IF(MONTH($B$3+1)=MONTH($B$3),$B$3+1,""))</f>
        <v>46540</v>
      </c>
      <c r="G6" s="222"/>
      <c r="H6" s="220">
        <f>IF($B$3="","",IF(MONTH($B$3+2)=MONTH($B$3),$B$3+2,""))</f>
        <v>46541</v>
      </c>
      <c r="I6" s="222"/>
      <c r="J6" s="220">
        <f>IF($B$3="","",IF(MONTH($B$3+3)=MONTH($B$3),$B$3+3,""))</f>
        <v>46542</v>
      </c>
      <c r="K6" s="222"/>
      <c r="L6" s="220">
        <f>IF($B$3="","",IF(MONTH($B$3+4)=MONTH($B$3),$B$3+4,""))</f>
        <v>46543</v>
      </c>
      <c r="M6" s="222"/>
      <c r="N6" s="220">
        <f>IF($B$3="","",IF(MONTH($B$3+5)=MONTH($B$3),$B$3+5,""))</f>
        <v>46544</v>
      </c>
      <c r="O6" s="222"/>
      <c r="P6" s="220">
        <f>IF($B$3="","",IF(MONTH($B$3+6)=MONTH($B$3),$B$3+6,""))</f>
        <v>46545</v>
      </c>
      <c r="Q6" s="222"/>
      <c r="R6" s="220">
        <f>IF($B$3="","",IF(MONTH($B$3+7)=MONTH($B$3),$B$3+7,""))</f>
        <v>46546</v>
      </c>
      <c r="S6" s="222"/>
      <c r="T6" s="220">
        <f>IF($B$3="","",IF(MONTH($B$3+8)=MONTH($B$3),$B$3+8,""))</f>
        <v>46547</v>
      </c>
      <c r="U6" s="222"/>
      <c r="V6" s="220">
        <f>IF($B$3="","",IF(MONTH($B$3+9)=MONTH($B$3),$B$3+9,""))</f>
        <v>46548</v>
      </c>
      <c r="W6" s="222"/>
      <c r="X6" s="220">
        <f>IF($B$3="","",IF(MONTH($B$3+10)=MONTH($B$3),$B$3+10,""))</f>
        <v>46549</v>
      </c>
      <c r="Y6" s="222"/>
      <c r="Z6" s="220">
        <f>IF($B$3="","",IF(MONTH($B$3+11)=MONTH($B$3),$B$3+11,""))</f>
        <v>46550</v>
      </c>
      <c r="AA6" s="222"/>
      <c r="AB6" s="220">
        <f>IF($B$3="","",IF(MONTH($B$3+12)=MONTH($B$3),$B$3+12,""))</f>
        <v>46551</v>
      </c>
      <c r="AC6" s="222"/>
      <c r="AD6" s="220">
        <f>IF($B$3="","",IF(MONTH($B$3+13)=MONTH($B$3),$B$3+13,""))</f>
        <v>46552</v>
      </c>
      <c r="AE6" s="222"/>
      <c r="AF6" s="220">
        <f>IF($B$3="","",IF(MONTH($B$3+14)=MONTH($B$3),$B$3+14,""))</f>
        <v>46553</v>
      </c>
      <c r="AG6" s="222"/>
      <c r="AH6" s="220">
        <f>IF($B$3="","",IF(MONTH($B$3+15)=MONTH($B$3),$B$3+15,""))</f>
        <v>46554</v>
      </c>
      <c r="AI6" s="222"/>
      <c r="AJ6" s="220">
        <f>IF($B$3="","",IF(MONTH($B$3+16)=MONTH($B$3),$B$3+16,""))</f>
        <v>46555</v>
      </c>
      <c r="AK6" s="222"/>
      <c r="AL6" s="220">
        <f>IF($B$3="","",IF(MONTH($B$3+17)=MONTH($B$3),$B$3+17,""))</f>
        <v>46556</v>
      </c>
      <c r="AM6" s="222"/>
      <c r="AN6" s="220">
        <f>IF($B$3="","",IF(MONTH($B$3+18)=MONTH($B$3),$B$3+18,""))</f>
        <v>46557</v>
      </c>
      <c r="AO6" s="222"/>
      <c r="AP6" s="220">
        <f>IF($B$3="","",IF(MONTH($B$3+19)=MONTH($B$3),$B$3+19,""))</f>
        <v>46558</v>
      </c>
      <c r="AQ6" s="222"/>
      <c r="AR6" s="220">
        <f>IF($B$3="","",IF(MONTH($B$3+20)=MONTH($B$3),$B$3+20,""))</f>
        <v>46559</v>
      </c>
      <c r="AS6" s="222"/>
      <c r="AT6" s="220">
        <f>IF($B$3="","",IF(MONTH($B$3+21)=MONTH($B$3),$B$3+21,""))</f>
        <v>46560</v>
      </c>
      <c r="AU6" s="222"/>
      <c r="AV6" s="220">
        <f>IF($B$3="","",IF(MONTH($B$3+22)=MONTH($B$3),$B$3+22,""))</f>
        <v>46561</v>
      </c>
      <c r="AW6" s="222"/>
      <c r="AX6" s="220">
        <f>IF($B$3="","",IF(MONTH($B$3+23)=MONTH($B$3),$B$3+23,""))</f>
        <v>46562</v>
      </c>
      <c r="AY6" s="222"/>
      <c r="AZ6" s="220">
        <f>IF($B$3="","",IF(MONTH($B$3+24)=MONTH($B$3),$B$3+24,""))</f>
        <v>46563</v>
      </c>
      <c r="BA6" s="222"/>
      <c r="BB6" s="220">
        <f>IF($B$3="","",IF(MONTH($B$3+25)=MONTH($B$3),$B$3+25,""))</f>
        <v>46564</v>
      </c>
      <c r="BC6" s="222"/>
      <c r="BD6" s="220">
        <f>IF($B$3="","",IF(MONTH($B$3+26)=MONTH($B$3),$B$3+26,""))</f>
        <v>46565</v>
      </c>
      <c r="BE6" s="222"/>
      <c r="BF6" s="220">
        <f>IF($B$3="","",IF(MONTH($B$3+27)=MONTH($B$3),$B$3+27,""))</f>
        <v>46566</v>
      </c>
      <c r="BG6" s="222"/>
      <c r="BH6" s="220">
        <f>IF($B$3="","",IF(MONTH($B$3+28)=MONTH($B$3),$B$3+28,""))</f>
        <v>46567</v>
      </c>
      <c r="BI6" s="222"/>
      <c r="BJ6" s="220">
        <f>IF($B$3="","",IF(MONTH($B$3+29)=MONTH($B$3),$B$3+29,""))</f>
        <v>46568</v>
      </c>
      <c r="BK6" s="222"/>
      <c r="BL6" s="220" t="str">
        <f>IF($B$3="","",IF(MONTH($B$3+30)=MONTH($B$3),$B$3+30,""))</f>
        <v/>
      </c>
      <c r="BM6" s="222"/>
      <c r="BN6" s="223" t="s">
        <v>115</v>
      </c>
      <c r="BO6" s="224"/>
      <c r="BP6" s="220">
        <f>IF($B$3="","",EOMONTH($B$3,0)+1)</f>
        <v>46569</v>
      </c>
      <c r="BQ6" s="221"/>
    </row>
    <row r="7" spans="1:76" x14ac:dyDescent="0.35">
      <c r="A7" s="38" t="s">
        <v>20</v>
      </c>
      <c r="B7" s="39"/>
      <c r="C7" s="40"/>
      <c r="D7" s="41"/>
      <c r="E7" s="165">
        <f>E59</f>
        <v>0</v>
      </c>
      <c r="F7" s="42"/>
      <c r="G7" s="165">
        <f>G59</f>
        <v>0</v>
      </c>
      <c r="H7" s="42"/>
      <c r="I7" s="165">
        <f>I59</f>
        <v>0</v>
      </c>
      <c r="J7" s="42"/>
      <c r="K7" s="165">
        <f>K59</f>
        <v>0</v>
      </c>
      <c r="L7" s="42"/>
      <c r="M7" s="165">
        <f>M59</f>
        <v>0</v>
      </c>
      <c r="N7" s="42"/>
      <c r="O7" s="165">
        <f>O59</f>
        <v>0</v>
      </c>
      <c r="P7" s="42"/>
      <c r="Q7" s="165">
        <f>Q59</f>
        <v>0</v>
      </c>
      <c r="R7" s="42"/>
      <c r="S7" s="165">
        <f>S59</f>
        <v>0</v>
      </c>
      <c r="T7" s="42"/>
      <c r="U7" s="165">
        <f>U59</f>
        <v>0</v>
      </c>
      <c r="V7" s="42"/>
      <c r="W7" s="165">
        <f>W59</f>
        <v>0</v>
      </c>
      <c r="X7" s="42"/>
      <c r="Y7" s="165">
        <f>Y59</f>
        <v>0</v>
      </c>
      <c r="Z7" s="42"/>
      <c r="AA7" s="165">
        <f>AA59</f>
        <v>0</v>
      </c>
      <c r="AB7" s="42"/>
      <c r="AC7" s="165">
        <f>AC59</f>
        <v>0</v>
      </c>
      <c r="AD7" s="42"/>
      <c r="AE7" s="165">
        <f>AE59</f>
        <v>0</v>
      </c>
      <c r="AF7" s="42"/>
      <c r="AG7" s="165">
        <f>AG59</f>
        <v>0</v>
      </c>
      <c r="AH7" s="42"/>
      <c r="AI7" s="165">
        <f>AI59</f>
        <v>0</v>
      </c>
      <c r="AJ7" s="42"/>
      <c r="AK7" s="165">
        <f>AK59</f>
        <v>0</v>
      </c>
      <c r="AL7" s="42"/>
      <c r="AM7" s="165">
        <f>AM59</f>
        <v>0</v>
      </c>
      <c r="AN7" s="42"/>
      <c r="AO7" s="165">
        <f>AO59</f>
        <v>0</v>
      </c>
      <c r="AP7" s="42"/>
      <c r="AQ7" s="165">
        <f>AQ59</f>
        <v>0</v>
      </c>
      <c r="AR7" s="42"/>
      <c r="AS7" s="165">
        <f>AS59</f>
        <v>0</v>
      </c>
      <c r="AT7" s="42"/>
      <c r="AU7" s="165">
        <f>AU59</f>
        <v>0</v>
      </c>
      <c r="AV7" s="42"/>
      <c r="AW7" s="165">
        <f>AW59</f>
        <v>0</v>
      </c>
      <c r="AX7" s="42"/>
      <c r="AY7" s="165">
        <f>AY59</f>
        <v>0</v>
      </c>
      <c r="AZ7" s="42"/>
      <c r="BA7" s="165">
        <f>BA59</f>
        <v>0</v>
      </c>
      <c r="BB7" s="42"/>
      <c r="BC7" s="165">
        <f>BC59</f>
        <v>0</v>
      </c>
      <c r="BD7" s="42"/>
      <c r="BE7" s="165">
        <f>BE59</f>
        <v>0</v>
      </c>
      <c r="BF7" s="42"/>
      <c r="BG7" s="165">
        <f>BG59</f>
        <v>0</v>
      </c>
      <c r="BH7" s="42"/>
      <c r="BI7" s="165">
        <f>BI59</f>
        <v>0</v>
      </c>
      <c r="BJ7" s="42"/>
      <c r="BK7" s="165">
        <f>BK59</f>
        <v>0</v>
      </c>
      <c r="BL7" s="42"/>
      <c r="BM7" s="165">
        <f>BM59</f>
        <v>0</v>
      </c>
      <c r="BN7" s="43"/>
      <c r="BO7" s="169">
        <f>IF(COUNT(E7,G7,I7,K7,M7,O7,Q7,S7,U7,W7,Y7,AA7,AC7,AE7,AG7,AI7,AK7,AM7,AO7,AQ7,AS7,AU7,AW7,AY7,BA7,BC7,BE7,BG7,BI7,BK7,BM7)=0,"",SUM(E7,G7,I7,K7,M7,O7,Q7,S7,U7,W7,Y7,AA7,AC7,AE7,AG7,AI7,AK7,AM7,AO7,AQ7,AS7,AU7,AW7,AY7,BA7,BC7,BE7,BG7,BI7,BK7,BM7))</f>
        <v>0</v>
      </c>
      <c r="BP7" s="42"/>
      <c r="BQ7" s="171">
        <f>BQ59</f>
        <v>0</v>
      </c>
    </row>
    <row r="8" spans="1:76" x14ac:dyDescent="0.35">
      <c r="A8" s="38" t="s">
        <v>49</v>
      </c>
      <c r="B8" s="39"/>
      <c r="C8" s="40"/>
      <c r="D8" s="41"/>
      <c r="E8" s="165">
        <f>E58</f>
        <v>0</v>
      </c>
      <c r="F8" s="42"/>
      <c r="G8" s="165">
        <f>G58</f>
        <v>0</v>
      </c>
      <c r="H8" s="42"/>
      <c r="I8" s="165">
        <f>I58</f>
        <v>0</v>
      </c>
      <c r="J8" s="42"/>
      <c r="K8" s="165">
        <f>K58</f>
        <v>0</v>
      </c>
      <c r="L8" s="42"/>
      <c r="M8" s="165">
        <f>M58</f>
        <v>0</v>
      </c>
      <c r="N8" s="42"/>
      <c r="O8" s="165">
        <f>O58</f>
        <v>0</v>
      </c>
      <c r="P8" s="42"/>
      <c r="Q8" s="165">
        <f>Q58</f>
        <v>0</v>
      </c>
      <c r="R8" s="42"/>
      <c r="S8" s="165">
        <f>S58</f>
        <v>0</v>
      </c>
      <c r="T8" s="42"/>
      <c r="U8" s="165">
        <f>U58</f>
        <v>0</v>
      </c>
      <c r="V8" s="42"/>
      <c r="W8" s="165">
        <f>W58</f>
        <v>0</v>
      </c>
      <c r="X8" s="42"/>
      <c r="Y8" s="165">
        <f>Y58</f>
        <v>0</v>
      </c>
      <c r="Z8" s="42"/>
      <c r="AA8" s="165">
        <f>AA58</f>
        <v>0</v>
      </c>
      <c r="AB8" s="42"/>
      <c r="AC8" s="165">
        <f>AC58</f>
        <v>0</v>
      </c>
      <c r="AD8" s="42"/>
      <c r="AE8" s="165">
        <f>AE58</f>
        <v>0</v>
      </c>
      <c r="AF8" s="42"/>
      <c r="AG8" s="165">
        <f>AG58</f>
        <v>0</v>
      </c>
      <c r="AH8" s="42"/>
      <c r="AI8" s="165">
        <f>AI58</f>
        <v>0</v>
      </c>
      <c r="AJ8" s="42"/>
      <c r="AK8" s="165">
        <f>AK58</f>
        <v>0</v>
      </c>
      <c r="AL8" s="42"/>
      <c r="AM8" s="165">
        <f>AM58</f>
        <v>0</v>
      </c>
      <c r="AN8" s="42"/>
      <c r="AO8" s="165">
        <f>AO58</f>
        <v>0</v>
      </c>
      <c r="AP8" s="42"/>
      <c r="AQ8" s="165">
        <f>AQ58</f>
        <v>0</v>
      </c>
      <c r="AR8" s="42"/>
      <c r="AS8" s="165">
        <f>AS58</f>
        <v>0</v>
      </c>
      <c r="AT8" s="42"/>
      <c r="AU8" s="168">
        <f>AU58</f>
        <v>0</v>
      </c>
      <c r="AV8" s="42"/>
      <c r="AW8" s="165">
        <f>AW58</f>
        <v>0</v>
      </c>
      <c r="AX8" s="42"/>
      <c r="AY8" s="165">
        <f>AY58</f>
        <v>0</v>
      </c>
      <c r="AZ8" s="42"/>
      <c r="BA8" s="165">
        <f>BA58</f>
        <v>0</v>
      </c>
      <c r="BB8" s="42"/>
      <c r="BC8" s="165">
        <f>BC58</f>
        <v>0</v>
      </c>
      <c r="BD8" s="42"/>
      <c r="BE8" s="165">
        <f>BE58</f>
        <v>0</v>
      </c>
      <c r="BF8" s="42"/>
      <c r="BG8" s="165">
        <f>BG58</f>
        <v>0</v>
      </c>
      <c r="BH8" s="42"/>
      <c r="BI8" s="165">
        <f>BI58</f>
        <v>0</v>
      </c>
      <c r="BJ8" s="42"/>
      <c r="BK8" s="165">
        <f>BK58</f>
        <v>0</v>
      </c>
      <c r="BL8" s="42"/>
      <c r="BM8" s="165">
        <f>BM58</f>
        <v>0</v>
      </c>
      <c r="BN8" s="43"/>
      <c r="BO8" s="169">
        <f>IF(COUNT(E8,G8,I8,K8,M8,O8,Q8,S8,U8,W8,Y8,AA8,AC8,AE8,AG8,AI8,AK8,AM8,AO8,AQ8,AS8,AU8,AW8,AY8,BA8,BC8,BE8,BG8,BI8,BK8,BM8)=0,"",SUM(E8,G8,I8,K8,M8,O8,Q8,S8,U8,W8,Y8,AA8,AC8,AE8,AG8,AI8,AK8,AM8,AO8,AQ8,AS8,AU8,AW8,AY8,BA8,BC8,BE8,BG8,BI8,BK8,BM8))</f>
        <v>0</v>
      </c>
      <c r="BP8" s="42"/>
      <c r="BQ8" s="171">
        <f>BQ58</f>
        <v>0</v>
      </c>
    </row>
    <row r="9" spans="1:76" x14ac:dyDescent="0.35">
      <c r="A9" s="38" t="s">
        <v>50</v>
      </c>
      <c r="B9" s="39"/>
      <c r="C9" s="40"/>
      <c r="D9" s="41"/>
      <c r="E9" s="165" t="e">
        <f>E61</f>
        <v>#VALUE!</v>
      </c>
      <c r="F9" s="42"/>
      <c r="G9" s="165">
        <f>G61</f>
        <v>0</v>
      </c>
      <c r="H9" s="42"/>
      <c r="I9" s="165">
        <f>I61</f>
        <v>0</v>
      </c>
      <c r="J9" s="42"/>
      <c r="K9" s="165">
        <f>K61</f>
        <v>0</v>
      </c>
      <c r="L9" s="42"/>
      <c r="M9" s="165">
        <f>M61</f>
        <v>0</v>
      </c>
      <c r="N9" s="42"/>
      <c r="O9" s="165">
        <f>O61</f>
        <v>0</v>
      </c>
      <c r="P9" s="42"/>
      <c r="Q9" s="165">
        <f>Q61</f>
        <v>0</v>
      </c>
      <c r="R9" s="42"/>
      <c r="S9" s="165">
        <f>S61</f>
        <v>0</v>
      </c>
      <c r="T9" s="42"/>
      <c r="U9" s="165">
        <f>U61</f>
        <v>0</v>
      </c>
      <c r="V9" s="42"/>
      <c r="W9" s="165">
        <f>W61</f>
        <v>0</v>
      </c>
      <c r="X9" s="42"/>
      <c r="Y9" s="165">
        <f>Y61</f>
        <v>0</v>
      </c>
      <c r="Z9" s="42"/>
      <c r="AA9" s="165">
        <f>AA61</f>
        <v>0</v>
      </c>
      <c r="AB9" s="42"/>
      <c r="AC9" s="165">
        <f>AC61</f>
        <v>0</v>
      </c>
      <c r="AD9" s="42"/>
      <c r="AE9" s="165">
        <f>AE61</f>
        <v>0</v>
      </c>
      <c r="AF9" s="42"/>
      <c r="AG9" s="165">
        <f>AG61</f>
        <v>0</v>
      </c>
      <c r="AH9" s="42"/>
      <c r="AI9" s="165">
        <f>AI61</f>
        <v>0</v>
      </c>
      <c r="AJ9" s="42"/>
      <c r="AK9" s="165">
        <f>AK61</f>
        <v>0</v>
      </c>
      <c r="AL9" s="42"/>
      <c r="AM9" s="165">
        <f>AM61</f>
        <v>0</v>
      </c>
      <c r="AN9" s="42"/>
      <c r="AO9" s="165">
        <f>AO61</f>
        <v>0</v>
      </c>
      <c r="AP9" s="42"/>
      <c r="AQ9" s="165">
        <f>AQ61</f>
        <v>0</v>
      </c>
      <c r="AR9" s="42"/>
      <c r="AS9" s="165">
        <f>AS61</f>
        <v>0</v>
      </c>
      <c r="AT9" s="42"/>
      <c r="AU9" s="165">
        <f>AU61</f>
        <v>0</v>
      </c>
      <c r="AV9" s="42"/>
      <c r="AW9" s="165">
        <f>AW61</f>
        <v>0</v>
      </c>
      <c r="AX9" s="42"/>
      <c r="AY9" s="165">
        <f>AY61</f>
        <v>0</v>
      </c>
      <c r="AZ9" s="42"/>
      <c r="BA9" s="165">
        <f>BA61</f>
        <v>0</v>
      </c>
      <c r="BB9" s="42"/>
      <c r="BC9" s="165">
        <f>BC61</f>
        <v>0</v>
      </c>
      <c r="BD9" s="42"/>
      <c r="BE9" s="165">
        <f>BE61</f>
        <v>0</v>
      </c>
      <c r="BF9" s="42"/>
      <c r="BG9" s="165">
        <f>BG61</f>
        <v>0</v>
      </c>
      <c r="BH9" s="42"/>
      <c r="BI9" s="165">
        <f>BI61</f>
        <v>0</v>
      </c>
      <c r="BJ9" s="42"/>
      <c r="BK9" s="165">
        <f>BK61</f>
        <v>0</v>
      </c>
      <c r="BL9" s="42"/>
      <c r="BM9" s="165">
        <f>BM61</f>
        <v>0</v>
      </c>
      <c r="BN9" s="43"/>
      <c r="BO9" s="169" t="e">
        <f>IF(COUNT(E9,G9,I9,K9,M9,O9,Q9,S9,U9,W9,Y9,AA9,AC9,AE9,AG9,AI9,AK9,AM9,AO9,AQ9,AS9,AU9,AW9,AY9,BA9,BC9,BE9,BG9,BI9,BK9,BM9)=0,"",SUM(E9,G9,I9,K9,M9,O9,Q9,S9,U9,W9,Y9,AA9,AC9,AE9,AG9,AI9,AK9,AM9,AO9,AQ9,AS9,AU9,AW9,AY9,BA9,BC9,BE9,BG9,BI9,BK9,BM9))</f>
        <v>#VALUE!</v>
      </c>
      <c r="BP9" s="42"/>
      <c r="BQ9" s="171">
        <f>BQ61</f>
        <v>0</v>
      </c>
    </row>
    <row r="10" spans="1:76" s="2" customFormat="1" x14ac:dyDescent="0.35">
      <c r="A10" s="44" t="s">
        <v>47</v>
      </c>
      <c r="B10" s="45"/>
      <c r="C10" s="46">
        <v>1413.73</v>
      </c>
      <c r="D10" s="47"/>
      <c r="E10" s="166" t="e">
        <f>E73</f>
        <v>#VALUE!</v>
      </c>
      <c r="F10" s="49"/>
      <c r="G10" s="166">
        <f t="shared" ref="G10:BQ10" si="0">G73</f>
        <v>0</v>
      </c>
      <c r="H10" s="49"/>
      <c r="I10" s="166">
        <f t="shared" si="0"/>
        <v>0</v>
      </c>
      <c r="J10" s="49"/>
      <c r="K10" s="166">
        <f t="shared" si="0"/>
        <v>0</v>
      </c>
      <c r="L10" s="49"/>
      <c r="M10" s="166">
        <f t="shared" si="0"/>
        <v>0</v>
      </c>
      <c r="N10" s="49"/>
      <c r="O10" s="166">
        <f t="shared" si="0"/>
        <v>0</v>
      </c>
      <c r="P10" s="49"/>
      <c r="Q10" s="166">
        <f t="shared" si="0"/>
        <v>0</v>
      </c>
      <c r="R10" s="49"/>
      <c r="S10" s="166">
        <f t="shared" si="0"/>
        <v>0</v>
      </c>
      <c r="T10" s="49"/>
      <c r="U10" s="166">
        <f t="shared" si="0"/>
        <v>0</v>
      </c>
      <c r="V10" s="49"/>
      <c r="W10" s="166">
        <f t="shared" si="0"/>
        <v>0</v>
      </c>
      <c r="X10" s="49"/>
      <c r="Y10" s="166">
        <f t="shared" si="0"/>
        <v>0</v>
      </c>
      <c r="Z10" s="49"/>
      <c r="AA10" s="166">
        <f t="shared" si="0"/>
        <v>0</v>
      </c>
      <c r="AB10" s="49"/>
      <c r="AC10" s="166">
        <f t="shared" si="0"/>
        <v>0</v>
      </c>
      <c r="AD10" s="49"/>
      <c r="AE10" s="166">
        <f t="shared" si="0"/>
        <v>0</v>
      </c>
      <c r="AF10" s="49"/>
      <c r="AG10" s="166">
        <f t="shared" si="0"/>
        <v>0</v>
      </c>
      <c r="AH10" s="49"/>
      <c r="AI10" s="166">
        <f t="shared" si="0"/>
        <v>0</v>
      </c>
      <c r="AJ10" s="49"/>
      <c r="AK10" s="166">
        <f t="shared" si="0"/>
        <v>0</v>
      </c>
      <c r="AL10" s="49"/>
      <c r="AM10" s="166">
        <f t="shared" si="0"/>
        <v>0</v>
      </c>
      <c r="AN10" s="49"/>
      <c r="AO10" s="166">
        <f t="shared" si="0"/>
        <v>0</v>
      </c>
      <c r="AP10" s="49"/>
      <c r="AQ10" s="166">
        <f t="shared" si="0"/>
        <v>0</v>
      </c>
      <c r="AR10" s="49"/>
      <c r="AS10" s="166">
        <f t="shared" si="0"/>
        <v>0</v>
      </c>
      <c r="AT10" s="49"/>
      <c r="AU10" s="166">
        <f t="shared" si="0"/>
        <v>0</v>
      </c>
      <c r="AV10" s="49"/>
      <c r="AW10" s="166">
        <f t="shared" si="0"/>
        <v>0</v>
      </c>
      <c r="AX10" s="49"/>
      <c r="AY10" s="166">
        <f t="shared" si="0"/>
        <v>0</v>
      </c>
      <c r="AZ10" s="49"/>
      <c r="BA10" s="166">
        <f t="shared" si="0"/>
        <v>0</v>
      </c>
      <c r="BB10" s="49"/>
      <c r="BC10" s="166">
        <f t="shared" si="0"/>
        <v>0</v>
      </c>
      <c r="BD10" s="49"/>
      <c r="BE10" s="166">
        <f t="shared" si="0"/>
        <v>0</v>
      </c>
      <c r="BF10" s="49"/>
      <c r="BG10" s="166">
        <f t="shared" si="0"/>
        <v>0</v>
      </c>
      <c r="BH10" s="49"/>
      <c r="BI10" s="166">
        <f t="shared" si="0"/>
        <v>0</v>
      </c>
      <c r="BJ10" s="49"/>
      <c r="BK10" s="166">
        <f t="shared" si="0"/>
        <v>0</v>
      </c>
      <c r="BL10" s="49"/>
      <c r="BM10" s="166">
        <f t="shared" si="0"/>
        <v>0</v>
      </c>
      <c r="BN10" s="50"/>
      <c r="BO10" s="170" t="e">
        <f>IF(COUNT(E10,G10,I10,K10,M10,O10,Q10,S10,U10,W10,Y10,AA10,AC10,AE10,AG10,AI10,AK10,AM10,AO10,AQ10,AS10,AU10,AW10,AY10,BA10,BC10,BE10,BG10,BI10,BK10,BM10)=0,"",SUM(E10,G10,I10,K10,M10,O10,Q10,S10,U10,W10,Y10,AA10,AC10,AE10,AG10,AI10,AK10,AM10,AO10,AQ10,AS10,AU10,AW10,AY10,BA10,BC10,BE10,BG10,BI10,BK10,BM10))</f>
        <v>#VALUE!</v>
      </c>
      <c r="BP10" s="49"/>
      <c r="BQ10" s="172">
        <f t="shared" si="0"/>
        <v>0</v>
      </c>
      <c r="BR10"/>
      <c r="BS10"/>
      <c r="BT10"/>
      <c r="BU10"/>
      <c r="BV10"/>
      <c r="BW10"/>
      <c r="BX10"/>
    </row>
    <row r="11" spans="1:76" s="2" customFormat="1" x14ac:dyDescent="0.35">
      <c r="A11" s="44" t="s">
        <v>48</v>
      </c>
      <c r="B11" s="45"/>
      <c r="C11" s="46">
        <v>5252.8</v>
      </c>
      <c r="D11" s="47"/>
      <c r="E11" s="166">
        <f>E75+E56</f>
        <v>0</v>
      </c>
      <c r="F11" s="49"/>
      <c r="G11" s="166">
        <f>G75+G56</f>
        <v>0</v>
      </c>
      <c r="H11" s="49"/>
      <c r="I11" s="166">
        <f>I75+I56</f>
        <v>0</v>
      </c>
      <c r="J11" s="49"/>
      <c r="K11" s="166">
        <f>K75+K56</f>
        <v>0</v>
      </c>
      <c r="L11" s="49"/>
      <c r="M11" s="166">
        <f>M75+M56</f>
        <v>0</v>
      </c>
      <c r="N11" s="49"/>
      <c r="O11" s="166">
        <f>O75+O56</f>
        <v>0</v>
      </c>
      <c r="P11" s="49"/>
      <c r="Q11" s="166">
        <f>Q75+Q56</f>
        <v>0</v>
      </c>
      <c r="R11" s="49"/>
      <c r="S11" s="166">
        <f>S75+S56</f>
        <v>0</v>
      </c>
      <c r="T11" s="49"/>
      <c r="U11" s="166">
        <f>U75+U56</f>
        <v>0</v>
      </c>
      <c r="V11" s="49"/>
      <c r="W11" s="166">
        <f>W75+W56</f>
        <v>0</v>
      </c>
      <c r="X11" s="167">
        <f t="shared" ref="X11:AL11" si="1">X75</f>
        <v>0</v>
      </c>
      <c r="Y11" s="166">
        <f>Y75+Y56</f>
        <v>0</v>
      </c>
      <c r="Z11" s="167">
        <f t="shared" si="1"/>
        <v>0</v>
      </c>
      <c r="AA11" s="166">
        <f>AA75+AA56</f>
        <v>0</v>
      </c>
      <c r="AB11" s="167">
        <f t="shared" si="1"/>
        <v>0</v>
      </c>
      <c r="AC11" s="166">
        <f>AC75+AC56</f>
        <v>0</v>
      </c>
      <c r="AD11" s="167">
        <f t="shared" si="1"/>
        <v>0</v>
      </c>
      <c r="AE11" s="166">
        <f>AE75+AE56</f>
        <v>0</v>
      </c>
      <c r="AF11" s="167">
        <f t="shared" si="1"/>
        <v>0</v>
      </c>
      <c r="AG11" s="166">
        <f>AG75+AG56</f>
        <v>0</v>
      </c>
      <c r="AH11" s="167">
        <f t="shared" si="1"/>
        <v>0</v>
      </c>
      <c r="AI11" s="166">
        <f>AI75+AI56</f>
        <v>0</v>
      </c>
      <c r="AJ11" s="167">
        <f t="shared" si="1"/>
        <v>0</v>
      </c>
      <c r="AK11" s="166">
        <f>AK75+AK56</f>
        <v>0</v>
      </c>
      <c r="AL11" s="167">
        <f t="shared" si="1"/>
        <v>0</v>
      </c>
      <c r="AM11" s="166">
        <f>AM75+AM56</f>
        <v>0</v>
      </c>
      <c r="AN11" s="49"/>
      <c r="AO11" s="166">
        <f>AO75+AO56</f>
        <v>0</v>
      </c>
      <c r="AP11" s="49"/>
      <c r="AQ11" s="166">
        <f>AQ75+AQ56</f>
        <v>0</v>
      </c>
      <c r="AR11" s="49"/>
      <c r="AS11" s="166">
        <f>AS75+AS56</f>
        <v>0</v>
      </c>
      <c r="AT11" s="49"/>
      <c r="AU11" s="166">
        <f>AU75+AU56</f>
        <v>0</v>
      </c>
      <c r="AV11" s="49"/>
      <c r="AW11" s="166">
        <f>AW75+AW56</f>
        <v>0</v>
      </c>
      <c r="AX11" s="49"/>
      <c r="AY11" s="166">
        <f>AY75+AY56</f>
        <v>0</v>
      </c>
      <c r="AZ11" s="49"/>
      <c r="BA11" s="166">
        <f>BA75+BA56</f>
        <v>0</v>
      </c>
      <c r="BB11" s="49"/>
      <c r="BC11" s="166">
        <f>BC75+BC56</f>
        <v>0</v>
      </c>
      <c r="BD11" s="49"/>
      <c r="BE11" s="166">
        <f>BE75+BE56</f>
        <v>0</v>
      </c>
      <c r="BF11" s="49"/>
      <c r="BG11" s="166">
        <f>BG75+BG56</f>
        <v>0</v>
      </c>
      <c r="BH11" s="49"/>
      <c r="BI11" s="166">
        <f>BI75+BI56</f>
        <v>0</v>
      </c>
      <c r="BJ11" s="49"/>
      <c r="BK11" s="166">
        <f>BK75+BK56</f>
        <v>0</v>
      </c>
      <c r="BL11" s="49"/>
      <c r="BM11" s="166">
        <f>BM75+BM56</f>
        <v>0</v>
      </c>
      <c r="BN11" s="50"/>
      <c r="BO11" s="170">
        <f>IF(COUNT(E11,G11,I11,K11,M11,O11,Q11,S11,U11,W11,Y11,AA11,AC11,AE11,AG11,AI11,AK11,AM11,AO11,AQ11,AS11,AU11,AW11,AY11,BA11,BC11,BE11,BG11,BI11,BK11,BM11)=0,"",SUM(E11,G11,I11,K11,M11,O11,Q11,S11,U11,W11,Y11,AA11,AC11,AE11,AG11,AI11,AK11,AM11,AO11,AQ11,AS11,AU11,AW11,AY11,BA11,BC11,BE11,BG11,BI11,BK11,BM11))</f>
        <v>0</v>
      </c>
      <c r="BP11" s="49"/>
      <c r="BQ11" s="172" t="e">
        <f>BQ75+BQ56</f>
        <v>#VALUE!</v>
      </c>
      <c r="BR11"/>
      <c r="BS11"/>
      <c r="BT11"/>
      <c r="BU11"/>
      <c r="BV11"/>
      <c r="BW11"/>
      <c r="BX11"/>
    </row>
    <row r="12" spans="1:76" ht="13.5" customHeight="1" x14ac:dyDescent="0.35">
      <c r="A12" s="53"/>
      <c r="B12" s="54"/>
      <c r="C12" s="55"/>
      <c r="D12" s="219"/>
      <c r="E12" s="217"/>
      <c r="F12" s="216"/>
      <c r="G12" s="217"/>
      <c r="H12" s="216"/>
      <c r="I12" s="217"/>
      <c r="J12" s="216"/>
      <c r="K12" s="217"/>
      <c r="L12" s="216"/>
      <c r="M12" s="217"/>
      <c r="N12" s="216"/>
      <c r="O12" s="217"/>
      <c r="P12" s="216"/>
      <c r="Q12" s="217"/>
      <c r="R12" s="216"/>
      <c r="S12" s="217"/>
      <c r="T12" s="216"/>
      <c r="U12" s="217"/>
      <c r="V12" s="216"/>
      <c r="W12" s="217"/>
      <c r="X12" s="216"/>
      <c r="Y12" s="217"/>
      <c r="Z12" s="216"/>
      <c r="AA12" s="217"/>
      <c r="AB12" s="216"/>
      <c r="AC12" s="217"/>
      <c r="AD12" s="216"/>
      <c r="AE12" s="217"/>
      <c r="AF12" s="216"/>
      <c r="AG12" s="217"/>
      <c r="AH12" s="216"/>
      <c r="AI12" s="217"/>
      <c r="AJ12" s="216"/>
      <c r="AK12" s="217"/>
      <c r="AL12" s="216"/>
      <c r="AM12" s="217"/>
      <c r="AN12" s="216"/>
      <c r="AO12" s="217"/>
      <c r="AP12" s="216"/>
      <c r="AQ12" s="217"/>
      <c r="AR12" s="216"/>
      <c r="AS12" s="217"/>
      <c r="AT12" s="216"/>
      <c r="AU12" s="217"/>
      <c r="AV12" s="216"/>
      <c r="AW12" s="217"/>
      <c r="AX12" s="216"/>
      <c r="AY12" s="217"/>
      <c r="AZ12" s="216"/>
      <c r="BA12" s="217"/>
      <c r="BB12" s="216"/>
      <c r="BC12" s="217"/>
      <c r="BD12" s="216"/>
      <c r="BE12" s="217"/>
      <c r="BF12" s="216"/>
      <c r="BG12" s="217"/>
      <c r="BH12" s="216"/>
      <c r="BI12" s="217"/>
      <c r="BJ12" s="216"/>
      <c r="BK12" s="217"/>
      <c r="BL12" s="216"/>
      <c r="BM12" s="217"/>
      <c r="BN12" s="56"/>
      <c r="BO12" s="57"/>
      <c r="BP12" s="216"/>
      <c r="BQ12" s="218"/>
    </row>
    <row r="13" spans="1:76" x14ac:dyDescent="0.35">
      <c r="A13" s="58" t="s">
        <v>39</v>
      </c>
      <c r="B13" s="59"/>
      <c r="C13" s="205" t="str">
        <f>IF('May 2027 Log'!BM13="","",'May 2027 Log'!BM13)</f>
        <v/>
      </c>
      <c r="D13" s="61" t="s">
        <v>52</v>
      </c>
      <c r="E13" s="62"/>
      <c r="F13" s="63" t="s">
        <v>52</v>
      </c>
      <c r="G13" s="62"/>
      <c r="H13" s="63" t="s">
        <v>52</v>
      </c>
      <c r="I13" s="62"/>
      <c r="J13" s="63" t="s">
        <v>52</v>
      </c>
      <c r="K13" s="62"/>
      <c r="L13" s="63" t="s">
        <v>52</v>
      </c>
      <c r="M13" s="62"/>
      <c r="N13" s="63" t="s">
        <v>52</v>
      </c>
      <c r="O13" s="62"/>
      <c r="P13" s="63" t="s">
        <v>52</v>
      </c>
      <c r="Q13" s="62"/>
      <c r="R13" s="63" t="s">
        <v>52</v>
      </c>
      <c r="S13" s="62"/>
      <c r="T13" s="63" t="s">
        <v>52</v>
      </c>
      <c r="U13" s="62"/>
      <c r="V13" s="63" t="s">
        <v>52</v>
      </c>
      <c r="W13" s="62"/>
      <c r="X13" s="63" t="s">
        <v>52</v>
      </c>
      <c r="Y13" s="62"/>
      <c r="Z13" s="63" t="s">
        <v>52</v>
      </c>
      <c r="AA13" s="62"/>
      <c r="AB13" s="63" t="s">
        <v>52</v>
      </c>
      <c r="AC13" s="62"/>
      <c r="AD13" s="63" t="s">
        <v>52</v>
      </c>
      <c r="AE13" s="62"/>
      <c r="AF13" s="63" t="s">
        <v>52</v>
      </c>
      <c r="AG13" s="62"/>
      <c r="AH13" s="63" t="s">
        <v>52</v>
      </c>
      <c r="AI13" s="62"/>
      <c r="AJ13" s="63" t="s">
        <v>52</v>
      </c>
      <c r="AK13" s="62"/>
      <c r="AL13" s="63" t="s">
        <v>52</v>
      </c>
      <c r="AM13" s="62"/>
      <c r="AN13" s="63" t="s">
        <v>52</v>
      </c>
      <c r="AO13" s="62"/>
      <c r="AP13" s="63" t="s">
        <v>52</v>
      </c>
      <c r="AQ13" s="62"/>
      <c r="AR13" s="63" t="s">
        <v>52</v>
      </c>
      <c r="AS13" s="62"/>
      <c r="AT13" s="63" t="s">
        <v>52</v>
      </c>
      <c r="AU13" s="62"/>
      <c r="AV13" s="63" t="s">
        <v>52</v>
      </c>
      <c r="AW13" s="62"/>
      <c r="AX13" s="63" t="s">
        <v>52</v>
      </c>
      <c r="AY13" s="62"/>
      <c r="AZ13" s="63" t="s">
        <v>52</v>
      </c>
      <c r="BA13" s="62"/>
      <c r="BB13" s="63" t="s">
        <v>52</v>
      </c>
      <c r="BC13" s="62"/>
      <c r="BD13" s="63" t="s">
        <v>52</v>
      </c>
      <c r="BE13" s="62"/>
      <c r="BF13" s="63" t="s">
        <v>52</v>
      </c>
      <c r="BG13" s="62"/>
      <c r="BH13" s="63" t="s">
        <v>52</v>
      </c>
      <c r="BI13" s="62"/>
      <c r="BJ13" s="63" t="s">
        <v>52</v>
      </c>
      <c r="BK13" s="62"/>
      <c r="BL13" s="63"/>
      <c r="BM13" s="62"/>
      <c r="BN13" s="64"/>
      <c r="BO13" s="65"/>
      <c r="BP13" s="63" t="s">
        <v>52</v>
      </c>
      <c r="BQ13" s="207" t="str">
        <f>IF(BK13="","",BK13)</f>
        <v/>
      </c>
    </row>
    <row r="14" spans="1:76" x14ac:dyDescent="0.35">
      <c r="A14" s="53" t="s">
        <v>40</v>
      </c>
      <c r="B14" s="59"/>
      <c r="C14" s="206" t="str">
        <f>IF('May 2027 Log'!BM14="","",'May 2027 Log'!BM14)</f>
        <v/>
      </c>
      <c r="D14" s="68" t="s">
        <v>40</v>
      </c>
      <c r="E14" s="69"/>
      <c r="F14" s="70" t="s">
        <v>40</v>
      </c>
      <c r="G14" s="69"/>
      <c r="H14" s="70" t="s">
        <v>40</v>
      </c>
      <c r="I14" s="69"/>
      <c r="J14" s="70" t="s">
        <v>40</v>
      </c>
      <c r="K14" s="69"/>
      <c r="L14" s="70" t="s">
        <v>40</v>
      </c>
      <c r="M14" s="69"/>
      <c r="N14" s="70" t="s">
        <v>40</v>
      </c>
      <c r="O14" s="69"/>
      <c r="P14" s="70" t="s">
        <v>40</v>
      </c>
      <c r="Q14" s="69"/>
      <c r="R14" s="70" t="s">
        <v>40</v>
      </c>
      <c r="S14" s="69"/>
      <c r="T14" s="70" t="s">
        <v>40</v>
      </c>
      <c r="U14" s="69"/>
      <c r="V14" s="70" t="s">
        <v>40</v>
      </c>
      <c r="W14" s="69"/>
      <c r="X14" s="70" t="s">
        <v>40</v>
      </c>
      <c r="Y14" s="69"/>
      <c r="Z14" s="70" t="s">
        <v>40</v>
      </c>
      <c r="AA14" s="69"/>
      <c r="AB14" s="70" t="s">
        <v>40</v>
      </c>
      <c r="AC14" s="69"/>
      <c r="AD14" s="70" t="s">
        <v>40</v>
      </c>
      <c r="AE14" s="69"/>
      <c r="AF14" s="70" t="s">
        <v>40</v>
      </c>
      <c r="AG14" s="69"/>
      <c r="AH14" s="70" t="s">
        <v>40</v>
      </c>
      <c r="AI14" s="69"/>
      <c r="AJ14" s="70" t="s">
        <v>40</v>
      </c>
      <c r="AK14" s="69"/>
      <c r="AL14" s="70" t="s">
        <v>40</v>
      </c>
      <c r="AM14" s="69"/>
      <c r="AN14" s="70" t="s">
        <v>40</v>
      </c>
      <c r="AO14" s="69"/>
      <c r="AP14" s="70" t="s">
        <v>40</v>
      </c>
      <c r="AQ14" s="69"/>
      <c r="AR14" s="70" t="s">
        <v>40</v>
      </c>
      <c r="AS14" s="69"/>
      <c r="AT14" s="70" t="s">
        <v>40</v>
      </c>
      <c r="AU14" s="69"/>
      <c r="AV14" s="70" t="s">
        <v>40</v>
      </c>
      <c r="AW14" s="69"/>
      <c r="AX14" s="70" t="s">
        <v>40</v>
      </c>
      <c r="AY14" s="69"/>
      <c r="AZ14" s="70" t="s">
        <v>40</v>
      </c>
      <c r="BA14" s="69"/>
      <c r="BB14" s="70" t="s">
        <v>40</v>
      </c>
      <c r="BC14" s="69"/>
      <c r="BD14" s="70" t="s">
        <v>40</v>
      </c>
      <c r="BE14" s="69"/>
      <c r="BF14" s="70" t="s">
        <v>40</v>
      </c>
      <c r="BG14" s="69"/>
      <c r="BH14" s="70" t="s">
        <v>40</v>
      </c>
      <c r="BI14" s="69"/>
      <c r="BJ14" s="70" t="s">
        <v>40</v>
      </c>
      <c r="BK14" s="69"/>
      <c r="BL14" s="70"/>
      <c r="BM14" s="69"/>
      <c r="BN14" s="71"/>
      <c r="BO14" s="72"/>
      <c r="BP14" s="70" t="s">
        <v>40</v>
      </c>
      <c r="BQ14" s="208" t="str">
        <f>IF(BK14="","",BK14)</f>
        <v/>
      </c>
    </row>
    <row r="15" spans="1:76" x14ac:dyDescent="0.35">
      <c r="A15" s="53" t="s">
        <v>38</v>
      </c>
      <c r="B15" s="54"/>
      <c r="C15" s="206" t="str">
        <f>IF('May 2027 Log'!BM15="","",'May 2027 Log'!BM15)</f>
        <v/>
      </c>
      <c r="D15" s="68" t="s">
        <v>53</v>
      </c>
      <c r="E15" s="69"/>
      <c r="F15" s="70" t="s">
        <v>53</v>
      </c>
      <c r="G15" s="69"/>
      <c r="H15" s="70" t="s">
        <v>53</v>
      </c>
      <c r="I15" s="69"/>
      <c r="J15" s="70" t="s">
        <v>53</v>
      </c>
      <c r="K15" s="69"/>
      <c r="L15" s="70" t="s">
        <v>53</v>
      </c>
      <c r="M15" s="69"/>
      <c r="N15" s="70" t="s">
        <v>53</v>
      </c>
      <c r="O15" s="69"/>
      <c r="P15" s="70" t="s">
        <v>53</v>
      </c>
      <c r="Q15" s="69"/>
      <c r="R15" s="70" t="s">
        <v>53</v>
      </c>
      <c r="S15" s="69"/>
      <c r="T15" s="70" t="s">
        <v>53</v>
      </c>
      <c r="U15" s="69"/>
      <c r="V15" s="70" t="s">
        <v>53</v>
      </c>
      <c r="W15" s="69"/>
      <c r="X15" s="70" t="s">
        <v>53</v>
      </c>
      <c r="Y15" s="69"/>
      <c r="Z15" s="70" t="s">
        <v>53</v>
      </c>
      <c r="AA15" s="69"/>
      <c r="AB15" s="70" t="s">
        <v>53</v>
      </c>
      <c r="AC15" s="69"/>
      <c r="AD15" s="70" t="s">
        <v>53</v>
      </c>
      <c r="AE15" s="69"/>
      <c r="AF15" s="70" t="s">
        <v>53</v>
      </c>
      <c r="AG15" s="69"/>
      <c r="AH15" s="70" t="s">
        <v>53</v>
      </c>
      <c r="AI15" s="69"/>
      <c r="AJ15" s="70" t="s">
        <v>53</v>
      </c>
      <c r="AK15" s="69"/>
      <c r="AL15" s="70" t="s">
        <v>53</v>
      </c>
      <c r="AM15" s="69"/>
      <c r="AN15" s="70" t="s">
        <v>53</v>
      </c>
      <c r="AO15" s="69"/>
      <c r="AP15" s="70" t="s">
        <v>53</v>
      </c>
      <c r="AQ15" s="69"/>
      <c r="AR15" s="70" t="s">
        <v>53</v>
      </c>
      <c r="AS15" s="69"/>
      <c r="AT15" s="70" t="s">
        <v>53</v>
      </c>
      <c r="AU15" s="69"/>
      <c r="AV15" s="70" t="s">
        <v>53</v>
      </c>
      <c r="AW15" s="69"/>
      <c r="AX15" s="70" t="s">
        <v>53</v>
      </c>
      <c r="AY15" s="69"/>
      <c r="AZ15" s="70" t="s">
        <v>53</v>
      </c>
      <c r="BA15" s="69"/>
      <c r="BB15" s="70" t="s">
        <v>53</v>
      </c>
      <c r="BC15" s="69"/>
      <c r="BD15" s="70" t="s">
        <v>53</v>
      </c>
      <c r="BE15" s="69"/>
      <c r="BF15" s="70" t="s">
        <v>53</v>
      </c>
      <c r="BG15" s="69"/>
      <c r="BH15" s="70" t="s">
        <v>53</v>
      </c>
      <c r="BI15" s="69"/>
      <c r="BJ15" s="70" t="s">
        <v>53</v>
      </c>
      <c r="BK15" s="69"/>
      <c r="BL15" s="70"/>
      <c r="BM15" s="69"/>
      <c r="BN15" s="71"/>
      <c r="BO15" s="72"/>
      <c r="BP15" s="70" t="s">
        <v>53</v>
      </c>
      <c r="BQ15" s="208" t="str">
        <f>IF(BK15="","",BK15)</f>
        <v/>
      </c>
    </row>
    <row r="16" spans="1:76" x14ac:dyDescent="0.35">
      <c r="A16" s="74" t="s">
        <v>51</v>
      </c>
      <c r="B16" s="75"/>
      <c r="C16" s="76"/>
      <c r="D16" s="77"/>
      <c r="E16" s="78"/>
      <c r="F16" s="79"/>
      <c r="G16" s="78"/>
      <c r="H16" s="79"/>
      <c r="I16" s="78"/>
      <c r="J16" s="79"/>
      <c r="K16" s="78"/>
      <c r="L16" s="79"/>
      <c r="M16" s="78"/>
      <c r="N16" s="79"/>
      <c r="O16" s="78"/>
      <c r="P16" s="79"/>
      <c r="Q16" s="78"/>
      <c r="R16" s="79"/>
      <c r="S16" s="78"/>
      <c r="T16" s="79"/>
      <c r="U16" s="78"/>
      <c r="V16" s="79"/>
      <c r="W16" s="78"/>
      <c r="X16" s="79"/>
      <c r="Y16" s="78"/>
      <c r="Z16" s="79"/>
      <c r="AA16" s="78"/>
      <c r="AB16" s="79"/>
      <c r="AC16" s="78"/>
      <c r="AD16" s="79"/>
      <c r="AE16" s="78"/>
      <c r="AF16" s="79"/>
      <c r="AG16" s="78"/>
      <c r="AH16" s="79"/>
      <c r="AI16" s="78"/>
      <c r="AJ16" s="79"/>
      <c r="AK16" s="78"/>
      <c r="AL16" s="79"/>
      <c r="AM16" s="78"/>
      <c r="AN16" s="79"/>
      <c r="AO16" s="78"/>
      <c r="AP16" s="79"/>
      <c r="AQ16" s="78"/>
      <c r="AR16" s="79"/>
      <c r="AS16" s="78"/>
      <c r="AT16" s="79"/>
      <c r="AU16" s="78"/>
      <c r="AV16" s="79"/>
      <c r="AW16" s="78"/>
      <c r="AX16" s="79"/>
      <c r="AY16" s="78"/>
      <c r="AZ16" s="79"/>
      <c r="BA16" s="78"/>
      <c r="BB16" s="79"/>
      <c r="BC16" s="78"/>
      <c r="BD16" s="79"/>
      <c r="BE16" s="78"/>
      <c r="BF16" s="79"/>
      <c r="BG16" s="78"/>
      <c r="BH16" s="79"/>
      <c r="BI16" s="78"/>
      <c r="BJ16" s="79"/>
      <c r="BK16" s="78"/>
      <c r="BL16" s="79"/>
      <c r="BM16" s="78"/>
      <c r="BN16" s="80"/>
      <c r="BO16" s="81"/>
      <c r="BP16" s="79"/>
      <c r="BQ16" s="82"/>
    </row>
    <row r="17" spans="1:76" x14ac:dyDescent="0.35">
      <c r="A17" s="53" t="s">
        <v>45</v>
      </c>
      <c r="B17" s="54"/>
      <c r="C17" s="206" t="str">
        <f>IF('May 2027 Log'!BM17="","",'May 2027 Log'!BM17)</f>
        <v/>
      </c>
      <c r="D17" s="68"/>
      <c r="E17" s="69"/>
      <c r="F17" s="70"/>
      <c r="G17" s="69"/>
      <c r="H17" s="70"/>
      <c r="I17" s="69"/>
      <c r="J17" s="70"/>
      <c r="K17" s="69"/>
      <c r="L17" s="70"/>
      <c r="M17" s="69"/>
      <c r="N17" s="70"/>
      <c r="O17" s="69"/>
      <c r="P17" s="70"/>
      <c r="Q17" s="69"/>
      <c r="R17" s="70"/>
      <c r="S17" s="69"/>
      <c r="T17" s="70"/>
      <c r="U17" s="69"/>
      <c r="V17" s="70"/>
      <c r="W17" s="69"/>
      <c r="X17" s="70"/>
      <c r="Y17" s="69"/>
      <c r="Z17" s="70"/>
      <c r="AA17" s="69"/>
      <c r="AB17" s="70"/>
      <c r="AC17" s="69"/>
      <c r="AD17" s="70"/>
      <c r="AE17" s="69"/>
      <c r="AF17" s="70"/>
      <c r="AG17" s="69"/>
      <c r="AH17" s="70"/>
      <c r="AI17" s="69"/>
      <c r="AJ17" s="70"/>
      <c r="AK17" s="69"/>
      <c r="AL17" s="70"/>
      <c r="AM17" s="69"/>
      <c r="AN17" s="70"/>
      <c r="AO17" s="69"/>
      <c r="AP17" s="70"/>
      <c r="AQ17" s="69"/>
      <c r="AR17" s="70"/>
      <c r="AS17" s="69"/>
      <c r="AT17" s="70"/>
      <c r="AU17" s="69"/>
      <c r="AV17" s="70"/>
      <c r="AW17" s="69"/>
      <c r="AX17" s="70"/>
      <c r="AY17" s="69"/>
      <c r="AZ17" s="70"/>
      <c r="BA17" s="69"/>
      <c r="BB17" s="70"/>
      <c r="BC17" s="69"/>
      <c r="BD17" s="70"/>
      <c r="BE17" s="69"/>
      <c r="BF17" s="70"/>
      <c r="BG17" s="69"/>
      <c r="BH17" s="70"/>
      <c r="BI17" s="69"/>
      <c r="BJ17" s="70"/>
      <c r="BK17" s="69"/>
      <c r="BL17" s="70"/>
      <c r="BM17" s="69"/>
      <c r="BN17" s="71"/>
      <c r="BO17" s="182" t="str">
        <f t="shared" ref="BO17:BO59" si="2">IF(COUNT(E17,G17,I17,K17,M17,O17,Q17,S17,U17,W17,Y17,AA17,AC17,AE17,AG17,AI17,AK17,AM17,AO17,AQ17,AS17,AU17,AW17,AY17,BA17,BC17,BE17,BG17,BI17,BK17,BM17)=0,"",SUM(E17,G17,I17,K17,M17,O17,Q17,S17,U17,W17,Y17,AA17,AC17,AE17,AG17,AI17,AK17,AM17,AO17,AQ17,AS17,AU17,AW17,AY17,BA17,BC17,BE17,BG17,BI17,BK17,BM17))</f>
        <v/>
      </c>
      <c r="BP17" s="70"/>
      <c r="BQ17" s="208" t="str">
        <f>IF(BK17="","",BK17)</f>
        <v/>
      </c>
    </row>
    <row r="18" spans="1:76" x14ac:dyDescent="0.35">
      <c r="A18" s="53" t="s">
        <v>46</v>
      </c>
      <c r="B18" s="54"/>
      <c r="C18" s="67"/>
      <c r="D18" s="68"/>
      <c r="E18" s="69"/>
      <c r="F18" s="70"/>
      <c r="G18" s="69"/>
      <c r="H18" s="70"/>
      <c r="I18" s="69"/>
      <c r="J18" s="70"/>
      <c r="K18" s="69"/>
      <c r="L18" s="70"/>
      <c r="M18" s="69"/>
      <c r="N18" s="70"/>
      <c r="O18" s="69"/>
      <c r="P18" s="70"/>
      <c r="Q18" s="69"/>
      <c r="R18" s="70"/>
      <c r="S18" s="69"/>
      <c r="T18" s="70"/>
      <c r="U18" s="69"/>
      <c r="V18" s="70"/>
      <c r="W18" s="69"/>
      <c r="X18" s="70"/>
      <c r="Y18" s="69"/>
      <c r="Z18" s="70"/>
      <c r="AA18" s="69"/>
      <c r="AB18" s="70"/>
      <c r="AC18" s="69"/>
      <c r="AD18" s="70"/>
      <c r="AE18" s="69"/>
      <c r="AF18" s="70"/>
      <c r="AG18" s="69"/>
      <c r="AH18" s="70"/>
      <c r="AI18" s="69"/>
      <c r="AJ18" s="70"/>
      <c r="AK18" s="69"/>
      <c r="AL18" s="70"/>
      <c r="AM18" s="69"/>
      <c r="AN18" s="70"/>
      <c r="AO18" s="69"/>
      <c r="AP18" s="70"/>
      <c r="AQ18" s="69"/>
      <c r="AR18" s="70"/>
      <c r="AS18" s="69"/>
      <c r="AT18" s="70"/>
      <c r="AU18" s="69"/>
      <c r="AV18" s="70"/>
      <c r="AW18" s="69"/>
      <c r="AX18" s="70"/>
      <c r="AY18" s="69"/>
      <c r="AZ18" s="70"/>
      <c r="BA18" s="69"/>
      <c r="BB18" s="70"/>
      <c r="BC18" s="69"/>
      <c r="BD18" s="70"/>
      <c r="BE18" s="69"/>
      <c r="BF18" s="70"/>
      <c r="BG18" s="69"/>
      <c r="BH18" s="70"/>
      <c r="BI18" s="69"/>
      <c r="BJ18" s="70"/>
      <c r="BK18" s="69"/>
      <c r="BL18" s="70"/>
      <c r="BM18" s="69"/>
      <c r="BN18" s="71"/>
      <c r="BO18" s="182" t="str">
        <f t="shared" si="2"/>
        <v/>
      </c>
      <c r="BP18" s="70"/>
      <c r="BQ18" s="73"/>
    </row>
    <row r="19" spans="1:76" x14ac:dyDescent="0.35">
      <c r="A19" s="53" t="s">
        <v>69</v>
      </c>
      <c r="B19" s="54"/>
      <c r="C19" s="67"/>
      <c r="D19" s="68"/>
      <c r="E19" s="69"/>
      <c r="F19" s="70"/>
      <c r="G19" s="69"/>
      <c r="H19" s="70"/>
      <c r="I19" s="69"/>
      <c r="J19" s="70"/>
      <c r="K19" s="69"/>
      <c r="L19" s="70"/>
      <c r="M19" s="69"/>
      <c r="N19" s="70"/>
      <c r="O19" s="69"/>
      <c r="P19" s="70"/>
      <c r="Q19" s="69"/>
      <c r="R19" s="70"/>
      <c r="S19" s="69"/>
      <c r="T19" s="70"/>
      <c r="U19" s="69"/>
      <c r="V19" s="70"/>
      <c r="W19" s="69"/>
      <c r="X19" s="70"/>
      <c r="Y19" s="69"/>
      <c r="Z19" s="70"/>
      <c r="AA19" s="69"/>
      <c r="AB19" s="70"/>
      <c r="AC19" s="69"/>
      <c r="AD19" s="70"/>
      <c r="AE19" s="69"/>
      <c r="AF19" s="70"/>
      <c r="AG19" s="69"/>
      <c r="AH19" s="70"/>
      <c r="AI19" s="69"/>
      <c r="AJ19" s="70"/>
      <c r="AK19" s="69"/>
      <c r="AL19" s="70"/>
      <c r="AM19" s="69"/>
      <c r="AN19" s="70"/>
      <c r="AO19" s="69"/>
      <c r="AP19" s="70"/>
      <c r="AQ19" s="69"/>
      <c r="AR19" s="70"/>
      <c r="AS19" s="69"/>
      <c r="AT19" s="70"/>
      <c r="AU19" s="69"/>
      <c r="AV19" s="70"/>
      <c r="AW19" s="69"/>
      <c r="AX19" s="70"/>
      <c r="AY19" s="69"/>
      <c r="AZ19" s="70"/>
      <c r="BA19" s="69"/>
      <c r="BB19" s="70"/>
      <c r="BC19" s="69"/>
      <c r="BD19" s="70"/>
      <c r="BE19" s="69"/>
      <c r="BF19" s="70"/>
      <c r="BG19" s="69"/>
      <c r="BH19" s="70"/>
      <c r="BI19" s="69"/>
      <c r="BJ19" s="70"/>
      <c r="BK19" s="69"/>
      <c r="BL19" s="70"/>
      <c r="BM19" s="69"/>
      <c r="BN19" s="71"/>
      <c r="BO19" s="182" t="str">
        <f t="shared" si="2"/>
        <v/>
      </c>
      <c r="BP19" s="70"/>
      <c r="BQ19" s="73"/>
    </row>
    <row r="20" spans="1:76" x14ac:dyDescent="0.35">
      <c r="A20" s="83" t="s">
        <v>0</v>
      </c>
      <c r="B20" s="54"/>
      <c r="C20" s="84"/>
      <c r="D20" s="85"/>
      <c r="E20" s="86"/>
      <c r="F20" s="87"/>
      <c r="G20" s="86"/>
      <c r="H20" s="87"/>
      <c r="I20" s="86"/>
      <c r="J20" s="87"/>
      <c r="K20" s="86"/>
      <c r="L20" s="87"/>
      <c r="M20" s="86"/>
      <c r="N20" s="87"/>
      <c r="O20" s="86"/>
      <c r="P20" s="87"/>
      <c r="Q20" s="86"/>
      <c r="R20" s="87"/>
      <c r="S20" s="86"/>
      <c r="T20" s="87"/>
      <c r="U20" s="86"/>
      <c r="V20" s="87"/>
      <c r="W20" s="86"/>
      <c r="X20" s="87"/>
      <c r="Y20" s="86"/>
      <c r="Z20" s="87"/>
      <c r="AA20" s="86"/>
      <c r="AB20" s="87"/>
      <c r="AC20" s="86"/>
      <c r="AD20" s="87"/>
      <c r="AE20" s="86"/>
      <c r="AF20" s="87"/>
      <c r="AG20" s="86"/>
      <c r="AH20" s="87"/>
      <c r="AI20" s="86"/>
      <c r="AJ20" s="87"/>
      <c r="AK20" s="86"/>
      <c r="AL20" s="87"/>
      <c r="AM20" s="86"/>
      <c r="AN20" s="87"/>
      <c r="AO20" s="86"/>
      <c r="AP20" s="87"/>
      <c r="AQ20" s="86"/>
      <c r="AR20" s="87"/>
      <c r="AS20" s="86"/>
      <c r="AT20" s="87"/>
      <c r="AU20" s="86"/>
      <c r="AV20" s="87"/>
      <c r="AW20" s="86"/>
      <c r="AX20" s="87"/>
      <c r="AY20" s="86"/>
      <c r="AZ20" s="87"/>
      <c r="BA20" s="86"/>
      <c r="BB20" s="87"/>
      <c r="BC20" s="86"/>
      <c r="BD20" s="87"/>
      <c r="BE20" s="86"/>
      <c r="BF20" s="87"/>
      <c r="BG20" s="86"/>
      <c r="BH20" s="87"/>
      <c r="BI20" s="86"/>
      <c r="BJ20" s="87"/>
      <c r="BK20" s="86"/>
      <c r="BL20" s="87"/>
      <c r="BM20" s="86"/>
      <c r="BN20" s="50"/>
      <c r="BO20" s="170" t="str">
        <f t="shared" si="2"/>
        <v/>
      </c>
      <c r="BP20" s="87"/>
      <c r="BQ20" s="88"/>
    </row>
    <row r="21" spans="1:76" x14ac:dyDescent="0.35">
      <c r="A21" s="83" t="s">
        <v>1</v>
      </c>
      <c r="B21" s="54"/>
      <c r="C21" s="174" t="str">
        <f>IF('May 2027 Log'!BM21="","",'May 2027 Log'!BM21)</f>
        <v/>
      </c>
      <c r="D21" s="85"/>
      <c r="E21" s="86"/>
      <c r="F21" s="87"/>
      <c r="G21" s="86"/>
      <c r="H21" s="87"/>
      <c r="I21" s="86"/>
      <c r="J21" s="87"/>
      <c r="K21" s="86"/>
      <c r="L21" s="87"/>
      <c r="M21" s="86"/>
      <c r="N21" s="87"/>
      <c r="O21" s="86"/>
      <c r="P21" s="87"/>
      <c r="Q21" s="86"/>
      <c r="R21" s="87"/>
      <c r="S21" s="86"/>
      <c r="T21" s="87"/>
      <c r="U21" s="86"/>
      <c r="V21" s="87"/>
      <c r="W21" s="86"/>
      <c r="X21" s="87"/>
      <c r="Y21" s="86"/>
      <c r="Z21" s="87"/>
      <c r="AA21" s="86"/>
      <c r="AB21" s="87"/>
      <c r="AC21" s="86"/>
      <c r="AD21" s="87"/>
      <c r="AE21" s="86"/>
      <c r="AF21" s="87"/>
      <c r="AG21" s="86"/>
      <c r="AH21" s="87"/>
      <c r="AI21" s="86"/>
      <c r="AJ21" s="87"/>
      <c r="AK21" s="86"/>
      <c r="AL21" s="87"/>
      <c r="AM21" s="86"/>
      <c r="AN21" s="87"/>
      <c r="AO21" s="86"/>
      <c r="AP21" s="87"/>
      <c r="AQ21" s="86"/>
      <c r="AR21" s="87"/>
      <c r="AS21" s="86"/>
      <c r="AT21" s="87"/>
      <c r="AU21" s="86"/>
      <c r="AV21" s="87"/>
      <c r="AW21" s="86"/>
      <c r="AX21" s="87"/>
      <c r="AY21" s="86"/>
      <c r="AZ21" s="87"/>
      <c r="BA21" s="86"/>
      <c r="BB21" s="87"/>
      <c r="BC21" s="86"/>
      <c r="BD21" s="87"/>
      <c r="BE21" s="86"/>
      <c r="BF21" s="87"/>
      <c r="BG21" s="86"/>
      <c r="BH21" s="87"/>
      <c r="BI21" s="86"/>
      <c r="BJ21" s="87"/>
      <c r="BK21" s="86"/>
      <c r="BL21" s="87"/>
      <c r="BM21" s="86"/>
      <c r="BN21" s="50"/>
      <c r="BO21" s="170" t="str">
        <f t="shared" si="2"/>
        <v/>
      </c>
      <c r="BP21" s="87"/>
      <c r="BQ21" s="178" t="str">
        <f>IF(BK21="","",BK21)</f>
        <v/>
      </c>
    </row>
    <row r="22" spans="1:76" s="1" customFormat="1" ht="15" thickBot="1" x14ac:dyDescent="0.4">
      <c r="A22" s="89" t="s">
        <v>41</v>
      </c>
      <c r="B22" s="90"/>
      <c r="C22" s="175">
        <f>IF('May 2027 Log'!BM22="","",'May 2027 Log'!BM22)</f>
        <v>0</v>
      </c>
      <c r="D22" s="47"/>
      <c r="E22" s="177">
        <f t="shared" ref="E22" si="3">SUM(E20:E21)</f>
        <v>0</v>
      </c>
      <c r="F22" s="49"/>
      <c r="G22" s="177">
        <f t="shared" ref="G22" si="4">SUM(G20:G21)</f>
        <v>0</v>
      </c>
      <c r="H22" s="49"/>
      <c r="I22" s="177">
        <f t="shared" ref="I22" si="5">SUM(I20:I21)</f>
        <v>0</v>
      </c>
      <c r="J22" s="49"/>
      <c r="K22" s="177">
        <f t="shared" ref="K22" si="6">SUM(K20:K21)</f>
        <v>0</v>
      </c>
      <c r="L22" s="49"/>
      <c r="M22" s="177">
        <f t="shared" ref="M22" si="7">SUM(M20:M21)</f>
        <v>0</v>
      </c>
      <c r="N22" s="49"/>
      <c r="O22" s="177">
        <f t="shared" ref="O22" si="8">SUM(O20:O21)</f>
        <v>0</v>
      </c>
      <c r="P22" s="49"/>
      <c r="Q22" s="177">
        <f t="shared" ref="Q22" si="9">SUM(Q20:Q21)</f>
        <v>0</v>
      </c>
      <c r="R22" s="49"/>
      <c r="S22" s="177">
        <f t="shared" ref="S22" si="10">SUM(S20:S21)</f>
        <v>0</v>
      </c>
      <c r="T22" s="49"/>
      <c r="U22" s="177">
        <f t="shared" ref="U22" si="11">SUM(U20:U21)</f>
        <v>0</v>
      </c>
      <c r="V22" s="49"/>
      <c r="W22" s="177">
        <f t="shared" ref="W22" si="12">SUM(W20:W21)</f>
        <v>0</v>
      </c>
      <c r="X22" s="49"/>
      <c r="Y22" s="177">
        <f t="shared" ref="Y22" si="13">SUM(Y20:Y21)</f>
        <v>0</v>
      </c>
      <c r="Z22" s="49"/>
      <c r="AA22" s="177">
        <f t="shared" ref="AA22" si="14">SUM(AA20:AA21)</f>
        <v>0</v>
      </c>
      <c r="AB22" s="49"/>
      <c r="AC22" s="177">
        <f t="shared" ref="AC22" si="15">SUM(AC20:AC21)</f>
        <v>0</v>
      </c>
      <c r="AD22" s="49"/>
      <c r="AE22" s="177">
        <f t="shared" ref="AE22" si="16">SUM(AE20:AE21)</f>
        <v>0</v>
      </c>
      <c r="AF22" s="49"/>
      <c r="AG22" s="177">
        <f t="shared" ref="AG22" si="17">SUM(AG20:AG21)</f>
        <v>0</v>
      </c>
      <c r="AH22" s="49"/>
      <c r="AI22" s="177">
        <f t="shared" ref="AI22" si="18">SUM(AI20:AI21)</f>
        <v>0</v>
      </c>
      <c r="AJ22" s="49"/>
      <c r="AK22" s="177">
        <f t="shared" ref="AK22" si="19">SUM(AK20:AK21)</f>
        <v>0</v>
      </c>
      <c r="AL22" s="49"/>
      <c r="AM22" s="177">
        <f t="shared" ref="AM22" si="20">SUM(AM20:AM21)</f>
        <v>0</v>
      </c>
      <c r="AN22" s="49"/>
      <c r="AO22" s="177">
        <f t="shared" ref="AO22" si="21">SUM(AO20:AO21)</f>
        <v>0</v>
      </c>
      <c r="AP22" s="49"/>
      <c r="AQ22" s="177">
        <f t="shared" ref="AQ22" si="22">SUM(AQ20:AQ21)</f>
        <v>0</v>
      </c>
      <c r="AR22" s="49"/>
      <c r="AS22" s="177">
        <f t="shared" ref="AS22" si="23">SUM(AS20:AS21)</f>
        <v>0</v>
      </c>
      <c r="AT22" s="49"/>
      <c r="AU22" s="177">
        <f t="shared" ref="AU22" si="24">SUM(AU20:AU21)</f>
        <v>0</v>
      </c>
      <c r="AV22" s="49"/>
      <c r="AW22" s="177">
        <f t="shared" ref="AW22" si="25">SUM(AW20:AW21)</f>
        <v>0</v>
      </c>
      <c r="AX22" s="49"/>
      <c r="AY22" s="177">
        <f t="shared" ref="AY22" si="26">SUM(AY20:AY21)</f>
        <v>0</v>
      </c>
      <c r="AZ22" s="49"/>
      <c r="BA22" s="177">
        <f t="shared" ref="BA22" si="27">SUM(BA20:BA21)</f>
        <v>0</v>
      </c>
      <c r="BB22" s="49"/>
      <c r="BC22" s="177">
        <f t="shared" ref="BC22" si="28">SUM(BC20:BC21)</f>
        <v>0</v>
      </c>
      <c r="BD22" s="49"/>
      <c r="BE22" s="177">
        <f t="shared" ref="BE22" si="29">SUM(BE20:BE21)</f>
        <v>0</v>
      </c>
      <c r="BF22" s="49"/>
      <c r="BG22" s="177">
        <f t="shared" ref="BG22" si="30">SUM(BG20:BG21)</f>
        <v>0</v>
      </c>
      <c r="BH22" s="49"/>
      <c r="BI22" s="177">
        <f t="shared" ref="BI22" si="31">SUM(BI20:BI21)</f>
        <v>0</v>
      </c>
      <c r="BJ22" s="49"/>
      <c r="BK22" s="177">
        <f t="shared" ref="BK22" si="32">SUM(BK20:BK21)</f>
        <v>0</v>
      </c>
      <c r="BL22" s="49"/>
      <c r="BM22" s="91"/>
      <c r="BN22" s="92"/>
      <c r="BO22" s="170">
        <f t="shared" si="2"/>
        <v>0</v>
      </c>
      <c r="BP22" s="49"/>
      <c r="BQ22" s="179">
        <f>IF(BK22="","",BK22)</f>
        <v>0</v>
      </c>
      <c r="BR22"/>
      <c r="BS22"/>
      <c r="BT22"/>
      <c r="BU22"/>
      <c r="BV22"/>
      <c r="BW22"/>
      <c r="BX22"/>
    </row>
    <row r="23" spans="1:76" ht="15" hidden="1" thickBot="1" x14ac:dyDescent="0.4">
      <c r="A23" s="83" t="s">
        <v>2</v>
      </c>
      <c r="B23" s="54"/>
      <c r="C23" s="84"/>
      <c r="D23" s="85"/>
      <c r="E23" s="86"/>
      <c r="F23" s="87"/>
      <c r="G23" s="86"/>
      <c r="H23" s="87"/>
      <c r="I23" s="86"/>
      <c r="J23" s="87"/>
      <c r="K23" s="86"/>
      <c r="L23" s="87"/>
      <c r="M23" s="86"/>
      <c r="N23" s="87"/>
      <c r="O23" s="86"/>
      <c r="P23" s="87"/>
      <c r="Q23" s="86"/>
      <c r="R23" s="87"/>
      <c r="S23" s="86"/>
      <c r="T23" s="87"/>
      <c r="U23" s="86"/>
      <c r="V23" s="87"/>
      <c r="W23" s="86"/>
      <c r="X23" s="87"/>
      <c r="Y23" s="86"/>
      <c r="Z23" s="87"/>
      <c r="AA23" s="86"/>
      <c r="AB23" s="87"/>
      <c r="AC23" s="86"/>
      <c r="AD23" s="87"/>
      <c r="AE23" s="86"/>
      <c r="AF23" s="87"/>
      <c r="AG23" s="86"/>
      <c r="AH23" s="87"/>
      <c r="AI23" s="86"/>
      <c r="AJ23" s="87"/>
      <c r="AK23" s="86"/>
      <c r="AL23" s="87"/>
      <c r="AM23" s="86"/>
      <c r="AN23" s="87"/>
      <c r="AO23" s="86"/>
      <c r="AP23" s="87"/>
      <c r="AQ23" s="86"/>
      <c r="AR23" s="87"/>
      <c r="AS23" s="86"/>
      <c r="AT23" s="87"/>
      <c r="AU23" s="86"/>
      <c r="AV23" s="87"/>
      <c r="AW23" s="86"/>
      <c r="AX23" s="87"/>
      <c r="AY23" s="86"/>
      <c r="AZ23" s="87"/>
      <c r="BA23" s="86"/>
      <c r="BB23" s="87"/>
      <c r="BC23" s="86"/>
      <c r="BD23" s="87"/>
      <c r="BE23" s="86"/>
      <c r="BF23" s="87"/>
      <c r="BG23" s="86"/>
      <c r="BH23" s="87"/>
      <c r="BI23" s="86"/>
      <c r="BJ23" s="87"/>
      <c r="BK23" s="86"/>
      <c r="BL23" s="87"/>
      <c r="BM23" s="86"/>
      <c r="BN23" s="50"/>
      <c r="BO23" s="170" t="str">
        <f t="shared" si="2"/>
        <v/>
      </c>
      <c r="BP23" s="87"/>
      <c r="BQ23" s="88"/>
    </row>
    <row r="24" spans="1:76" ht="15" hidden="1" thickBot="1" x14ac:dyDescent="0.4">
      <c r="A24" s="83" t="s">
        <v>3</v>
      </c>
      <c r="B24" s="54"/>
      <c r="C24" s="84"/>
      <c r="D24" s="85"/>
      <c r="E24" s="86"/>
      <c r="F24" s="87"/>
      <c r="G24" s="86"/>
      <c r="H24" s="87"/>
      <c r="I24" s="86"/>
      <c r="J24" s="87"/>
      <c r="K24" s="86"/>
      <c r="L24" s="87"/>
      <c r="M24" s="86"/>
      <c r="N24" s="87"/>
      <c r="O24" s="86"/>
      <c r="P24" s="87"/>
      <c r="Q24" s="86"/>
      <c r="R24" s="87"/>
      <c r="S24" s="86"/>
      <c r="T24" s="87"/>
      <c r="U24" s="86"/>
      <c r="V24" s="87"/>
      <c r="W24" s="86"/>
      <c r="X24" s="87"/>
      <c r="Y24" s="86"/>
      <c r="Z24" s="87"/>
      <c r="AA24" s="86"/>
      <c r="AB24" s="87"/>
      <c r="AC24" s="86"/>
      <c r="AD24" s="87"/>
      <c r="AE24" s="86"/>
      <c r="AF24" s="87"/>
      <c r="AG24" s="86"/>
      <c r="AH24" s="87"/>
      <c r="AI24" s="86"/>
      <c r="AJ24" s="87"/>
      <c r="AK24" s="86"/>
      <c r="AL24" s="87"/>
      <c r="AM24" s="86"/>
      <c r="AN24" s="87"/>
      <c r="AO24" s="86"/>
      <c r="AP24" s="87"/>
      <c r="AQ24" s="86"/>
      <c r="AR24" s="87"/>
      <c r="AS24" s="86"/>
      <c r="AT24" s="87"/>
      <c r="AU24" s="86"/>
      <c r="AV24" s="87"/>
      <c r="AW24" s="86"/>
      <c r="AX24" s="87"/>
      <c r="AY24" s="86"/>
      <c r="AZ24" s="87"/>
      <c r="BA24" s="86"/>
      <c r="BB24" s="87"/>
      <c r="BC24" s="86"/>
      <c r="BD24" s="87"/>
      <c r="BE24" s="86"/>
      <c r="BF24" s="87"/>
      <c r="BG24" s="86"/>
      <c r="BH24" s="87"/>
      <c r="BI24" s="86"/>
      <c r="BJ24" s="87"/>
      <c r="BK24" s="86"/>
      <c r="BL24" s="87"/>
      <c r="BM24" s="86"/>
      <c r="BN24" s="50"/>
      <c r="BO24" s="170" t="str">
        <f t="shared" si="2"/>
        <v/>
      </c>
      <c r="BP24" s="87"/>
      <c r="BQ24" s="88"/>
    </row>
    <row r="25" spans="1:76" s="7" customFormat="1" x14ac:dyDescent="0.35">
      <c r="A25" s="83" t="s">
        <v>37</v>
      </c>
      <c r="B25" s="54"/>
      <c r="C25" s="174" t="str">
        <f>IF('May 2027 Log'!BM25="","",'May 2027 Log'!BM25)</f>
        <v/>
      </c>
      <c r="D25" s="85"/>
      <c r="E25" s="86"/>
      <c r="F25" s="87"/>
      <c r="G25" s="86"/>
      <c r="H25" s="87"/>
      <c r="I25" s="86"/>
      <c r="J25" s="87"/>
      <c r="K25" s="86"/>
      <c r="L25" s="87"/>
      <c r="M25" s="86"/>
      <c r="N25" s="87"/>
      <c r="O25" s="86"/>
      <c r="P25" s="87"/>
      <c r="Q25" s="86"/>
      <c r="R25" s="87"/>
      <c r="S25" s="86"/>
      <c r="T25" s="87"/>
      <c r="U25" s="86"/>
      <c r="V25" s="87"/>
      <c r="W25" s="86"/>
      <c r="X25" s="87"/>
      <c r="Y25" s="86"/>
      <c r="Z25" s="87"/>
      <c r="AA25" s="86"/>
      <c r="AB25" s="87"/>
      <c r="AC25" s="86"/>
      <c r="AD25" s="87"/>
      <c r="AE25" s="86"/>
      <c r="AF25" s="87"/>
      <c r="AG25" s="86"/>
      <c r="AH25" s="87"/>
      <c r="AI25" s="86"/>
      <c r="AJ25" s="87"/>
      <c r="AK25" s="86"/>
      <c r="AL25" s="87"/>
      <c r="AM25" s="86"/>
      <c r="AN25" s="87"/>
      <c r="AO25" s="86"/>
      <c r="AP25" s="87"/>
      <c r="AQ25" s="86"/>
      <c r="AR25" s="87"/>
      <c r="AS25" s="86"/>
      <c r="AT25" s="87"/>
      <c r="AU25" s="86"/>
      <c r="AV25" s="87"/>
      <c r="AW25" s="86"/>
      <c r="AX25" s="87"/>
      <c r="AY25" s="86"/>
      <c r="AZ25" s="87"/>
      <c r="BA25" s="86"/>
      <c r="BB25" s="87"/>
      <c r="BC25" s="86"/>
      <c r="BD25" s="87"/>
      <c r="BE25" s="86"/>
      <c r="BF25" s="87"/>
      <c r="BG25" s="86"/>
      <c r="BH25" s="87"/>
      <c r="BI25" s="86"/>
      <c r="BJ25" s="87"/>
      <c r="BK25" s="86"/>
      <c r="BL25" s="87"/>
      <c r="BM25" s="86"/>
      <c r="BN25" s="50"/>
      <c r="BO25" s="170" t="str">
        <f t="shared" si="2"/>
        <v/>
      </c>
      <c r="BP25" s="87"/>
      <c r="BQ25" s="178" t="str">
        <f>IF(BK25="","",BK25)</f>
        <v/>
      </c>
      <c r="BR25"/>
      <c r="BS25"/>
      <c r="BT25"/>
      <c r="BU25"/>
      <c r="BV25"/>
      <c r="BW25"/>
      <c r="BX25"/>
    </row>
    <row r="26" spans="1:76" ht="15" thickBot="1" x14ac:dyDescent="0.4">
      <c r="A26" s="94" t="s">
        <v>4</v>
      </c>
      <c r="B26" s="95"/>
      <c r="C26" s="174" t="str">
        <f>IF('May 2027 Log'!BM26="","",'May 2027 Log'!BM26)</f>
        <v/>
      </c>
      <c r="D26" s="96"/>
      <c r="E26" s="86"/>
      <c r="F26" s="97"/>
      <c r="G26" s="86"/>
      <c r="H26" s="97"/>
      <c r="I26" s="86"/>
      <c r="J26" s="97"/>
      <c r="K26" s="86"/>
      <c r="L26" s="97"/>
      <c r="M26" s="86"/>
      <c r="N26" s="97"/>
      <c r="O26" s="86"/>
      <c r="P26" s="97"/>
      <c r="Q26" s="86"/>
      <c r="R26" s="97"/>
      <c r="S26" s="86"/>
      <c r="T26" s="97"/>
      <c r="U26" s="86"/>
      <c r="V26" s="97"/>
      <c r="W26" s="86"/>
      <c r="X26" s="97"/>
      <c r="Y26" s="86"/>
      <c r="Z26" s="97"/>
      <c r="AA26" s="86"/>
      <c r="AB26" s="97"/>
      <c r="AC26" s="86"/>
      <c r="AD26" s="97"/>
      <c r="AE26" s="86"/>
      <c r="AF26" s="97"/>
      <c r="AG26" s="86"/>
      <c r="AH26" s="97"/>
      <c r="AI26" s="86"/>
      <c r="AJ26" s="97"/>
      <c r="AK26" s="86"/>
      <c r="AL26" s="97"/>
      <c r="AM26" s="86"/>
      <c r="AN26" s="97"/>
      <c r="AO26" s="86"/>
      <c r="AP26" s="97"/>
      <c r="AQ26" s="86"/>
      <c r="AR26" s="97"/>
      <c r="AS26" s="86"/>
      <c r="AT26" s="97"/>
      <c r="AU26" s="86"/>
      <c r="AV26" s="97"/>
      <c r="AW26" s="86"/>
      <c r="AX26" s="97"/>
      <c r="AY26" s="86"/>
      <c r="AZ26" s="97"/>
      <c r="BA26" s="86"/>
      <c r="BB26" s="97"/>
      <c r="BC26" s="86"/>
      <c r="BD26" s="97"/>
      <c r="BE26" s="86"/>
      <c r="BF26" s="97"/>
      <c r="BG26" s="86"/>
      <c r="BH26" s="97"/>
      <c r="BI26" s="86"/>
      <c r="BJ26" s="97"/>
      <c r="BK26" s="86"/>
      <c r="BL26" s="97"/>
      <c r="BM26" s="86"/>
      <c r="BN26" s="50"/>
      <c r="BO26" s="170" t="str">
        <f t="shared" si="2"/>
        <v/>
      </c>
      <c r="BP26" s="97"/>
      <c r="BQ26" s="178" t="str">
        <f>IF(BK26="","",BK26)</f>
        <v/>
      </c>
    </row>
    <row r="27" spans="1:76" s="7" customFormat="1" x14ac:dyDescent="0.35">
      <c r="A27" s="53" t="s">
        <v>21</v>
      </c>
      <c r="B27" s="54"/>
      <c r="C27" s="174" t="str">
        <f>IF('May 2027 Log'!BM27="","",'May 2027 Log'!BM27)</f>
        <v/>
      </c>
      <c r="D27" s="85"/>
      <c r="E27" s="86"/>
      <c r="F27" s="87"/>
      <c r="G27" s="86"/>
      <c r="H27" s="87"/>
      <c r="I27" s="86"/>
      <c r="J27" s="87"/>
      <c r="K27" s="86"/>
      <c r="L27" s="87"/>
      <c r="M27" s="86"/>
      <c r="N27" s="87"/>
      <c r="O27" s="86"/>
      <c r="P27" s="87"/>
      <c r="Q27" s="86"/>
      <c r="R27" s="87"/>
      <c r="S27" s="86"/>
      <c r="T27" s="87"/>
      <c r="U27" s="86"/>
      <c r="V27" s="87"/>
      <c r="W27" s="86"/>
      <c r="X27" s="87"/>
      <c r="Y27" s="86"/>
      <c r="Z27" s="87"/>
      <c r="AA27" s="86"/>
      <c r="AB27" s="87"/>
      <c r="AC27" s="86"/>
      <c r="AD27" s="87"/>
      <c r="AE27" s="86"/>
      <c r="AF27" s="87"/>
      <c r="AG27" s="86"/>
      <c r="AH27" s="87"/>
      <c r="AI27" s="86"/>
      <c r="AJ27" s="87"/>
      <c r="AK27" s="86"/>
      <c r="AL27" s="87"/>
      <c r="AM27" s="86"/>
      <c r="AN27" s="87"/>
      <c r="AO27" s="86"/>
      <c r="AP27" s="87"/>
      <c r="AQ27" s="86"/>
      <c r="AR27" s="87"/>
      <c r="AS27" s="86"/>
      <c r="AT27" s="87"/>
      <c r="AU27" s="86"/>
      <c r="AV27" s="87"/>
      <c r="AW27" s="86"/>
      <c r="AX27" s="87"/>
      <c r="AY27" s="86"/>
      <c r="AZ27" s="87"/>
      <c r="BA27" s="86"/>
      <c r="BB27" s="87"/>
      <c r="BC27" s="86"/>
      <c r="BD27" s="87"/>
      <c r="BE27" s="86"/>
      <c r="BF27" s="87"/>
      <c r="BG27" s="86"/>
      <c r="BH27" s="87"/>
      <c r="BI27" s="86"/>
      <c r="BJ27" s="87"/>
      <c r="BK27" s="86"/>
      <c r="BL27" s="87"/>
      <c r="BM27" s="86"/>
      <c r="BN27" s="50"/>
      <c r="BO27" s="170" t="str">
        <f t="shared" si="2"/>
        <v/>
      </c>
      <c r="BP27" s="87"/>
      <c r="BQ27" s="178" t="str">
        <f>IF(BK27="","",BK27)</f>
        <v/>
      </c>
      <c r="BR27"/>
      <c r="BS27"/>
      <c r="BT27"/>
      <c r="BU27"/>
      <c r="BV27"/>
      <c r="BW27"/>
      <c r="BX27"/>
    </row>
    <row r="28" spans="1:76" x14ac:dyDescent="0.35">
      <c r="A28" s="53" t="s">
        <v>22</v>
      </c>
      <c r="B28" s="54"/>
      <c r="C28" s="174" t="str">
        <f>IF('May 2027 Log'!BM28="","",'May 2027 Log'!BM28)</f>
        <v/>
      </c>
      <c r="D28" s="85"/>
      <c r="E28" s="86"/>
      <c r="F28" s="87"/>
      <c r="G28" s="86"/>
      <c r="H28" s="87"/>
      <c r="I28" s="86"/>
      <c r="J28" s="87"/>
      <c r="K28" s="86"/>
      <c r="L28" s="87"/>
      <c r="M28" s="86"/>
      <c r="N28" s="87"/>
      <c r="O28" s="86"/>
      <c r="P28" s="87"/>
      <c r="Q28" s="86"/>
      <c r="R28" s="87"/>
      <c r="S28" s="86"/>
      <c r="T28" s="87"/>
      <c r="U28" s="86"/>
      <c r="V28" s="87"/>
      <c r="W28" s="86"/>
      <c r="X28" s="87"/>
      <c r="Y28" s="86"/>
      <c r="Z28" s="87"/>
      <c r="AA28" s="86"/>
      <c r="AB28" s="87"/>
      <c r="AC28" s="86"/>
      <c r="AD28" s="87"/>
      <c r="AE28" s="86"/>
      <c r="AF28" s="87"/>
      <c r="AG28" s="86"/>
      <c r="AH28" s="87"/>
      <c r="AI28" s="86"/>
      <c r="AJ28" s="87"/>
      <c r="AK28" s="86"/>
      <c r="AL28" s="87"/>
      <c r="AM28" s="86"/>
      <c r="AN28" s="87"/>
      <c r="AO28" s="86"/>
      <c r="AP28" s="87"/>
      <c r="AQ28" s="86"/>
      <c r="AR28" s="87"/>
      <c r="AS28" s="86"/>
      <c r="AT28" s="87"/>
      <c r="AU28" s="86"/>
      <c r="AV28" s="87"/>
      <c r="AW28" s="86"/>
      <c r="AX28" s="87"/>
      <c r="AY28" s="86"/>
      <c r="AZ28" s="87"/>
      <c r="BA28" s="86"/>
      <c r="BB28" s="87"/>
      <c r="BC28" s="86"/>
      <c r="BD28" s="87"/>
      <c r="BE28" s="86"/>
      <c r="BF28" s="87"/>
      <c r="BG28" s="86"/>
      <c r="BH28" s="87"/>
      <c r="BI28" s="86"/>
      <c r="BJ28" s="87"/>
      <c r="BK28" s="86"/>
      <c r="BL28" s="87"/>
      <c r="BM28" s="86"/>
      <c r="BN28" s="50"/>
      <c r="BO28" s="170" t="str">
        <f t="shared" si="2"/>
        <v/>
      </c>
      <c r="BP28" s="87"/>
      <c r="BQ28" s="178" t="str">
        <f>IF(BK28="","",BK28)</f>
        <v/>
      </c>
    </row>
    <row r="29" spans="1:76" s="4" customFormat="1" ht="15" thickBot="1" x14ac:dyDescent="0.4">
      <c r="A29" s="53" t="s">
        <v>23</v>
      </c>
      <c r="B29" s="54"/>
      <c r="C29" s="84"/>
      <c r="D29" s="85"/>
      <c r="E29" s="86"/>
      <c r="F29" s="87"/>
      <c r="G29" s="86"/>
      <c r="H29" s="87"/>
      <c r="I29" s="86"/>
      <c r="J29" s="87"/>
      <c r="K29" s="86"/>
      <c r="L29" s="87"/>
      <c r="M29" s="86"/>
      <c r="N29" s="87"/>
      <c r="O29" s="86"/>
      <c r="P29" s="87"/>
      <c r="Q29" s="86"/>
      <c r="R29" s="87"/>
      <c r="S29" s="86"/>
      <c r="T29" s="87"/>
      <c r="U29" s="86"/>
      <c r="V29" s="87"/>
      <c r="W29" s="86"/>
      <c r="X29" s="87"/>
      <c r="Y29" s="86"/>
      <c r="Z29" s="87"/>
      <c r="AA29" s="86"/>
      <c r="AB29" s="87"/>
      <c r="AC29" s="86"/>
      <c r="AD29" s="87"/>
      <c r="AE29" s="86"/>
      <c r="AF29" s="87"/>
      <c r="AG29" s="86"/>
      <c r="AH29" s="87"/>
      <c r="AI29" s="86"/>
      <c r="AJ29" s="87"/>
      <c r="AK29" s="86"/>
      <c r="AL29" s="87"/>
      <c r="AM29" s="86"/>
      <c r="AN29" s="87"/>
      <c r="AO29" s="86"/>
      <c r="AP29" s="87"/>
      <c r="AQ29" s="86"/>
      <c r="AR29" s="87"/>
      <c r="AS29" s="86"/>
      <c r="AT29" s="87"/>
      <c r="AU29" s="86"/>
      <c r="AV29" s="87"/>
      <c r="AW29" s="86"/>
      <c r="AX29" s="87"/>
      <c r="AY29" s="86"/>
      <c r="AZ29" s="87"/>
      <c r="BA29" s="86"/>
      <c r="BB29" s="87"/>
      <c r="BC29" s="86"/>
      <c r="BD29" s="87"/>
      <c r="BE29" s="86"/>
      <c r="BF29" s="87"/>
      <c r="BG29" s="86"/>
      <c r="BH29" s="87"/>
      <c r="BI29" s="86"/>
      <c r="BJ29" s="87"/>
      <c r="BK29" s="86"/>
      <c r="BL29" s="87"/>
      <c r="BM29" s="86"/>
      <c r="BN29" s="50"/>
      <c r="BO29" s="170" t="str">
        <f t="shared" si="2"/>
        <v/>
      </c>
      <c r="BP29" s="87"/>
      <c r="BQ29" s="88"/>
      <c r="BR29"/>
      <c r="BS29"/>
      <c r="BT29"/>
      <c r="BU29"/>
      <c r="BV29"/>
      <c r="BW29"/>
      <c r="BX29"/>
    </row>
    <row r="30" spans="1:76" s="5" customFormat="1" ht="15" thickBot="1" x14ac:dyDescent="0.4">
      <c r="A30" s="98"/>
      <c r="B30" s="90"/>
      <c r="C30" s="84"/>
      <c r="D30" s="47"/>
      <c r="E30" s="180" t="e">
        <f>E28-(C28-E25+E29)</f>
        <v>#VALUE!</v>
      </c>
      <c r="F30" s="49"/>
      <c r="G30" s="166">
        <f>G28-(E28-G25+G29)</f>
        <v>0</v>
      </c>
      <c r="H30" s="49"/>
      <c r="I30" s="166">
        <f>I28-(G28-I25+I29)</f>
        <v>0</v>
      </c>
      <c r="J30" s="49"/>
      <c r="K30" s="180">
        <f>K28-(I28-K25+K29)</f>
        <v>0</v>
      </c>
      <c r="L30" s="49"/>
      <c r="M30" s="166">
        <f>M28-(K28-M25+M29)</f>
        <v>0</v>
      </c>
      <c r="N30" s="49"/>
      <c r="O30" s="166">
        <f>O28-(M28-O25+O29)</f>
        <v>0</v>
      </c>
      <c r="P30" s="49"/>
      <c r="Q30" s="166">
        <f>Q28-(O28-Q25+Q29)</f>
        <v>0</v>
      </c>
      <c r="R30" s="49"/>
      <c r="S30" s="166">
        <f>S28-(Q28-S25+S29)</f>
        <v>0</v>
      </c>
      <c r="T30" s="49"/>
      <c r="U30" s="166">
        <f>U28-(S28-U25+U29)</f>
        <v>0</v>
      </c>
      <c r="V30" s="49"/>
      <c r="W30" s="166">
        <f>W28-(U28-W25+W29)</f>
        <v>0</v>
      </c>
      <c r="X30" s="49"/>
      <c r="Y30" s="166">
        <f>Y28-(W28-Y25+Y29)</f>
        <v>0</v>
      </c>
      <c r="Z30" s="49"/>
      <c r="AA30" s="166">
        <f>AA28-(Y28-AA25+AA29)</f>
        <v>0</v>
      </c>
      <c r="AB30" s="49"/>
      <c r="AC30" s="166">
        <f>AC28-(AA28-AC25+AC29)</f>
        <v>0</v>
      </c>
      <c r="AD30" s="49"/>
      <c r="AE30" s="166">
        <f>AE28-(AC28-AE25+AE29)</f>
        <v>0</v>
      </c>
      <c r="AF30" s="49"/>
      <c r="AG30" s="166">
        <f>AG28-(AE28-AG25+AG29)</f>
        <v>0</v>
      </c>
      <c r="AH30" s="49"/>
      <c r="AI30" s="166">
        <f>AI28-(AG28-AI25+AI29)</f>
        <v>0</v>
      </c>
      <c r="AJ30" s="49"/>
      <c r="AK30" s="166">
        <f>AK28-(AI28-AK25+AK29)</f>
        <v>0</v>
      </c>
      <c r="AL30" s="49"/>
      <c r="AM30" s="166">
        <f>AM28-(AK28-AM25+AM29)</f>
        <v>0</v>
      </c>
      <c r="AN30" s="49"/>
      <c r="AO30" s="166">
        <f>AO28-(AM28-AO25+AO29)</f>
        <v>0</v>
      </c>
      <c r="AP30" s="49"/>
      <c r="AQ30" s="166">
        <f>AQ28-(AO28-AQ25+AQ29)</f>
        <v>0</v>
      </c>
      <c r="AR30" s="49"/>
      <c r="AS30" s="166">
        <f>AS28-(AQ28-AS25+AS29)</f>
        <v>0</v>
      </c>
      <c r="AT30" s="49"/>
      <c r="AU30" s="166">
        <f>AU28-(AS28-AU25+AU29)</f>
        <v>0</v>
      </c>
      <c r="AV30" s="49"/>
      <c r="AW30" s="166">
        <f>AW28-(AU28-AW25+AW29)</f>
        <v>0</v>
      </c>
      <c r="AX30" s="49"/>
      <c r="AY30" s="166">
        <f>AY28-(AW28-AY25+AY29)</f>
        <v>0</v>
      </c>
      <c r="AZ30" s="49"/>
      <c r="BA30" s="166">
        <f>BA28-(AY28-BA25+BA29)</f>
        <v>0</v>
      </c>
      <c r="BB30" s="49"/>
      <c r="BC30" s="166">
        <f>BC28-(BA28-BC25+BC29)</f>
        <v>0</v>
      </c>
      <c r="BD30" s="49"/>
      <c r="BE30" s="166">
        <f>BE28-(BC28-BE25+BE29)</f>
        <v>0</v>
      </c>
      <c r="BF30" s="49"/>
      <c r="BG30" s="166">
        <f>BG28-(BE28-BG25+BG29)</f>
        <v>0</v>
      </c>
      <c r="BH30" s="49"/>
      <c r="BI30" s="166">
        <f>BI28-(BG28-BI25+BI29)</f>
        <v>0</v>
      </c>
      <c r="BJ30" s="49"/>
      <c r="BK30" s="166">
        <f>BK28-(BI28-BK25+BK29)</f>
        <v>0</v>
      </c>
      <c r="BL30" s="49"/>
      <c r="BM30" s="48"/>
      <c r="BN30" s="50"/>
      <c r="BO30" s="170" t="e">
        <f t="shared" si="2"/>
        <v>#VALUE!</v>
      </c>
      <c r="BP30" s="49"/>
      <c r="BQ30" s="52"/>
      <c r="BR30"/>
      <c r="BS30"/>
      <c r="BT30"/>
      <c r="BU30"/>
      <c r="BV30"/>
      <c r="BW30"/>
      <c r="BX30"/>
    </row>
    <row r="31" spans="1:76" s="5" customFormat="1" ht="15" thickBot="1" x14ac:dyDescent="0.4">
      <c r="A31" s="98"/>
      <c r="B31" s="90"/>
      <c r="C31" s="84"/>
      <c r="D31" s="47"/>
      <c r="E31" s="166" t="str">
        <f>IF(E25=0,"",E30/E25*100)</f>
        <v/>
      </c>
      <c r="F31" s="49"/>
      <c r="G31" s="166" t="str">
        <f>IF(G25=0,"",G30/G25*100)</f>
        <v/>
      </c>
      <c r="H31" s="49"/>
      <c r="I31" s="166" t="str">
        <f>IF(I25=0,"",I30/I25*100)</f>
        <v/>
      </c>
      <c r="J31" s="49"/>
      <c r="K31" s="166" t="str">
        <f>IF(K25=0,"",K30/K25*100)</f>
        <v/>
      </c>
      <c r="L31" s="49"/>
      <c r="M31" s="166" t="str">
        <f>IF(M25=0,"",M30/M25*100)</f>
        <v/>
      </c>
      <c r="N31" s="49"/>
      <c r="O31" s="166" t="str">
        <f>IF(O25=0,"",O30/O25*100)</f>
        <v/>
      </c>
      <c r="P31" s="49"/>
      <c r="Q31" s="166" t="str">
        <f>IF(Q25=0,"",Q30/Q25*100)</f>
        <v/>
      </c>
      <c r="R31" s="49"/>
      <c r="S31" s="166" t="str">
        <f>IF(S25=0,"",S30/S25*100)</f>
        <v/>
      </c>
      <c r="T31" s="49"/>
      <c r="U31" s="166" t="str">
        <f>IF(U25=0,"",U30/U25*100)</f>
        <v/>
      </c>
      <c r="V31" s="49"/>
      <c r="W31" s="166" t="str">
        <f>IF(W25=0,"",W30/W25*100)</f>
        <v/>
      </c>
      <c r="X31" s="49"/>
      <c r="Y31" s="166" t="str">
        <f>IF(Y25=0,"",Y30/Y25*100)</f>
        <v/>
      </c>
      <c r="Z31" s="49"/>
      <c r="AA31" s="166" t="str">
        <f>IF(AA25=0,"",AA30/AA25*100)</f>
        <v/>
      </c>
      <c r="AB31" s="49"/>
      <c r="AC31" s="166" t="str">
        <f>IF(AC25=0,"",AC30/AC25*100)</f>
        <v/>
      </c>
      <c r="AD31" s="49"/>
      <c r="AE31" s="166" t="str">
        <f>IF(AE25=0,"",AE30/AE25*100)</f>
        <v/>
      </c>
      <c r="AF31" s="49"/>
      <c r="AG31" s="166" t="str">
        <f>IF(AG25=0,"",AG30/AG25*100)</f>
        <v/>
      </c>
      <c r="AH31" s="49"/>
      <c r="AI31" s="166" t="str">
        <f>IF(AI25=0,"",AI30/AI25*100)</f>
        <v/>
      </c>
      <c r="AJ31" s="49"/>
      <c r="AK31" s="166" t="str">
        <f>IF(AK25=0,"",AK30/AK25*100)</f>
        <v/>
      </c>
      <c r="AL31" s="49"/>
      <c r="AM31" s="166" t="str">
        <f>IF(AM25=0,"",AM30/AM25*100)</f>
        <v/>
      </c>
      <c r="AN31" s="49"/>
      <c r="AO31" s="166" t="str">
        <f>IF(AO25=0,"",AO30/AO25*100)</f>
        <v/>
      </c>
      <c r="AP31" s="49"/>
      <c r="AQ31" s="166" t="str">
        <f>IF(AQ25=0,"",AQ30/AQ25*100)</f>
        <v/>
      </c>
      <c r="AR31" s="49"/>
      <c r="AS31" s="166" t="str">
        <f>IF(AS25=0,"",AS30/AS25*100)</f>
        <v/>
      </c>
      <c r="AT31" s="49"/>
      <c r="AU31" s="166" t="str">
        <f>IF(AU25=0,"",AU30/AU25*100)</f>
        <v/>
      </c>
      <c r="AV31" s="49"/>
      <c r="AW31" s="166" t="str">
        <f>IF(AW25=0,"",AW30/AW25*100)</f>
        <v/>
      </c>
      <c r="AX31" s="49"/>
      <c r="AY31" s="166" t="str">
        <f>IF(AY25=0,"",AY30/AY25*100)</f>
        <v/>
      </c>
      <c r="AZ31" s="49"/>
      <c r="BA31" s="166" t="str">
        <f>IF(BA25=0,"",BA30/BA25*100)</f>
        <v/>
      </c>
      <c r="BB31" s="49"/>
      <c r="BC31" s="166" t="str">
        <f>IF(BC25=0,"",BC30/BC25*100)</f>
        <v/>
      </c>
      <c r="BD31" s="49"/>
      <c r="BE31" s="166" t="str">
        <f>IF(BE25=0,"",BE30/BE25*100)</f>
        <v/>
      </c>
      <c r="BF31" s="49"/>
      <c r="BG31" s="166" t="str">
        <f>IF(BG25=0,"",BG30/BG25*100)</f>
        <v/>
      </c>
      <c r="BH31" s="49"/>
      <c r="BI31" s="166" t="str">
        <f>IF(BI25=0,"",BI30/BI25*100)</f>
        <v/>
      </c>
      <c r="BJ31" s="49"/>
      <c r="BK31" s="166" t="str">
        <f>IF(BK25=0,"",BK30/BK25*100)</f>
        <v/>
      </c>
      <c r="BL31" s="49"/>
      <c r="BM31" s="48"/>
      <c r="BN31" s="50"/>
      <c r="BO31" s="170" t="str">
        <f t="shared" si="2"/>
        <v/>
      </c>
      <c r="BP31" s="49"/>
      <c r="BQ31" s="52"/>
      <c r="BR31"/>
      <c r="BS31"/>
      <c r="BT31"/>
      <c r="BU31"/>
      <c r="BV31"/>
      <c r="BW31"/>
      <c r="BX31"/>
    </row>
    <row r="32" spans="1:76" x14ac:dyDescent="0.35">
      <c r="A32" s="83" t="s">
        <v>5</v>
      </c>
      <c r="B32" s="54"/>
      <c r="C32" s="174" t="str">
        <f>IF('May 2027 Log'!BM32="","",'May 2027 Log'!BM32)</f>
        <v/>
      </c>
      <c r="D32" s="85"/>
      <c r="E32" s="86"/>
      <c r="F32" s="87"/>
      <c r="G32" s="86"/>
      <c r="H32" s="87"/>
      <c r="I32" s="86"/>
      <c r="J32" s="87"/>
      <c r="K32" s="86"/>
      <c r="L32" s="87"/>
      <c r="M32" s="86"/>
      <c r="N32" s="87"/>
      <c r="O32" s="86"/>
      <c r="P32" s="87"/>
      <c r="Q32" s="86"/>
      <c r="R32" s="87"/>
      <c r="S32" s="86"/>
      <c r="T32" s="87"/>
      <c r="U32" s="86"/>
      <c r="V32" s="87"/>
      <c r="W32" s="86"/>
      <c r="X32" s="87"/>
      <c r="Y32" s="86"/>
      <c r="Z32" s="87"/>
      <c r="AA32" s="86"/>
      <c r="AB32" s="87"/>
      <c r="AC32" s="86"/>
      <c r="AD32" s="87"/>
      <c r="AE32" s="86"/>
      <c r="AF32" s="87"/>
      <c r="AG32" s="86"/>
      <c r="AH32" s="87"/>
      <c r="AI32" s="86"/>
      <c r="AJ32" s="87"/>
      <c r="AK32" s="86"/>
      <c r="AL32" s="87"/>
      <c r="AM32" s="86"/>
      <c r="AN32" s="87"/>
      <c r="AO32" s="86"/>
      <c r="AP32" s="87"/>
      <c r="AQ32" s="86"/>
      <c r="AR32" s="87"/>
      <c r="AS32" s="86"/>
      <c r="AT32" s="87"/>
      <c r="AU32" s="86"/>
      <c r="AV32" s="87"/>
      <c r="AW32" s="86"/>
      <c r="AX32" s="87"/>
      <c r="AY32" s="86"/>
      <c r="AZ32" s="87"/>
      <c r="BA32" s="86"/>
      <c r="BB32" s="87"/>
      <c r="BC32" s="86"/>
      <c r="BD32" s="87"/>
      <c r="BE32" s="86"/>
      <c r="BF32" s="87"/>
      <c r="BG32" s="86"/>
      <c r="BH32" s="87"/>
      <c r="BI32" s="86"/>
      <c r="BJ32" s="87"/>
      <c r="BK32" s="86"/>
      <c r="BL32" s="87"/>
      <c r="BM32" s="86"/>
      <c r="BN32" s="50"/>
      <c r="BO32" s="170" t="str">
        <f t="shared" si="2"/>
        <v/>
      </c>
      <c r="BP32" s="87"/>
      <c r="BQ32" s="178" t="str">
        <f>IF(BK32="","",BK32)</f>
        <v/>
      </c>
    </row>
    <row r="33" spans="1:76" x14ac:dyDescent="0.35">
      <c r="A33" s="83" t="s">
        <v>6</v>
      </c>
      <c r="B33" s="54"/>
      <c r="C33" s="174" t="str">
        <f>IF('May 2027 Log'!BM33="","",'May 2027 Log'!BM33)</f>
        <v/>
      </c>
      <c r="D33" s="85"/>
      <c r="E33" s="86"/>
      <c r="F33" s="87"/>
      <c r="G33" s="86"/>
      <c r="H33" s="87"/>
      <c r="I33" s="86"/>
      <c r="J33" s="87"/>
      <c r="K33" s="86"/>
      <c r="L33" s="87"/>
      <c r="M33" s="86"/>
      <c r="N33" s="87"/>
      <c r="O33" s="86"/>
      <c r="P33" s="87"/>
      <c r="Q33" s="86"/>
      <c r="R33" s="87"/>
      <c r="S33" s="86"/>
      <c r="T33" s="87"/>
      <c r="U33" s="86"/>
      <c r="V33" s="87"/>
      <c r="W33" s="86"/>
      <c r="X33" s="87"/>
      <c r="Y33" s="86"/>
      <c r="Z33" s="87"/>
      <c r="AA33" s="86"/>
      <c r="AB33" s="87"/>
      <c r="AC33" s="86"/>
      <c r="AD33" s="87"/>
      <c r="AE33" s="86"/>
      <c r="AF33" s="87"/>
      <c r="AG33" s="86"/>
      <c r="AH33" s="87"/>
      <c r="AI33" s="86"/>
      <c r="AJ33" s="87"/>
      <c r="AK33" s="86"/>
      <c r="AL33" s="87"/>
      <c r="AM33" s="86"/>
      <c r="AN33" s="87"/>
      <c r="AO33" s="86"/>
      <c r="AP33" s="87"/>
      <c r="AQ33" s="86"/>
      <c r="AR33" s="87"/>
      <c r="AS33" s="86"/>
      <c r="AT33" s="87"/>
      <c r="AU33" s="86"/>
      <c r="AV33" s="87"/>
      <c r="AW33" s="86"/>
      <c r="AX33" s="87"/>
      <c r="AY33" s="86"/>
      <c r="AZ33" s="87"/>
      <c r="BA33" s="86"/>
      <c r="BB33" s="87"/>
      <c r="BC33" s="86"/>
      <c r="BD33" s="87"/>
      <c r="BE33" s="86"/>
      <c r="BF33" s="87"/>
      <c r="BG33" s="86"/>
      <c r="BH33" s="87"/>
      <c r="BI33" s="86"/>
      <c r="BJ33" s="87"/>
      <c r="BK33" s="86"/>
      <c r="BL33" s="87"/>
      <c r="BM33" s="86"/>
      <c r="BN33" s="50"/>
      <c r="BO33" s="170" t="str">
        <f t="shared" si="2"/>
        <v/>
      </c>
      <c r="BP33" s="87"/>
      <c r="BQ33" s="178" t="str">
        <f>IF(BK33="","",BK33)</f>
        <v/>
      </c>
    </row>
    <row r="34" spans="1:76" x14ac:dyDescent="0.35">
      <c r="A34" s="83" t="s">
        <v>7</v>
      </c>
      <c r="B34" s="54"/>
      <c r="C34" s="174" t="str">
        <f>IF('May 2027 Log'!BM34="","",'May 2027 Log'!BM34)</f>
        <v/>
      </c>
      <c r="D34" s="85"/>
      <c r="E34" s="86"/>
      <c r="F34" s="87"/>
      <c r="G34" s="86"/>
      <c r="H34" s="87"/>
      <c r="I34" s="86"/>
      <c r="J34" s="87"/>
      <c r="K34" s="86"/>
      <c r="L34" s="87"/>
      <c r="M34" s="86"/>
      <c r="N34" s="87"/>
      <c r="O34" s="86"/>
      <c r="P34" s="87"/>
      <c r="Q34" s="86"/>
      <c r="R34" s="87"/>
      <c r="S34" s="86"/>
      <c r="T34" s="87"/>
      <c r="U34" s="86"/>
      <c r="V34" s="87"/>
      <c r="W34" s="86"/>
      <c r="X34" s="87"/>
      <c r="Y34" s="86"/>
      <c r="Z34" s="87"/>
      <c r="AA34" s="86"/>
      <c r="AB34" s="87"/>
      <c r="AC34" s="86"/>
      <c r="AD34" s="87"/>
      <c r="AE34" s="86"/>
      <c r="AF34" s="87"/>
      <c r="AG34" s="86"/>
      <c r="AH34" s="87"/>
      <c r="AI34" s="86"/>
      <c r="AJ34" s="87"/>
      <c r="AK34" s="86"/>
      <c r="AL34" s="87"/>
      <c r="AM34" s="86"/>
      <c r="AN34" s="87"/>
      <c r="AO34" s="86"/>
      <c r="AP34" s="87"/>
      <c r="AQ34" s="86"/>
      <c r="AR34" s="87"/>
      <c r="AS34" s="86"/>
      <c r="AT34" s="99"/>
      <c r="AU34" s="86"/>
      <c r="AV34" s="87"/>
      <c r="AW34" s="86"/>
      <c r="AX34" s="87"/>
      <c r="AY34" s="86"/>
      <c r="AZ34" s="87"/>
      <c r="BA34" s="86"/>
      <c r="BB34" s="87"/>
      <c r="BC34" s="86"/>
      <c r="BD34" s="87"/>
      <c r="BE34" s="86"/>
      <c r="BF34" s="87"/>
      <c r="BG34" s="86"/>
      <c r="BH34" s="87"/>
      <c r="BI34" s="86"/>
      <c r="BJ34" s="87"/>
      <c r="BK34" s="86"/>
      <c r="BL34" s="87"/>
      <c r="BM34" s="86"/>
      <c r="BN34" s="50"/>
      <c r="BO34" s="170" t="str">
        <f t="shared" si="2"/>
        <v/>
      </c>
      <c r="BP34" s="87"/>
      <c r="BQ34" s="178" t="str">
        <f>IF(BK34="","",BK34)</f>
        <v/>
      </c>
    </row>
    <row r="35" spans="1:76" x14ac:dyDescent="0.35">
      <c r="A35" s="100"/>
      <c r="B35" s="75"/>
      <c r="C35" s="101"/>
      <c r="D35" s="102"/>
      <c r="E35" s="103"/>
      <c r="F35" s="104"/>
      <c r="G35" s="103"/>
      <c r="H35" s="104"/>
      <c r="I35" s="103"/>
      <c r="J35" s="104"/>
      <c r="K35" s="103"/>
      <c r="L35" s="104"/>
      <c r="M35" s="103"/>
      <c r="N35" s="104"/>
      <c r="O35" s="103"/>
      <c r="P35" s="104"/>
      <c r="Q35" s="103"/>
      <c r="R35" s="104"/>
      <c r="S35" s="103"/>
      <c r="T35" s="104"/>
      <c r="U35" s="103"/>
      <c r="V35" s="104"/>
      <c r="W35" s="103"/>
      <c r="X35" s="104"/>
      <c r="Y35" s="103"/>
      <c r="Z35" s="104"/>
      <c r="AA35" s="103"/>
      <c r="AB35" s="104"/>
      <c r="AC35" s="103"/>
      <c r="AD35" s="104"/>
      <c r="AE35" s="103"/>
      <c r="AF35" s="104"/>
      <c r="AG35" s="103"/>
      <c r="AH35" s="104"/>
      <c r="AI35" s="103"/>
      <c r="AJ35" s="104"/>
      <c r="AK35" s="103"/>
      <c r="AL35" s="104"/>
      <c r="AM35" s="103"/>
      <c r="AN35" s="104"/>
      <c r="AO35" s="103"/>
      <c r="AP35" s="104"/>
      <c r="AQ35" s="103"/>
      <c r="AR35" s="104"/>
      <c r="AS35" s="103"/>
      <c r="AT35" s="104"/>
      <c r="AU35" s="103"/>
      <c r="AV35" s="104"/>
      <c r="AW35" s="103"/>
      <c r="AX35" s="104"/>
      <c r="AY35" s="103"/>
      <c r="AZ35" s="104"/>
      <c r="BA35" s="103"/>
      <c r="BB35" s="104"/>
      <c r="BC35" s="103"/>
      <c r="BD35" s="104"/>
      <c r="BE35" s="103"/>
      <c r="BF35" s="104"/>
      <c r="BG35" s="103"/>
      <c r="BH35" s="104"/>
      <c r="BI35" s="103"/>
      <c r="BJ35" s="104"/>
      <c r="BK35" s="103"/>
      <c r="BL35" s="104"/>
      <c r="BM35" s="103"/>
      <c r="BN35" s="105"/>
      <c r="BO35" s="183" t="str">
        <f t="shared" si="2"/>
        <v/>
      </c>
      <c r="BP35" s="104"/>
      <c r="BQ35" s="107"/>
    </row>
    <row r="36" spans="1:76" x14ac:dyDescent="0.35">
      <c r="A36" s="83" t="s">
        <v>59</v>
      </c>
      <c r="B36" s="54" t="s">
        <v>58</v>
      </c>
      <c r="C36" s="174" t="str">
        <f>IF('May 2027 Log'!BM36="","",'May 2027 Log'!BM36)</f>
        <v/>
      </c>
      <c r="D36" s="85"/>
      <c r="E36" s="86"/>
      <c r="F36" s="87"/>
      <c r="G36" s="86"/>
      <c r="H36" s="87"/>
      <c r="I36" s="86"/>
      <c r="J36" s="87"/>
      <c r="K36" s="86"/>
      <c r="L36" s="87"/>
      <c r="M36" s="86"/>
      <c r="N36" s="87"/>
      <c r="O36" s="86"/>
      <c r="P36" s="87"/>
      <c r="Q36" s="86"/>
      <c r="R36" s="87"/>
      <c r="S36" s="86"/>
      <c r="T36" s="87"/>
      <c r="U36" s="86"/>
      <c r="V36" s="87"/>
      <c r="W36" s="86"/>
      <c r="X36" s="87"/>
      <c r="Y36" s="86"/>
      <c r="Z36" s="87"/>
      <c r="AA36" s="86"/>
      <c r="AB36" s="87"/>
      <c r="AC36" s="86"/>
      <c r="AD36" s="87"/>
      <c r="AE36" s="86"/>
      <c r="AF36" s="87"/>
      <c r="AG36" s="86"/>
      <c r="AH36" s="87"/>
      <c r="AI36" s="86"/>
      <c r="AJ36" s="87"/>
      <c r="AK36" s="86"/>
      <c r="AL36" s="87"/>
      <c r="AM36" s="86"/>
      <c r="AN36" s="87"/>
      <c r="AO36" s="86"/>
      <c r="AP36" s="87"/>
      <c r="AQ36" s="86"/>
      <c r="AR36" s="87"/>
      <c r="AS36" s="86"/>
      <c r="AT36" s="87"/>
      <c r="AU36" s="86"/>
      <c r="AV36" s="87"/>
      <c r="AW36" s="86"/>
      <c r="AX36" s="87"/>
      <c r="AY36" s="86"/>
      <c r="AZ36" s="87"/>
      <c r="BA36" s="86"/>
      <c r="BB36" s="87"/>
      <c r="BC36" s="86"/>
      <c r="BD36" s="87"/>
      <c r="BE36" s="86"/>
      <c r="BF36" s="87"/>
      <c r="BG36" s="86"/>
      <c r="BH36" s="87"/>
      <c r="BI36" s="86"/>
      <c r="BJ36" s="87"/>
      <c r="BK36" s="86"/>
      <c r="BL36" s="87"/>
      <c r="BM36" s="86"/>
      <c r="BN36" s="50"/>
      <c r="BO36" s="170" t="str">
        <f t="shared" si="2"/>
        <v/>
      </c>
      <c r="BP36" s="87"/>
      <c r="BQ36" s="178" t="str">
        <f>IF(BK36="","",BK36)</f>
        <v/>
      </c>
    </row>
    <row r="37" spans="1:76" x14ac:dyDescent="0.35">
      <c r="A37" s="83"/>
      <c r="B37" s="54"/>
      <c r="C37" s="84"/>
      <c r="D37" s="85"/>
      <c r="E37" s="86"/>
      <c r="F37" s="87"/>
      <c r="G37" s="86"/>
      <c r="H37" s="87"/>
      <c r="I37" s="86"/>
      <c r="J37" s="87"/>
      <c r="K37" s="86"/>
      <c r="L37" s="87"/>
      <c r="M37" s="86"/>
      <c r="N37" s="87"/>
      <c r="O37" s="86"/>
      <c r="P37" s="87"/>
      <c r="Q37" s="86"/>
      <c r="R37" s="87"/>
      <c r="S37" s="86"/>
      <c r="T37" s="87"/>
      <c r="U37" s="86"/>
      <c r="V37" s="87"/>
      <c r="W37" s="86"/>
      <c r="X37" s="87"/>
      <c r="Y37" s="86"/>
      <c r="Z37" s="87"/>
      <c r="AA37" s="86"/>
      <c r="AB37" s="87"/>
      <c r="AC37" s="86"/>
      <c r="AD37" s="87"/>
      <c r="AE37" s="86"/>
      <c r="AF37" s="87"/>
      <c r="AG37" s="86"/>
      <c r="AH37" s="87"/>
      <c r="AI37" s="86"/>
      <c r="AJ37" s="87"/>
      <c r="AK37" s="86"/>
      <c r="AL37" s="87"/>
      <c r="AM37" s="86"/>
      <c r="AN37" s="87"/>
      <c r="AO37" s="86"/>
      <c r="AP37" s="87"/>
      <c r="AQ37" s="86"/>
      <c r="AR37" s="87"/>
      <c r="AS37" s="86"/>
      <c r="AT37" s="87"/>
      <c r="AU37" s="86"/>
      <c r="AV37" s="87"/>
      <c r="AW37" s="86"/>
      <c r="AX37" s="87"/>
      <c r="AY37" s="86"/>
      <c r="AZ37" s="87"/>
      <c r="BA37" s="86"/>
      <c r="BB37" s="87"/>
      <c r="BC37" s="86"/>
      <c r="BD37" s="87"/>
      <c r="BE37" s="86"/>
      <c r="BF37" s="87"/>
      <c r="BG37" s="86"/>
      <c r="BH37" s="87"/>
      <c r="BI37" s="86"/>
      <c r="BJ37" s="87"/>
      <c r="BK37" s="86"/>
      <c r="BL37" s="87"/>
      <c r="BM37" s="86"/>
      <c r="BN37" s="50"/>
      <c r="BO37" s="170" t="str">
        <f t="shared" si="2"/>
        <v/>
      </c>
      <c r="BP37" s="87"/>
      <c r="BQ37" s="88"/>
    </row>
    <row r="38" spans="1:76" x14ac:dyDescent="0.35">
      <c r="A38" s="83" t="s">
        <v>62</v>
      </c>
      <c r="B38" s="54" t="s">
        <v>63</v>
      </c>
      <c r="C38" s="174" t="str">
        <f>IF('May 2027 Log'!BM38="","",'May 2027 Log'!BM38)</f>
        <v/>
      </c>
      <c r="D38" s="85"/>
      <c r="E38" s="86"/>
      <c r="F38" s="87"/>
      <c r="G38" s="86"/>
      <c r="H38" s="87"/>
      <c r="I38" s="86"/>
      <c r="J38" s="87"/>
      <c r="K38" s="86"/>
      <c r="L38" s="87"/>
      <c r="M38" s="86"/>
      <c r="N38" s="87"/>
      <c r="O38" s="86"/>
      <c r="P38" s="87"/>
      <c r="Q38" s="86"/>
      <c r="R38" s="87"/>
      <c r="S38" s="86"/>
      <c r="T38" s="87"/>
      <c r="U38" s="86"/>
      <c r="V38" s="87"/>
      <c r="W38" s="86"/>
      <c r="X38" s="87"/>
      <c r="Y38" s="86"/>
      <c r="Z38" s="87"/>
      <c r="AA38" s="86"/>
      <c r="AB38" s="87"/>
      <c r="AC38" s="86"/>
      <c r="AD38" s="87"/>
      <c r="AE38" s="86"/>
      <c r="AF38" s="87"/>
      <c r="AG38" s="86"/>
      <c r="AH38" s="87"/>
      <c r="AI38" s="86"/>
      <c r="AJ38" s="87"/>
      <c r="AK38" s="86"/>
      <c r="AL38" s="87"/>
      <c r="AM38" s="86"/>
      <c r="AN38" s="87"/>
      <c r="AO38" s="86"/>
      <c r="AP38" s="87"/>
      <c r="AQ38" s="86"/>
      <c r="AR38" s="87"/>
      <c r="AS38" s="86"/>
      <c r="AT38" s="87"/>
      <c r="AU38" s="86"/>
      <c r="AV38" s="87"/>
      <c r="AW38" s="86"/>
      <c r="AX38" s="87"/>
      <c r="AY38" s="86"/>
      <c r="AZ38" s="87"/>
      <c r="BA38" s="86"/>
      <c r="BB38" s="87"/>
      <c r="BC38" s="86"/>
      <c r="BD38" s="87"/>
      <c r="BE38" s="86"/>
      <c r="BF38" s="87"/>
      <c r="BG38" s="86"/>
      <c r="BH38" s="87"/>
      <c r="BI38" s="86"/>
      <c r="BJ38" s="87"/>
      <c r="BK38" s="86"/>
      <c r="BL38" s="87"/>
      <c r="BM38" s="86"/>
      <c r="BN38" s="50"/>
      <c r="BO38" s="170" t="str">
        <f t="shared" si="2"/>
        <v/>
      </c>
      <c r="BP38" s="87"/>
      <c r="BQ38" s="178" t="str">
        <f>IF(BK38="","",BK38)</f>
        <v/>
      </c>
    </row>
    <row r="39" spans="1:76" x14ac:dyDescent="0.35">
      <c r="A39" s="83" t="s">
        <v>64</v>
      </c>
      <c r="B39" s="54" t="s">
        <v>63</v>
      </c>
      <c r="C39" s="174" t="str">
        <f>IF('May 2027 Log'!BM39="","",'May 2027 Log'!BM39)</f>
        <v/>
      </c>
      <c r="D39" s="85"/>
      <c r="E39" s="86"/>
      <c r="F39" s="87"/>
      <c r="G39" s="86"/>
      <c r="H39" s="87"/>
      <c r="I39" s="86"/>
      <c r="J39" s="87"/>
      <c r="K39" s="86"/>
      <c r="L39" s="87"/>
      <c r="M39" s="86"/>
      <c r="N39" s="87"/>
      <c r="O39" s="86"/>
      <c r="P39" s="87"/>
      <c r="Q39" s="86"/>
      <c r="R39" s="87"/>
      <c r="S39" s="86"/>
      <c r="T39" s="87"/>
      <c r="U39" s="86"/>
      <c r="V39" s="87"/>
      <c r="W39" s="86"/>
      <c r="X39" s="87"/>
      <c r="Y39" s="86"/>
      <c r="Z39" s="87"/>
      <c r="AA39" s="86"/>
      <c r="AB39" s="87"/>
      <c r="AC39" s="86"/>
      <c r="AD39" s="87"/>
      <c r="AE39" s="86"/>
      <c r="AF39" s="87"/>
      <c r="AG39" s="86"/>
      <c r="AH39" s="87"/>
      <c r="AI39" s="86"/>
      <c r="AJ39" s="87"/>
      <c r="AK39" s="86"/>
      <c r="AL39" s="87"/>
      <c r="AM39" s="86"/>
      <c r="AN39" s="87"/>
      <c r="AO39" s="86"/>
      <c r="AP39" s="87"/>
      <c r="AQ39" s="86"/>
      <c r="AR39" s="87"/>
      <c r="AS39" s="86"/>
      <c r="AT39" s="87"/>
      <c r="AU39" s="86"/>
      <c r="AV39" s="87"/>
      <c r="AW39" s="86"/>
      <c r="AX39" s="87"/>
      <c r="AY39" s="86"/>
      <c r="AZ39" s="87"/>
      <c r="BA39" s="86"/>
      <c r="BB39" s="87"/>
      <c r="BC39" s="86"/>
      <c r="BD39" s="87"/>
      <c r="BE39" s="86"/>
      <c r="BF39" s="87"/>
      <c r="BG39" s="86"/>
      <c r="BH39" s="87"/>
      <c r="BI39" s="86"/>
      <c r="BJ39" s="87"/>
      <c r="BK39" s="86"/>
      <c r="BL39" s="87"/>
      <c r="BM39" s="86"/>
      <c r="BN39" s="50"/>
      <c r="BO39" s="170" t="str">
        <f t="shared" si="2"/>
        <v/>
      </c>
      <c r="BP39" s="87"/>
      <c r="BQ39" s="178" t="str">
        <f>IF(BK39="","",BK39)</f>
        <v/>
      </c>
    </row>
    <row r="40" spans="1:76" x14ac:dyDescent="0.35">
      <c r="A40" s="83" t="s">
        <v>44</v>
      </c>
      <c r="B40" s="54"/>
      <c r="C40" s="84"/>
      <c r="D40" s="85"/>
      <c r="E40" s="86"/>
      <c r="F40" s="87"/>
      <c r="G40" s="86"/>
      <c r="H40" s="87"/>
      <c r="I40" s="86"/>
      <c r="J40" s="87"/>
      <c r="K40" s="86"/>
      <c r="L40" s="87"/>
      <c r="M40" s="86"/>
      <c r="N40" s="87"/>
      <c r="O40" s="86"/>
      <c r="P40" s="87"/>
      <c r="Q40" s="86"/>
      <c r="R40" s="87"/>
      <c r="S40" s="86"/>
      <c r="T40" s="87"/>
      <c r="U40" s="86"/>
      <c r="V40" s="87"/>
      <c r="W40" s="86"/>
      <c r="X40" s="87"/>
      <c r="Y40" s="86"/>
      <c r="Z40" s="87"/>
      <c r="AA40" s="86"/>
      <c r="AB40" s="87"/>
      <c r="AC40" s="86"/>
      <c r="AD40" s="87"/>
      <c r="AE40" s="86"/>
      <c r="AF40" s="87"/>
      <c r="AG40" s="86"/>
      <c r="AH40" s="87"/>
      <c r="AI40" s="86"/>
      <c r="AJ40" s="87"/>
      <c r="AK40" s="86"/>
      <c r="AL40" s="87"/>
      <c r="AM40" s="86"/>
      <c r="AN40" s="87"/>
      <c r="AO40" s="86"/>
      <c r="AP40" s="87"/>
      <c r="AQ40" s="86"/>
      <c r="AR40" s="87"/>
      <c r="AS40" s="86"/>
      <c r="AT40" s="87"/>
      <c r="AU40" s="86"/>
      <c r="AV40" s="87"/>
      <c r="AW40" s="86"/>
      <c r="AX40" s="87"/>
      <c r="AY40" s="86"/>
      <c r="AZ40" s="87"/>
      <c r="BA40" s="86"/>
      <c r="BB40" s="87"/>
      <c r="BC40" s="86"/>
      <c r="BD40" s="87"/>
      <c r="BE40" s="86"/>
      <c r="BF40" s="87"/>
      <c r="BG40" s="86"/>
      <c r="BH40" s="87"/>
      <c r="BI40" s="86"/>
      <c r="BJ40" s="87"/>
      <c r="BK40" s="86"/>
      <c r="BL40" s="87"/>
      <c r="BM40" s="86"/>
      <c r="BN40" s="50"/>
      <c r="BO40" s="170" t="str">
        <f t="shared" si="2"/>
        <v/>
      </c>
      <c r="BP40" s="87"/>
      <c r="BQ40" s="88"/>
    </row>
    <row r="41" spans="1:76" x14ac:dyDescent="0.35">
      <c r="A41" s="83" t="s">
        <v>54</v>
      </c>
      <c r="B41" s="54"/>
      <c r="C41" s="84"/>
      <c r="D41" s="85"/>
      <c r="E41" s="86"/>
      <c r="F41" s="87"/>
      <c r="G41" s="86"/>
      <c r="H41" s="87"/>
      <c r="I41" s="86"/>
      <c r="J41" s="87"/>
      <c r="K41" s="86"/>
      <c r="L41" s="87"/>
      <c r="M41" s="86"/>
      <c r="N41" s="87"/>
      <c r="O41" s="86"/>
      <c r="P41" s="87"/>
      <c r="Q41" s="86"/>
      <c r="R41" s="87"/>
      <c r="S41" s="86"/>
      <c r="T41" s="87"/>
      <c r="U41" s="86"/>
      <c r="V41" s="87"/>
      <c r="W41" s="86"/>
      <c r="X41" s="87"/>
      <c r="Y41" s="86"/>
      <c r="Z41" s="87"/>
      <c r="AA41" s="86"/>
      <c r="AB41" s="87"/>
      <c r="AC41" s="86"/>
      <c r="AD41" s="87"/>
      <c r="AE41" s="86"/>
      <c r="AF41" s="87"/>
      <c r="AG41" s="86"/>
      <c r="AH41" s="87"/>
      <c r="AI41" s="86"/>
      <c r="AJ41" s="87"/>
      <c r="AK41" s="86"/>
      <c r="AL41" s="87"/>
      <c r="AM41" s="86"/>
      <c r="AN41" s="87"/>
      <c r="AO41" s="86"/>
      <c r="AP41" s="87"/>
      <c r="AQ41" s="86"/>
      <c r="AR41" s="87"/>
      <c r="AS41" s="86"/>
      <c r="AT41" s="87"/>
      <c r="AU41" s="86"/>
      <c r="AV41" s="87"/>
      <c r="AW41" s="86"/>
      <c r="AX41" s="87"/>
      <c r="AY41" s="86"/>
      <c r="AZ41" s="87"/>
      <c r="BA41" s="86"/>
      <c r="BB41" s="87"/>
      <c r="BC41" s="86"/>
      <c r="BD41" s="87"/>
      <c r="BE41" s="86"/>
      <c r="BF41" s="87"/>
      <c r="BG41" s="86"/>
      <c r="BH41" s="87"/>
      <c r="BI41" s="86"/>
      <c r="BJ41" s="87"/>
      <c r="BK41" s="86"/>
      <c r="BL41" s="87"/>
      <c r="BM41" s="86"/>
      <c r="BN41" s="50"/>
      <c r="BO41" s="170" t="str">
        <f t="shared" si="2"/>
        <v/>
      </c>
      <c r="BP41" s="87"/>
      <c r="BQ41" s="88"/>
    </row>
    <row r="42" spans="1:76" s="1" customFormat="1" x14ac:dyDescent="0.35">
      <c r="A42" s="89" t="s">
        <v>35</v>
      </c>
      <c r="B42" s="90"/>
      <c r="C42" s="174">
        <f>IF('May 2027 Log'!BM42="","",'May 2027 Log'!BM42)</f>
        <v>0</v>
      </c>
      <c r="D42" s="47"/>
      <c r="E42" s="166">
        <f>SUM(E36:E41)</f>
        <v>0</v>
      </c>
      <c r="F42" s="49"/>
      <c r="G42" s="166">
        <f>SUM(G36:G41)</f>
        <v>0</v>
      </c>
      <c r="H42" s="49"/>
      <c r="I42" s="166">
        <f>SUM(I36:I41)</f>
        <v>0</v>
      </c>
      <c r="J42" s="49"/>
      <c r="K42" s="166">
        <f>SUM(K36:K41)</f>
        <v>0</v>
      </c>
      <c r="L42" s="49"/>
      <c r="M42" s="166">
        <f>SUM(M36:M41)</f>
        <v>0</v>
      </c>
      <c r="N42" s="49"/>
      <c r="O42" s="166">
        <f>SUM(O36:O41)</f>
        <v>0</v>
      </c>
      <c r="P42" s="49"/>
      <c r="Q42" s="166">
        <f>SUM(Q36:Q41)</f>
        <v>0</v>
      </c>
      <c r="R42" s="49"/>
      <c r="S42" s="166">
        <f>SUM(S36:S41)</f>
        <v>0</v>
      </c>
      <c r="T42" s="49"/>
      <c r="U42" s="166">
        <f>SUM(U36:U41)</f>
        <v>0</v>
      </c>
      <c r="V42" s="49"/>
      <c r="W42" s="166">
        <f>SUM(W36:W41)</f>
        <v>0</v>
      </c>
      <c r="X42" s="49"/>
      <c r="Y42" s="166">
        <f>SUM(Y36:Y41)</f>
        <v>0</v>
      </c>
      <c r="Z42" s="49"/>
      <c r="AA42" s="166">
        <f>SUM(AA36:AA41)</f>
        <v>0</v>
      </c>
      <c r="AB42" s="49"/>
      <c r="AC42" s="166">
        <f>SUM(AC36:AC41)</f>
        <v>0</v>
      </c>
      <c r="AD42" s="49"/>
      <c r="AE42" s="166">
        <f>SUM(AE36:AE41)</f>
        <v>0</v>
      </c>
      <c r="AF42" s="49"/>
      <c r="AG42" s="166">
        <f>SUM(AG36:AG41)</f>
        <v>0</v>
      </c>
      <c r="AH42" s="49"/>
      <c r="AI42" s="166">
        <f>SUM(AI36:AI41)</f>
        <v>0</v>
      </c>
      <c r="AJ42" s="49"/>
      <c r="AK42" s="166">
        <f>SUM(AK36:AK41)</f>
        <v>0</v>
      </c>
      <c r="AL42" s="49"/>
      <c r="AM42" s="166">
        <f>SUM(AM36:AM41)</f>
        <v>0</v>
      </c>
      <c r="AN42" s="49"/>
      <c r="AO42" s="166">
        <f>SUM(AO36:AO41)</f>
        <v>0</v>
      </c>
      <c r="AP42" s="49"/>
      <c r="AQ42" s="166">
        <f>SUM(AQ36:AQ41)</f>
        <v>0</v>
      </c>
      <c r="AR42" s="49"/>
      <c r="AS42" s="166">
        <f>SUM(AS36:AS41)</f>
        <v>0</v>
      </c>
      <c r="AT42" s="49"/>
      <c r="AU42" s="166">
        <f>SUM(AU36:AU41)</f>
        <v>0</v>
      </c>
      <c r="AV42" s="49"/>
      <c r="AW42" s="166">
        <f>SUM(AW36:AW41)</f>
        <v>0</v>
      </c>
      <c r="AX42" s="49"/>
      <c r="AY42" s="166">
        <f>SUM(AY36:AY41)</f>
        <v>0</v>
      </c>
      <c r="AZ42" s="49"/>
      <c r="BA42" s="166">
        <f>SUM(BA36:BA41)</f>
        <v>0</v>
      </c>
      <c r="BB42" s="49"/>
      <c r="BC42" s="166">
        <f>SUM(BC36:BC41)</f>
        <v>0</v>
      </c>
      <c r="BD42" s="49"/>
      <c r="BE42" s="166">
        <f>SUM(BE36:BE41)</f>
        <v>0</v>
      </c>
      <c r="BF42" s="49"/>
      <c r="BG42" s="166">
        <f>SUM(BG36:BG41)</f>
        <v>0</v>
      </c>
      <c r="BH42" s="49"/>
      <c r="BI42" s="166">
        <f>SUM(BI36:BI41)</f>
        <v>0</v>
      </c>
      <c r="BJ42" s="49"/>
      <c r="BK42" s="166">
        <f>SUM(BK36:BK41)</f>
        <v>0</v>
      </c>
      <c r="BL42" s="49"/>
      <c r="BM42" s="48"/>
      <c r="BN42" s="50"/>
      <c r="BO42" s="170">
        <f t="shared" si="2"/>
        <v>0</v>
      </c>
      <c r="BP42" s="49"/>
      <c r="BQ42" s="172">
        <f>IF(BK42="","",BK42)</f>
        <v>0</v>
      </c>
      <c r="BR42"/>
      <c r="BS42"/>
      <c r="BT42"/>
      <c r="BU42"/>
      <c r="BV42"/>
      <c r="BW42"/>
      <c r="BX42"/>
    </row>
    <row r="43" spans="1:76" x14ac:dyDescent="0.35">
      <c r="A43" s="83" t="s">
        <v>61</v>
      </c>
      <c r="B43" s="54" t="s">
        <v>60</v>
      </c>
      <c r="C43" s="174" t="str">
        <f>IF('May 2027 Log'!BM43="","",'May 2027 Log'!BM43)</f>
        <v/>
      </c>
      <c r="D43" s="85"/>
      <c r="E43" s="86"/>
      <c r="F43" s="87"/>
      <c r="G43" s="86"/>
      <c r="H43" s="87"/>
      <c r="I43" s="86"/>
      <c r="J43" s="87"/>
      <c r="K43" s="86"/>
      <c r="L43" s="87"/>
      <c r="M43" s="86"/>
      <c r="N43" s="87"/>
      <c r="O43" s="86"/>
      <c r="P43" s="87"/>
      <c r="Q43" s="86"/>
      <c r="R43" s="87"/>
      <c r="S43" s="86"/>
      <c r="T43" s="87"/>
      <c r="U43" s="86"/>
      <c r="V43" s="87"/>
      <c r="W43" s="86"/>
      <c r="X43" s="87"/>
      <c r="Y43" s="86"/>
      <c r="Z43" s="87"/>
      <c r="AA43" s="86"/>
      <c r="AB43" s="87"/>
      <c r="AC43" s="86"/>
      <c r="AD43" s="87"/>
      <c r="AE43" s="86"/>
      <c r="AF43" s="87"/>
      <c r="AG43" s="86"/>
      <c r="AH43" s="87"/>
      <c r="AI43" s="86"/>
      <c r="AJ43" s="87"/>
      <c r="AK43" s="86"/>
      <c r="AL43" s="87"/>
      <c r="AM43" s="86"/>
      <c r="AN43" s="87"/>
      <c r="AO43" s="86"/>
      <c r="AP43" s="87"/>
      <c r="AQ43" s="86"/>
      <c r="AR43" s="87"/>
      <c r="AS43" s="86"/>
      <c r="AT43" s="87"/>
      <c r="AU43" s="86"/>
      <c r="AV43" s="87"/>
      <c r="AW43" s="86"/>
      <c r="AX43" s="87"/>
      <c r="AY43" s="86"/>
      <c r="AZ43" s="87"/>
      <c r="BA43" s="86"/>
      <c r="BB43" s="87"/>
      <c r="BC43" s="86"/>
      <c r="BD43" s="87"/>
      <c r="BE43" s="86"/>
      <c r="BF43" s="87"/>
      <c r="BG43" s="86"/>
      <c r="BH43" s="87"/>
      <c r="BI43" s="86"/>
      <c r="BJ43" s="87"/>
      <c r="BK43" s="86"/>
      <c r="BL43" s="87"/>
      <c r="BM43" s="86"/>
      <c r="BN43" s="50"/>
      <c r="BO43" s="170" t="str">
        <f t="shared" si="2"/>
        <v/>
      </c>
      <c r="BP43" s="87"/>
      <c r="BQ43" s="178" t="str">
        <f>IF(BK43="","",BK43)</f>
        <v/>
      </c>
    </row>
    <row r="44" spans="1:76" hidden="1" x14ac:dyDescent="0.35">
      <c r="A44" s="83" t="s">
        <v>8</v>
      </c>
      <c r="B44" s="54"/>
      <c r="C44" s="84"/>
      <c r="D44" s="85"/>
      <c r="E44" s="86"/>
      <c r="F44" s="87"/>
      <c r="G44" s="86"/>
      <c r="H44" s="87"/>
      <c r="I44" s="86"/>
      <c r="J44" s="87"/>
      <c r="K44" s="86"/>
      <c r="L44" s="87"/>
      <c r="M44" s="86"/>
      <c r="N44" s="87"/>
      <c r="O44" s="86"/>
      <c r="P44" s="87"/>
      <c r="Q44" s="86"/>
      <c r="R44" s="87"/>
      <c r="S44" s="86"/>
      <c r="T44" s="87"/>
      <c r="U44" s="86"/>
      <c r="V44" s="87"/>
      <c r="W44" s="86"/>
      <c r="X44" s="87"/>
      <c r="Y44" s="86"/>
      <c r="Z44" s="87"/>
      <c r="AA44" s="86"/>
      <c r="AB44" s="87"/>
      <c r="AC44" s="86"/>
      <c r="AD44" s="87"/>
      <c r="AE44" s="86"/>
      <c r="AF44" s="87"/>
      <c r="AG44" s="86"/>
      <c r="AH44" s="87"/>
      <c r="AI44" s="86"/>
      <c r="AJ44" s="87"/>
      <c r="AK44" s="86"/>
      <c r="AL44" s="87"/>
      <c r="AM44" s="86"/>
      <c r="AN44" s="87"/>
      <c r="AO44" s="86"/>
      <c r="AP44" s="87"/>
      <c r="AQ44" s="86"/>
      <c r="AR44" s="87"/>
      <c r="AS44" s="86"/>
      <c r="AT44" s="87"/>
      <c r="AU44" s="86"/>
      <c r="AV44" s="87"/>
      <c r="AW44" s="86"/>
      <c r="AX44" s="87"/>
      <c r="AY44" s="86"/>
      <c r="AZ44" s="87"/>
      <c r="BA44" s="86"/>
      <c r="BB44" s="87"/>
      <c r="BC44" s="86"/>
      <c r="BD44" s="87"/>
      <c r="BE44" s="86"/>
      <c r="BF44" s="87"/>
      <c r="BG44" s="86"/>
      <c r="BH44" s="87"/>
      <c r="BI44" s="86"/>
      <c r="BJ44" s="87"/>
      <c r="BK44" s="86"/>
      <c r="BL44" s="87"/>
      <c r="BM44" s="86"/>
      <c r="BN44" s="50"/>
      <c r="BO44" s="170" t="str">
        <f t="shared" si="2"/>
        <v/>
      </c>
      <c r="BP44" s="87"/>
      <c r="BQ44" s="88"/>
    </row>
    <row r="45" spans="1:76" hidden="1" x14ac:dyDescent="0.35">
      <c r="A45" s="83" t="s">
        <v>9</v>
      </c>
      <c r="B45" s="54"/>
      <c r="C45" s="84"/>
      <c r="D45" s="85"/>
      <c r="E45" s="86"/>
      <c r="F45" s="87"/>
      <c r="G45" s="86"/>
      <c r="H45" s="87"/>
      <c r="I45" s="86"/>
      <c r="J45" s="87"/>
      <c r="K45" s="86"/>
      <c r="L45" s="87"/>
      <c r="M45" s="86"/>
      <c r="N45" s="87"/>
      <c r="O45" s="86"/>
      <c r="P45" s="87"/>
      <c r="Q45" s="86"/>
      <c r="R45" s="87"/>
      <c r="S45" s="86"/>
      <c r="T45" s="87"/>
      <c r="U45" s="86"/>
      <c r="V45" s="87"/>
      <c r="W45" s="86"/>
      <c r="X45" s="87"/>
      <c r="Y45" s="86"/>
      <c r="Z45" s="87"/>
      <c r="AA45" s="86"/>
      <c r="AB45" s="87"/>
      <c r="AC45" s="86"/>
      <c r="AD45" s="87"/>
      <c r="AE45" s="86"/>
      <c r="AF45" s="87"/>
      <c r="AG45" s="86"/>
      <c r="AH45" s="87"/>
      <c r="AI45" s="86"/>
      <c r="AJ45" s="87"/>
      <c r="AK45" s="86"/>
      <c r="AL45" s="87"/>
      <c r="AM45" s="86"/>
      <c r="AN45" s="87"/>
      <c r="AO45" s="86"/>
      <c r="AP45" s="87"/>
      <c r="AQ45" s="86"/>
      <c r="AR45" s="87"/>
      <c r="AS45" s="86"/>
      <c r="AT45" s="87"/>
      <c r="AU45" s="86"/>
      <c r="AV45" s="87"/>
      <c r="AW45" s="86"/>
      <c r="AX45" s="87"/>
      <c r="AY45" s="86"/>
      <c r="AZ45" s="87"/>
      <c r="BA45" s="86"/>
      <c r="BB45" s="87"/>
      <c r="BC45" s="86"/>
      <c r="BD45" s="87"/>
      <c r="BE45" s="86"/>
      <c r="BF45" s="87"/>
      <c r="BG45" s="86"/>
      <c r="BH45" s="87"/>
      <c r="BI45" s="86"/>
      <c r="BJ45" s="87"/>
      <c r="BK45" s="86"/>
      <c r="BL45" s="87"/>
      <c r="BM45" s="86"/>
      <c r="BN45" s="50"/>
      <c r="BO45" s="170" t="str">
        <f t="shared" si="2"/>
        <v/>
      </c>
      <c r="BP45" s="87"/>
      <c r="BQ45" s="88"/>
    </row>
    <row r="46" spans="1:76" hidden="1" x14ac:dyDescent="0.35">
      <c r="A46" s="83" t="s">
        <v>43</v>
      </c>
      <c r="B46" s="54"/>
      <c r="C46" s="84"/>
      <c r="D46" s="85"/>
      <c r="E46" s="86"/>
      <c r="F46" s="87"/>
      <c r="G46" s="86"/>
      <c r="H46" s="87"/>
      <c r="I46" s="86"/>
      <c r="J46" s="87"/>
      <c r="K46" s="86"/>
      <c r="L46" s="87"/>
      <c r="M46" s="86"/>
      <c r="N46" s="87"/>
      <c r="O46" s="86"/>
      <c r="P46" s="87"/>
      <c r="Q46" s="86"/>
      <c r="R46" s="87"/>
      <c r="S46" s="86"/>
      <c r="T46" s="87"/>
      <c r="U46" s="86"/>
      <c r="V46" s="87"/>
      <c r="W46" s="86"/>
      <c r="X46" s="87"/>
      <c r="Y46" s="86"/>
      <c r="Z46" s="87"/>
      <c r="AA46" s="86"/>
      <c r="AB46" s="87"/>
      <c r="AC46" s="86"/>
      <c r="AD46" s="87"/>
      <c r="AE46" s="86"/>
      <c r="AF46" s="87"/>
      <c r="AG46" s="86"/>
      <c r="AH46" s="87"/>
      <c r="AI46" s="86"/>
      <c r="AJ46" s="87"/>
      <c r="AK46" s="86"/>
      <c r="AL46" s="87"/>
      <c r="AM46" s="86"/>
      <c r="AN46" s="87"/>
      <c r="AO46" s="86"/>
      <c r="AP46" s="87"/>
      <c r="AQ46" s="86"/>
      <c r="AR46" s="87"/>
      <c r="AS46" s="86"/>
      <c r="AT46" s="87"/>
      <c r="AU46" s="86"/>
      <c r="AV46" s="87"/>
      <c r="AW46" s="86"/>
      <c r="AX46" s="87"/>
      <c r="AY46" s="86"/>
      <c r="AZ46" s="87"/>
      <c r="BA46" s="86"/>
      <c r="BB46" s="87"/>
      <c r="BC46" s="86"/>
      <c r="BD46" s="87"/>
      <c r="BE46" s="86"/>
      <c r="BF46" s="87"/>
      <c r="BG46" s="86"/>
      <c r="BH46" s="87"/>
      <c r="BI46" s="86"/>
      <c r="BJ46" s="87"/>
      <c r="BK46" s="86"/>
      <c r="BL46" s="87"/>
      <c r="BM46" s="86"/>
      <c r="BN46" s="50"/>
      <c r="BO46" s="170" t="str">
        <f t="shared" si="2"/>
        <v/>
      </c>
      <c r="BP46" s="87"/>
      <c r="BQ46" s="88"/>
    </row>
    <row r="47" spans="1:76" hidden="1" x14ac:dyDescent="0.35">
      <c r="A47" s="83" t="s">
        <v>10</v>
      </c>
      <c r="B47" s="54"/>
      <c r="C47" s="84"/>
      <c r="D47" s="85"/>
      <c r="E47" s="86"/>
      <c r="F47" s="87"/>
      <c r="G47" s="86"/>
      <c r="H47" s="87"/>
      <c r="I47" s="86"/>
      <c r="J47" s="87"/>
      <c r="K47" s="86"/>
      <c r="L47" s="87"/>
      <c r="M47" s="86"/>
      <c r="N47" s="87"/>
      <c r="O47" s="86"/>
      <c r="P47" s="87"/>
      <c r="Q47" s="86"/>
      <c r="R47" s="87"/>
      <c r="S47" s="86"/>
      <c r="T47" s="87"/>
      <c r="U47" s="86"/>
      <c r="V47" s="87"/>
      <c r="W47" s="86"/>
      <c r="X47" s="87"/>
      <c r="Y47" s="86"/>
      <c r="Z47" s="87"/>
      <c r="AA47" s="86"/>
      <c r="AB47" s="87"/>
      <c r="AC47" s="86"/>
      <c r="AD47" s="87"/>
      <c r="AE47" s="86"/>
      <c r="AF47" s="87"/>
      <c r="AG47" s="86"/>
      <c r="AH47" s="87"/>
      <c r="AI47" s="86"/>
      <c r="AJ47" s="87"/>
      <c r="AK47" s="86"/>
      <c r="AL47" s="87"/>
      <c r="AM47" s="86"/>
      <c r="AN47" s="87"/>
      <c r="AO47" s="86"/>
      <c r="AP47" s="87"/>
      <c r="AQ47" s="86"/>
      <c r="AR47" s="87"/>
      <c r="AS47" s="86"/>
      <c r="AT47" s="87"/>
      <c r="AU47" s="86"/>
      <c r="AV47" s="87"/>
      <c r="AW47" s="86"/>
      <c r="AX47" s="87"/>
      <c r="AY47" s="86"/>
      <c r="AZ47" s="87"/>
      <c r="BA47" s="86"/>
      <c r="BB47" s="87"/>
      <c r="BC47" s="86"/>
      <c r="BD47" s="87"/>
      <c r="BE47" s="86"/>
      <c r="BF47" s="87"/>
      <c r="BG47" s="86"/>
      <c r="BH47" s="87"/>
      <c r="BI47" s="86"/>
      <c r="BJ47" s="87"/>
      <c r="BK47" s="86"/>
      <c r="BL47" s="87"/>
      <c r="BM47" s="86"/>
      <c r="BN47" s="50"/>
      <c r="BO47" s="170" t="str">
        <f t="shared" si="2"/>
        <v/>
      </c>
      <c r="BP47" s="87"/>
      <c r="BQ47" s="88"/>
    </row>
    <row r="48" spans="1:76" hidden="1" x14ac:dyDescent="0.35">
      <c r="A48" s="83" t="s">
        <v>11</v>
      </c>
      <c r="B48" s="54"/>
      <c r="C48" s="84"/>
      <c r="D48" s="85"/>
      <c r="E48" s="86"/>
      <c r="F48" s="87"/>
      <c r="G48" s="86"/>
      <c r="H48" s="87"/>
      <c r="I48" s="86"/>
      <c r="J48" s="87"/>
      <c r="K48" s="86"/>
      <c r="L48" s="87"/>
      <c r="M48" s="86"/>
      <c r="N48" s="87"/>
      <c r="O48" s="86"/>
      <c r="P48" s="87"/>
      <c r="Q48" s="86"/>
      <c r="R48" s="87"/>
      <c r="S48" s="86"/>
      <c r="T48" s="87"/>
      <c r="U48" s="86"/>
      <c r="V48" s="87"/>
      <c r="W48" s="86"/>
      <c r="X48" s="87"/>
      <c r="Y48" s="86"/>
      <c r="Z48" s="87"/>
      <c r="AA48" s="86"/>
      <c r="AB48" s="87"/>
      <c r="AC48" s="86"/>
      <c r="AD48" s="87"/>
      <c r="AE48" s="86"/>
      <c r="AF48" s="87"/>
      <c r="AG48" s="86"/>
      <c r="AH48" s="87"/>
      <c r="AI48" s="86"/>
      <c r="AJ48" s="87"/>
      <c r="AK48" s="86"/>
      <c r="AL48" s="87"/>
      <c r="AM48" s="86"/>
      <c r="AN48" s="87"/>
      <c r="AO48" s="86"/>
      <c r="AP48" s="87"/>
      <c r="AQ48" s="86"/>
      <c r="AR48" s="87"/>
      <c r="AS48" s="86"/>
      <c r="AT48" s="87"/>
      <c r="AU48" s="86"/>
      <c r="AV48" s="87"/>
      <c r="AW48" s="86"/>
      <c r="AX48" s="87"/>
      <c r="AY48" s="86"/>
      <c r="AZ48" s="87"/>
      <c r="BA48" s="86"/>
      <c r="BB48" s="87"/>
      <c r="BC48" s="86"/>
      <c r="BD48" s="87"/>
      <c r="BE48" s="86"/>
      <c r="BF48" s="87"/>
      <c r="BG48" s="86"/>
      <c r="BH48" s="87"/>
      <c r="BI48" s="86"/>
      <c r="BJ48" s="87"/>
      <c r="BK48" s="86"/>
      <c r="BL48" s="87"/>
      <c r="BM48" s="86"/>
      <c r="BN48" s="50"/>
      <c r="BO48" s="170" t="str">
        <f t="shared" si="2"/>
        <v/>
      </c>
      <c r="BP48" s="87"/>
      <c r="BQ48" s="88"/>
    </row>
    <row r="49" spans="1:76" s="1" customFormat="1" x14ac:dyDescent="0.35">
      <c r="A49" s="89" t="s">
        <v>36</v>
      </c>
      <c r="B49" s="90"/>
      <c r="C49" s="174">
        <f>IF('May 2027 Log'!BM49="","",'May 2027 Log'!BM49)</f>
        <v>0</v>
      </c>
      <c r="D49" s="47"/>
      <c r="E49" s="166">
        <f>SUM(E43:E48)</f>
        <v>0</v>
      </c>
      <c r="F49" s="49"/>
      <c r="G49" s="166">
        <f>SUM(G43:G48)</f>
        <v>0</v>
      </c>
      <c r="H49" s="49"/>
      <c r="I49" s="166">
        <f>SUM(I43:I48)</f>
        <v>0</v>
      </c>
      <c r="J49" s="49"/>
      <c r="K49" s="166">
        <f>SUM(K43:K48)</f>
        <v>0</v>
      </c>
      <c r="L49" s="49"/>
      <c r="M49" s="166">
        <f>SUM(M43:M48)</f>
        <v>0</v>
      </c>
      <c r="N49" s="49"/>
      <c r="O49" s="166">
        <f>SUM(O43:O48)</f>
        <v>0</v>
      </c>
      <c r="P49" s="49"/>
      <c r="Q49" s="166">
        <f>SUM(Q43:Q48)</f>
        <v>0</v>
      </c>
      <c r="R49" s="49"/>
      <c r="S49" s="166">
        <f>SUM(S43:S48)</f>
        <v>0</v>
      </c>
      <c r="T49" s="49"/>
      <c r="U49" s="166">
        <f>SUM(U43:U48)</f>
        <v>0</v>
      </c>
      <c r="V49" s="49"/>
      <c r="W49" s="166">
        <f>SUM(W43:W48)</f>
        <v>0</v>
      </c>
      <c r="X49" s="49"/>
      <c r="Y49" s="166">
        <f>SUM(Y43:Y48)</f>
        <v>0</v>
      </c>
      <c r="Z49" s="49"/>
      <c r="AA49" s="166">
        <f>SUM(AA43:AA48)</f>
        <v>0</v>
      </c>
      <c r="AB49" s="49"/>
      <c r="AC49" s="166">
        <f>SUM(AC43:AC48)</f>
        <v>0</v>
      </c>
      <c r="AD49" s="49"/>
      <c r="AE49" s="166">
        <f>SUM(AE43:AE48)</f>
        <v>0</v>
      </c>
      <c r="AF49" s="49"/>
      <c r="AG49" s="166">
        <f>SUM(AG43:AG48)</f>
        <v>0</v>
      </c>
      <c r="AH49" s="49"/>
      <c r="AI49" s="166">
        <f>SUM(AI43:AI48)</f>
        <v>0</v>
      </c>
      <c r="AJ49" s="49"/>
      <c r="AK49" s="166">
        <f>SUM(AK43:AK48)</f>
        <v>0</v>
      </c>
      <c r="AL49" s="49"/>
      <c r="AM49" s="166">
        <f>SUM(AM43:AM48)</f>
        <v>0</v>
      </c>
      <c r="AN49" s="49"/>
      <c r="AO49" s="166">
        <f>SUM(AO43:AO48)</f>
        <v>0</v>
      </c>
      <c r="AP49" s="49"/>
      <c r="AQ49" s="166">
        <f>SUM(AQ43:AQ48)</f>
        <v>0</v>
      </c>
      <c r="AR49" s="49"/>
      <c r="AS49" s="166">
        <f>SUM(AS43:AS48)</f>
        <v>0</v>
      </c>
      <c r="AT49" s="49"/>
      <c r="AU49" s="166">
        <f>SUM(AU43:AU48)</f>
        <v>0</v>
      </c>
      <c r="AV49" s="49"/>
      <c r="AW49" s="166">
        <f>SUM(AW43:AW48)</f>
        <v>0</v>
      </c>
      <c r="AX49" s="49"/>
      <c r="AY49" s="166">
        <f>SUM(AY43:AY48)</f>
        <v>0</v>
      </c>
      <c r="AZ49" s="49"/>
      <c r="BA49" s="166">
        <f>SUM(BA43:BA48)</f>
        <v>0</v>
      </c>
      <c r="BB49" s="49"/>
      <c r="BC49" s="166">
        <f>SUM(BC43:BC48)</f>
        <v>0</v>
      </c>
      <c r="BD49" s="49"/>
      <c r="BE49" s="166">
        <f>SUM(BE43:BE48)</f>
        <v>0</v>
      </c>
      <c r="BF49" s="49"/>
      <c r="BG49" s="166">
        <f>SUM(BG43:BG48)</f>
        <v>0</v>
      </c>
      <c r="BH49" s="49"/>
      <c r="BI49" s="166">
        <f>SUM(BI43:BI48)</f>
        <v>0</v>
      </c>
      <c r="BJ49" s="49"/>
      <c r="BK49" s="166">
        <f>SUM(BK43:BK48)</f>
        <v>0</v>
      </c>
      <c r="BL49" s="49"/>
      <c r="BM49" s="48"/>
      <c r="BN49" s="50"/>
      <c r="BO49" s="170">
        <f t="shared" si="2"/>
        <v>0</v>
      </c>
      <c r="BP49" s="49"/>
      <c r="BQ49" s="172">
        <f>IF(BK49="","",BK49)</f>
        <v>0</v>
      </c>
      <c r="BR49"/>
      <c r="BS49"/>
      <c r="BT49"/>
      <c r="BU49"/>
      <c r="BV49"/>
      <c r="BW49"/>
      <c r="BX49"/>
    </row>
    <row r="50" spans="1:76" s="1" customFormat="1" x14ac:dyDescent="0.35">
      <c r="A50" s="89" t="s">
        <v>12</v>
      </c>
      <c r="B50" s="90"/>
      <c r="C50" s="174">
        <f>IF('May 2027 Log'!BM50="","",'May 2027 Log'!BM50)</f>
        <v>0</v>
      </c>
      <c r="D50" s="47"/>
      <c r="E50" s="166">
        <f t="shared" ref="E50" si="33">+E42+E49</f>
        <v>0</v>
      </c>
      <c r="F50" s="49"/>
      <c r="G50" s="166">
        <f t="shared" ref="G50" si="34">+G42+G49</f>
        <v>0</v>
      </c>
      <c r="H50" s="49"/>
      <c r="I50" s="166">
        <f t="shared" ref="I50" si="35">+I42+I49</f>
        <v>0</v>
      </c>
      <c r="J50" s="49"/>
      <c r="K50" s="166">
        <f t="shared" ref="K50" si="36">+K42+K49</f>
        <v>0</v>
      </c>
      <c r="L50" s="49"/>
      <c r="M50" s="166">
        <f t="shared" ref="M50" si="37">+M42+M49</f>
        <v>0</v>
      </c>
      <c r="N50" s="49"/>
      <c r="O50" s="166">
        <f t="shared" ref="O50" si="38">+O42+O49</f>
        <v>0</v>
      </c>
      <c r="P50" s="49"/>
      <c r="Q50" s="166">
        <f t="shared" ref="Q50" si="39">+Q42+Q49</f>
        <v>0</v>
      </c>
      <c r="R50" s="49"/>
      <c r="S50" s="166">
        <f t="shared" ref="S50" si="40">+S42+S49</f>
        <v>0</v>
      </c>
      <c r="T50" s="49"/>
      <c r="U50" s="166">
        <f t="shared" ref="U50" si="41">+U42+U49</f>
        <v>0</v>
      </c>
      <c r="V50" s="49"/>
      <c r="W50" s="166">
        <f t="shared" ref="W50" si="42">+W42+W49</f>
        <v>0</v>
      </c>
      <c r="X50" s="49"/>
      <c r="Y50" s="166">
        <f t="shared" ref="Y50" si="43">+Y42+Y49</f>
        <v>0</v>
      </c>
      <c r="Z50" s="49"/>
      <c r="AA50" s="166">
        <f t="shared" ref="AA50" si="44">+AA42+AA49</f>
        <v>0</v>
      </c>
      <c r="AB50" s="49"/>
      <c r="AC50" s="166">
        <f t="shared" ref="AC50" si="45">+AC42+AC49</f>
        <v>0</v>
      </c>
      <c r="AD50" s="49"/>
      <c r="AE50" s="166">
        <f t="shared" ref="AE50" si="46">+AE42+AE49</f>
        <v>0</v>
      </c>
      <c r="AF50" s="49"/>
      <c r="AG50" s="166">
        <f t="shared" ref="AG50" si="47">+AG42+AG49</f>
        <v>0</v>
      </c>
      <c r="AH50" s="49"/>
      <c r="AI50" s="166">
        <f t="shared" ref="AI50" si="48">+AI42+AI49</f>
        <v>0</v>
      </c>
      <c r="AJ50" s="49"/>
      <c r="AK50" s="166">
        <f t="shared" ref="AK50" si="49">+AK42+AK49</f>
        <v>0</v>
      </c>
      <c r="AL50" s="49"/>
      <c r="AM50" s="166">
        <f t="shared" ref="AM50" si="50">+AM42+AM49</f>
        <v>0</v>
      </c>
      <c r="AN50" s="49"/>
      <c r="AO50" s="166">
        <f t="shared" ref="AO50" si="51">+AO42+AO49</f>
        <v>0</v>
      </c>
      <c r="AP50" s="49"/>
      <c r="AQ50" s="166">
        <f t="shared" ref="AQ50" si="52">+AQ42+AQ49</f>
        <v>0</v>
      </c>
      <c r="AR50" s="49"/>
      <c r="AS50" s="166">
        <f t="shared" ref="AS50" si="53">+AS42+AS49</f>
        <v>0</v>
      </c>
      <c r="AT50" s="49"/>
      <c r="AU50" s="166">
        <f t="shared" ref="AU50" si="54">+AU42+AU49</f>
        <v>0</v>
      </c>
      <c r="AV50" s="49"/>
      <c r="AW50" s="166">
        <f t="shared" ref="AW50" si="55">+AW42+AW49</f>
        <v>0</v>
      </c>
      <c r="AX50" s="49"/>
      <c r="AY50" s="166">
        <f t="shared" ref="AY50" si="56">+AY42+AY49</f>
        <v>0</v>
      </c>
      <c r="AZ50" s="49"/>
      <c r="BA50" s="166">
        <f t="shared" ref="BA50" si="57">+BA42+BA49</f>
        <v>0</v>
      </c>
      <c r="BB50" s="49"/>
      <c r="BC50" s="166">
        <f t="shared" ref="BC50" si="58">+BC42+BC49</f>
        <v>0</v>
      </c>
      <c r="BD50" s="49"/>
      <c r="BE50" s="166">
        <f t="shared" ref="BE50" si="59">+BE42+BE49</f>
        <v>0</v>
      </c>
      <c r="BF50" s="49"/>
      <c r="BG50" s="166">
        <f t="shared" ref="BG50" si="60">+BG42+BG49</f>
        <v>0</v>
      </c>
      <c r="BH50" s="49"/>
      <c r="BI50" s="166">
        <f t="shared" ref="BI50" si="61">+BI42+BI49</f>
        <v>0</v>
      </c>
      <c r="BJ50" s="49"/>
      <c r="BK50" s="166">
        <f t="shared" ref="BK50" si="62">+BK42+BK49</f>
        <v>0</v>
      </c>
      <c r="BL50" s="49"/>
      <c r="BM50" s="48"/>
      <c r="BN50" s="50"/>
      <c r="BO50" s="170">
        <f t="shared" si="2"/>
        <v>0</v>
      </c>
      <c r="BP50" s="49"/>
      <c r="BQ50" s="172">
        <f>IF(BK50="","",BK50)</f>
        <v>0</v>
      </c>
      <c r="BR50"/>
      <c r="BS50"/>
      <c r="BT50"/>
      <c r="BU50"/>
      <c r="BV50"/>
      <c r="BW50"/>
      <c r="BX50"/>
    </row>
    <row r="51" spans="1:76" x14ac:dyDescent="0.35">
      <c r="A51" s="83" t="s">
        <v>13</v>
      </c>
      <c r="B51" s="54"/>
      <c r="C51" s="84"/>
      <c r="D51" s="85"/>
      <c r="E51" s="86"/>
      <c r="F51" s="87"/>
      <c r="G51" s="86"/>
      <c r="H51" s="87"/>
      <c r="I51" s="86"/>
      <c r="J51" s="87"/>
      <c r="K51" s="86"/>
      <c r="L51" s="87"/>
      <c r="M51" s="86"/>
      <c r="N51" s="87"/>
      <c r="O51" s="86"/>
      <c r="P51" s="87"/>
      <c r="Q51" s="86"/>
      <c r="R51" s="87"/>
      <c r="S51" s="86"/>
      <c r="T51" s="87"/>
      <c r="U51" s="86"/>
      <c r="V51" s="87"/>
      <c r="W51" s="86"/>
      <c r="X51" s="87"/>
      <c r="Y51" s="86"/>
      <c r="Z51" s="87"/>
      <c r="AA51" s="86"/>
      <c r="AB51" s="87"/>
      <c r="AC51" s="86"/>
      <c r="AD51" s="87"/>
      <c r="AE51" s="86"/>
      <c r="AF51" s="87"/>
      <c r="AG51" s="86"/>
      <c r="AH51" s="87"/>
      <c r="AI51" s="86"/>
      <c r="AJ51" s="87"/>
      <c r="AK51" s="86"/>
      <c r="AL51" s="87"/>
      <c r="AM51" s="86"/>
      <c r="AN51" s="87"/>
      <c r="AO51" s="86"/>
      <c r="AP51" s="87"/>
      <c r="AQ51" s="86"/>
      <c r="AR51" s="87"/>
      <c r="AS51" s="86"/>
      <c r="AT51" s="87"/>
      <c r="AU51" s="86"/>
      <c r="AV51" s="87"/>
      <c r="AW51" s="86"/>
      <c r="AX51" s="87"/>
      <c r="AY51" s="86"/>
      <c r="AZ51" s="87"/>
      <c r="BA51" s="86"/>
      <c r="BB51" s="87"/>
      <c r="BC51" s="86"/>
      <c r="BD51" s="87"/>
      <c r="BE51" s="86"/>
      <c r="BF51" s="87"/>
      <c r="BG51" s="86"/>
      <c r="BH51" s="87"/>
      <c r="BI51" s="86"/>
      <c r="BJ51" s="87"/>
      <c r="BK51" s="86"/>
      <c r="BL51" s="87"/>
      <c r="BM51" s="86"/>
      <c r="BN51" s="50"/>
      <c r="BO51" s="170" t="str">
        <f t="shared" si="2"/>
        <v/>
      </c>
      <c r="BP51" s="87"/>
      <c r="BQ51" s="88"/>
    </row>
    <row r="52" spans="1:76" x14ac:dyDescent="0.35">
      <c r="A52" s="83" t="s">
        <v>14</v>
      </c>
      <c r="B52" s="54"/>
      <c r="C52" s="84"/>
      <c r="D52" s="85"/>
      <c r="E52" s="86"/>
      <c r="F52" s="87"/>
      <c r="G52" s="86"/>
      <c r="H52" s="87"/>
      <c r="I52" s="86"/>
      <c r="J52" s="87"/>
      <c r="K52" s="86"/>
      <c r="L52" s="87"/>
      <c r="M52" s="86"/>
      <c r="N52" s="87"/>
      <c r="O52" s="86"/>
      <c r="P52" s="87"/>
      <c r="Q52" s="86"/>
      <c r="R52" s="87"/>
      <c r="S52" s="86"/>
      <c r="T52" s="87"/>
      <c r="U52" s="86"/>
      <c r="V52" s="87"/>
      <c r="W52" s="86"/>
      <c r="X52" s="87"/>
      <c r="Y52" s="86"/>
      <c r="Z52" s="87"/>
      <c r="AA52" s="86"/>
      <c r="AB52" s="87"/>
      <c r="AC52" s="86"/>
      <c r="AD52" s="87"/>
      <c r="AE52" s="86"/>
      <c r="AF52" s="87"/>
      <c r="AG52" s="86"/>
      <c r="AH52" s="87"/>
      <c r="AI52" s="86"/>
      <c r="AJ52" s="87"/>
      <c r="AK52" s="86"/>
      <c r="AL52" s="87"/>
      <c r="AM52" s="86"/>
      <c r="AN52" s="87"/>
      <c r="AO52" s="86"/>
      <c r="AP52" s="87"/>
      <c r="AQ52" s="86"/>
      <c r="AR52" s="87"/>
      <c r="AS52" s="86"/>
      <c r="AT52" s="87"/>
      <c r="AU52" s="86"/>
      <c r="AV52" s="87"/>
      <c r="AW52" s="86"/>
      <c r="AX52" s="87"/>
      <c r="AY52" s="86"/>
      <c r="AZ52" s="87"/>
      <c r="BA52" s="86"/>
      <c r="BB52" s="87"/>
      <c r="BC52" s="86"/>
      <c r="BD52" s="87"/>
      <c r="BE52" s="86"/>
      <c r="BF52" s="87"/>
      <c r="BG52" s="86"/>
      <c r="BH52" s="87"/>
      <c r="BI52" s="86"/>
      <c r="BJ52" s="87"/>
      <c r="BK52" s="86"/>
      <c r="BL52" s="87"/>
      <c r="BM52" s="86"/>
      <c r="BN52" s="50"/>
      <c r="BO52" s="170" t="str">
        <f t="shared" si="2"/>
        <v/>
      </c>
      <c r="BP52" s="87"/>
      <c r="BQ52" s="88"/>
    </row>
    <row r="53" spans="1:76" x14ac:dyDescent="0.35">
      <c r="A53" s="83" t="s">
        <v>42</v>
      </c>
      <c r="B53" s="54"/>
      <c r="C53" s="84"/>
      <c r="D53" s="85"/>
      <c r="E53" s="86"/>
      <c r="F53" s="87"/>
      <c r="G53" s="86"/>
      <c r="H53" s="87"/>
      <c r="I53" s="86"/>
      <c r="J53" s="87"/>
      <c r="K53" s="86"/>
      <c r="L53" s="87"/>
      <c r="M53" s="86"/>
      <c r="N53" s="87"/>
      <c r="O53" s="86"/>
      <c r="P53" s="87"/>
      <c r="Q53" s="86"/>
      <c r="R53" s="87"/>
      <c r="S53" s="86"/>
      <c r="T53" s="87"/>
      <c r="U53" s="86"/>
      <c r="V53" s="87"/>
      <c r="W53" s="86"/>
      <c r="X53" s="87"/>
      <c r="Y53" s="86"/>
      <c r="Z53" s="87"/>
      <c r="AA53" s="86"/>
      <c r="AB53" s="87"/>
      <c r="AC53" s="86"/>
      <c r="AD53" s="87"/>
      <c r="AE53" s="86"/>
      <c r="AF53" s="87"/>
      <c r="AG53" s="86"/>
      <c r="AH53" s="87"/>
      <c r="AI53" s="86"/>
      <c r="AJ53" s="87"/>
      <c r="AK53" s="86"/>
      <c r="AL53" s="87"/>
      <c r="AM53" s="86"/>
      <c r="AN53" s="87"/>
      <c r="AO53" s="86"/>
      <c r="AP53" s="87"/>
      <c r="AQ53" s="86"/>
      <c r="AR53" s="87"/>
      <c r="AS53" s="86"/>
      <c r="AT53" s="87"/>
      <c r="AU53" s="86"/>
      <c r="AV53" s="87"/>
      <c r="AW53" s="86"/>
      <c r="AX53" s="87"/>
      <c r="AY53" s="86"/>
      <c r="AZ53" s="87"/>
      <c r="BA53" s="86"/>
      <c r="BB53" s="87"/>
      <c r="BC53" s="86"/>
      <c r="BD53" s="87"/>
      <c r="BE53" s="86"/>
      <c r="BF53" s="87"/>
      <c r="BG53" s="86"/>
      <c r="BH53" s="87"/>
      <c r="BI53" s="86"/>
      <c r="BJ53" s="87"/>
      <c r="BK53" s="86"/>
      <c r="BL53" s="87"/>
      <c r="BM53" s="86"/>
      <c r="BN53" s="50"/>
      <c r="BO53" s="170" t="str">
        <f t="shared" si="2"/>
        <v/>
      </c>
      <c r="BP53" s="87"/>
      <c r="BQ53" s="88"/>
    </row>
    <row r="54" spans="1:76" x14ac:dyDescent="0.35">
      <c r="A54" s="89" t="s">
        <v>15</v>
      </c>
      <c r="B54" s="90"/>
      <c r="C54" s="174">
        <f>IF('May 2027 Log'!BM54="","",'May 2027 Log'!BM54)</f>
        <v>0</v>
      </c>
      <c r="D54" s="47"/>
      <c r="E54" s="166">
        <f>E22+E23+E32+E34+E50+E51+E52-E33+E24+E53+E112</f>
        <v>0</v>
      </c>
      <c r="F54" s="49"/>
      <c r="G54" s="166">
        <f>G22+G23+G32+G34+G50+G51+G52-G33+G24+G53+G112</f>
        <v>0</v>
      </c>
      <c r="H54" s="49"/>
      <c r="I54" s="166">
        <f>I22+I23+I32+I34+I50+I51+I52-I33+I24+I53+I112</f>
        <v>0</v>
      </c>
      <c r="J54" s="49"/>
      <c r="K54" s="166">
        <f>K22+K23+K32+K34+K50+K51+K52-K33+K24+K53+K112</f>
        <v>0</v>
      </c>
      <c r="L54" s="49"/>
      <c r="M54" s="166">
        <f>M22+M23+M32+M34+M50+M51+M52-M33+M24+M53+M112</f>
        <v>0</v>
      </c>
      <c r="N54" s="49"/>
      <c r="O54" s="166">
        <f>O22+O23+O32+O34+O50+O51+O52-O33+O24+O53+O112</f>
        <v>0</v>
      </c>
      <c r="P54" s="49"/>
      <c r="Q54" s="166">
        <f>Q22+Q23+Q32+Q34+Q50+Q51+Q52-Q33+Q24+Q53+Q112</f>
        <v>0</v>
      </c>
      <c r="R54" s="49"/>
      <c r="S54" s="166">
        <f>S22+S23+S32+S34+S50+S51+S52-S33+S24+S53+S112</f>
        <v>0</v>
      </c>
      <c r="T54" s="49"/>
      <c r="U54" s="166">
        <f>U22+U23+U32+U34+U50+U51+U52-U33+U24+U53+U112</f>
        <v>0</v>
      </c>
      <c r="V54" s="49"/>
      <c r="W54" s="166">
        <f>W22+W23+W32+W34+W50+W51+W52-W33+W24+W53+W112</f>
        <v>0</v>
      </c>
      <c r="X54" s="49"/>
      <c r="Y54" s="166">
        <f>Y22+Y23+Y32+Y34+Y50+Y51+Y52-Y33+Y24+Y53+Y112</f>
        <v>0</v>
      </c>
      <c r="Z54" s="49"/>
      <c r="AA54" s="166">
        <f>AA22+AA23+AA32+AA34+AA50+AA51+AA52-AA33+AA24+AA53+AA112</f>
        <v>0</v>
      </c>
      <c r="AB54" s="49"/>
      <c r="AC54" s="166">
        <f>AC22+AC23+AC32+AC34+AC50+AC51+AC52-AC33+AC24+AC53+AC112</f>
        <v>0</v>
      </c>
      <c r="AD54" s="49"/>
      <c r="AE54" s="166">
        <f>AE22+AE23+AE32+AE34+AE50+AE51+AE52-AE33+AE24+AE53+AE112</f>
        <v>0</v>
      </c>
      <c r="AF54" s="49"/>
      <c r="AG54" s="166">
        <f>AG22+AG23+AG32+AG34+AG50+AG51+AG52-AG33+AG24+AG53+AG112</f>
        <v>0</v>
      </c>
      <c r="AH54" s="49"/>
      <c r="AI54" s="166">
        <f>AI22+AI23+AI32+AI34+AI50+AI51+AI52-AI33+AI24+AI53+AI112</f>
        <v>0</v>
      </c>
      <c r="AJ54" s="49"/>
      <c r="AK54" s="166">
        <f>AK22+AK23+AK32+AK34+AK50+AK51+AK52-AK33+AK24+AK53+AK112</f>
        <v>0</v>
      </c>
      <c r="AL54" s="49"/>
      <c r="AM54" s="166">
        <f>AM22+AM23+AM32+AM34+AM50+AM51+AM52-AM33+AM24+AM53+AM112</f>
        <v>0</v>
      </c>
      <c r="AN54" s="49"/>
      <c r="AO54" s="166">
        <f>AO22+AO23+AO32+AO34+AO50+AO51+AO52-AO33+AO24+AO53+AO112</f>
        <v>0</v>
      </c>
      <c r="AP54" s="49"/>
      <c r="AQ54" s="166">
        <f>AQ22+AQ23+AQ32+AQ34+AQ50+AQ51+AQ52-AQ33+AQ24+AQ53+AQ112</f>
        <v>0</v>
      </c>
      <c r="AR54" s="49"/>
      <c r="AS54" s="166">
        <f>AS22+AS23+AS32+AS34+AS50+AS51+AS52-AS33+AS24+AS53+AS112</f>
        <v>0</v>
      </c>
      <c r="AT54" s="49"/>
      <c r="AU54" s="166">
        <f>AU22+AU23+AU32+AU34+AU50+AU51+AU52-AU33+AU24+AU53+AU112</f>
        <v>0</v>
      </c>
      <c r="AV54" s="49"/>
      <c r="AW54" s="166">
        <f>AW22+AW23+AW32+AW34+AW50+AW51+AW52-AW33+AW24+AW53+AW112</f>
        <v>0</v>
      </c>
      <c r="AX54" s="49"/>
      <c r="AY54" s="166">
        <f>AY22+AY23+AY32+AY34+AY50+AY51+AY52-AY33+AY24+AY53+AY112</f>
        <v>0</v>
      </c>
      <c r="AZ54" s="49"/>
      <c r="BA54" s="166">
        <f>BA22+BA23+BA32+BA34+BA50+BA51+BA52-BA33+BA24+BA53+BA112</f>
        <v>0</v>
      </c>
      <c r="BB54" s="49"/>
      <c r="BC54" s="166">
        <f>BC22+BC23+BC32+BC34+BC50+BC51+BC52-BC33+BC24+BC53+BC112</f>
        <v>0</v>
      </c>
      <c r="BD54" s="49"/>
      <c r="BE54" s="166">
        <f>BE22+BE23+BE32+BE34+BE50+BE51+BE52-BE33+BE24+BE53+BE112</f>
        <v>0</v>
      </c>
      <c r="BF54" s="49"/>
      <c r="BG54" s="166">
        <f>BG22+BG23+BG32+BG34+BG50+BG51+BG52-BG33+BG24+BG53+BG112</f>
        <v>0</v>
      </c>
      <c r="BH54" s="49"/>
      <c r="BI54" s="166">
        <f>BI22+BI23+BI32+BI34+BI50+BI51+BI52-BI33+BI24+BI53+BI112</f>
        <v>0</v>
      </c>
      <c r="BJ54" s="49"/>
      <c r="BK54" s="166">
        <f>BK22+BK23+BK32+BK34+BK50+BK51+BK52-BK33+BK24+BK53+BK112</f>
        <v>0</v>
      </c>
      <c r="BL54" s="49"/>
      <c r="BM54" s="48"/>
      <c r="BN54" s="50"/>
      <c r="BO54" s="170">
        <f t="shared" si="2"/>
        <v>0</v>
      </c>
      <c r="BP54" s="49"/>
      <c r="BQ54" s="172">
        <f t="shared" ref="BQ54:BQ59" si="63">IF(BK54="","",BK54)</f>
        <v>0</v>
      </c>
    </row>
    <row r="55" spans="1:76" x14ac:dyDescent="0.35">
      <c r="A55" s="83" t="s">
        <v>16</v>
      </c>
      <c r="B55" s="54"/>
      <c r="C55" s="174" t="str">
        <f>IF('May 2027 Log'!BM55="","",'May 2027 Log'!BM55)</f>
        <v/>
      </c>
      <c r="D55" s="85"/>
      <c r="E55" s="86"/>
      <c r="F55" s="87"/>
      <c r="G55" s="86"/>
      <c r="H55" s="87"/>
      <c r="I55" s="86"/>
      <c r="J55" s="87"/>
      <c r="K55" s="86"/>
      <c r="L55" s="87"/>
      <c r="M55" s="86"/>
      <c r="N55" s="87"/>
      <c r="O55" s="86"/>
      <c r="P55" s="87"/>
      <c r="Q55" s="86"/>
      <c r="R55" s="87"/>
      <c r="S55" s="86"/>
      <c r="T55" s="87"/>
      <c r="U55" s="86"/>
      <c r="V55" s="87"/>
      <c r="W55" s="86"/>
      <c r="X55" s="87"/>
      <c r="Y55" s="86"/>
      <c r="Z55" s="87"/>
      <c r="AA55" s="86"/>
      <c r="AB55" s="87"/>
      <c r="AC55" s="86"/>
      <c r="AD55" s="87"/>
      <c r="AE55" s="86"/>
      <c r="AF55" s="87"/>
      <c r="AG55" s="86"/>
      <c r="AH55" s="87"/>
      <c r="AI55" s="86"/>
      <c r="AJ55" s="87"/>
      <c r="AK55" s="86"/>
      <c r="AL55" s="87"/>
      <c r="AM55" s="86"/>
      <c r="AN55" s="87"/>
      <c r="AO55" s="86"/>
      <c r="AP55" s="87"/>
      <c r="AQ55" s="86"/>
      <c r="AR55" s="87"/>
      <c r="AS55" s="86"/>
      <c r="AT55" s="87"/>
      <c r="AU55" s="86"/>
      <c r="AV55" s="87"/>
      <c r="AW55" s="86"/>
      <c r="AX55" s="87"/>
      <c r="AY55" s="86"/>
      <c r="AZ55" s="87"/>
      <c r="BA55" s="86"/>
      <c r="BB55" s="87"/>
      <c r="BC55" s="86"/>
      <c r="BD55" s="87"/>
      <c r="BE55" s="86"/>
      <c r="BF55" s="87"/>
      <c r="BG55" s="86"/>
      <c r="BH55" s="87"/>
      <c r="BI55" s="86"/>
      <c r="BJ55" s="87"/>
      <c r="BK55" s="86"/>
      <c r="BL55" s="87"/>
      <c r="BM55" s="86"/>
      <c r="BN55" s="50"/>
      <c r="BO55" s="170" t="str">
        <f t="shared" si="2"/>
        <v/>
      </c>
      <c r="BP55" s="87"/>
      <c r="BQ55" s="178" t="str">
        <f t="shared" si="63"/>
        <v/>
      </c>
    </row>
    <row r="56" spans="1:76" x14ac:dyDescent="0.35">
      <c r="A56" s="83" t="s">
        <v>17</v>
      </c>
      <c r="B56" s="54"/>
      <c r="C56" s="174" t="str">
        <f>IF('May 2027 Log'!BM56="","",'May 2027 Log'!BM56)</f>
        <v/>
      </c>
      <c r="D56" s="85"/>
      <c r="E56" s="86"/>
      <c r="F56" s="87"/>
      <c r="G56" s="86"/>
      <c r="H56" s="87"/>
      <c r="I56" s="86"/>
      <c r="J56" s="87"/>
      <c r="K56" s="86"/>
      <c r="L56" s="87"/>
      <c r="M56" s="86"/>
      <c r="N56" s="87"/>
      <c r="O56" s="86"/>
      <c r="P56" s="87"/>
      <c r="Q56" s="86"/>
      <c r="R56" s="87"/>
      <c r="S56" s="86"/>
      <c r="T56" s="87"/>
      <c r="U56" s="86"/>
      <c r="V56" s="87"/>
      <c r="W56" s="86"/>
      <c r="X56" s="87"/>
      <c r="Y56" s="86"/>
      <c r="Z56" s="87"/>
      <c r="AA56" s="86"/>
      <c r="AB56" s="87"/>
      <c r="AC56" s="86"/>
      <c r="AD56" s="87"/>
      <c r="AE56" s="86"/>
      <c r="AF56" s="87"/>
      <c r="AG56" s="86"/>
      <c r="AH56" s="87"/>
      <c r="AI56" s="86"/>
      <c r="AJ56" s="87"/>
      <c r="AK56" s="86"/>
      <c r="AL56" s="87"/>
      <c r="AM56" s="86"/>
      <c r="AN56" s="87"/>
      <c r="AO56" s="86"/>
      <c r="AP56" s="87"/>
      <c r="AQ56" s="86"/>
      <c r="AR56" s="87"/>
      <c r="AS56" s="86"/>
      <c r="AT56" s="87"/>
      <c r="AU56" s="86"/>
      <c r="AV56" s="87"/>
      <c r="AW56" s="86"/>
      <c r="AX56" s="87"/>
      <c r="AY56" s="86"/>
      <c r="AZ56" s="87"/>
      <c r="BA56" s="86"/>
      <c r="BB56" s="87"/>
      <c r="BC56" s="86"/>
      <c r="BD56" s="87"/>
      <c r="BE56" s="86"/>
      <c r="BF56" s="87"/>
      <c r="BG56" s="86"/>
      <c r="BH56" s="87"/>
      <c r="BI56" s="86"/>
      <c r="BJ56" s="87"/>
      <c r="BK56" s="86"/>
      <c r="BL56" s="87"/>
      <c r="BM56" s="86"/>
      <c r="BN56" s="50"/>
      <c r="BO56" s="170" t="str">
        <f t="shared" si="2"/>
        <v/>
      </c>
      <c r="BP56" s="87"/>
      <c r="BQ56" s="178" t="str">
        <f t="shared" si="63"/>
        <v/>
      </c>
    </row>
    <row r="57" spans="1:76" x14ac:dyDescent="0.35">
      <c r="A57" s="89" t="s">
        <v>18</v>
      </c>
      <c r="B57" s="90"/>
      <c r="C57" s="174">
        <f>IF('May 2027 Log'!BM57="","",'May 2027 Log'!BM57)</f>
        <v>0</v>
      </c>
      <c r="D57" s="47"/>
      <c r="E57" s="166">
        <f>SUM(E55:E56)</f>
        <v>0</v>
      </c>
      <c r="F57" s="49"/>
      <c r="G57" s="166">
        <f>SUM(G55:G56)</f>
        <v>0</v>
      </c>
      <c r="H57" s="49"/>
      <c r="I57" s="166">
        <f>SUM(I55:I56)</f>
        <v>0</v>
      </c>
      <c r="J57" s="49"/>
      <c r="K57" s="166">
        <f>SUM(K55:K56)</f>
        <v>0</v>
      </c>
      <c r="L57" s="49"/>
      <c r="M57" s="166">
        <f>SUM(M55:M56)</f>
        <v>0</v>
      </c>
      <c r="N57" s="49"/>
      <c r="O57" s="166">
        <f>SUM(O55:O56)</f>
        <v>0</v>
      </c>
      <c r="P57" s="49"/>
      <c r="Q57" s="166">
        <f>SUM(Q55:Q56)</f>
        <v>0</v>
      </c>
      <c r="R57" s="49"/>
      <c r="S57" s="166">
        <f>SUM(S55:S56)</f>
        <v>0</v>
      </c>
      <c r="T57" s="49"/>
      <c r="U57" s="166">
        <f>SUM(U55:U56)</f>
        <v>0</v>
      </c>
      <c r="V57" s="49"/>
      <c r="W57" s="166">
        <f>SUM(W55:W56)</f>
        <v>0</v>
      </c>
      <c r="X57" s="49"/>
      <c r="Y57" s="166">
        <f>SUM(Y55:Y56)</f>
        <v>0</v>
      </c>
      <c r="Z57" s="49"/>
      <c r="AA57" s="166">
        <f>SUM(AA55:AA56)</f>
        <v>0</v>
      </c>
      <c r="AB57" s="49"/>
      <c r="AC57" s="166">
        <f>SUM(AC55:AC56)</f>
        <v>0</v>
      </c>
      <c r="AD57" s="49"/>
      <c r="AE57" s="166">
        <f>SUM(AE55:AE56)</f>
        <v>0</v>
      </c>
      <c r="AF57" s="49"/>
      <c r="AG57" s="166">
        <f>SUM(AG55:AG56)</f>
        <v>0</v>
      </c>
      <c r="AH57" s="49"/>
      <c r="AI57" s="166">
        <f>SUM(AI55:AI56)</f>
        <v>0</v>
      </c>
      <c r="AJ57" s="49"/>
      <c r="AK57" s="166">
        <f>SUM(AK55:AK56)</f>
        <v>0</v>
      </c>
      <c r="AL57" s="49"/>
      <c r="AM57" s="166">
        <f>SUM(AM55:AM56)</f>
        <v>0</v>
      </c>
      <c r="AN57" s="49"/>
      <c r="AO57" s="166">
        <f>SUM(AO55:AO56)</f>
        <v>0</v>
      </c>
      <c r="AP57" s="49"/>
      <c r="AQ57" s="166">
        <f>SUM(AQ55:AQ56)</f>
        <v>0</v>
      </c>
      <c r="AR57" s="49"/>
      <c r="AS57" s="166">
        <f>SUM(AS55:AS56)</f>
        <v>0</v>
      </c>
      <c r="AT57" s="49"/>
      <c r="AU57" s="166">
        <f>SUM(AU55:AU56)</f>
        <v>0</v>
      </c>
      <c r="AV57" s="49"/>
      <c r="AW57" s="166">
        <f>SUM(AW55:AW56)</f>
        <v>0</v>
      </c>
      <c r="AX57" s="49"/>
      <c r="AY57" s="166">
        <f>SUM(AY55:AY56)</f>
        <v>0</v>
      </c>
      <c r="AZ57" s="49"/>
      <c r="BA57" s="166">
        <f>SUM(BA55:BA56)</f>
        <v>0</v>
      </c>
      <c r="BB57" s="49"/>
      <c r="BC57" s="166">
        <f>SUM(BC55:BC56)</f>
        <v>0</v>
      </c>
      <c r="BD57" s="49"/>
      <c r="BE57" s="166">
        <f>SUM(BE55:BE56)</f>
        <v>0</v>
      </c>
      <c r="BF57" s="49"/>
      <c r="BG57" s="166">
        <f>SUM(BG55:BG56)</f>
        <v>0</v>
      </c>
      <c r="BH57" s="49"/>
      <c r="BI57" s="166">
        <f>SUM(BI55:BI56)</f>
        <v>0</v>
      </c>
      <c r="BJ57" s="49"/>
      <c r="BK57" s="166">
        <f>SUM(BK55:BK56)</f>
        <v>0</v>
      </c>
      <c r="BL57" s="49"/>
      <c r="BM57" s="48"/>
      <c r="BN57" s="50"/>
      <c r="BO57" s="170">
        <f t="shared" si="2"/>
        <v>0</v>
      </c>
      <c r="BP57" s="49"/>
      <c r="BQ57" s="172">
        <f t="shared" si="63"/>
        <v>0</v>
      </c>
    </row>
    <row r="58" spans="1:76" x14ac:dyDescent="0.35">
      <c r="A58" s="108" t="s">
        <v>19</v>
      </c>
      <c r="B58" s="109"/>
      <c r="C58" s="174">
        <f>IF('May 2027 Log'!BM58="","",'May 2027 Log'!BM58)</f>
        <v>0</v>
      </c>
      <c r="D58" s="47"/>
      <c r="E58" s="166">
        <f>+E54-E57</f>
        <v>0</v>
      </c>
      <c r="F58" s="49"/>
      <c r="G58" s="166">
        <f>+G54-G57</f>
        <v>0</v>
      </c>
      <c r="H58" s="49"/>
      <c r="I58" s="166">
        <f>+I54-I57</f>
        <v>0</v>
      </c>
      <c r="J58" s="49"/>
      <c r="K58" s="166">
        <f>+K54-K57</f>
        <v>0</v>
      </c>
      <c r="L58" s="49"/>
      <c r="M58" s="166">
        <f>+M54-M57</f>
        <v>0</v>
      </c>
      <c r="N58" s="49"/>
      <c r="O58" s="166">
        <f>+O54-O57</f>
        <v>0</v>
      </c>
      <c r="P58" s="49"/>
      <c r="Q58" s="166">
        <f>+Q54-Q57</f>
        <v>0</v>
      </c>
      <c r="R58" s="49"/>
      <c r="S58" s="166">
        <f>+S54-S57</f>
        <v>0</v>
      </c>
      <c r="T58" s="49"/>
      <c r="U58" s="166">
        <f>+U54-U57</f>
        <v>0</v>
      </c>
      <c r="V58" s="49"/>
      <c r="W58" s="166">
        <f>+W54-W57</f>
        <v>0</v>
      </c>
      <c r="X58" s="49"/>
      <c r="Y58" s="166">
        <f>+Y54-Y57</f>
        <v>0</v>
      </c>
      <c r="Z58" s="49"/>
      <c r="AA58" s="166">
        <f>+AA54-AA57</f>
        <v>0</v>
      </c>
      <c r="AB58" s="49"/>
      <c r="AC58" s="166">
        <f>+AC54-AC57</f>
        <v>0</v>
      </c>
      <c r="AD58" s="49"/>
      <c r="AE58" s="166">
        <f>+AE54-AE57</f>
        <v>0</v>
      </c>
      <c r="AF58" s="49"/>
      <c r="AG58" s="166">
        <f>+AG54-AG57</f>
        <v>0</v>
      </c>
      <c r="AH58" s="49"/>
      <c r="AI58" s="166">
        <f>+AI54-AI57</f>
        <v>0</v>
      </c>
      <c r="AJ58" s="49"/>
      <c r="AK58" s="166">
        <f>+AK54-AK57</f>
        <v>0</v>
      </c>
      <c r="AL58" s="49"/>
      <c r="AM58" s="166">
        <f>+AM54-AM57</f>
        <v>0</v>
      </c>
      <c r="AN58" s="49"/>
      <c r="AO58" s="166">
        <f>+AO54-AO57</f>
        <v>0</v>
      </c>
      <c r="AP58" s="49"/>
      <c r="AQ58" s="166">
        <f>+AQ54-AQ57</f>
        <v>0</v>
      </c>
      <c r="AR58" s="49"/>
      <c r="AS58" s="166">
        <f>+AS54-AS57</f>
        <v>0</v>
      </c>
      <c r="AT58" s="49"/>
      <c r="AU58" s="166">
        <f>+AU54-AU57</f>
        <v>0</v>
      </c>
      <c r="AV58" s="49"/>
      <c r="AW58" s="166">
        <f>+AW54-AW57</f>
        <v>0</v>
      </c>
      <c r="AX58" s="49"/>
      <c r="AY58" s="166">
        <f>+AY54-AY57</f>
        <v>0</v>
      </c>
      <c r="AZ58" s="49"/>
      <c r="BA58" s="166">
        <f>+BA54-BA57</f>
        <v>0</v>
      </c>
      <c r="BB58" s="49"/>
      <c r="BC58" s="166">
        <f>+BC54-BC57</f>
        <v>0</v>
      </c>
      <c r="BD58" s="49"/>
      <c r="BE58" s="166">
        <f>+BE54-BE57</f>
        <v>0</v>
      </c>
      <c r="BF58" s="49"/>
      <c r="BG58" s="166">
        <f>+BG54-BG57</f>
        <v>0</v>
      </c>
      <c r="BH58" s="49"/>
      <c r="BI58" s="166">
        <f>+BI54-BI57</f>
        <v>0</v>
      </c>
      <c r="BJ58" s="49"/>
      <c r="BK58" s="166">
        <f>+BK54-BK57</f>
        <v>0</v>
      </c>
      <c r="BL58" s="49"/>
      <c r="BM58" s="48"/>
      <c r="BN58" s="50"/>
      <c r="BO58" s="170">
        <f t="shared" si="2"/>
        <v>0</v>
      </c>
      <c r="BP58" s="49"/>
      <c r="BQ58" s="172">
        <f t="shared" si="63"/>
        <v>0</v>
      </c>
    </row>
    <row r="59" spans="1:76" x14ac:dyDescent="0.35">
      <c r="A59" s="108" t="s">
        <v>20</v>
      </c>
      <c r="B59" s="109"/>
      <c r="C59" s="174">
        <f>IF('May 2027 Log'!BM59="","",'May 2027 Log'!BM59)</f>
        <v>0</v>
      </c>
      <c r="D59" s="47"/>
      <c r="E59" s="166">
        <f>-E25+E26</f>
        <v>0</v>
      </c>
      <c r="F59" s="49"/>
      <c r="G59" s="166">
        <f>-G25+G26</f>
        <v>0</v>
      </c>
      <c r="H59" s="49"/>
      <c r="I59" s="166">
        <f>-I25+I26</f>
        <v>0</v>
      </c>
      <c r="J59" s="49"/>
      <c r="K59" s="166">
        <f>-K25+K26</f>
        <v>0</v>
      </c>
      <c r="L59" s="49"/>
      <c r="M59" s="166">
        <f>-M25+M26</f>
        <v>0</v>
      </c>
      <c r="N59" s="49"/>
      <c r="O59" s="166">
        <f>-O25+O26</f>
        <v>0</v>
      </c>
      <c r="P59" s="49"/>
      <c r="Q59" s="166">
        <f>-Q25+Q26</f>
        <v>0</v>
      </c>
      <c r="R59" s="49"/>
      <c r="S59" s="166">
        <f>-S25+S26</f>
        <v>0</v>
      </c>
      <c r="T59" s="49"/>
      <c r="U59" s="166">
        <f>-U25+U26</f>
        <v>0</v>
      </c>
      <c r="V59" s="49"/>
      <c r="W59" s="166">
        <f>-W25+W26</f>
        <v>0</v>
      </c>
      <c r="X59" s="49"/>
      <c r="Y59" s="166">
        <f>-Y25+Y26</f>
        <v>0</v>
      </c>
      <c r="Z59" s="49"/>
      <c r="AA59" s="166">
        <f>-AA25+AA26</f>
        <v>0</v>
      </c>
      <c r="AB59" s="49"/>
      <c r="AC59" s="166">
        <f>-AC25+AC26</f>
        <v>0</v>
      </c>
      <c r="AD59" s="49"/>
      <c r="AE59" s="166">
        <f>-AE25+AE26</f>
        <v>0</v>
      </c>
      <c r="AF59" s="49"/>
      <c r="AG59" s="166">
        <f>-AG25+AG26</f>
        <v>0</v>
      </c>
      <c r="AH59" s="49"/>
      <c r="AI59" s="166">
        <f>-AI25+AI26</f>
        <v>0</v>
      </c>
      <c r="AJ59" s="49"/>
      <c r="AK59" s="166">
        <f>-AK25+AK26</f>
        <v>0</v>
      </c>
      <c r="AL59" s="49"/>
      <c r="AM59" s="166">
        <f>-AM25+AM26</f>
        <v>0</v>
      </c>
      <c r="AN59" s="49"/>
      <c r="AO59" s="166">
        <f>-AO25+AO26</f>
        <v>0</v>
      </c>
      <c r="AP59" s="49"/>
      <c r="AQ59" s="166">
        <f>-AQ25+AQ26</f>
        <v>0</v>
      </c>
      <c r="AR59" s="49"/>
      <c r="AS59" s="166">
        <f>-AS25+AS26</f>
        <v>0</v>
      </c>
      <c r="AT59" s="49"/>
      <c r="AU59" s="166">
        <f>-AU25+AU26</f>
        <v>0</v>
      </c>
      <c r="AV59" s="49"/>
      <c r="AW59" s="166">
        <f>-AW25+AW26</f>
        <v>0</v>
      </c>
      <c r="AX59" s="49"/>
      <c r="AY59" s="166">
        <f>-AY25+AY26</f>
        <v>0</v>
      </c>
      <c r="AZ59" s="49"/>
      <c r="BA59" s="166">
        <f>-BA25+BA26</f>
        <v>0</v>
      </c>
      <c r="BB59" s="49"/>
      <c r="BC59" s="166">
        <f>-BC25+BC26</f>
        <v>0</v>
      </c>
      <c r="BD59" s="49"/>
      <c r="BE59" s="166">
        <f>-BE25+BE26</f>
        <v>0</v>
      </c>
      <c r="BF59" s="49"/>
      <c r="BG59" s="166">
        <f>-BG25+BG26</f>
        <v>0</v>
      </c>
      <c r="BH59" s="49"/>
      <c r="BI59" s="166">
        <f>-BI25+BI26</f>
        <v>0</v>
      </c>
      <c r="BJ59" s="49"/>
      <c r="BK59" s="166">
        <f>-BK25+BK26</f>
        <v>0</v>
      </c>
      <c r="BL59" s="49"/>
      <c r="BM59" s="48"/>
      <c r="BN59" s="50"/>
      <c r="BO59" s="170">
        <f t="shared" si="2"/>
        <v>0</v>
      </c>
      <c r="BP59" s="49"/>
      <c r="BQ59" s="172">
        <f t="shared" si="63"/>
        <v>0</v>
      </c>
    </row>
    <row r="60" spans="1:76" x14ac:dyDescent="0.35">
      <c r="A60" s="74"/>
      <c r="B60" s="75"/>
      <c r="C60" s="141"/>
      <c r="D60" s="102"/>
      <c r="E60" s="142"/>
      <c r="F60" s="104"/>
      <c r="G60" s="142"/>
      <c r="H60" s="104"/>
      <c r="I60" s="142"/>
      <c r="J60" s="104"/>
      <c r="K60" s="142"/>
      <c r="L60" s="104"/>
      <c r="M60" s="142"/>
      <c r="N60" s="104"/>
      <c r="O60" s="142"/>
      <c r="P60" s="104"/>
      <c r="Q60" s="142"/>
      <c r="R60" s="104"/>
      <c r="S60" s="142"/>
      <c r="T60" s="104"/>
      <c r="U60" s="142"/>
      <c r="V60" s="104"/>
      <c r="W60" s="142"/>
      <c r="X60" s="104"/>
      <c r="Y60" s="142"/>
      <c r="Z60" s="104"/>
      <c r="AA60" s="142"/>
      <c r="AB60" s="104"/>
      <c r="AC60" s="142"/>
      <c r="AD60" s="104"/>
      <c r="AE60" s="142"/>
      <c r="AF60" s="104"/>
      <c r="AG60" s="142"/>
      <c r="AH60" s="104"/>
      <c r="AI60" s="142"/>
      <c r="AJ60" s="104"/>
      <c r="AK60" s="142"/>
      <c r="AL60" s="104"/>
      <c r="AM60" s="142"/>
      <c r="AN60" s="104"/>
      <c r="AO60" s="142"/>
      <c r="AP60" s="104"/>
      <c r="AQ60" s="142"/>
      <c r="AR60" s="104"/>
      <c r="AS60" s="142"/>
      <c r="AT60" s="104"/>
      <c r="AU60" s="142"/>
      <c r="AV60" s="104"/>
      <c r="AW60" s="142"/>
      <c r="AX60" s="104"/>
      <c r="AY60" s="142"/>
      <c r="AZ60" s="104"/>
      <c r="BA60" s="142"/>
      <c r="BB60" s="104"/>
      <c r="BC60" s="142"/>
      <c r="BD60" s="104"/>
      <c r="BE60" s="142"/>
      <c r="BF60" s="104"/>
      <c r="BG60" s="142"/>
      <c r="BH60" s="104"/>
      <c r="BI60" s="142"/>
      <c r="BJ60" s="104"/>
      <c r="BK60" s="142"/>
      <c r="BL60" s="104"/>
      <c r="BM60" s="142"/>
      <c r="BN60" s="105"/>
      <c r="BO60" s="106"/>
      <c r="BP60" s="104"/>
      <c r="BQ60" s="107"/>
    </row>
    <row r="61" spans="1:76" s="8" customFormat="1" x14ac:dyDescent="0.35">
      <c r="A61" s="213" t="s">
        <v>68</v>
      </c>
      <c r="B61" s="214"/>
      <c r="C61" s="215"/>
      <c r="D61" s="47"/>
      <c r="E61" s="166" t="e">
        <f t="shared" ref="E61" si="64">+E73-D67</f>
        <v>#VALUE!</v>
      </c>
      <c r="F61" s="49"/>
      <c r="G61" s="166">
        <f t="shared" ref="G61" si="65">+G73-F67</f>
        <v>0</v>
      </c>
      <c r="H61" s="49"/>
      <c r="I61" s="166">
        <f t="shared" ref="I61" si="66">+I73-H67</f>
        <v>0</v>
      </c>
      <c r="J61" s="49"/>
      <c r="K61" s="166">
        <f t="shared" ref="K61" si="67">+K73-J67</f>
        <v>0</v>
      </c>
      <c r="L61" s="49"/>
      <c r="M61" s="166">
        <f t="shared" ref="M61" si="68">+M73-L67</f>
        <v>0</v>
      </c>
      <c r="N61" s="49"/>
      <c r="O61" s="166">
        <f t="shared" ref="O61" si="69">+O73-N67</f>
        <v>0</v>
      </c>
      <c r="P61" s="49"/>
      <c r="Q61" s="166">
        <f t="shared" ref="Q61" si="70">+Q73-P67</f>
        <v>0</v>
      </c>
      <c r="R61" s="49"/>
      <c r="S61" s="166">
        <f t="shared" ref="S61" si="71">+S73-R67</f>
        <v>0</v>
      </c>
      <c r="T61" s="49"/>
      <c r="U61" s="166">
        <f t="shared" ref="U61" si="72">+U73-T67</f>
        <v>0</v>
      </c>
      <c r="V61" s="49"/>
      <c r="W61" s="166">
        <f t="shared" ref="W61" si="73">+W73-V67</f>
        <v>0</v>
      </c>
      <c r="X61" s="49"/>
      <c r="Y61" s="166">
        <f t="shared" ref="Y61" si="74">+Y73-X67</f>
        <v>0</v>
      </c>
      <c r="Z61" s="49"/>
      <c r="AA61" s="166">
        <f t="shared" ref="AA61" si="75">+AA73-Z67</f>
        <v>0</v>
      </c>
      <c r="AB61" s="49"/>
      <c r="AC61" s="166">
        <f t="shared" ref="AC61" si="76">+AC73-AB67</f>
        <v>0</v>
      </c>
      <c r="AD61" s="49"/>
      <c r="AE61" s="166">
        <f t="shared" ref="AE61" si="77">+AE73-AD67</f>
        <v>0</v>
      </c>
      <c r="AF61" s="49"/>
      <c r="AG61" s="166">
        <f t="shared" ref="AG61" si="78">+AG73-AF67</f>
        <v>0</v>
      </c>
      <c r="AH61" s="49"/>
      <c r="AI61" s="166">
        <f t="shared" ref="AI61" si="79">+AI73-AH67</f>
        <v>0</v>
      </c>
      <c r="AJ61" s="49"/>
      <c r="AK61" s="166">
        <f t="shared" ref="AK61" si="80">+AK73-AJ67</f>
        <v>0</v>
      </c>
      <c r="AL61" s="49"/>
      <c r="AM61" s="166">
        <f t="shared" ref="AM61" si="81">+AM73-AL67</f>
        <v>0</v>
      </c>
      <c r="AN61" s="49"/>
      <c r="AO61" s="166">
        <f t="shared" ref="AO61" si="82">+AO73-AN67</f>
        <v>0</v>
      </c>
      <c r="AP61" s="49"/>
      <c r="AQ61" s="166">
        <f t="shared" ref="AQ61" si="83">+AQ73-AP67</f>
        <v>0</v>
      </c>
      <c r="AR61" s="49"/>
      <c r="AS61" s="166">
        <f t="shared" ref="AS61" si="84">+AS73-AR67</f>
        <v>0</v>
      </c>
      <c r="AT61" s="49"/>
      <c r="AU61" s="166">
        <f t="shared" ref="AU61" si="85">+AU73-AT67</f>
        <v>0</v>
      </c>
      <c r="AV61" s="49"/>
      <c r="AW61" s="166">
        <f t="shared" ref="AW61" si="86">+AW73-AV67</f>
        <v>0</v>
      </c>
      <c r="AX61" s="49"/>
      <c r="AY61" s="166">
        <f t="shared" ref="AY61" si="87">+AY73-AX67</f>
        <v>0</v>
      </c>
      <c r="AZ61" s="49"/>
      <c r="BA61" s="166">
        <f t="shared" ref="BA61" si="88">+BA73-AZ67</f>
        <v>0</v>
      </c>
      <c r="BB61" s="49"/>
      <c r="BC61" s="166">
        <f t="shared" ref="BC61" si="89">+BC73-BB67</f>
        <v>0</v>
      </c>
      <c r="BD61" s="49"/>
      <c r="BE61" s="166">
        <f t="shared" ref="BE61" si="90">+BE73-BD67</f>
        <v>0</v>
      </c>
      <c r="BF61" s="49"/>
      <c r="BG61" s="166">
        <f>+BG73-BF67</f>
        <v>0</v>
      </c>
      <c r="BH61" s="49"/>
      <c r="BI61" s="166">
        <f>+BI73-BH67</f>
        <v>0</v>
      </c>
      <c r="BJ61" s="49"/>
      <c r="BK61" s="166">
        <f t="shared" ref="BK61" si="91">+BK73-BJ67</f>
        <v>0</v>
      </c>
      <c r="BL61" s="49"/>
      <c r="BM61" s="48"/>
      <c r="BN61" s="50"/>
      <c r="BO61" s="170" t="e">
        <f>IF(COUNT(E61,G61,I61,K61,M61,O61,Q61,S61,U61,W61,Y61,AA61,AC61,AE61,AG61,AI61,AK61,AM61,AO61,AQ61,AS61,AU61,AW61,AY61,BA61,BC61,BE61,BG61,BI61,BK61,BM61)=0,"",SUM(E61,G61,I61,K61,M61,O61,Q61,S61,U61,W61,Y61,AA61,AC61,AE61,AG61,AI61,AK61,AM61,AO61,AQ61,AS61,AU61,AW61,AY61,BA61,BC61,BE61,BG61,BI61,BK61,BM61))</f>
        <v>#VALUE!</v>
      </c>
      <c r="BP61" s="49"/>
      <c r="BQ61" s="52"/>
      <c r="BR61"/>
      <c r="BS61"/>
      <c r="BT61"/>
      <c r="BU61"/>
      <c r="BV61"/>
      <c r="BW61"/>
      <c r="BX61"/>
    </row>
    <row r="62" spans="1:76" x14ac:dyDescent="0.35">
      <c r="A62" s="53" t="s">
        <v>24</v>
      </c>
      <c r="B62" s="187" t="e">
        <f>C62-C106</f>
        <v>#VALUE!</v>
      </c>
      <c r="C62" s="174" t="str">
        <f>IF('May 2027 Log'!BM62="","",'May 2027 Log'!BM62)</f>
        <v/>
      </c>
      <c r="D62" s="189" t="e">
        <f>+C62-E62+E106</f>
        <v>#VALUE!</v>
      </c>
      <c r="E62" s="48"/>
      <c r="F62" s="167">
        <f>+E62-G62+G106</f>
        <v>0</v>
      </c>
      <c r="G62" s="48"/>
      <c r="H62" s="167">
        <f>+G62-I62+I106</f>
        <v>0</v>
      </c>
      <c r="I62" s="48"/>
      <c r="J62" s="167">
        <f>+I62-K62+K106</f>
        <v>0</v>
      </c>
      <c r="K62" s="48"/>
      <c r="L62" s="167">
        <f>+K62-M62+M106</f>
        <v>0</v>
      </c>
      <c r="M62" s="48"/>
      <c r="N62" s="167">
        <f>+M62-O62+O106</f>
        <v>0</v>
      </c>
      <c r="O62" s="48"/>
      <c r="P62" s="167">
        <f>+O62-Q62+Q106</f>
        <v>0</v>
      </c>
      <c r="Q62" s="48"/>
      <c r="R62" s="167">
        <f>+Q62-S62+S106</f>
        <v>0</v>
      </c>
      <c r="S62" s="48"/>
      <c r="T62" s="167">
        <f>+S62-U62+U106</f>
        <v>0</v>
      </c>
      <c r="U62" s="48"/>
      <c r="V62" s="167">
        <f>+U62-W62+W106</f>
        <v>0</v>
      </c>
      <c r="W62" s="48"/>
      <c r="X62" s="167">
        <f>+W62-Y62+Y106</f>
        <v>0</v>
      </c>
      <c r="Y62" s="48"/>
      <c r="Z62" s="167">
        <f>+Y62-AA62+AA106</f>
        <v>0</v>
      </c>
      <c r="AA62" s="48"/>
      <c r="AB62" s="167">
        <f>+AA62-AC62+AC106</f>
        <v>0</v>
      </c>
      <c r="AC62" s="48"/>
      <c r="AD62" s="167">
        <f>+AC62-AE62+AE106</f>
        <v>0</v>
      </c>
      <c r="AE62" s="48"/>
      <c r="AF62" s="167">
        <f>+AE62-AG62+AG106</f>
        <v>0</v>
      </c>
      <c r="AG62" s="48"/>
      <c r="AH62" s="167">
        <f>+AG62-AI62+AI106</f>
        <v>0</v>
      </c>
      <c r="AI62" s="48"/>
      <c r="AJ62" s="167">
        <f>+AI62-AK62+AK106</f>
        <v>0</v>
      </c>
      <c r="AK62" s="48"/>
      <c r="AL62" s="167">
        <f>+AK62-AM62+AM106</f>
        <v>0</v>
      </c>
      <c r="AM62" s="48"/>
      <c r="AN62" s="167">
        <f>+AM62-AO62+AO106</f>
        <v>0</v>
      </c>
      <c r="AO62" s="48"/>
      <c r="AP62" s="167">
        <f>+AO62-AQ62+AQ106</f>
        <v>0</v>
      </c>
      <c r="AQ62" s="48"/>
      <c r="AR62" s="167">
        <f>+AQ62-AS62+AS106</f>
        <v>0</v>
      </c>
      <c r="AS62" s="48"/>
      <c r="AT62" s="167">
        <f>+AS62-AU62+AU106</f>
        <v>0</v>
      </c>
      <c r="AU62" s="48"/>
      <c r="AV62" s="167">
        <f>+AU62-AW62+AW106</f>
        <v>0</v>
      </c>
      <c r="AW62" s="48"/>
      <c r="AX62" s="167">
        <f>+AW62-AY62+AY106</f>
        <v>0</v>
      </c>
      <c r="AY62" s="48"/>
      <c r="AZ62" s="167">
        <f>+AY62-BA62+BA106</f>
        <v>0</v>
      </c>
      <c r="BA62" s="48"/>
      <c r="BB62" s="167">
        <f>+BA62-BC62+BC106</f>
        <v>0</v>
      </c>
      <c r="BC62" s="48"/>
      <c r="BD62" s="167">
        <f>+BC62-BE62+BE106</f>
        <v>0</v>
      </c>
      <c r="BE62" s="48"/>
      <c r="BF62" s="167">
        <f>+BE62-BG62+BG106</f>
        <v>0</v>
      </c>
      <c r="BG62" s="48"/>
      <c r="BH62" s="167">
        <f>+BG62-BI62+BI106</f>
        <v>0</v>
      </c>
      <c r="BI62" s="48"/>
      <c r="BJ62" s="167">
        <f>+BI62-BK62+BK106</f>
        <v>0</v>
      </c>
      <c r="BK62" s="48"/>
      <c r="BL62" s="49"/>
      <c r="BM62" s="48"/>
      <c r="BN62" s="50"/>
      <c r="BO62" s="170" t="e">
        <f>IF(COUNT(D62,F62,H62,J62,L62,N62,P62,R62,T62,V62,X62,Z62,AB62,AD62,AF62,AH62,AJ62,AL62,AN62,AP62,AR62,AT62,AV62,AX62,AZ62,BB62,BD62,BF62,BH62,BJ62,BL62)=0,"",SUM(D62,F62,H62,J62,L62,N62,P62,R62,T62,V62,X62,Z62,AB62,AD62,AF62,AH62,AJ62,AL62,AN62,AP62,AR62,AT62,AV62,AX62,AZ62,BB62,BD62,BF62,BH62,BJ62,BL62))</f>
        <v>#VALUE!</v>
      </c>
      <c r="BP62" s="167" t="e">
        <f>+BM62-BQ62+BQ106</f>
        <v>#VALUE!</v>
      </c>
      <c r="BQ62" s="178" t="str">
        <f>IF(BK62="","",BK62)</f>
        <v/>
      </c>
    </row>
    <row r="63" spans="1:76" x14ac:dyDescent="0.35">
      <c r="A63" s="53" t="s">
        <v>25</v>
      </c>
      <c r="B63" s="187" t="e">
        <f>C63-C107</f>
        <v>#VALUE!</v>
      </c>
      <c r="C63" s="174" t="str">
        <f>IF('May 2027 Log'!BM63="","",'May 2027 Log'!BM63)</f>
        <v/>
      </c>
      <c r="D63" s="189" t="e">
        <f>+C63-E63+E107</f>
        <v>#VALUE!</v>
      </c>
      <c r="E63" s="48"/>
      <c r="F63" s="167">
        <f>+E63-G63+G107</f>
        <v>0</v>
      </c>
      <c r="G63" s="48"/>
      <c r="H63" s="167">
        <f>+G63-I63+I107</f>
        <v>0</v>
      </c>
      <c r="I63" s="48"/>
      <c r="J63" s="167">
        <f>+I63-K63+K107</f>
        <v>0</v>
      </c>
      <c r="K63" s="48"/>
      <c r="L63" s="167">
        <f>+K63-M63+M107</f>
        <v>0</v>
      </c>
      <c r="M63" s="48"/>
      <c r="N63" s="167">
        <f>+M63-O63+O107</f>
        <v>0</v>
      </c>
      <c r="O63" s="48"/>
      <c r="P63" s="167">
        <f>+O63-Q63+Q107</f>
        <v>0</v>
      </c>
      <c r="Q63" s="48"/>
      <c r="R63" s="167">
        <f>+Q63-S63+S107</f>
        <v>0</v>
      </c>
      <c r="S63" s="48"/>
      <c r="T63" s="167">
        <f>+S63-U63+U107</f>
        <v>0</v>
      </c>
      <c r="U63" s="48"/>
      <c r="V63" s="167">
        <f>+U63-W63+W107</f>
        <v>0</v>
      </c>
      <c r="W63" s="48"/>
      <c r="X63" s="167">
        <f>+W63-Y63+Y107</f>
        <v>0</v>
      </c>
      <c r="Y63" s="48"/>
      <c r="Z63" s="167">
        <f>+Y63-AA63+AA107</f>
        <v>0</v>
      </c>
      <c r="AA63" s="48"/>
      <c r="AB63" s="167">
        <f>+AA63-AC63+AC107</f>
        <v>0</v>
      </c>
      <c r="AC63" s="48"/>
      <c r="AD63" s="167">
        <f>+AC63-AE63+AE107</f>
        <v>0</v>
      </c>
      <c r="AE63" s="48"/>
      <c r="AF63" s="167">
        <f>+AE63-AG63+AG107</f>
        <v>0</v>
      </c>
      <c r="AG63" s="48"/>
      <c r="AH63" s="167">
        <f>+AG63-AI63+AI107</f>
        <v>0</v>
      </c>
      <c r="AI63" s="48"/>
      <c r="AJ63" s="167">
        <f>+AI63-AK63+AK107</f>
        <v>0</v>
      </c>
      <c r="AK63" s="48"/>
      <c r="AL63" s="167">
        <f>+AK63-AM63+AM107</f>
        <v>0</v>
      </c>
      <c r="AM63" s="48"/>
      <c r="AN63" s="167">
        <f>+AM63-AO63+AO107</f>
        <v>0</v>
      </c>
      <c r="AO63" s="48"/>
      <c r="AP63" s="167">
        <f>+AO63-AQ63+AQ107</f>
        <v>0</v>
      </c>
      <c r="AQ63" s="48"/>
      <c r="AR63" s="167">
        <f>+AQ63-AS63+AS107</f>
        <v>0</v>
      </c>
      <c r="AS63" s="48"/>
      <c r="AT63" s="167">
        <f>+AS63-AU63+AU107</f>
        <v>0</v>
      </c>
      <c r="AU63" s="48"/>
      <c r="AV63" s="167">
        <f>+AU63-AW63+AW107</f>
        <v>0</v>
      </c>
      <c r="AW63" s="48"/>
      <c r="AX63" s="167">
        <f>+AW63-AY63+AY107</f>
        <v>0</v>
      </c>
      <c r="AY63" s="48"/>
      <c r="AZ63" s="167">
        <f>+AY63-BA63+BA107</f>
        <v>0</v>
      </c>
      <c r="BA63" s="48"/>
      <c r="BB63" s="167">
        <f>+BA63-BC63+BC107</f>
        <v>0</v>
      </c>
      <c r="BC63" s="48"/>
      <c r="BD63" s="167">
        <f>+BC63-BE63+BE107</f>
        <v>0</v>
      </c>
      <c r="BE63" s="48"/>
      <c r="BF63" s="167">
        <f>+BE63-BG63+BG107</f>
        <v>0</v>
      </c>
      <c r="BG63" s="48"/>
      <c r="BH63" s="167">
        <f>+BG63-BI63+BI107</f>
        <v>0</v>
      </c>
      <c r="BI63" s="48"/>
      <c r="BJ63" s="167">
        <f>+BI63-BK63+BK107</f>
        <v>0</v>
      </c>
      <c r="BK63" s="48"/>
      <c r="BL63" s="49"/>
      <c r="BM63" s="48"/>
      <c r="BN63" s="50"/>
      <c r="BO63" s="170" t="e">
        <f>IF(COUNT(D63,F63,H63,J63,L63,N63,P63,R63,T63,V63,X63,Z63,AB63,AD63,AF63,AH63,AJ63,AL63,AN63,AP63,AR63,AT63,AV63,AX63,AZ63,BB63,BD63,BF63,BH63,BJ63,BL63)=0,"",SUM(D63,F63,H63,J63,L63,N63,P63,R63,T63,V63,X63,Z63,AB63,AD63,AF63,AH63,AJ63,AL63,AN63,AP63,AR63,AT63,AV63,AX63,AZ63,BB63,BD63,BF63,BH63,BJ63,BL63))</f>
        <v>#VALUE!</v>
      </c>
      <c r="BP63" s="167" t="e">
        <f>+BM63-BQ63+BQ107</f>
        <v>#VALUE!</v>
      </c>
      <c r="BQ63" s="178" t="str">
        <f>IF(BK63="","",BK63)</f>
        <v/>
      </c>
    </row>
    <row r="64" spans="1:76" x14ac:dyDescent="0.35">
      <c r="A64" s="53" t="s">
        <v>25</v>
      </c>
      <c r="B64" s="187" t="e">
        <f>C64-C108</f>
        <v>#VALUE!</v>
      </c>
      <c r="C64" s="174" t="str">
        <f>IF('May 2027 Log'!BM64="","",'May 2027 Log'!BM64)</f>
        <v/>
      </c>
      <c r="D64" s="189" t="e">
        <f>+C64-E64+E108</f>
        <v>#VALUE!</v>
      </c>
      <c r="E64" s="48"/>
      <c r="F64" s="167">
        <f>+E64-G64+G108</f>
        <v>0</v>
      </c>
      <c r="G64" s="48"/>
      <c r="H64" s="167">
        <f>+G64-I64+I108</f>
        <v>0</v>
      </c>
      <c r="I64" s="48"/>
      <c r="J64" s="167">
        <f>+I64-K64+K108</f>
        <v>0</v>
      </c>
      <c r="K64" s="48"/>
      <c r="L64" s="167">
        <f>+K64-M64+M108</f>
        <v>0</v>
      </c>
      <c r="M64" s="48"/>
      <c r="N64" s="167">
        <f>+M64-O64+O108</f>
        <v>0</v>
      </c>
      <c r="O64" s="48"/>
      <c r="P64" s="167">
        <f>+O64-Q64+Q108</f>
        <v>0</v>
      </c>
      <c r="Q64" s="48"/>
      <c r="R64" s="167">
        <f>+Q64-S64+S108</f>
        <v>0</v>
      </c>
      <c r="S64" s="48"/>
      <c r="T64" s="167">
        <f>+S64-U64+U108</f>
        <v>0</v>
      </c>
      <c r="U64" s="48"/>
      <c r="V64" s="167">
        <f>+U64-W64+W108</f>
        <v>0</v>
      </c>
      <c r="W64" s="48"/>
      <c r="X64" s="167">
        <f>+W64-Y64+Y108</f>
        <v>0</v>
      </c>
      <c r="Y64" s="48"/>
      <c r="Z64" s="167">
        <f>+Y64-AA64+AA108</f>
        <v>0</v>
      </c>
      <c r="AA64" s="48"/>
      <c r="AB64" s="167">
        <f>+AA64-AC64+AC108</f>
        <v>0</v>
      </c>
      <c r="AC64" s="48"/>
      <c r="AD64" s="167">
        <f>+AC64-AE64+AE108</f>
        <v>0</v>
      </c>
      <c r="AE64" s="48"/>
      <c r="AF64" s="167">
        <f>+AE64-AG64+AG108</f>
        <v>0</v>
      </c>
      <c r="AG64" s="48"/>
      <c r="AH64" s="167">
        <f>+AG64-AI64+AI108</f>
        <v>0</v>
      </c>
      <c r="AI64" s="48"/>
      <c r="AJ64" s="167">
        <f>+AI64-AK64+AK108</f>
        <v>0</v>
      </c>
      <c r="AK64" s="48"/>
      <c r="AL64" s="167">
        <f>+AK64-AM64+AM108</f>
        <v>0</v>
      </c>
      <c r="AM64" s="48"/>
      <c r="AN64" s="167">
        <f>+AM64-AO64+AO108</f>
        <v>0</v>
      </c>
      <c r="AO64" s="48"/>
      <c r="AP64" s="167">
        <f>+AO64-AQ64+AQ108</f>
        <v>0</v>
      </c>
      <c r="AQ64" s="48"/>
      <c r="AR64" s="167">
        <f>+AQ64-AS64+AS108</f>
        <v>0</v>
      </c>
      <c r="AS64" s="48"/>
      <c r="AT64" s="167">
        <f>+AS64-AU64+AU108</f>
        <v>0</v>
      </c>
      <c r="AU64" s="48"/>
      <c r="AV64" s="167">
        <f>+AU64-AW64+AW108</f>
        <v>0</v>
      </c>
      <c r="AW64" s="48"/>
      <c r="AX64" s="167">
        <f>+AW64-AY64+AY108</f>
        <v>0</v>
      </c>
      <c r="AY64" s="48"/>
      <c r="AZ64" s="167">
        <f>+AY64-BA64+BA108</f>
        <v>0</v>
      </c>
      <c r="BA64" s="48"/>
      <c r="BB64" s="167">
        <f>+BA64-BC64+BC108</f>
        <v>0</v>
      </c>
      <c r="BC64" s="48"/>
      <c r="BD64" s="167">
        <f>+BC64-BE64+BE108</f>
        <v>0</v>
      </c>
      <c r="BE64" s="48"/>
      <c r="BF64" s="167">
        <f>+BE64-BG64+BG108</f>
        <v>0</v>
      </c>
      <c r="BG64" s="48"/>
      <c r="BH64" s="167">
        <f>+BG64-BI64+BI108</f>
        <v>0</v>
      </c>
      <c r="BI64" s="48"/>
      <c r="BJ64" s="167">
        <f>+BI64-BK64+BK108</f>
        <v>0</v>
      </c>
      <c r="BK64" s="48"/>
      <c r="BL64" s="49"/>
      <c r="BM64" s="48"/>
      <c r="BN64" s="50"/>
      <c r="BO64" s="170" t="e">
        <f>IF(COUNT(D64,F64,H64,J64,L64,N64,P64,R64,T64,V64,X64,Z64,AB64,AD64,AF64,AH64,AJ64,AL64,AN64,AP64,AR64,AT64,AV64,AX64,AZ64,BB64,BD64,BF64,BH64,BJ64,BL64)=0,"",SUM(D64,F64,H64,J64,L64,N64,P64,R64,T64,V64,X64,Z64,AB64,AD64,AF64,AH64,AJ64,AL64,AN64,AP64,AR64,AT64,AV64,AX64,AZ64,BB64,BD64,BF64,BH64,BJ64,BL64))</f>
        <v>#VALUE!</v>
      </c>
      <c r="BP64" s="167" t="e">
        <f>+BM64-BQ64+BQ108</f>
        <v>#VALUE!</v>
      </c>
      <c r="BQ64" s="178" t="str">
        <f>IF(BK64="","",BK64)</f>
        <v/>
      </c>
    </row>
    <row r="65" spans="1:69" x14ac:dyDescent="0.35">
      <c r="A65" s="53" t="s">
        <v>26</v>
      </c>
      <c r="B65" s="187" t="e">
        <f>C65-C109</f>
        <v>#VALUE!</v>
      </c>
      <c r="C65" s="174" t="str">
        <f>IF('May 2027 Log'!BM65="","",'May 2027 Log'!BM65)</f>
        <v/>
      </c>
      <c r="D65" s="189" t="e">
        <f>+C65-E65+E109</f>
        <v>#VALUE!</v>
      </c>
      <c r="E65" s="48"/>
      <c r="F65" s="167">
        <f>+E65-G65+G109</f>
        <v>0</v>
      </c>
      <c r="G65" s="48"/>
      <c r="H65" s="167">
        <f>+G65-I65+I109</f>
        <v>0</v>
      </c>
      <c r="I65" s="48"/>
      <c r="J65" s="167">
        <f>+I65-K65+K109</f>
        <v>0</v>
      </c>
      <c r="K65" s="48"/>
      <c r="L65" s="167">
        <f>+K65-M65+M109</f>
        <v>0</v>
      </c>
      <c r="M65" s="48"/>
      <c r="N65" s="167">
        <f>+M65-O65+O109</f>
        <v>0</v>
      </c>
      <c r="O65" s="48"/>
      <c r="P65" s="167">
        <f>+O65-Q65+Q109</f>
        <v>0</v>
      </c>
      <c r="Q65" s="48"/>
      <c r="R65" s="167">
        <f>+Q65-S65+S109</f>
        <v>0</v>
      </c>
      <c r="S65" s="48"/>
      <c r="T65" s="167">
        <f>+S65-U65+U109</f>
        <v>0</v>
      </c>
      <c r="U65" s="48"/>
      <c r="V65" s="167">
        <f>+U65-W65+W109</f>
        <v>0</v>
      </c>
      <c r="W65" s="48"/>
      <c r="X65" s="167">
        <f>+W65-Y65+Y109</f>
        <v>0</v>
      </c>
      <c r="Y65" s="48"/>
      <c r="Z65" s="167">
        <f>+Y65-AA65+AA109</f>
        <v>0</v>
      </c>
      <c r="AA65" s="48"/>
      <c r="AB65" s="167">
        <f>+AA65-AC65+AC109</f>
        <v>0</v>
      </c>
      <c r="AC65" s="48"/>
      <c r="AD65" s="167">
        <f>+AC65-AE65+AE109</f>
        <v>0</v>
      </c>
      <c r="AE65" s="48"/>
      <c r="AF65" s="167">
        <f>+AE65-AG65+AG109</f>
        <v>0</v>
      </c>
      <c r="AG65" s="48"/>
      <c r="AH65" s="167">
        <f>+AG65-AI65+AI109</f>
        <v>0</v>
      </c>
      <c r="AI65" s="48"/>
      <c r="AJ65" s="167">
        <f>+AI65-AK65+AK109</f>
        <v>0</v>
      </c>
      <c r="AK65" s="48"/>
      <c r="AL65" s="167">
        <f>+AK65-AM65+AM109</f>
        <v>0</v>
      </c>
      <c r="AM65" s="48"/>
      <c r="AN65" s="167">
        <f>+AM65-AO65+AO109</f>
        <v>0</v>
      </c>
      <c r="AO65" s="48"/>
      <c r="AP65" s="167">
        <f>+AO65-AQ65+AQ109</f>
        <v>0</v>
      </c>
      <c r="AQ65" s="48"/>
      <c r="AR65" s="167">
        <f>+AQ65-AS65+AS109</f>
        <v>0</v>
      </c>
      <c r="AS65" s="48"/>
      <c r="AT65" s="167">
        <f>+AS65-AU65+AU109</f>
        <v>0</v>
      </c>
      <c r="AU65" s="48"/>
      <c r="AV65" s="167">
        <f>+AU65-AW65+AW109</f>
        <v>0</v>
      </c>
      <c r="AW65" s="48"/>
      <c r="AX65" s="167">
        <f>+AW65-AY65+AY109</f>
        <v>0</v>
      </c>
      <c r="AY65" s="48"/>
      <c r="AZ65" s="167">
        <f>+AY65-BA65+BA109</f>
        <v>0</v>
      </c>
      <c r="BA65" s="48"/>
      <c r="BB65" s="167">
        <f>+BA65-BC65+BC109</f>
        <v>0</v>
      </c>
      <c r="BC65" s="48"/>
      <c r="BD65" s="167">
        <f>+BC65-BE65+BE109</f>
        <v>0</v>
      </c>
      <c r="BE65" s="48"/>
      <c r="BF65" s="167">
        <f>+BE65-BG65+BG109</f>
        <v>0</v>
      </c>
      <c r="BG65" s="48"/>
      <c r="BH65" s="167">
        <f>+BG65-BI65+BI109</f>
        <v>0</v>
      </c>
      <c r="BI65" s="48"/>
      <c r="BJ65" s="167">
        <f>+BI65-BK65+BK109</f>
        <v>0</v>
      </c>
      <c r="BK65" s="48"/>
      <c r="BL65" s="49"/>
      <c r="BM65" s="48"/>
      <c r="BN65" s="50"/>
      <c r="BO65" s="170" t="e">
        <f>IF(COUNT(D65,F65,H65,J65,L65,N65,P65,R65,T65,V65,X65,Z65,AB65,AD65,AF65,AH65,AJ65,AL65,AN65,AP65,AR65,AT65,AV65,AX65,AZ65,BB65,BD65,BF65,BH65,BJ65,BL65)=0,"",SUM(D65,F65,H65,J65,L65,N65,P65,R65,T65,V65,X65,Z65,AB65,AD65,AF65,AH65,AJ65,AL65,AN65,AP65,AR65,AT65,AV65,AX65,AZ65,BB65,BD65,BF65,BH65,BJ65,BL65))</f>
        <v>#VALUE!</v>
      </c>
      <c r="BP65" s="167" t="e">
        <f>+BM65-BQ65+BQ109</f>
        <v>#VALUE!</v>
      </c>
      <c r="BQ65" s="178" t="str">
        <f>IF(BK65="","",BK65)</f>
        <v/>
      </c>
    </row>
    <row r="66" spans="1:69" x14ac:dyDescent="0.35">
      <c r="A66" s="53" t="s">
        <v>26</v>
      </c>
      <c r="B66" s="187" t="e">
        <f>C66-C110</f>
        <v>#VALUE!</v>
      </c>
      <c r="C66" s="174" t="str">
        <f>IF('May 2027 Log'!BM66="","",'May 2027 Log'!BM66)</f>
        <v/>
      </c>
      <c r="D66" s="189" t="e">
        <f>+C66-E66+E110</f>
        <v>#VALUE!</v>
      </c>
      <c r="E66" s="48"/>
      <c r="F66" s="167">
        <f>+E66-G66+G110</f>
        <v>0</v>
      </c>
      <c r="G66" s="48"/>
      <c r="H66" s="167">
        <f>+G66-I66+I110</f>
        <v>0</v>
      </c>
      <c r="I66" s="48"/>
      <c r="J66" s="167">
        <f>+I66-K66+K110</f>
        <v>0</v>
      </c>
      <c r="K66" s="48"/>
      <c r="L66" s="167">
        <f>+K66-M66+M110</f>
        <v>0</v>
      </c>
      <c r="M66" s="48"/>
      <c r="N66" s="167">
        <f>+M66-O66+O110</f>
        <v>0</v>
      </c>
      <c r="O66" s="48"/>
      <c r="P66" s="167">
        <f>+O66-Q66+Q110</f>
        <v>0</v>
      </c>
      <c r="Q66" s="48"/>
      <c r="R66" s="167">
        <f>+Q66-S66+S110</f>
        <v>0</v>
      </c>
      <c r="S66" s="48"/>
      <c r="T66" s="167">
        <f>+S66-U66+U110</f>
        <v>0</v>
      </c>
      <c r="U66" s="48"/>
      <c r="V66" s="167">
        <f>+U66-W66+W110</f>
        <v>0</v>
      </c>
      <c r="W66" s="48"/>
      <c r="X66" s="167">
        <f>+W66-Y66+Y110</f>
        <v>0</v>
      </c>
      <c r="Y66" s="48"/>
      <c r="Z66" s="167">
        <f>+Y66-AA66+AA110</f>
        <v>0</v>
      </c>
      <c r="AA66" s="48"/>
      <c r="AB66" s="167">
        <f>+AA66-AC66+AC110</f>
        <v>0</v>
      </c>
      <c r="AC66" s="48"/>
      <c r="AD66" s="167">
        <f>+AC66-AE66+AE110</f>
        <v>0</v>
      </c>
      <c r="AE66" s="48"/>
      <c r="AF66" s="167">
        <f>+AE66-AG66+AG110</f>
        <v>0</v>
      </c>
      <c r="AG66" s="48"/>
      <c r="AH66" s="167">
        <f>+AG66-AI66+AI110</f>
        <v>0</v>
      </c>
      <c r="AI66" s="48"/>
      <c r="AJ66" s="167">
        <f>+AI66-AK66+AK110</f>
        <v>0</v>
      </c>
      <c r="AK66" s="48"/>
      <c r="AL66" s="167">
        <f>+AK66-AM66+AM110</f>
        <v>0</v>
      </c>
      <c r="AM66" s="48"/>
      <c r="AN66" s="167">
        <f>+AM66-AO66+AO110</f>
        <v>0</v>
      </c>
      <c r="AO66" s="48"/>
      <c r="AP66" s="167">
        <f>+AO66-AQ66+AQ110</f>
        <v>0</v>
      </c>
      <c r="AQ66" s="48"/>
      <c r="AR66" s="167">
        <f>+AQ66-AS66+AS110</f>
        <v>0</v>
      </c>
      <c r="AS66" s="48"/>
      <c r="AT66" s="167">
        <f>+AS66-AU66+AU110</f>
        <v>0</v>
      </c>
      <c r="AU66" s="48"/>
      <c r="AV66" s="167">
        <f>+AU66-AW66+AW110</f>
        <v>0</v>
      </c>
      <c r="AW66" s="48"/>
      <c r="AX66" s="167">
        <f>+AW66-AY66+AY110</f>
        <v>0</v>
      </c>
      <c r="AY66" s="48"/>
      <c r="AZ66" s="167">
        <f>+AY66-BA66+BA110</f>
        <v>0</v>
      </c>
      <c r="BA66" s="48"/>
      <c r="BB66" s="167">
        <f>+BA66-BC66+BC110</f>
        <v>0</v>
      </c>
      <c r="BC66" s="48"/>
      <c r="BD66" s="167">
        <f>+BC66-BE66+BE110</f>
        <v>0</v>
      </c>
      <c r="BE66" s="48"/>
      <c r="BF66" s="167">
        <f>+BE66-BG66+BG110</f>
        <v>0</v>
      </c>
      <c r="BG66" s="48"/>
      <c r="BH66" s="167">
        <f>+BG66-BI66+BI110</f>
        <v>0</v>
      </c>
      <c r="BI66" s="48"/>
      <c r="BJ66" s="167">
        <f>+BI66-BK66+BK110</f>
        <v>0</v>
      </c>
      <c r="BK66" s="48"/>
      <c r="BL66" s="49"/>
      <c r="BM66" s="48"/>
      <c r="BN66" s="50"/>
      <c r="BO66" s="170" t="e">
        <f>IF(COUNT(D66,F66,H66,J66,L66,N66,P66,R66,T66,V66,X66,Z66,AB66,AD66,AF66,AH66,AJ66,AL66,AN66,AP66,AR66,AT66,AV66,AX66,AZ66,BB66,BD66,BF66,BH66,BJ66,BL66)=0,"",SUM(D66,F66,H66,J66,L66,N66,P66,R66,T66,V66,X66,Z66,AB66,AD66,AF66,AH66,AJ66,AL66,AN66,AP66,AR66,AT66,AV66,AX66,AZ66,BB66,BD66,BF66,BH66,BJ66,BL66))</f>
        <v>#VALUE!</v>
      </c>
      <c r="BP66" s="167" t="e">
        <f>+BM66-BQ66+BQ110</f>
        <v>#VALUE!</v>
      </c>
      <c r="BQ66" s="178" t="str">
        <f>IF(BK66="","",BK66)</f>
        <v/>
      </c>
    </row>
    <row r="67" spans="1:69" x14ac:dyDescent="0.35">
      <c r="A67" s="98"/>
      <c r="B67" s="90"/>
      <c r="C67" s="131"/>
      <c r="D67" s="189" t="e">
        <f>SUM(D62:D66)</f>
        <v>#VALUE!</v>
      </c>
      <c r="E67" s="166" t="e">
        <f>+E73-D73</f>
        <v>#VALUE!</v>
      </c>
      <c r="F67" s="167">
        <f>SUM(F62:F66)</f>
        <v>0</v>
      </c>
      <c r="G67" s="166">
        <f>+G73-F73</f>
        <v>0</v>
      </c>
      <c r="H67" s="167">
        <f>SUM(H62:H66)</f>
        <v>0</v>
      </c>
      <c r="I67" s="166">
        <f>+I73-H73</f>
        <v>0</v>
      </c>
      <c r="J67" s="167">
        <f>SUM(J62:J66)</f>
        <v>0</v>
      </c>
      <c r="K67" s="166">
        <f>+K73-J73</f>
        <v>0</v>
      </c>
      <c r="L67" s="167">
        <f>SUM(L62:L66)</f>
        <v>0</v>
      </c>
      <c r="M67" s="166">
        <f>+M73-L73</f>
        <v>0</v>
      </c>
      <c r="N67" s="167">
        <f>SUM(N62:N66)</f>
        <v>0</v>
      </c>
      <c r="O67" s="166">
        <f>+O73-N73</f>
        <v>0</v>
      </c>
      <c r="P67" s="167">
        <f>SUM(P62:P66)</f>
        <v>0</v>
      </c>
      <c r="Q67" s="166">
        <f>+Q73-P73</f>
        <v>0</v>
      </c>
      <c r="R67" s="167">
        <f>SUM(R62:R66)</f>
        <v>0</v>
      </c>
      <c r="S67" s="166">
        <f>+S73-R73</f>
        <v>0</v>
      </c>
      <c r="T67" s="167">
        <f>SUM(T62:T66)</f>
        <v>0</v>
      </c>
      <c r="U67" s="166">
        <f>+U73-T73</f>
        <v>0</v>
      </c>
      <c r="V67" s="167">
        <f>SUM(V62:V66)</f>
        <v>0</v>
      </c>
      <c r="W67" s="166">
        <f>+W73-V73</f>
        <v>0</v>
      </c>
      <c r="X67" s="167">
        <f>SUM(X62:X66)</f>
        <v>0</v>
      </c>
      <c r="Y67" s="166">
        <f>+Y73-X73</f>
        <v>0</v>
      </c>
      <c r="Z67" s="167">
        <f>SUM(Z62:Z66)</f>
        <v>0</v>
      </c>
      <c r="AA67" s="166">
        <f>+AA73-Z73</f>
        <v>0</v>
      </c>
      <c r="AB67" s="167">
        <f>SUM(AB62:AB66)</f>
        <v>0</v>
      </c>
      <c r="AC67" s="166">
        <f>+AC73-AB73</f>
        <v>0</v>
      </c>
      <c r="AD67" s="167">
        <f>SUM(AD62:AD66)</f>
        <v>0</v>
      </c>
      <c r="AE67" s="166">
        <f>+AE73-AD73</f>
        <v>0</v>
      </c>
      <c r="AF67" s="167">
        <f>SUM(AF62:AF66)</f>
        <v>0</v>
      </c>
      <c r="AG67" s="166">
        <f>+AG73-AF73</f>
        <v>0</v>
      </c>
      <c r="AH67" s="167">
        <f>SUM(AH62:AH66)</f>
        <v>0</v>
      </c>
      <c r="AI67" s="166">
        <f>+AI73-AH73</f>
        <v>0</v>
      </c>
      <c r="AJ67" s="167">
        <f>SUM(AJ62:AJ66)</f>
        <v>0</v>
      </c>
      <c r="AK67" s="166">
        <f>+AK73-AJ73</f>
        <v>0</v>
      </c>
      <c r="AL67" s="167">
        <f>SUM(AL62:AL66)</f>
        <v>0</v>
      </c>
      <c r="AM67" s="166">
        <f>+AM73-AL73</f>
        <v>0</v>
      </c>
      <c r="AN67" s="167">
        <f>SUM(AN62:AN66)</f>
        <v>0</v>
      </c>
      <c r="AO67" s="166">
        <f>+AO73-AN73</f>
        <v>0</v>
      </c>
      <c r="AP67" s="167">
        <f>SUM(AP62:AP66)</f>
        <v>0</v>
      </c>
      <c r="AQ67" s="166">
        <f>+AQ73-AP73</f>
        <v>0</v>
      </c>
      <c r="AR67" s="167">
        <f>SUM(AR62:AR66)</f>
        <v>0</v>
      </c>
      <c r="AS67" s="166">
        <f>+AS73-AR73</f>
        <v>0</v>
      </c>
      <c r="AT67" s="167">
        <f>SUM(AT62:AT66)</f>
        <v>0</v>
      </c>
      <c r="AU67" s="166">
        <f>+AU73-AT73</f>
        <v>0</v>
      </c>
      <c r="AV67" s="167">
        <f>SUM(AV62:AV66)</f>
        <v>0</v>
      </c>
      <c r="AW67" s="166">
        <f>+AW73-AV73</f>
        <v>0</v>
      </c>
      <c r="AX67" s="167">
        <f>SUM(AX62:AX66)</f>
        <v>0</v>
      </c>
      <c r="AY67" s="166">
        <f>+AY73-AX73</f>
        <v>0</v>
      </c>
      <c r="AZ67" s="167">
        <f>SUM(AZ62:AZ66)</f>
        <v>0</v>
      </c>
      <c r="BA67" s="166">
        <f>+BA73-AZ73</f>
        <v>0</v>
      </c>
      <c r="BB67" s="167">
        <f>SUM(BB62:BB66)</f>
        <v>0</v>
      </c>
      <c r="BC67" s="166">
        <f>+BC73-BB73</f>
        <v>0</v>
      </c>
      <c r="BD67" s="167">
        <f>SUM(BD62:BD66)</f>
        <v>0</v>
      </c>
      <c r="BE67" s="166">
        <f>+BE73-BD73</f>
        <v>0</v>
      </c>
      <c r="BF67" s="167">
        <f>SUM(BF62:BF66)</f>
        <v>0</v>
      </c>
      <c r="BG67" s="166">
        <f>+BG73-BF73</f>
        <v>0</v>
      </c>
      <c r="BH67" s="167">
        <f>SUM(BH62:BH66)</f>
        <v>0</v>
      </c>
      <c r="BI67" s="166">
        <f>+BI73-BH73</f>
        <v>0</v>
      </c>
      <c r="BJ67" s="167">
        <f>SUM(BJ62:BJ66)</f>
        <v>0</v>
      </c>
      <c r="BK67" s="166">
        <f>+BK73-BJ73</f>
        <v>0</v>
      </c>
      <c r="BL67" s="49"/>
      <c r="BM67" s="48"/>
      <c r="BN67" s="50"/>
      <c r="BO67" s="170" t="e">
        <f t="shared" ref="BO67:BO75" si="92">IF(COUNT(E67,G67,I67,K67,M67,O67,Q67,S67,U67,W67,Y67,AA67,AC67,AE67,AG67,AI67,AK67,AM67,AO67,AQ67,AS67,AU67,AW67,AY67,BA67,BC67,BE67,BG67,BI67,BK67,BM67)=0,"",SUM(E67,G67,I67,K67,M67,O67,Q67,S67,U67,W67,Y67,AA67,AC67,AE67,AG67,AI67,AK67,AM67,AO67,AQ67,AS67,AU67,AW67,AY67,BA67,BC67,BE67,BG67,BI67,BK67,BM67))</f>
        <v>#VALUE!</v>
      </c>
      <c r="BP67" s="167" t="e">
        <f>SUM(BP62:BP66)</f>
        <v>#VALUE!</v>
      </c>
      <c r="BQ67" s="52"/>
    </row>
    <row r="68" spans="1:69" x14ac:dyDescent="0.35">
      <c r="A68" s="132" t="s">
        <v>87</v>
      </c>
      <c r="B68" s="133"/>
      <c r="C68" s="131"/>
      <c r="D68" s="189">
        <f>D91+D94</f>
        <v>0</v>
      </c>
      <c r="E68" s="166" t="e">
        <f>+E77-C77+E80-C80</f>
        <v>#VALUE!</v>
      </c>
      <c r="F68" s="167">
        <f>F91+F94</f>
        <v>0</v>
      </c>
      <c r="G68" s="166">
        <f>+G77-E77+G80-E80</f>
        <v>0</v>
      </c>
      <c r="H68" s="167">
        <f>H91+H94</f>
        <v>0</v>
      </c>
      <c r="I68" s="166">
        <f>+I77-G77+I80-G80</f>
        <v>0</v>
      </c>
      <c r="J68" s="167">
        <f>J91+J94</f>
        <v>0</v>
      </c>
      <c r="K68" s="166">
        <f>+K77-I77+K80-I80</f>
        <v>0</v>
      </c>
      <c r="L68" s="167">
        <f>L91+L94</f>
        <v>0</v>
      </c>
      <c r="M68" s="166">
        <f>+M77-K77+M80-K80</f>
        <v>0</v>
      </c>
      <c r="N68" s="167">
        <f>N91+N94</f>
        <v>0</v>
      </c>
      <c r="O68" s="166">
        <f>+O77-M77+O80-M80</f>
        <v>0</v>
      </c>
      <c r="P68" s="167">
        <f>P91+P94</f>
        <v>0</v>
      </c>
      <c r="Q68" s="166">
        <f>+Q77-O77+Q80-O80</f>
        <v>0</v>
      </c>
      <c r="R68" s="167">
        <f>R91+R94</f>
        <v>0</v>
      </c>
      <c r="S68" s="166">
        <f>+S77-Q77+S80-Q80</f>
        <v>0</v>
      </c>
      <c r="T68" s="167">
        <f>T91+T94</f>
        <v>0</v>
      </c>
      <c r="U68" s="166">
        <f>+U77-S77+U80-S80</f>
        <v>0</v>
      </c>
      <c r="V68" s="167">
        <f>V91+V94</f>
        <v>0</v>
      </c>
      <c r="W68" s="166">
        <f>+W77-U77+W80-U80</f>
        <v>0</v>
      </c>
      <c r="X68" s="167">
        <f>X91+X94</f>
        <v>0</v>
      </c>
      <c r="Y68" s="166">
        <f>+Y77-W77+Y80-W80</f>
        <v>0</v>
      </c>
      <c r="Z68" s="167">
        <f>Z91+Z94</f>
        <v>0</v>
      </c>
      <c r="AA68" s="166">
        <f>+AA77-Y77+AA80-Y80</f>
        <v>0</v>
      </c>
      <c r="AB68" s="167">
        <f>AB91+AB94</f>
        <v>0</v>
      </c>
      <c r="AC68" s="166">
        <f>+AC77-AA77+AC80-AA80</f>
        <v>0</v>
      </c>
      <c r="AD68" s="167">
        <f>AD91+AD94</f>
        <v>0</v>
      </c>
      <c r="AE68" s="166">
        <f>+AE77-AC77+AE80-AC80</f>
        <v>0</v>
      </c>
      <c r="AF68" s="167">
        <f>AF91+AF94</f>
        <v>0</v>
      </c>
      <c r="AG68" s="166">
        <f>+AG77-AE77+AG80-AE80</f>
        <v>0</v>
      </c>
      <c r="AH68" s="167">
        <f>AH91+AH94</f>
        <v>0</v>
      </c>
      <c r="AI68" s="166">
        <f>+AI77-AG77+AI80-AG80</f>
        <v>0</v>
      </c>
      <c r="AJ68" s="167">
        <f>AJ91+AJ94</f>
        <v>0</v>
      </c>
      <c r="AK68" s="166">
        <f>+AK77-AI77+AK80-AI80</f>
        <v>0</v>
      </c>
      <c r="AL68" s="167">
        <f>AL91+AL94</f>
        <v>0</v>
      </c>
      <c r="AM68" s="166">
        <f>+AM77-AK77+AM80-AK80</f>
        <v>0</v>
      </c>
      <c r="AN68" s="167">
        <f>AN91+AN94</f>
        <v>0</v>
      </c>
      <c r="AO68" s="166">
        <f>+AO77-AM77+AO80-AM80</f>
        <v>0</v>
      </c>
      <c r="AP68" s="167">
        <f>AP91+AP94</f>
        <v>0</v>
      </c>
      <c r="AQ68" s="166">
        <f>+AQ77-AO77+AQ80-AO80</f>
        <v>0</v>
      </c>
      <c r="AR68" s="167">
        <f>AR91+AR94</f>
        <v>0</v>
      </c>
      <c r="AS68" s="166">
        <f>+AS77-AQ77+AS80-AQ80</f>
        <v>0</v>
      </c>
      <c r="AT68" s="167">
        <f>AT91+AT94</f>
        <v>0</v>
      </c>
      <c r="AU68" s="166">
        <f>+AU77-AS77+AU80-AS80</f>
        <v>0</v>
      </c>
      <c r="AV68" s="167">
        <f>AV91+AV94</f>
        <v>0</v>
      </c>
      <c r="AW68" s="166">
        <f>+AW77-AU77+AW80-AU80</f>
        <v>0</v>
      </c>
      <c r="AX68" s="167">
        <f>AX91+AX94</f>
        <v>0</v>
      </c>
      <c r="AY68" s="166">
        <f>+AY77-AW77+AY80-AW80</f>
        <v>0</v>
      </c>
      <c r="AZ68" s="167">
        <f>AZ91+AZ94</f>
        <v>0</v>
      </c>
      <c r="BA68" s="166">
        <f>+BA77-AY77+BA80-AY80</f>
        <v>0</v>
      </c>
      <c r="BB68" s="167">
        <f>BB91+BB94</f>
        <v>0</v>
      </c>
      <c r="BC68" s="166">
        <f>+BC77-BA77+BC80-BA80</f>
        <v>0</v>
      </c>
      <c r="BD68" s="167">
        <f>BD91+BD94</f>
        <v>0</v>
      </c>
      <c r="BE68" s="166">
        <f>+BE77-BC77+BE80-BC80</f>
        <v>0</v>
      </c>
      <c r="BF68" s="167">
        <f>BF91+BF94</f>
        <v>0</v>
      </c>
      <c r="BG68" s="166">
        <f>+BG77-BE77+BG80-BE80</f>
        <v>0</v>
      </c>
      <c r="BH68" s="167">
        <f>BH91+BH94</f>
        <v>0</v>
      </c>
      <c r="BI68" s="166">
        <f>+BI77-BG77+BI80-BG80</f>
        <v>0</v>
      </c>
      <c r="BJ68" s="167">
        <f>BJ91+BJ94</f>
        <v>0</v>
      </c>
      <c r="BK68" s="166">
        <f>+BK77-BI77+BK80-BI80</f>
        <v>0</v>
      </c>
      <c r="BL68" s="49"/>
      <c r="BM68" s="48"/>
      <c r="BN68" s="50"/>
      <c r="BO68" s="170" t="e">
        <f t="shared" si="92"/>
        <v>#VALUE!</v>
      </c>
      <c r="BP68" s="167">
        <f>BP91+BP94</f>
        <v>0</v>
      </c>
      <c r="BQ68" s="52"/>
    </row>
    <row r="69" spans="1:69" x14ac:dyDescent="0.35">
      <c r="A69" s="44" t="s">
        <v>88</v>
      </c>
      <c r="B69" s="133"/>
      <c r="C69" s="131"/>
      <c r="D69" s="189">
        <f>D99+D102</f>
        <v>0</v>
      </c>
      <c r="E69" s="166" t="e">
        <f>+E85-C85+E88-C88</f>
        <v>#VALUE!</v>
      </c>
      <c r="F69" s="167">
        <f>F99+F102</f>
        <v>0</v>
      </c>
      <c r="G69" s="166">
        <f>+G85-E85+G88-E88</f>
        <v>0</v>
      </c>
      <c r="H69" s="167">
        <f>H99+H102</f>
        <v>0</v>
      </c>
      <c r="I69" s="166">
        <f>+I85-G85+I88-G88</f>
        <v>0</v>
      </c>
      <c r="J69" s="167">
        <f>J99+J102</f>
        <v>0</v>
      </c>
      <c r="K69" s="166">
        <f>+K85-I85+K88-I88</f>
        <v>0</v>
      </c>
      <c r="L69" s="167">
        <f>L99+L102</f>
        <v>0</v>
      </c>
      <c r="M69" s="166">
        <f>+M85-K85+M88-K88</f>
        <v>0</v>
      </c>
      <c r="N69" s="167">
        <f>N99+N102</f>
        <v>0</v>
      </c>
      <c r="O69" s="166">
        <f>+O85-M85+O88-M88</f>
        <v>0</v>
      </c>
      <c r="P69" s="167">
        <f>P99+P102</f>
        <v>0</v>
      </c>
      <c r="Q69" s="166">
        <f>+Q85-O85+Q88-O88</f>
        <v>0</v>
      </c>
      <c r="R69" s="167">
        <f>R99+R102</f>
        <v>0</v>
      </c>
      <c r="S69" s="166">
        <f>+S85-Q85+S88-Q88</f>
        <v>0</v>
      </c>
      <c r="T69" s="167">
        <f>T99+T102</f>
        <v>0</v>
      </c>
      <c r="U69" s="166">
        <f>+U85-S85+U88-S88</f>
        <v>0</v>
      </c>
      <c r="V69" s="167">
        <f>V99+V102</f>
        <v>0</v>
      </c>
      <c r="W69" s="166">
        <f>+W85-U85+W88-U88</f>
        <v>0</v>
      </c>
      <c r="X69" s="167">
        <f>X99+X102</f>
        <v>0</v>
      </c>
      <c r="Y69" s="166">
        <f>+Y85-W85+Y88-W88</f>
        <v>0</v>
      </c>
      <c r="Z69" s="167">
        <f>Z99+Z102</f>
        <v>0</v>
      </c>
      <c r="AA69" s="166">
        <f>+AA85-Y85+AA88-Y88</f>
        <v>0</v>
      </c>
      <c r="AB69" s="167">
        <f>AB99+AB102</f>
        <v>0</v>
      </c>
      <c r="AC69" s="166">
        <f>+AC85-AA85+AC88-AA88</f>
        <v>0</v>
      </c>
      <c r="AD69" s="167">
        <f>AD99+AD102</f>
        <v>0</v>
      </c>
      <c r="AE69" s="166">
        <f>+AE85-AC85+AE88-AC88</f>
        <v>0</v>
      </c>
      <c r="AF69" s="167">
        <f>AF99+AF102</f>
        <v>0</v>
      </c>
      <c r="AG69" s="166">
        <f>+AG85-AE85+AG88-AE88</f>
        <v>0</v>
      </c>
      <c r="AH69" s="167">
        <f>AH99+AH102</f>
        <v>0</v>
      </c>
      <c r="AI69" s="166">
        <f>+AI85-AG85+AI88-AG88</f>
        <v>0</v>
      </c>
      <c r="AJ69" s="167">
        <f>AJ99+AJ102</f>
        <v>0</v>
      </c>
      <c r="AK69" s="166">
        <f>+AK85-AI85+AK88-AI88</f>
        <v>0</v>
      </c>
      <c r="AL69" s="167">
        <f>AL99+AL102</f>
        <v>0</v>
      </c>
      <c r="AM69" s="166">
        <f>+AM85-AK85+AM88-AK88</f>
        <v>0</v>
      </c>
      <c r="AN69" s="167">
        <f>AN99+AN102</f>
        <v>0</v>
      </c>
      <c r="AO69" s="166">
        <f>+AO85-AM85+AO88-AM88</f>
        <v>0</v>
      </c>
      <c r="AP69" s="167">
        <f>AP99+AP102</f>
        <v>0</v>
      </c>
      <c r="AQ69" s="166">
        <f>+AQ85-AO85+AQ88-AO88</f>
        <v>0</v>
      </c>
      <c r="AR69" s="167">
        <f>AR99+AR102</f>
        <v>0</v>
      </c>
      <c r="AS69" s="166">
        <f>+AS85-AQ85+AS88-AQ88</f>
        <v>0</v>
      </c>
      <c r="AT69" s="167">
        <f>AT99+AT102</f>
        <v>0</v>
      </c>
      <c r="AU69" s="166">
        <f>+AU85-AS85+AU88-AS88</f>
        <v>0</v>
      </c>
      <c r="AV69" s="167">
        <f>AV99+AV102</f>
        <v>0</v>
      </c>
      <c r="AW69" s="166">
        <f>+AW85-AU85+AW88-AU88</f>
        <v>0</v>
      </c>
      <c r="AX69" s="167">
        <f>AX99+AX102</f>
        <v>0</v>
      </c>
      <c r="AY69" s="166">
        <f>+AY85-AW85+AY88-AW88</f>
        <v>0</v>
      </c>
      <c r="AZ69" s="167">
        <f>AZ99+AZ102</f>
        <v>0</v>
      </c>
      <c r="BA69" s="166">
        <f>+BA85-AY85+BA88-AY88</f>
        <v>0</v>
      </c>
      <c r="BB69" s="167">
        <f>BB99+BB102</f>
        <v>0</v>
      </c>
      <c r="BC69" s="166">
        <f>+BC85-BA85+BC88-BA88</f>
        <v>0</v>
      </c>
      <c r="BD69" s="167">
        <f>BD99+BD102</f>
        <v>0</v>
      </c>
      <c r="BE69" s="166">
        <f>+BE85-BC85+BE88-BC88</f>
        <v>0</v>
      </c>
      <c r="BF69" s="167">
        <f>BF99+BF102</f>
        <v>0</v>
      </c>
      <c r="BG69" s="166">
        <f>+BG85-BE85+BG88-BE88</f>
        <v>0</v>
      </c>
      <c r="BH69" s="167">
        <f>BH99+BH102</f>
        <v>0</v>
      </c>
      <c r="BI69" s="166">
        <f>+BI85-BG85+BI88-BG88</f>
        <v>0</v>
      </c>
      <c r="BJ69" s="167">
        <f>BJ99+BJ102</f>
        <v>0</v>
      </c>
      <c r="BK69" s="166">
        <f>+BK85-BI85+BK88-BI88</f>
        <v>0</v>
      </c>
      <c r="BL69" s="49"/>
      <c r="BM69" s="48"/>
      <c r="BN69" s="50"/>
      <c r="BO69" s="170" t="e">
        <f t="shared" si="92"/>
        <v>#VALUE!</v>
      </c>
      <c r="BP69" s="167">
        <f>BP99+BP102</f>
        <v>0</v>
      </c>
      <c r="BQ69" s="52"/>
    </row>
    <row r="70" spans="1:69" x14ac:dyDescent="0.35">
      <c r="A70" s="134" t="s">
        <v>89</v>
      </c>
      <c r="B70" s="133"/>
      <c r="C70" s="131"/>
      <c r="D70" s="189">
        <f>D93+D96</f>
        <v>0</v>
      </c>
      <c r="E70" s="166" t="e">
        <f>+E79-C79+E82-C82</f>
        <v>#VALUE!</v>
      </c>
      <c r="F70" s="167">
        <f>F93+F96</f>
        <v>0</v>
      </c>
      <c r="G70" s="166">
        <f>+G79-E79+G82-E82</f>
        <v>0</v>
      </c>
      <c r="H70" s="167">
        <f>H93+H96</f>
        <v>0</v>
      </c>
      <c r="I70" s="166">
        <f>+I79-G79+I82-G82</f>
        <v>0</v>
      </c>
      <c r="J70" s="167">
        <f>J93+J96</f>
        <v>0</v>
      </c>
      <c r="K70" s="166">
        <f>+K79-I79+K82-I82</f>
        <v>0</v>
      </c>
      <c r="L70" s="167">
        <f>L93+L96</f>
        <v>0</v>
      </c>
      <c r="M70" s="166">
        <f>+M79-K79+M82-K82</f>
        <v>0</v>
      </c>
      <c r="N70" s="167">
        <f>N93+N96</f>
        <v>0</v>
      </c>
      <c r="O70" s="166">
        <f>+O79-M79+O82-M82</f>
        <v>0</v>
      </c>
      <c r="P70" s="167">
        <f>P93+P96</f>
        <v>0</v>
      </c>
      <c r="Q70" s="166">
        <f>+Q79-O79+Q82-O82</f>
        <v>0</v>
      </c>
      <c r="R70" s="167">
        <f>R93+R96</f>
        <v>0</v>
      </c>
      <c r="S70" s="166">
        <f>+S79-Q79+S82-Q82</f>
        <v>0</v>
      </c>
      <c r="T70" s="167">
        <f>T93+T96</f>
        <v>0</v>
      </c>
      <c r="U70" s="166">
        <f>+U79-S79+U82-S82</f>
        <v>0</v>
      </c>
      <c r="V70" s="167">
        <f>V93+V96</f>
        <v>0</v>
      </c>
      <c r="W70" s="166">
        <f>+W79-U79+W82-U82</f>
        <v>0</v>
      </c>
      <c r="X70" s="167">
        <f>X93+X96</f>
        <v>0</v>
      </c>
      <c r="Y70" s="166">
        <f>+Y79-W79+Y82-W82</f>
        <v>0</v>
      </c>
      <c r="Z70" s="167">
        <f>Z93+Z96</f>
        <v>0</v>
      </c>
      <c r="AA70" s="166">
        <f>+AA79-Y79+AA82-Y82</f>
        <v>0</v>
      </c>
      <c r="AB70" s="167">
        <f>AB93+AB96</f>
        <v>0</v>
      </c>
      <c r="AC70" s="166">
        <f>+AC79-AA79+AC82-AA82</f>
        <v>0</v>
      </c>
      <c r="AD70" s="167">
        <f>AD93+AD96</f>
        <v>0</v>
      </c>
      <c r="AE70" s="166">
        <f>+AE79-AC79+AE82-AC82</f>
        <v>0</v>
      </c>
      <c r="AF70" s="167">
        <f>AF93+AF96</f>
        <v>0</v>
      </c>
      <c r="AG70" s="166">
        <f>+AG79-AE79+AG82-AE82</f>
        <v>0</v>
      </c>
      <c r="AH70" s="167">
        <f>AH93+AH96</f>
        <v>0</v>
      </c>
      <c r="AI70" s="166">
        <f>+AI79-AG79+AI82-AG82</f>
        <v>0</v>
      </c>
      <c r="AJ70" s="167">
        <f>AJ93+AJ96</f>
        <v>0</v>
      </c>
      <c r="AK70" s="166">
        <f>+AK79-AI79+AK82-AI82</f>
        <v>0</v>
      </c>
      <c r="AL70" s="167">
        <f>AL93+AL96</f>
        <v>0</v>
      </c>
      <c r="AM70" s="166">
        <f>+AM79-AK79+AM82-AK82</f>
        <v>0</v>
      </c>
      <c r="AN70" s="167">
        <f>AN93+AN96</f>
        <v>0</v>
      </c>
      <c r="AO70" s="166">
        <f>+AO79-AM79+AO82-AM82</f>
        <v>0</v>
      </c>
      <c r="AP70" s="167">
        <f>AP93+AP96</f>
        <v>0</v>
      </c>
      <c r="AQ70" s="166">
        <f>+AQ79-AO79+AQ82-AO82</f>
        <v>0</v>
      </c>
      <c r="AR70" s="167">
        <f>AR93+AR96</f>
        <v>0</v>
      </c>
      <c r="AS70" s="166">
        <f>+AS79-AQ79+AS82-AQ82</f>
        <v>0</v>
      </c>
      <c r="AT70" s="167">
        <f>AT93+AT96</f>
        <v>0</v>
      </c>
      <c r="AU70" s="166">
        <f>+AU79-AS79+AU82-AS82</f>
        <v>0</v>
      </c>
      <c r="AV70" s="167">
        <f>AV93+AV96</f>
        <v>0</v>
      </c>
      <c r="AW70" s="166">
        <f>+AW79-AU79+AW82-AU82</f>
        <v>0</v>
      </c>
      <c r="AX70" s="167">
        <f>AX93+AX96</f>
        <v>0</v>
      </c>
      <c r="AY70" s="166">
        <f>+AY79-AW79+AY82-AW82</f>
        <v>0</v>
      </c>
      <c r="AZ70" s="167">
        <f>AZ93+AZ96</f>
        <v>0</v>
      </c>
      <c r="BA70" s="166">
        <f>+BA79-AY79+BA82-AY82</f>
        <v>0</v>
      </c>
      <c r="BB70" s="167">
        <f>BB93+BB96</f>
        <v>0</v>
      </c>
      <c r="BC70" s="166">
        <f>+BC79-BA79+BC82-BA82</f>
        <v>0</v>
      </c>
      <c r="BD70" s="167">
        <f>BD93+BD96</f>
        <v>0</v>
      </c>
      <c r="BE70" s="166">
        <f>+BE79-BC79+BE82-BC82</f>
        <v>0</v>
      </c>
      <c r="BF70" s="167">
        <f>BF93+BF96</f>
        <v>0</v>
      </c>
      <c r="BG70" s="166">
        <f>+BG79-BE79+BG82-BE82</f>
        <v>0</v>
      </c>
      <c r="BH70" s="167">
        <f>BH93+BH96</f>
        <v>0</v>
      </c>
      <c r="BI70" s="166">
        <f>+BI79-BG79+BI82-BG82</f>
        <v>0</v>
      </c>
      <c r="BJ70" s="167">
        <f>BJ93+BJ96</f>
        <v>0</v>
      </c>
      <c r="BK70" s="166">
        <f>+BK79-BI79+BK82-BI82</f>
        <v>0</v>
      </c>
      <c r="BL70" s="49"/>
      <c r="BM70" s="48"/>
      <c r="BN70" s="50"/>
      <c r="BO70" s="170" t="e">
        <f t="shared" si="92"/>
        <v>#VALUE!</v>
      </c>
      <c r="BP70" s="167">
        <f>BP93+BP96</f>
        <v>0</v>
      </c>
      <c r="BQ70" s="52"/>
    </row>
    <row r="71" spans="1:69" x14ac:dyDescent="0.35">
      <c r="A71" s="135" t="s">
        <v>90</v>
      </c>
      <c r="B71" s="133"/>
      <c r="C71" s="131"/>
      <c r="D71" s="189">
        <f>+D97+D100</f>
        <v>0</v>
      </c>
      <c r="E71" s="166" t="e">
        <f>+E83-C83+E86-C86</f>
        <v>#VALUE!</v>
      </c>
      <c r="F71" s="167">
        <f>+F97+F100</f>
        <v>0</v>
      </c>
      <c r="G71" s="166">
        <f>+G83-E83+G86-E86</f>
        <v>0</v>
      </c>
      <c r="H71" s="167">
        <f>+H97+H100</f>
        <v>0</v>
      </c>
      <c r="I71" s="166">
        <f>+I83-G83+I86-G86</f>
        <v>0</v>
      </c>
      <c r="J71" s="167">
        <f>+J97+J100</f>
        <v>0</v>
      </c>
      <c r="K71" s="166">
        <f>+K83-I83+K86-I86</f>
        <v>0</v>
      </c>
      <c r="L71" s="167">
        <f>+L97+L100</f>
        <v>0</v>
      </c>
      <c r="M71" s="166">
        <f>+M83-K83+M86-K86</f>
        <v>0</v>
      </c>
      <c r="N71" s="167">
        <f>+N97+N100</f>
        <v>0</v>
      </c>
      <c r="O71" s="166">
        <f>+O83-M83+O86-M86</f>
        <v>0</v>
      </c>
      <c r="P71" s="167">
        <f>+P97+P100</f>
        <v>0</v>
      </c>
      <c r="Q71" s="166">
        <f>+Q83-O83+Q86-O86</f>
        <v>0</v>
      </c>
      <c r="R71" s="167">
        <f>+R97+R100</f>
        <v>0</v>
      </c>
      <c r="S71" s="166">
        <f>+S83-Q83+S86-Q86</f>
        <v>0</v>
      </c>
      <c r="T71" s="167">
        <f>+T97+T100</f>
        <v>0</v>
      </c>
      <c r="U71" s="166">
        <f>+U83-S83+U86-S86</f>
        <v>0</v>
      </c>
      <c r="V71" s="167">
        <f>+V97+V100</f>
        <v>0</v>
      </c>
      <c r="W71" s="166">
        <f>+W83-U83+W86-U86</f>
        <v>0</v>
      </c>
      <c r="X71" s="167">
        <f>+X97+X100</f>
        <v>0</v>
      </c>
      <c r="Y71" s="166">
        <f>+Y83-W83+Y86-W86</f>
        <v>0</v>
      </c>
      <c r="Z71" s="167">
        <f>+Z97+Z100</f>
        <v>0</v>
      </c>
      <c r="AA71" s="166">
        <f>+AA83-Y83+AA86-Y86</f>
        <v>0</v>
      </c>
      <c r="AB71" s="167">
        <f>+AB97+AB100</f>
        <v>0</v>
      </c>
      <c r="AC71" s="166">
        <f>+AC83-AA83+AC86-AA86</f>
        <v>0</v>
      </c>
      <c r="AD71" s="167">
        <f>+AD97+AD100</f>
        <v>0</v>
      </c>
      <c r="AE71" s="166">
        <f>+AE83-AC83+AE86-AC86</f>
        <v>0</v>
      </c>
      <c r="AF71" s="167">
        <f>+AF97+AF100</f>
        <v>0</v>
      </c>
      <c r="AG71" s="166">
        <f>+AG83-AE83+AG86-AE86</f>
        <v>0</v>
      </c>
      <c r="AH71" s="167">
        <f>+AH97+AH100</f>
        <v>0</v>
      </c>
      <c r="AI71" s="166">
        <f>+AI83-AG83+AI86-AG86</f>
        <v>0</v>
      </c>
      <c r="AJ71" s="167">
        <f>+AJ97+AJ100</f>
        <v>0</v>
      </c>
      <c r="AK71" s="166">
        <f>+AK83-AI83+AK86-AI86</f>
        <v>0</v>
      </c>
      <c r="AL71" s="167">
        <f>+AL97+AL100</f>
        <v>0</v>
      </c>
      <c r="AM71" s="166">
        <f>+AM83-AK83+AM86-AK86</f>
        <v>0</v>
      </c>
      <c r="AN71" s="167">
        <f>+AN97+AN100</f>
        <v>0</v>
      </c>
      <c r="AO71" s="166">
        <f>+AO83-AM83+AO86-AM86</f>
        <v>0</v>
      </c>
      <c r="AP71" s="167">
        <f>+AP97+AP100</f>
        <v>0</v>
      </c>
      <c r="AQ71" s="166">
        <f>+AQ83-AO83+AQ86-AO86</f>
        <v>0</v>
      </c>
      <c r="AR71" s="167">
        <f>+AR97+AR100</f>
        <v>0</v>
      </c>
      <c r="AS71" s="166">
        <f>+AS83-AQ83+AS86-AQ86</f>
        <v>0</v>
      </c>
      <c r="AT71" s="167">
        <f>+AT97+AT100</f>
        <v>0</v>
      </c>
      <c r="AU71" s="166">
        <f>+AU83-AS83+AU86-AS86</f>
        <v>0</v>
      </c>
      <c r="AV71" s="167">
        <f>+AV97+AV100</f>
        <v>0</v>
      </c>
      <c r="AW71" s="166">
        <f>+AW83-AU83+AW86-AU86</f>
        <v>0</v>
      </c>
      <c r="AX71" s="167">
        <f>+AX97+AX100</f>
        <v>0</v>
      </c>
      <c r="AY71" s="166">
        <f>+AY83-AW83+AY86-AW86</f>
        <v>0</v>
      </c>
      <c r="AZ71" s="167">
        <f>+AZ97+AZ100</f>
        <v>0</v>
      </c>
      <c r="BA71" s="166">
        <f>+BA83-AY83+BA86-AY86</f>
        <v>0</v>
      </c>
      <c r="BB71" s="167">
        <f>+BB97+BB100</f>
        <v>0</v>
      </c>
      <c r="BC71" s="166">
        <f>+BC83-BA83+BC86-BA86</f>
        <v>0</v>
      </c>
      <c r="BD71" s="167">
        <f>+BD97+BD100</f>
        <v>0</v>
      </c>
      <c r="BE71" s="166">
        <f>+BE83-BC83+BE86-BC86</f>
        <v>0</v>
      </c>
      <c r="BF71" s="167">
        <f>+BF97+BF100</f>
        <v>0</v>
      </c>
      <c r="BG71" s="166">
        <f>+BG83-BE83+BG86-BE86</f>
        <v>0</v>
      </c>
      <c r="BH71" s="167">
        <f>+BH97+BH100</f>
        <v>0</v>
      </c>
      <c r="BI71" s="166">
        <f>+BI83-BG83+BI86-BG86</f>
        <v>0</v>
      </c>
      <c r="BJ71" s="167">
        <f>+BJ97+BJ100</f>
        <v>0</v>
      </c>
      <c r="BK71" s="166">
        <f>+BK83-BI83+BK86-BI86</f>
        <v>0</v>
      </c>
      <c r="BL71" s="49"/>
      <c r="BM71" s="48"/>
      <c r="BN71" s="50"/>
      <c r="BO71" s="170" t="e">
        <f t="shared" si="92"/>
        <v>#VALUE!</v>
      </c>
      <c r="BP71" s="167">
        <f>+BP97+BP100</f>
        <v>0</v>
      </c>
      <c r="BQ71" s="52"/>
    </row>
    <row r="72" spans="1:69" x14ac:dyDescent="0.35">
      <c r="A72" s="136" t="s">
        <v>91</v>
      </c>
      <c r="B72" s="133"/>
      <c r="C72" s="131"/>
      <c r="D72" s="189">
        <f>+D92+D95+D98+D101</f>
        <v>0</v>
      </c>
      <c r="E72" s="166" t="e">
        <f>+E78-C78+E81-C81+E84-C84+E87-C87</f>
        <v>#VALUE!</v>
      </c>
      <c r="F72" s="167">
        <f>+F92+F95+F98+F101</f>
        <v>0</v>
      </c>
      <c r="G72" s="166">
        <f>+G78-E78+G81-E81+G84-E84+G87-E87</f>
        <v>0</v>
      </c>
      <c r="H72" s="167">
        <f>+H92+H95+H98+H101</f>
        <v>0</v>
      </c>
      <c r="I72" s="166">
        <f>+I78-G78+I81-G81+I84-G84+I87-G87</f>
        <v>0</v>
      </c>
      <c r="J72" s="167">
        <f>+J92+J95+J98+J101</f>
        <v>0</v>
      </c>
      <c r="K72" s="166">
        <f>+K78-I78+K81-I81+K84-I84+K87-I87</f>
        <v>0</v>
      </c>
      <c r="L72" s="167">
        <f>+L92+L95+L98+L101</f>
        <v>0</v>
      </c>
      <c r="M72" s="166">
        <f>+M78-K78+M81-K81+M84-K84+M87-K87</f>
        <v>0</v>
      </c>
      <c r="N72" s="167">
        <f>+N92+N95+N98+N101</f>
        <v>0</v>
      </c>
      <c r="O72" s="166">
        <f>+O78-M78+O81-M81+O84-M84+O87-M87</f>
        <v>0</v>
      </c>
      <c r="P72" s="167">
        <f>+P92+P95+P98+P101</f>
        <v>0</v>
      </c>
      <c r="Q72" s="166">
        <f>+Q78-O78+Q81-O81+Q84-O84+Q87-O87</f>
        <v>0</v>
      </c>
      <c r="R72" s="167">
        <f>+R92+R95+R98+R101</f>
        <v>0</v>
      </c>
      <c r="S72" s="166">
        <f>+S78-Q78+S81-Q81+S84-Q84+S87-Q87</f>
        <v>0</v>
      </c>
      <c r="T72" s="167">
        <f>+T92+T95+T98+T101</f>
        <v>0</v>
      </c>
      <c r="U72" s="166">
        <f>+U78-S78+U81-S81+U84-S84+U87-S87</f>
        <v>0</v>
      </c>
      <c r="V72" s="167">
        <f>+V92+V95+V98+V101</f>
        <v>0</v>
      </c>
      <c r="W72" s="166">
        <f>+W78-U78+W81-U81+W84-U84+W87-U87</f>
        <v>0</v>
      </c>
      <c r="X72" s="167">
        <f>+X92+X95+X98+X101</f>
        <v>0</v>
      </c>
      <c r="Y72" s="166">
        <f>+Y78-W78+Y81-W81+Y84-W84+Y87-W87</f>
        <v>0</v>
      </c>
      <c r="Z72" s="167">
        <f>+Z92+Z95+Z98+Z101</f>
        <v>0</v>
      </c>
      <c r="AA72" s="166">
        <f>+AA78-Y78+AA81-Y81+AA84-Y84+AA87-Y87</f>
        <v>0</v>
      </c>
      <c r="AB72" s="167">
        <f>+AB92+AB95+AB98+AB101</f>
        <v>0</v>
      </c>
      <c r="AC72" s="166">
        <f>+AC78-AA78+AC81-AA81+AC84-AA84+AC87-AA87</f>
        <v>0</v>
      </c>
      <c r="AD72" s="167">
        <f>+AD92+AD95+AD98+AD101</f>
        <v>0</v>
      </c>
      <c r="AE72" s="166">
        <f>+AE78-AC78+AE81-AC81+AE84-AC84+AE87-AC87</f>
        <v>0</v>
      </c>
      <c r="AF72" s="167">
        <f>+AF92+AF95+AF98+AF101</f>
        <v>0</v>
      </c>
      <c r="AG72" s="166">
        <f>+AG78-AE78+AG81-AE81+AG84-AE84+AG87-AE87</f>
        <v>0</v>
      </c>
      <c r="AH72" s="167">
        <f>+AH92+AH95+AH98+AH101</f>
        <v>0</v>
      </c>
      <c r="AI72" s="166">
        <f>+AI78-AG78+AI81-AG81+AI84-AG84+AI87-AG87</f>
        <v>0</v>
      </c>
      <c r="AJ72" s="167">
        <f>+AJ92+AJ95+AJ98+AJ101</f>
        <v>0</v>
      </c>
      <c r="AK72" s="166">
        <f>+AK78-AI78+AK81-AI81+AK84-AI84+AK87-AI87</f>
        <v>0</v>
      </c>
      <c r="AL72" s="167">
        <f>+AL92+AL95+AL98+AL101</f>
        <v>0</v>
      </c>
      <c r="AM72" s="166">
        <f>+AM78-AK78+AM81-AK81+AM84-AK84+AM87-AK87</f>
        <v>0</v>
      </c>
      <c r="AN72" s="167">
        <f>+AN92+AN95+AN98+AN101</f>
        <v>0</v>
      </c>
      <c r="AO72" s="166">
        <f>+AO78-AM78+AO81-AM81+AO84-AM84+AO87-AM87</f>
        <v>0</v>
      </c>
      <c r="AP72" s="167">
        <f>+AP92+AP95+AP98+AP101</f>
        <v>0</v>
      </c>
      <c r="AQ72" s="166">
        <f>+AQ78-AO78+AQ81-AO81+AQ84-AO84+AQ87-AO87</f>
        <v>0</v>
      </c>
      <c r="AR72" s="167">
        <f>+AR92+AR95+AR98+AR101</f>
        <v>0</v>
      </c>
      <c r="AS72" s="166">
        <f>+AS78-AQ78+AS81-AQ81+AS84-AQ84+AS87-AQ87</f>
        <v>0</v>
      </c>
      <c r="AT72" s="167">
        <f>+AT92+AT95+AT98+AT101</f>
        <v>0</v>
      </c>
      <c r="AU72" s="166">
        <f>+AU78-AS78+AU81-AS81+AU84-AS84+AU87-AS87</f>
        <v>0</v>
      </c>
      <c r="AV72" s="167">
        <f>+AV92+AV95+AV98+AV101</f>
        <v>0</v>
      </c>
      <c r="AW72" s="166">
        <f>+AW78-AU78+AW81-AU81+AW84-AU84+AW87-AU87</f>
        <v>0</v>
      </c>
      <c r="AX72" s="167">
        <f>+AX92+AX95+AX98+AX101</f>
        <v>0</v>
      </c>
      <c r="AY72" s="166">
        <f>+AY78-AW78+AY81-AW81+AY84-AW84+AY87-AW87</f>
        <v>0</v>
      </c>
      <c r="AZ72" s="167">
        <f>+AZ92+AZ95+AZ98+AZ101</f>
        <v>0</v>
      </c>
      <c r="BA72" s="166">
        <f>+BA78-AY78+BA81-AY81+BA84-AY84+BA87-AY87</f>
        <v>0</v>
      </c>
      <c r="BB72" s="167">
        <f>+BB92+BB95+BB98+BB101</f>
        <v>0</v>
      </c>
      <c r="BC72" s="166">
        <f>+BC78-BA78+BC81-BA81+BC84-BA84+BC87-BA87</f>
        <v>0</v>
      </c>
      <c r="BD72" s="167">
        <f>+BD92+BD95+BD98+BD101</f>
        <v>0</v>
      </c>
      <c r="BE72" s="166">
        <f>+BE78-BC78+BE81-BC81+BE84-BC84+BE87-BC87</f>
        <v>0</v>
      </c>
      <c r="BF72" s="167">
        <f>+BF92+BF95+BF98+BF101</f>
        <v>0</v>
      </c>
      <c r="BG72" s="166">
        <f>+BG78-BE78+BG81-BE81+BG84-BE84+BG87-BE87</f>
        <v>0</v>
      </c>
      <c r="BH72" s="167">
        <f>+BH92+BH95+BH98+BH101</f>
        <v>0</v>
      </c>
      <c r="BI72" s="166">
        <f>+BI78-BG78+BI81-BG81+BI84-BG84+BI87-BG87</f>
        <v>0</v>
      </c>
      <c r="BJ72" s="167">
        <f>+BJ92+BJ95+BJ98+BJ101</f>
        <v>0</v>
      </c>
      <c r="BK72" s="166">
        <f>+BK78-BI78+BK81-BI81+BK84-BI84+BK87-BI87</f>
        <v>0</v>
      </c>
      <c r="BL72" s="49"/>
      <c r="BM72" s="48"/>
      <c r="BN72" s="50"/>
      <c r="BO72" s="170" t="e">
        <f t="shared" si="92"/>
        <v>#VALUE!</v>
      </c>
      <c r="BP72" s="167">
        <f>+BP92+BP95+BP98+BP101</f>
        <v>0</v>
      </c>
      <c r="BQ72" s="52"/>
    </row>
    <row r="73" spans="1:69" x14ac:dyDescent="0.35">
      <c r="A73" s="137"/>
      <c r="B73" s="138"/>
      <c r="C73" s="139"/>
      <c r="D73" s="189">
        <f t="shared" ref="D73:BK73" si="93">SUM(D68:D72)</f>
        <v>0</v>
      </c>
      <c r="E73" s="177" t="e">
        <f t="shared" si="93"/>
        <v>#VALUE!</v>
      </c>
      <c r="F73" s="167">
        <f t="shared" si="93"/>
        <v>0</v>
      </c>
      <c r="G73" s="177">
        <f t="shared" si="93"/>
        <v>0</v>
      </c>
      <c r="H73" s="167">
        <f t="shared" si="93"/>
        <v>0</v>
      </c>
      <c r="I73" s="177">
        <f t="shared" si="93"/>
        <v>0</v>
      </c>
      <c r="J73" s="167">
        <f t="shared" si="93"/>
        <v>0</v>
      </c>
      <c r="K73" s="177">
        <f t="shared" si="93"/>
        <v>0</v>
      </c>
      <c r="L73" s="167">
        <f t="shared" si="93"/>
        <v>0</v>
      </c>
      <c r="M73" s="177">
        <f t="shared" si="93"/>
        <v>0</v>
      </c>
      <c r="N73" s="167">
        <f t="shared" si="93"/>
        <v>0</v>
      </c>
      <c r="O73" s="177">
        <f t="shared" si="93"/>
        <v>0</v>
      </c>
      <c r="P73" s="167">
        <f t="shared" si="93"/>
        <v>0</v>
      </c>
      <c r="Q73" s="177">
        <f t="shared" si="93"/>
        <v>0</v>
      </c>
      <c r="R73" s="167">
        <f t="shared" si="93"/>
        <v>0</v>
      </c>
      <c r="S73" s="177">
        <f t="shared" si="93"/>
        <v>0</v>
      </c>
      <c r="T73" s="167">
        <f t="shared" si="93"/>
        <v>0</v>
      </c>
      <c r="U73" s="177">
        <f t="shared" si="93"/>
        <v>0</v>
      </c>
      <c r="V73" s="167">
        <f t="shared" si="93"/>
        <v>0</v>
      </c>
      <c r="W73" s="177">
        <f t="shared" si="93"/>
        <v>0</v>
      </c>
      <c r="X73" s="167">
        <f t="shared" si="93"/>
        <v>0</v>
      </c>
      <c r="Y73" s="177">
        <f t="shared" si="93"/>
        <v>0</v>
      </c>
      <c r="Z73" s="167">
        <f t="shared" si="93"/>
        <v>0</v>
      </c>
      <c r="AA73" s="177">
        <f t="shared" si="93"/>
        <v>0</v>
      </c>
      <c r="AB73" s="167">
        <f t="shared" si="93"/>
        <v>0</v>
      </c>
      <c r="AC73" s="177">
        <f t="shared" si="93"/>
        <v>0</v>
      </c>
      <c r="AD73" s="167">
        <f t="shared" si="93"/>
        <v>0</v>
      </c>
      <c r="AE73" s="177">
        <f t="shared" si="93"/>
        <v>0</v>
      </c>
      <c r="AF73" s="167">
        <f t="shared" si="93"/>
        <v>0</v>
      </c>
      <c r="AG73" s="177">
        <f t="shared" si="93"/>
        <v>0</v>
      </c>
      <c r="AH73" s="167">
        <f t="shared" si="93"/>
        <v>0</v>
      </c>
      <c r="AI73" s="177">
        <f t="shared" si="93"/>
        <v>0</v>
      </c>
      <c r="AJ73" s="167">
        <f t="shared" si="93"/>
        <v>0</v>
      </c>
      <c r="AK73" s="177">
        <f t="shared" si="93"/>
        <v>0</v>
      </c>
      <c r="AL73" s="167">
        <f t="shared" si="93"/>
        <v>0</v>
      </c>
      <c r="AM73" s="177">
        <f t="shared" si="93"/>
        <v>0</v>
      </c>
      <c r="AN73" s="167">
        <f t="shared" si="93"/>
        <v>0</v>
      </c>
      <c r="AO73" s="177">
        <f t="shared" si="93"/>
        <v>0</v>
      </c>
      <c r="AP73" s="167">
        <f t="shared" si="93"/>
        <v>0</v>
      </c>
      <c r="AQ73" s="177">
        <f t="shared" si="93"/>
        <v>0</v>
      </c>
      <c r="AR73" s="167">
        <f t="shared" si="93"/>
        <v>0</v>
      </c>
      <c r="AS73" s="177">
        <f t="shared" si="93"/>
        <v>0</v>
      </c>
      <c r="AT73" s="167">
        <f t="shared" si="93"/>
        <v>0</v>
      </c>
      <c r="AU73" s="177">
        <f t="shared" si="93"/>
        <v>0</v>
      </c>
      <c r="AV73" s="167">
        <f t="shared" si="93"/>
        <v>0</v>
      </c>
      <c r="AW73" s="177">
        <f t="shared" si="93"/>
        <v>0</v>
      </c>
      <c r="AX73" s="167">
        <f t="shared" si="93"/>
        <v>0</v>
      </c>
      <c r="AY73" s="177">
        <f t="shared" si="93"/>
        <v>0</v>
      </c>
      <c r="AZ73" s="167">
        <f t="shared" si="93"/>
        <v>0</v>
      </c>
      <c r="BA73" s="177">
        <f t="shared" si="93"/>
        <v>0</v>
      </c>
      <c r="BB73" s="167">
        <f t="shared" si="93"/>
        <v>0</v>
      </c>
      <c r="BC73" s="177">
        <f t="shared" si="93"/>
        <v>0</v>
      </c>
      <c r="BD73" s="167">
        <f t="shared" si="93"/>
        <v>0</v>
      </c>
      <c r="BE73" s="177">
        <f t="shared" si="93"/>
        <v>0</v>
      </c>
      <c r="BF73" s="167">
        <f t="shared" si="93"/>
        <v>0</v>
      </c>
      <c r="BG73" s="177">
        <f t="shared" si="93"/>
        <v>0</v>
      </c>
      <c r="BH73" s="167">
        <f t="shared" si="93"/>
        <v>0</v>
      </c>
      <c r="BI73" s="177">
        <f>SUM(BI68:BI72)</f>
        <v>0</v>
      </c>
      <c r="BJ73" s="167">
        <f t="shared" si="93"/>
        <v>0</v>
      </c>
      <c r="BK73" s="177">
        <f t="shared" si="93"/>
        <v>0</v>
      </c>
      <c r="BL73" s="49"/>
      <c r="BM73" s="91"/>
      <c r="BN73" s="92"/>
      <c r="BO73" s="170" t="e">
        <f t="shared" si="92"/>
        <v>#VALUE!</v>
      </c>
      <c r="BP73" s="167">
        <f t="shared" ref="BP73" si="94">SUM(BP68:BP72)</f>
        <v>0</v>
      </c>
      <c r="BQ73" s="93"/>
    </row>
    <row r="74" spans="1:69" x14ac:dyDescent="0.35">
      <c r="A74" s="53" t="s">
        <v>30</v>
      </c>
      <c r="B74" s="138"/>
      <c r="C74" s="210" t="str">
        <f>IF('May 2027 Log'!BM74="","",'May 2027 Log'!BM74)</f>
        <v/>
      </c>
      <c r="D74" s="47"/>
      <c r="E74" s="48"/>
      <c r="F74" s="49"/>
      <c r="G74" s="48"/>
      <c r="H74" s="49"/>
      <c r="I74" s="48"/>
      <c r="J74" s="49"/>
      <c r="K74" s="48"/>
      <c r="L74" s="49"/>
      <c r="M74" s="48"/>
      <c r="N74" s="49"/>
      <c r="O74" s="48"/>
      <c r="P74" s="49"/>
      <c r="Q74" s="48"/>
      <c r="R74" s="49"/>
      <c r="S74" s="48"/>
      <c r="T74" s="49"/>
      <c r="U74" s="48"/>
      <c r="V74" s="49"/>
      <c r="W74" s="48"/>
      <c r="X74" s="49"/>
      <c r="Y74" s="48"/>
      <c r="Z74" s="49"/>
      <c r="AA74" s="48"/>
      <c r="AB74" s="49"/>
      <c r="AC74" s="48"/>
      <c r="AD74" s="49"/>
      <c r="AE74" s="48"/>
      <c r="AF74" s="49"/>
      <c r="AG74" s="48"/>
      <c r="AH74" s="49"/>
      <c r="AI74" s="48"/>
      <c r="AJ74" s="49"/>
      <c r="AK74" s="48"/>
      <c r="AL74" s="49"/>
      <c r="AM74" s="48"/>
      <c r="AN74" s="49"/>
      <c r="AO74" s="48"/>
      <c r="AP74" s="49"/>
      <c r="AQ74" s="48"/>
      <c r="AR74" s="49"/>
      <c r="AS74" s="48"/>
      <c r="AT74" s="49"/>
      <c r="AU74" s="48"/>
      <c r="AV74" s="49"/>
      <c r="AW74" s="48"/>
      <c r="AX74" s="49"/>
      <c r="AY74" s="48"/>
      <c r="AZ74" s="49"/>
      <c r="BA74" s="48"/>
      <c r="BB74" s="49"/>
      <c r="BC74" s="48"/>
      <c r="BD74" s="49"/>
      <c r="BE74" s="48"/>
      <c r="BF74" s="49"/>
      <c r="BG74" s="48"/>
      <c r="BH74" s="49"/>
      <c r="BI74" s="48"/>
      <c r="BJ74" s="49"/>
      <c r="BK74" s="48"/>
      <c r="BL74" s="49"/>
      <c r="BM74" s="48"/>
      <c r="BN74" s="50"/>
      <c r="BO74" s="170" t="str">
        <f t="shared" si="92"/>
        <v/>
      </c>
      <c r="BP74" s="49"/>
      <c r="BQ74" s="178" t="str">
        <f>IF(BK74="","",BK74)</f>
        <v/>
      </c>
    </row>
    <row r="75" spans="1:69" x14ac:dyDescent="0.35">
      <c r="A75" s="98" t="s">
        <v>31</v>
      </c>
      <c r="B75" s="138"/>
      <c r="C75" s="211">
        <f>IF('May 2027 Log'!BM75="","",'May 2027 Log'!BM75)</f>
        <v>0</v>
      </c>
      <c r="D75" s="47"/>
      <c r="E75" s="177">
        <f>+E57-E74</f>
        <v>0</v>
      </c>
      <c r="F75" s="49"/>
      <c r="G75" s="177">
        <f>+G57-G74</f>
        <v>0</v>
      </c>
      <c r="H75" s="49"/>
      <c r="I75" s="177">
        <f>+I57-I74</f>
        <v>0</v>
      </c>
      <c r="J75" s="49"/>
      <c r="K75" s="177">
        <f>+K57-K74</f>
        <v>0</v>
      </c>
      <c r="L75" s="49"/>
      <c r="M75" s="177">
        <f>+M57-M74</f>
        <v>0</v>
      </c>
      <c r="N75" s="49"/>
      <c r="O75" s="177">
        <f>+O57-O74</f>
        <v>0</v>
      </c>
      <c r="P75" s="49"/>
      <c r="Q75" s="177">
        <f>+Q57-Q74</f>
        <v>0</v>
      </c>
      <c r="R75" s="49"/>
      <c r="S75" s="177">
        <f>+S57-S74</f>
        <v>0</v>
      </c>
      <c r="T75" s="49"/>
      <c r="U75" s="177">
        <f>+U57-U74</f>
        <v>0</v>
      </c>
      <c r="V75" s="49"/>
      <c r="W75" s="177">
        <f>+W57-W74</f>
        <v>0</v>
      </c>
      <c r="X75" s="49"/>
      <c r="Y75" s="177">
        <f>+Y57-Y74</f>
        <v>0</v>
      </c>
      <c r="Z75" s="49"/>
      <c r="AA75" s="177">
        <f>+AA57-AA74</f>
        <v>0</v>
      </c>
      <c r="AB75" s="49"/>
      <c r="AC75" s="177">
        <f>+AC57-AC74</f>
        <v>0</v>
      </c>
      <c r="AD75" s="49"/>
      <c r="AE75" s="177">
        <f>+AE57-AE74</f>
        <v>0</v>
      </c>
      <c r="AF75" s="49"/>
      <c r="AG75" s="177">
        <f>+AG57-AG74</f>
        <v>0</v>
      </c>
      <c r="AH75" s="49"/>
      <c r="AI75" s="177">
        <f>+AI57-AI74</f>
        <v>0</v>
      </c>
      <c r="AJ75" s="49"/>
      <c r="AK75" s="177">
        <f>+AK57-AK74</f>
        <v>0</v>
      </c>
      <c r="AL75" s="49"/>
      <c r="AM75" s="177">
        <f>+AM57-AM74</f>
        <v>0</v>
      </c>
      <c r="AN75" s="49"/>
      <c r="AO75" s="177">
        <f>+AO57-AO74</f>
        <v>0</v>
      </c>
      <c r="AP75" s="49"/>
      <c r="AQ75" s="177">
        <f>+AQ57-AQ74</f>
        <v>0</v>
      </c>
      <c r="AR75" s="49"/>
      <c r="AS75" s="177">
        <f>+AS57-AS74</f>
        <v>0</v>
      </c>
      <c r="AT75" s="49"/>
      <c r="AU75" s="177">
        <f>+AU57-AU74</f>
        <v>0</v>
      </c>
      <c r="AV75" s="49"/>
      <c r="AW75" s="177">
        <f>+AW57-AW74</f>
        <v>0</v>
      </c>
      <c r="AX75" s="49"/>
      <c r="AY75" s="177">
        <f>+AY57-AY74</f>
        <v>0</v>
      </c>
      <c r="AZ75" s="49"/>
      <c r="BA75" s="177">
        <f>+BA57-BA74</f>
        <v>0</v>
      </c>
      <c r="BB75" s="49"/>
      <c r="BC75" s="177">
        <f>+BC57-BC74</f>
        <v>0</v>
      </c>
      <c r="BD75" s="49"/>
      <c r="BE75" s="177">
        <f>+BE57-BE74</f>
        <v>0</v>
      </c>
      <c r="BF75" s="49"/>
      <c r="BG75" s="177">
        <f>+BG57-BG74</f>
        <v>0</v>
      </c>
      <c r="BH75" s="49"/>
      <c r="BI75" s="177">
        <f>+BI57-BI74</f>
        <v>0</v>
      </c>
      <c r="BJ75" s="49"/>
      <c r="BK75" s="177">
        <f>+BK57-BK74</f>
        <v>0</v>
      </c>
      <c r="BL75" s="49"/>
      <c r="BM75" s="91"/>
      <c r="BN75" s="92"/>
      <c r="BO75" s="170">
        <f t="shared" si="92"/>
        <v>0</v>
      </c>
      <c r="BP75" s="49"/>
      <c r="BQ75" s="179">
        <f>IF(BK75="","",BK75)</f>
        <v>0</v>
      </c>
    </row>
    <row r="76" spans="1:69" ht="28.9" customHeight="1" x14ac:dyDescent="0.35">
      <c r="A76" s="74" t="s">
        <v>92</v>
      </c>
      <c r="B76" s="75"/>
      <c r="C76" s="141"/>
      <c r="D76" s="102"/>
      <c r="E76" s="142"/>
      <c r="F76" s="104"/>
      <c r="G76" s="142"/>
      <c r="H76" s="104"/>
      <c r="I76" s="142"/>
      <c r="J76" s="104"/>
      <c r="K76" s="142"/>
      <c r="L76" s="104"/>
      <c r="M76" s="142"/>
      <c r="N76" s="104"/>
      <c r="O76" s="142"/>
      <c r="P76" s="104"/>
      <c r="Q76" s="142"/>
      <c r="R76" s="104"/>
      <c r="S76" s="142"/>
      <c r="T76" s="104"/>
      <c r="U76" s="142"/>
      <c r="V76" s="104"/>
      <c r="W76" s="142"/>
      <c r="X76" s="104"/>
      <c r="Y76" s="142"/>
      <c r="Z76" s="104"/>
      <c r="AA76" s="142"/>
      <c r="AB76" s="104"/>
      <c r="AC76" s="142"/>
      <c r="AD76" s="104"/>
      <c r="AE76" s="142"/>
      <c r="AF76" s="104"/>
      <c r="AG76" s="142"/>
      <c r="AH76" s="104"/>
      <c r="AI76" s="142"/>
      <c r="AJ76" s="104"/>
      <c r="AK76" s="142"/>
      <c r="AL76" s="104"/>
      <c r="AM76" s="142"/>
      <c r="AN76" s="104"/>
      <c r="AO76" s="142"/>
      <c r="AP76" s="104"/>
      <c r="AQ76" s="142"/>
      <c r="AR76" s="104"/>
      <c r="AS76" s="142"/>
      <c r="AT76" s="104"/>
      <c r="AU76" s="142"/>
      <c r="AV76" s="104"/>
      <c r="AW76" s="142"/>
      <c r="AX76" s="104"/>
      <c r="AY76" s="142"/>
      <c r="AZ76" s="104"/>
      <c r="BA76" s="142"/>
      <c r="BB76" s="104"/>
      <c r="BC76" s="142"/>
      <c r="BD76" s="104"/>
      <c r="BE76" s="142"/>
      <c r="BF76" s="104"/>
      <c r="BG76" s="142"/>
      <c r="BH76" s="104"/>
      <c r="BI76" s="142"/>
      <c r="BJ76" s="104"/>
      <c r="BK76" s="142"/>
      <c r="BL76" s="104"/>
      <c r="BM76" s="142"/>
      <c r="BN76" s="105"/>
      <c r="BO76" s="106"/>
      <c r="BP76" s="104"/>
      <c r="BQ76" s="107"/>
    </row>
    <row r="77" spans="1:69" x14ac:dyDescent="0.35">
      <c r="A77" s="132" t="s">
        <v>75</v>
      </c>
      <c r="B77" s="54" t="s">
        <v>65</v>
      </c>
      <c r="C77" s="174" t="str">
        <f>IF('May 2027 Log'!BM77="","",'May 2027 Log'!BM77)</f>
        <v/>
      </c>
      <c r="D77" s="189" t="e">
        <f t="shared" ref="D77:D104" si="95">+E77-C77</f>
        <v>#VALUE!</v>
      </c>
      <c r="E77" s="86"/>
      <c r="F77" s="167">
        <f t="shared" ref="F77:F104" si="96">+G77-E77</f>
        <v>0</v>
      </c>
      <c r="G77" s="86"/>
      <c r="H77" s="167">
        <f t="shared" ref="H77:H104" si="97">+I77-G77</f>
        <v>0</v>
      </c>
      <c r="I77" s="86"/>
      <c r="J77" s="167">
        <f t="shared" ref="J77:J104" si="98">+K77-I77</f>
        <v>0</v>
      </c>
      <c r="K77" s="86"/>
      <c r="L77" s="167">
        <f t="shared" ref="L77:L89" si="99">+M77-K77</f>
        <v>0</v>
      </c>
      <c r="M77" s="86"/>
      <c r="N77" s="167">
        <f t="shared" ref="N77:N89" si="100">+O77-M77</f>
        <v>0</v>
      </c>
      <c r="O77" s="86"/>
      <c r="P77" s="167">
        <f t="shared" ref="P77:P89" si="101">+Q77-O77</f>
        <v>0</v>
      </c>
      <c r="Q77" s="86"/>
      <c r="R77" s="167">
        <f t="shared" ref="R77:R89" si="102">+S77-Q77</f>
        <v>0</v>
      </c>
      <c r="S77" s="86"/>
      <c r="T77" s="167">
        <f t="shared" ref="T77:T89" si="103">+U77-S77</f>
        <v>0</v>
      </c>
      <c r="U77" s="86"/>
      <c r="V77" s="167">
        <f t="shared" ref="V77:V89" si="104">+W77-U77</f>
        <v>0</v>
      </c>
      <c r="W77" s="86"/>
      <c r="X77" s="167">
        <f t="shared" ref="X77:X89" si="105">+Y77-W77</f>
        <v>0</v>
      </c>
      <c r="Y77" s="86"/>
      <c r="Z77" s="167">
        <f t="shared" ref="Z77:Z89" si="106">+AA77-Y77</f>
        <v>0</v>
      </c>
      <c r="AA77" s="86"/>
      <c r="AB77" s="167">
        <f t="shared" ref="AB77:AB89" si="107">+AC77-AA77</f>
        <v>0</v>
      </c>
      <c r="AC77" s="86"/>
      <c r="AD77" s="167">
        <f t="shared" ref="AD77:AD89" si="108">+AE77-AC77</f>
        <v>0</v>
      </c>
      <c r="AE77" s="86"/>
      <c r="AF77" s="167">
        <f t="shared" ref="AF77:AF89" si="109">+AG77-AE77</f>
        <v>0</v>
      </c>
      <c r="AG77" s="86"/>
      <c r="AH77" s="167">
        <f t="shared" ref="AH77:AH89" si="110">+AI77-AG77</f>
        <v>0</v>
      </c>
      <c r="AI77" s="86"/>
      <c r="AJ77" s="167">
        <f t="shared" ref="AJ77:AJ89" si="111">+AK77-AI77</f>
        <v>0</v>
      </c>
      <c r="AK77" s="86"/>
      <c r="AL77" s="167">
        <f t="shared" ref="AL77:AL89" si="112">+AM77-AK77</f>
        <v>0</v>
      </c>
      <c r="AM77" s="86"/>
      <c r="AN77" s="167">
        <f t="shared" ref="AN77:AN89" si="113">+AO77-AM77</f>
        <v>0</v>
      </c>
      <c r="AO77" s="86"/>
      <c r="AP77" s="167">
        <f t="shared" ref="AP77:AP89" si="114">+AQ77-AO77</f>
        <v>0</v>
      </c>
      <c r="AQ77" s="86"/>
      <c r="AR77" s="167">
        <f t="shared" ref="AR77:AR89" si="115">+AS77-AQ77</f>
        <v>0</v>
      </c>
      <c r="AS77" s="86"/>
      <c r="AT77" s="167">
        <f t="shared" ref="AT77:AT89" si="116">+AU77-AS77</f>
        <v>0</v>
      </c>
      <c r="AU77" s="86"/>
      <c r="AV77" s="167">
        <f t="shared" ref="AV77:AV89" si="117">+AW77-AU77</f>
        <v>0</v>
      </c>
      <c r="AW77" s="86"/>
      <c r="AX77" s="167">
        <f t="shared" ref="AX77:AX89" si="118">+AY77-AW77</f>
        <v>0</v>
      </c>
      <c r="AY77" s="86"/>
      <c r="AZ77" s="167">
        <f t="shared" ref="AZ77:AZ89" si="119">+BA77-AY77</f>
        <v>0</v>
      </c>
      <c r="BA77" s="86"/>
      <c r="BB77" s="167">
        <f t="shared" ref="BB77:BB89" si="120">+BC77-BA77</f>
        <v>0</v>
      </c>
      <c r="BC77" s="86"/>
      <c r="BD77" s="167">
        <f t="shared" ref="BD77:BD89" si="121">+BE77-BC77</f>
        <v>0</v>
      </c>
      <c r="BE77" s="86"/>
      <c r="BF77" s="167">
        <f t="shared" ref="BF77:BF89" si="122">+BG77-BE77</f>
        <v>0</v>
      </c>
      <c r="BG77" s="86"/>
      <c r="BH77" s="167">
        <f t="shared" ref="BH77:BH89" si="123">+BI77-BG77</f>
        <v>0</v>
      </c>
      <c r="BI77" s="86"/>
      <c r="BJ77" s="167">
        <f t="shared" ref="BJ77:BJ89" si="124">+BK77-BI77</f>
        <v>0</v>
      </c>
      <c r="BK77" s="86"/>
      <c r="BL77" s="49"/>
      <c r="BM77" s="86"/>
      <c r="BN77" s="50"/>
      <c r="BO77" s="170" t="e">
        <f t="shared" ref="BO77:BO88" si="125">IF(COUNT(D77,F77,H77,J77,L77,N77,P77,R77,T77,V77,X77,Z77,AB77,AD77,AF77,AH77,AJ77,AL77,AN77,AP77,AR77,AT77,AV77,AX77,AZ77,BB77,BD77,BF77,BH77,BJ77,BL77)=0,"",SUM(D77,F77,H77,J77,L77,N77,P77,R77,T77,V77,X77,Z77,AB77,AD77,AF77,AH77,AJ77,AL77,AN77,AP77,AR77,AT77,AV77,AX77,AZ77,BB77,BD77,BF77,BH77,BJ77,BL77))</f>
        <v>#VALUE!</v>
      </c>
      <c r="BP77" s="193" t="e">
        <f>+BQ77-BM77</f>
        <v>#VALUE!</v>
      </c>
      <c r="BQ77" s="212" t="str">
        <f t="shared" ref="BQ77:BQ88" si="126">IF(BK77="","",BK77)</f>
        <v/>
      </c>
    </row>
    <row r="78" spans="1:69" x14ac:dyDescent="0.35">
      <c r="A78" s="136" t="s">
        <v>76</v>
      </c>
      <c r="B78" s="54" t="s">
        <v>66</v>
      </c>
      <c r="C78" s="174" t="str">
        <f>IF('May 2027 Log'!BM78="","",'May 2027 Log'!BM78)</f>
        <v/>
      </c>
      <c r="D78" s="189" t="e">
        <f t="shared" si="95"/>
        <v>#VALUE!</v>
      </c>
      <c r="E78" s="86"/>
      <c r="F78" s="167">
        <f t="shared" si="96"/>
        <v>0</v>
      </c>
      <c r="G78" s="86"/>
      <c r="H78" s="167">
        <f t="shared" si="97"/>
        <v>0</v>
      </c>
      <c r="I78" s="86"/>
      <c r="J78" s="167">
        <f t="shared" si="98"/>
        <v>0</v>
      </c>
      <c r="K78" s="86"/>
      <c r="L78" s="167">
        <f t="shared" si="99"/>
        <v>0</v>
      </c>
      <c r="M78" s="86"/>
      <c r="N78" s="167">
        <f t="shared" si="100"/>
        <v>0</v>
      </c>
      <c r="O78" s="86"/>
      <c r="P78" s="167">
        <f t="shared" si="101"/>
        <v>0</v>
      </c>
      <c r="Q78" s="86"/>
      <c r="R78" s="167">
        <f t="shared" si="102"/>
        <v>0</v>
      </c>
      <c r="S78" s="86"/>
      <c r="T78" s="167">
        <f t="shared" si="103"/>
        <v>0</v>
      </c>
      <c r="U78" s="86"/>
      <c r="V78" s="167">
        <f t="shared" si="104"/>
        <v>0</v>
      </c>
      <c r="W78" s="86"/>
      <c r="X78" s="167">
        <f t="shared" si="105"/>
        <v>0</v>
      </c>
      <c r="Y78" s="86"/>
      <c r="Z78" s="167">
        <f t="shared" si="106"/>
        <v>0</v>
      </c>
      <c r="AA78" s="86"/>
      <c r="AB78" s="167">
        <f t="shared" si="107"/>
        <v>0</v>
      </c>
      <c r="AC78" s="86"/>
      <c r="AD78" s="167">
        <f t="shared" si="108"/>
        <v>0</v>
      </c>
      <c r="AE78" s="86"/>
      <c r="AF78" s="167">
        <f t="shared" si="109"/>
        <v>0</v>
      </c>
      <c r="AG78" s="86"/>
      <c r="AH78" s="167">
        <f t="shared" si="110"/>
        <v>0</v>
      </c>
      <c r="AI78" s="86"/>
      <c r="AJ78" s="167">
        <f t="shared" si="111"/>
        <v>0</v>
      </c>
      <c r="AK78" s="86"/>
      <c r="AL78" s="167">
        <f t="shared" si="112"/>
        <v>0</v>
      </c>
      <c r="AM78" s="86"/>
      <c r="AN78" s="167">
        <f t="shared" si="113"/>
        <v>0</v>
      </c>
      <c r="AO78" s="86"/>
      <c r="AP78" s="167">
        <f t="shared" si="114"/>
        <v>0</v>
      </c>
      <c r="AQ78" s="86"/>
      <c r="AR78" s="167">
        <f t="shared" si="115"/>
        <v>0</v>
      </c>
      <c r="AS78" s="86"/>
      <c r="AT78" s="167">
        <f t="shared" si="116"/>
        <v>0</v>
      </c>
      <c r="AU78" s="86"/>
      <c r="AV78" s="167">
        <f t="shared" si="117"/>
        <v>0</v>
      </c>
      <c r="AW78" s="86"/>
      <c r="AX78" s="167">
        <f t="shared" si="118"/>
        <v>0</v>
      </c>
      <c r="AY78" s="86"/>
      <c r="AZ78" s="167">
        <f t="shared" si="119"/>
        <v>0</v>
      </c>
      <c r="BA78" s="86"/>
      <c r="BB78" s="167">
        <f t="shared" si="120"/>
        <v>0</v>
      </c>
      <c r="BC78" s="86"/>
      <c r="BD78" s="167">
        <f t="shared" si="121"/>
        <v>0</v>
      </c>
      <c r="BE78" s="86"/>
      <c r="BF78" s="167">
        <f t="shared" si="122"/>
        <v>0</v>
      </c>
      <c r="BG78" s="86"/>
      <c r="BH78" s="167">
        <f t="shared" si="123"/>
        <v>0</v>
      </c>
      <c r="BI78" s="86"/>
      <c r="BJ78" s="167">
        <f t="shared" si="124"/>
        <v>0</v>
      </c>
      <c r="BK78" s="86"/>
      <c r="BL78" s="49"/>
      <c r="BM78" s="86"/>
      <c r="BN78" s="50"/>
      <c r="BO78" s="170" t="e">
        <f t="shared" si="125"/>
        <v>#VALUE!</v>
      </c>
      <c r="BP78" s="167" t="e">
        <f t="shared" ref="BP78:BP89" si="127">+BQ78-BM78</f>
        <v>#VALUE!</v>
      </c>
      <c r="BQ78" s="178" t="str">
        <f t="shared" si="126"/>
        <v/>
      </c>
    </row>
    <row r="79" spans="1:69" x14ac:dyDescent="0.35">
      <c r="A79" s="134" t="s">
        <v>77</v>
      </c>
      <c r="B79" s="54" t="s">
        <v>67</v>
      </c>
      <c r="C79" s="174" t="str">
        <f>IF('May 2027 Log'!BM79="","",'May 2027 Log'!BM79)</f>
        <v/>
      </c>
      <c r="D79" s="189" t="e">
        <f t="shared" si="95"/>
        <v>#VALUE!</v>
      </c>
      <c r="E79" s="86"/>
      <c r="F79" s="167">
        <f t="shared" si="96"/>
        <v>0</v>
      </c>
      <c r="G79" s="86"/>
      <c r="H79" s="167">
        <f t="shared" si="97"/>
        <v>0</v>
      </c>
      <c r="I79" s="86"/>
      <c r="J79" s="167">
        <f t="shared" si="98"/>
        <v>0</v>
      </c>
      <c r="K79" s="86"/>
      <c r="L79" s="167">
        <f t="shared" si="99"/>
        <v>0</v>
      </c>
      <c r="M79" s="86"/>
      <c r="N79" s="167">
        <f t="shared" si="100"/>
        <v>0</v>
      </c>
      <c r="O79" s="86"/>
      <c r="P79" s="167">
        <f t="shared" si="101"/>
        <v>0</v>
      </c>
      <c r="Q79" s="86"/>
      <c r="R79" s="167">
        <f t="shared" si="102"/>
        <v>0</v>
      </c>
      <c r="S79" s="86"/>
      <c r="T79" s="167">
        <f t="shared" si="103"/>
        <v>0</v>
      </c>
      <c r="U79" s="86"/>
      <c r="V79" s="167">
        <f t="shared" si="104"/>
        <v>0</v>
      </c>
      <c r="W79" s="86"/>
      <c r="X79" s="167">
        <f t="shared" si="105"/>
        <v>0</v>
      </c>
      <c r="Y79" s="86"/>
      <c r="Z79" s="167">
        <f t="shared" si="106"/>
        <v>0</v>
      </c>
      <c r="AA79" s="86"/>
      <c r="AB79" s="167">
        <f t="shared" si="107"/>
        <v>0</v>
      </c>
      <c r="AC79" s="86"/>
      <c r="AD79" s="167">
        <f t="shared" si="108"/>
        <v>0</v>
      </c>
      <c r="AE79" s="86"/>
      <c r="AF79" s="167">
        <f t="shared" si="109"/>
        <v>0</v>
      </c>
      <c r="AG79" s="86"/>
      <c r="AH79" s="167">
        <f t="shared" si="110"/>
        <v>0</v>
      </c>
      <c r="AI79" s="86"/>
      <c r="AJ79" s="167">
        <f t="shared" si="111"/>
        <v>0</v>
      </c>
      <c r="AK79" s="86"/>
      <c r="AL79" s="167">
        <f t="shared" si="112"/>
        <v>0</v>
      </c>
      <c r="AM79" s="86"/>
      <c r="AN79" s="167">
        <f t="shared" si="113"/>
        <v>0</v>
      </c>
      <c r="AO79" s="86"/>
      <c r="AP79" s="167">
        <f t="shared" si="114"/>
        <v>0</v>
      </c>
      <c r="AQ79" s="86"/>
      <c r="AR79" s="167">
        <f t="shared" si="115"/>
        <v>0</v>
      </c>
      <c r="AS79" s="86"/>
      <c r="AT79" s="167">
        <f t="shared" si="116"/>
        <v>0</v>
      </c>
      <c r="AU79" s="86"/>
      <c r="AV79" s="167">
        <f t="shared" si="117"/>
        <v>0</v>
      </c>
      <c r="AW79" s="86"/>
      <c r="AX79" s="167">
        <f t="shared" si="118"/>
        <v>0</v>
      </c>
      <c r="AY79" s="86"/>
      <c r="AZ79" s="167">
        <f t="shared" si="119"/>
        <v>0</v>
      </c>
      <c r="BA79" s="86"/>
      <c r="BB79" s="167">
        <f t="shared" si="120"/>
        <v>0</v>
      </c>
      <c r="BC79" s="86"/>
      <c r="BD79" s="167">
        <f t="shared" si="121"/>
        <v>0</v>
      </c>
      <c r="BE79" s="86"/>
      <c r="BF79" s="167">
        <f t="shared" si="122"/>
        <v>0</v>
      </c>
      <c r="BG79" s="86"/>
      <c r="BH79" s="167">
        <f t="shared" si="123"/>
        <v>0</v>
      </c>
      <c r="BI79" s="86"/>
      <c r="BJ79" s="167">
        <f t="shared" si="124"/>
        <v>0</v>
      </c>
      <c r="BK79" s="86"/>
      <c r="BL79" s="49"/>
      <c r="BM79" s="86"/>
      <c r="BN79" s="50"/>
      <c r="BO79" s="170" t="e">
        <f t="shared" si="125"/>
        <v>#VALUE!</v>
      </c>
      <c r="BP79" s="167" t="e">
        <f t="shared" si="127"/>
        <v>#VALUE!</v>
      </c>
      <c r="BQ79" s="178" t="str">
        <f t="shared" si="126"/>
        <v/>
      </c>
    </row>
    <row r="80" spans="1:69" x14ac:dyDescent="0.35">
      <c r="A80" s="132" t="s">
        <v>78</v>
      </c>
      <c r="B80" s="54" t="s">
        <v>65</v>
      </c>
      <c r="C80" s="174" t="str">
        <f>IF('May 2027 Log'!BM80="","",'May 2027 Log'!BM80)</f>
        <v/>
      </c>
      <c r="D80" s="189" t="e">
        <f t="shared" si="95"/>
        <v>#VALUE!</v>
      </c>
      <c r="E80" s="86"/>
      <c r="F80" s="167">
        <f t="shared" si="96"/>
        <v>0</v>
      </c>
      <c r="G80" s="86"/>
      <c r="H80" s="167">
        <f t="shared" si="97"/>
        <v>0</v>
      </c>
      <c r="I80" s="86"/>
      <c r="J80" s="167">
        <f t="shared" si="98"/>
        <v>0</v>
      </c>
      <c r="K80" s="86"/>
      <c r="L80" s="167">
        <f t="shared" si="99"/>
        <v>0</v>
      </c>
      <c r="M80" s="86"/>
      <c r="N80" s="167">
        <f t="shared" si="100"/>
        <v>0</v>
      </c>
      <c r="O80" s="86"/>
      <c r="P80" s="167">
        <f t="shared" si="101"/>
        <v>0</v>
      </c>
      <c r="Q80" s="86"/>
      <c r="R80" s="167">
        <f t="shared" si="102"/>
        <v>0</v>
      </c>
      <c r="S80" s="86"/>
      <c r="T80" s="167">
        <f t="shared" si="103"/>
        <v>0</v>
      </c>
      <c r="U80" s="86"/>
      <c r="V80" s="167">
        <f t="shared" si="104"/>
        <v>0</v>
      </c>
      <c r="W80" s="86"/>
      <c r="X80" s="167">
        <f t="shared" si="105"/>
        <v>0</v>
      </c>
      <c r="Y80" s="86"/>
      <c r="Z80" s="167">
        <f t="shared" si="106"/>
        <v>0</v>
      </c>
      <c r="AA80" s="86"/>
      <c r="AB80" s="167">
        <f t="shared" si="107"/>
        <v>0</v>
      </c>
      <c r="AC80" s="86"/>
      <c r="AD80" s="167">
        <f t="shared" si="108"/>
        <v>0</v>
      </c>
      <c r="AE80" s="86"/>
      <c r="AF80" s="167">
        <f t="shared" si="109"/>
        <v>0</v>
      </c>
      <c r="AG80" s="86"/>
      <c r="AH80" s="167">
        <f t="shared" si="110"/>
        <v>0</v>
      </c>
      <c r="AI80" s="86"/>
      <c r="AJ80" s="167">
        <f t="shared" si="111"/>
        <v>0</v>
      </c>
      <c r="AK80" s="86"/>
      <c r="AL80" s="167">
        <f t="shared" si="112"/>
        <v>0</v>
      </c>
      <c r="AM80" s="86"/>
      <c r="AN80" s="167">
        <f t="shared" si="113"/>
        <v>0</v>
      </c>
      <c r="AO80" s="86"/>
      <c r="AP80" s="167">
        <f t="shared" si="114"/>
        <v>0</v>
      </c>
      <c r="AQ80" s="86"/>
      <c r="AR80" s="167">
        <f t="shared" si="115"/>
        <v>0</v>
      </c>
      <c r="AS80" s="86"/>
      <c r="AT80" s="167">
        <f t="shared" si="116"/>
        <v>0</v>
      </c>
      <c r="AU80" s="86"/>
      <c r="AV80" s="167">
        <f t="shared" si="117"/>
        <v>0</v>
      </c>
      <c r="AW80" s="86"/>
      <c r="AX80" s="167">
        <f t="shared" si="118"/>
        <v>0</v>
      </c>
      <c r="AY80" s="86"/>
      <c r="AZ80" s="167">
        <f t="shared" si="119"/>
        <v>0</v>
      </c>
      <c r="BA80" s="86"/>
      <c r="BB80" s="167">
        <f t="shared" si="120"/>
        <v>0</v>
      </c>
      <c r="BC80" s="86"/>
      <c r="BD80" s="167">
        <f t="shared" si="121"/>
        <v>0</v>
      </c>
      <c r="BE80" s="86"/>
      <c r="BF80" s="167">
        <f t="shared" si="122"/>
        <v>0</v>
      </c>
      <c r="BG80" s="86"/>
      <c r="BH80" s="167">
        <f t="shared" si="123"/>
        <v>0</v>
      </c>
      <c r="BI80" s="86"/>
      <c r="BJ80" s="167">
        <f t="shared" si="124"/>
        <v>0</v>
      </c>
      <c r="BK80" s="86"/>
      <c r="BL80" s="49"/>
      <c r="BM80" s="86"/>
      <c r="BN80" s="50"/>
      <c r="BO80" s="170" t="e">
        <f t="shared" si="125"/>
        <v>#VALUE!</v>
      </c>
      <c r="BP80" s="167" t="e">
        <f t="shared" si="127"/>
        <v>#VALUE!</v>
      </c>
      <c r="BQ80" s="178" t="str">
        <f t="shared" si="126"/>
        <v/>
      </c>
    </row>
    <row r="81" spans="1:69" x14ac:dyDescent="0.35">
      <c r="A81" s="136" t="s">
        <v>79</v>
      </c>
      <c r="B81" s="54" t="s">
        <v>66</v>
      </c>
      <c r="C81" s="174" t="str">
        <f>IF('May 2027 Log'!BM81="","",'May 2027 Log'!BM81)</f>
        <v/>
      </c>
      <c r="D81" s="189" t="e">
        <f t="shared" si="95"/>
        <v>#VALUE!</v>
      </c>
      <c r="E81" s="86"/>
      <c r="F81" s="167">
        <f t="shared" si="96"/>
        <v>0</v>
      </c>
      <c r="G81" s="86"/>
      <c r="H81" s="167">
        <f t="shared" si="97"/>
        <v>0</v>
      </c>
      <c r="I81" s="86"/>
      <c r="J81" s="167">
        <f t="shared" si="98"/>
        <v>0</v>
      </c>
      <c r="K81" s="86"/>
      <c r="L81" s="167">
        <f t="shared" si="99"/>
        <v>0</v>
      </c>
      <c r="M81" s="86"/>
      <c r="N81" s="167">
        <f t="shared" si="100"/>
        <v>0</v>
      </c>
      <c r="O81" s="86"/>
      <c r="P81" s="167">
        <f t="shared" si="101"/>
        <v>0</v>
      </c>
      <c r="Q81" s="86"/>
      <c r="R81" s="167">
        <f t="shared" si="102"/>
        <v>0</v>
      </c>
      <c r="S81" s="86"/>
      <c r="T81" s="167">
        <f t="shared" si="103"/>
        <v>0</v>
      </c>
      <c r="U81" s="86"/>
      <c r="V81" s="167">
        <f t="shared" si="104"/>
        <v>0</v>
      </c>
      <c r="W81" s="86"/>
      <c r="X81" s="167">
        <f t="shared" si="105"/>
        <v>0</v>
      </c>
      <c r="Y81" s="86"/>
      <c r="Z81" s="167">
        <f t="shared" si="106"/>
        <v>0</v>
      </c>
      <c r="AA81" s="86"/>
      <c r="AB81" s="167">
        <f t="shared" si="107"/>
        <v>0</v>
      </c>
      <c r="AC81" s="86"/>
      <c r="AD81" s="167">
        <f t="shared" si="108"/>
        <v>0</v>
      </c>
      <c r="AE81" s="86"/>
      <c r="AF81" s="167">
        <f t="shared" si="109"/>
        <v>0</v>
      </c>
      <c r="AG81" s="86"/>
      <c r="AH81" s="167">
        <f t="shared" si="110"/>
        <v>0</v>
      </c>
      <c r="AI81" s="86"/>
      <c r="AJ81" s="167">
        <f t="shared" si="111"/>
        <v>0</v>
      </c>
      <c r="AK81" s="86"/>
      <c r="AL81" s="167">
        <f t="shared" si="112"/>
        <v>0</v>
      </c>
      <c r="AM81" s="86"/>
      <c r="AN81" s="167">
        <f t="shared" si="113"/>
        <v>0</v>
      </c>
      <c r="AO81" s="86"/>
      <c r="AP81" s="167">
        <f t="shared" si="114"/>
        <v>0</v>
      </c>
      <c r="AQ81" s="86"/>
      <c r="AR81" s="167">
        <f t="shared" si="115"/>
        <v>0</v>
      </c>
      <c r="AS81" s="86"/>
      <c r="AT81" s="167">
        <f t="shared" si="116"/>
        <v>0</v>
      </c>
      <c r="AU81" s="86"/>
      <c r="AV81" s="167">
        <f t="shared" si="117"/>
        <v>0</v>
      </c>
      <c r="AW81" s="86"/>
      <c r="AX81" s="167">
        <f t="shared" si="118"/>
        <v>0</v>
      </c>
      <c r="AY81" s="86"/>
      <c r="AZ81" s="167">
        <f t="shared" si="119"/>
        <v>0</v>
      </c>
      <c r="BA81" s="86"/>
      <c r="BB81" s="167">
        <f t="shared" si="120"/>
        <v>0</v>
      </c>
      <c r="BC81" s="86"/>
      <c r="BD81" s="167">
        <f t="shared" si="121"/>
        <v>0</v>
      </c>
      <c r="BE81" s="86"/>
      <c r="BF81" s="167">
        <f t="shared" si="122"/>
        <v>0</v>
      </c>
      <c r="BG81" s="86"/>
      <c r="BH81" s="167">
        <f t="shared" si="123"/>
        <v>0</v>
      </c>
      <c r="BI81" s="86"/>
      <c r="BJ81" s="167">
        <f t="shared" si="124"/>
        <v>0</v>
      </c>
      <c r="BK81" s="86"/>
      <c r="BL81" s="49"/>
      <c r="BM81" s="86"/>
      <c r="BN81" s="50"/>
      <c r="BO81" s="170" t="e">
        <f t="shared" si="125"/>
        <v>#VALUE!</v>
      </c>
      <c r="BP81" s="167" t="e">
        <f t="shared" si="127"/>
        <v>#VALUE!</v>
      </c>
      <c r="BQ81" s="178" t="str">
        <f t="shared" si="126"/>
        <v/>
      </c>
    </row>
    <row r="82" spans="1:69" x14ac:dyDescent="0.35">
      <c r="A82" s="134" t="s">
        <v>80</v>
      </c>
      <c r="B82" s="54" t="s">
        <v>67</v>
      </c>
      <c r="C82" s="174" t="str">
        <f>IF('May 2027 Log'!BM82="","",'May 2027 Log'!BM82)</f>
        <v/>
      </c>
      <c r="D82" s="189" t="e">
        <f t="shared" si="95"/>
        <v>#VALUE!</v>
      </c>
      <c r="E82" s="86"/>
      <c r="F82" s="167">
        <f t="shared" si="96"/>
        <v>0</v>
      </c>
      <c r="G82" s="86"/>
      <c r="H82" s="167">
        <f t="shared" si="97"/>
        <v>0</v>
      </c>
      <c r="I82" s="86"/>
      <c r="J82" s="167">
        <f t="shared" si="98"/>
        <v>0</v>
      </c>
      <c r="K82" s="86"/>
      <c r="L82" s="167">
        <f t="shared" si="99"/>
        <v>0</v>
      </c>
      <c r="M82" s="86"/>
      <c r="N82" s="167">
        <f t="shared" si="100"/>
        <v>0</v>
      </c>
      <c r="O82" s="86"/>
      <c r="P82" s="167">
        <f t="shared" si="101"/>
        <v>0</v>
      </c>
      <c r="Q82" s="86"/>
      <c r="R82" s="167">
        <f t="shared" si="102"/>
        <v>0</v>
      </c>
      <c r="S82" s="86"/>
      <c r="T82" s="167">
        <f t="shared" si="103"/>
        <v>0</v>
      </c>
      <c r="U82" s="86"/>
      <c r="V82" s="167">
        <f t="shared" si="104"/>
        <v>0</v>
      </c>
      <c r="W82" s="86"/>
      <c r="X82" s="167">
        <f t="shared" si="105"/>
        <v>0</v>
      </c>
      <c r="Y82" s="86"/>
      <c r="Z82" s="167">
        <f t="shared" si="106"/>
        <v>0</v>
      </c>
      <c r="AA82" s="86"/>
      <c r="AB82" s="167">
        <f t="shared" si="107"/>
        <v>0</v>
      </c>
      <c r="AC82" s="86"/>
      <c r="AD82" s="167">
        <f t="shared" si="108"/>
        <v>0</v>
      </c>
      <c r="AE82" s="86"/>
      <c r="AF82" s="167">
        <f t="shared" si="109"/>
        <v>0</v>
      </c>
      <c r="AG82" s="86"/>
      <c r="AH82" s="167">
        <f t="shared" si="110"/>
        <v>0</v>
      </c>
      <c r="AI82" s="86"/>
      <c r="AJ82" s="167">
        <f t="shared" si="111"/>
        <v>0</v>
      </c>
      <c r="AK82" s="86"/>
      <c r="AL82" s="167">
        <f t="shared" si="112"/>
        <v>0</v>
      </c>
      <c r="AM82" s="86"/>
      <c r="AN82" s="167">
        <f t="shared" si="113"/>
        <v>0</v>
      </c>
      <c r="AO82" s="86"/>
      <c r="AP82" s="167">
        <f t="shared" si="114"/>
        <v>0</v>
      </c>
      <c r="AQ82" s="86"/>
      <c r="AR82" s="167">
        <f t="shared" si="115"/>
        <v>0</v>
      </c>
      <c r="AS82" s="86"/>
      <c r="AT82" s="167">
        <f t="shared" si="116"/>
        <v>0</v>
      </c>
      <c r="AU82" s="86"/>
      <c r="AV82" s="167">
        <f t="shared" si="117"/>
        <v>0</v>
      </c>
      <c r="AW82" s="86"/>
      <c r="AX82" s="167">
        <f t="shared" si="118"/>
        <v>0</v>
      </c>
      <c r="AY82" s="86"/>
      <c r="AZ82" s="167">
        <f t="shared" si="119"/>
        <v>0</v>
      </c>
      <c r="BA82" s="86"/>
      <c r="BB82" s="167">
        <f t="shared" si="120"/>
        <v>0</v>
      </c>
      <c r="BC82" s="86"/>
      <c r="BD82" s="167">
        <f t="shared" si="121"/>
        <v>0</v>
      </c>
      <c r="BE82" s="86"/>
      <c r="BF82" s="167">
        <f t="shared" si="122"/>
        <v>0</v>
      </c>
      <c r="BG82" s="86"/>
      <c r="BH82" s="167">
        <f t="shared" si="123"/>
        <v>0</v>
      </c>
      <c r="BI82" s="86"/>
      <c r="BJ82" s="167">
        <f t="shared" si="124"/>
        <v>0</v>
      </c>
      <c r="BK82" s="86"/>
      <c r="BL82" s="49"/>
      <c r="BM82" s="86"/>
      <c r="BN82" s="50"/>
      <c r="BO82" s="170" t="e">
        <f t="shared" si="125"/>
        <v>#VALUE!</v>
      </c>
      <c r="BP82" s="167" t="e">
        <f t="shared" si="127"/>
        <v>#VALUE!</v>
      </c>
      <c r="BQ82" s="178" t="str">
        <f t="shared" si="126"/>
        <v/>
      </c>
    </row>
    <row r="83" spans="1:69" x14ac:dyDescent="0.35">
      <c r="A83" s="135" t="s">
        <v>81</v>
      </c>
      <c r="B83" s="54" t="s">
        <v>67</v>
      </c>
      <c r="C83" s="174" t="str">
        <f>IF('May 2027 Log'!BM83="","",'May 2027 Log'!BM83)</f>
        <v/>
      </c>
      <c r="D83" s="189" t="e">
        <f t="shared" si="95"/>
        <v>#VALUE!</v>
      </c>
      <c r="E83" s="86"/>
      <c r="F83" s="167">
        <f t="shared" si="96"/>
        <v>0</v>
      </c>
      <c r="G83" s="86"/>
      <c r="H83" s="167">
        <f t="shared" si="97"/>
        <v>0</v>
      </c>
      <c r="I83" s="86"/>
      <c r="J83" s="167">
        <f t="shared" si="98"/>
        <v>0</v>
      </c>
      <c r="K83" s="86"/>
      <c r="L83" s="167">
        <f t="shared" si="99"/>
        <v>0</v>
      </c>
      <c r="M83" s="86"/>
      <c r="N83" s="167">
        <f t="shared" si="100"/>
        <v>0</v>
      </c>
      <c r="O83" s="86"/>
      <c r="P83" s="167">
        <f t="shared" si="101"/>
        <v>0</v>
      </c>
      <c r="Q83" s="86"/>
      <c r="R83" s="167">
        <f t="shared" si="102"/>
        <v>0</v>
      </c>
      <c r="S83" s="86"/>
      <c r="T83" s="167">
        <f t="shared" si="103"/>
        <v>0</v>
      </c>
      <c r="U83" s="86"/>
      <c r="V83" s="167">
        <f t="shared" si="104"/>
        <v>0</v>
      </c>
      <c r="W83" s="86"/>
      <c r="X83" s="167">
        <f t="shared" si="105"/>
        <v>0</v>
      </c>
      <c r="Y83" s="86"/>
      <c r="Z83" s="167">
        <f t="shared" si="106"/>
        <v>0</v>
      </c>
      <c r="AA83" s="86"/>
      <c r="AB83" s="167">
        <f t="shared" si="107"/>
        <v>0</v>
      </c>
      <c r="AC83" s="86"/>
      <c r="AD83" s="167">
        <f t="shared" si="108"/>
        <v>0</v>
      </c>
      <c r="AE83" s="86"/>
      <c r="AF83" s="167">
        <f t="shared" si="109"/>
        <v>0</v>
      </c>
      <c r="AG83" s="86"/>
      <c r="AH83" s="167">
        <f t="shared" si="110"/>
        <v>0</v>
      </c>
      <c r="AI83" s="86"/>
      <c r="AJ83" s="167">
        <f t="shared" si="111"/>
        <v>0</v>
      </c>
      <c r="AK83" s="86"/>
      <c r="AL83" s="167">
        <f t="shared" si="112"/>
        <v>0</v>
      </c>
      <c r="AM83" s="86"/>
      <c r="AN83" s="167">
        <f t="shared" si="113"/>
        <v>0</v>
      </c>
      <c r="AO83" s="86"/>
      <c r="AP83" s="167">
        <f t="shared" si="114"/>
        <v>0</v>
      </c>
      <c r="AQ83" s="86"/>
      <c r="AR83" s="167">
        <f t="shared" si="115"/>
        <v>0</v>
      </c>
      <c r="AS83" s="86"/>
      <c r="AT83" s="167">
        <f t="shared" si="116"/>
        <v>0</v>
      </c>
      <c r="AU83" s="86"/>
      <c r="AV83" s="167">
        <f t="shared" si="117"/>
        <v>0</v>
      </c>
      <c r="AW83" s="86"/>
      <c r="AX83" s="167">
        <f t="shared" si="118"/>
        <v>0</v>
      </c>
      <c r="AY83" s="86"/>
      <c r="AZ83" s="167">
        <f t="shared" si="119"/>
        <v>0</v>
      </c>
      <c r="BA83" s="86"/>
      <c r="BB83" s="167">
        <f t="shared" si="120"/>
        <v>0</v>
      </c>
      <c r="BC83" s="86"/>
      <c r="BD83" s="167">
        <f t="shared" si="121"/>
        <v>0</v>
      </c>
      <c r="BE83" s="86"/>
      <c r="BF83" s="167">
        <f t="shared" si="122"/>
        <v>0</v>
      </c>
      <c r="BG83" s="86"/>
      <c r="BH83" s="167">
        <f t="shared" si="123"/>
        <v>0</v>
      </c>
      <c r="BI83" s="86"/>
      <c r="BJ83" s="167">
        <f t="shared" si="124"/>
        <v>0</v>
      </c>
      <c r="BK83" s="86"/>
      <c r="BL83" s="49"/>
      <c r="BM83" s="86"/>
      <c r="BN83" s="50"/>
      <c r="BO83" s="170" t="e">
        <f t="shared" si="125"/>
        <v>#VALUE!</v>
      </c>
      <c r="BP83" s="167" t="e">
        <f t="shared" si="127"/>
        <v>#VALUE!</v>
      </c>
      <c r="BQ83" s="178" t="str">
        <f t="shared" si="126"/>
        <v/>
      </c>
    </row>
    <row r="84" spans="1:69" x14ac:dyDescent="0.35">
      <c r="A84" s="136" t="s">
        <v>82</v>
      </c>
      <c r="B84" s="54" t="s">
        <v>66</v>
      </c>
      <c r="C84" s="174" t="str">
        <f>IF('May 2027 Log'!BM84="","",'May 2027 Log'!BM84)</f>
        <v/>
      </c>
      <c r="D84" s="189" t="e">
        <f t="shared" si="95"/>
        <v>#VALUE!</v>
      </c>
      <c r="E84" s="86"/>
      <c r="F84" s="167">
        <f t="shared" si="96"/>
        <v>0</v>
      </c>
      <c r="G84" s="86"/>
      <c r="H84" s="167">
        <f t="shared" si="97"/>
        <v>0</v>
      </c>
      <c r="I84" s="86"/>
      <c r="J84" s="167">
        <f t="shared" si="98"/>
        <v>0</v>
      </c>
      <c r="K84" s="86"/>
      <c r="L84" s="167">
        <f t="shared" si="99"/>
        <v>0</v>
      </c>
      <c r="M84" s="86"/>
      <c r="N84" s="167">
        <f t="shared" si="100"/>
        <v>0</v>
      </c>
      <c r="O84" s="86"/>
      <c r="P84" s="167">
        <f t="shared" si="101"/>
        <v>0</v>
      </c>
      <c r="Q84" s="86"/>
      <c r="R84" s="167">
        <f t="shared" si="102"/>
        <v>0</v>
      </c>
      <c r="S84" s="86"/>
      <c r="T84" s="167">
        <f t="shared" si="103"/>
        <v>0</v>
      </c>
      <c r="U84" s="86"/>
      <c r="V84" s="167">
        <f t="shared" si="104"/>
        <v>0</v>
      </c>
      <c r="W84" s="86"/>
      <c r="X84" s="167">
        <f t="shared" si="105"/>
        <v>0</v>
      </c>
      <c r="Y84" s="86"/>
      <c r="Z84" s="167">
        <f t="shared" si="106"/>
        <v>0</v>
      </c>
      <c r="AA84" s="86"/>
      <c r="AB84" s="167">
        <f t="shared" si="107"/>
        <v>0</v>
      </c>
      <c r="AC84" s="86"/>
      <c r="AD84" s="167">
        <f t="shared" si="108"/>
        <v>0</v>
      </c>
      <c r="AE84" s="86"/>
      <c r="AF84" s="167">
        <f t="shared" si="109"/>
        <v>0</v>
      </c>
      <c r="AG84" s="86"/>
      <c r="AH84" s="167">
        <f t="shared" si="110"/>
        <v>0</v>
      </c>
      <c r="AI84" s="86"/>
      <c r="AJ84" s="167">
        <f t="shared" si="111"/>
        <v>0</v>
      </c>
      <c r="AK84" s="86"/>
      <c r="AL84" s="167">
        <f t="shared" si="112"/>
        <v>0</v>
      </c>
      <c r="AM84" s="86"/>
      <c r="AN84" s="167">
        <f t="shared" si="113"/>
        <v>0</v>
      </c>
      <c r="AO84" s="86"/>
      <c r="AP84" s="167">
        <f t="shared" si="114"/>
        <v>0</v>
      </c>
      <c r="AQ84" s="86"/>
      <c r="AR84" s="167">
        <f t="shared" si="115"/>
        <v>0</v>
      </c>
      <c r="AS84" s="86"/>
      <c r="AT84" s="167">
        <f t="shared" si="116"/>
        <v>0</v>
      </c>
      <c r="AU84" s="86"/>
      <c r="AV84" s="167">
        <f t="shared" si="117"/>
        <v>0</v>
      </c>
      <c r="AW84" s="86"/>
      <c r="AX84" s="167">
        <f t="shared" si="118"/>
        <v>0</v>
      </c>
      <c r="AY84" s="86"/>
      <c r="AZ84" s="167">
        <f t="shared" si="119"/>
        <v>0</v>
      </c>
      <c r="BA84" s="86"/>
      <c r="BB84" s="167">
        <f t="shared" si="120"/>
        <v>0</v>
      </c>
      <c r="BC84" s="86"/>
      <c r="BD84" s="167">
        <f t="shared" si="121"/>
        <v>0</v>
      </c>
      <c r="BE84" s="86"/>
      <c r="BF84" s="167">
        <f t="shared" si="122"/>
        <v>0</v>
      </c>
      <c r="BG84" s="86"/>
      <c r="BH84" s="167">
        <f t="shared" si="123"/>
        <v>0</v>
      </c>
      <c r="BI84" s="86"/>
      <c r="BJ84" s="167">
        <f t="shared" si="124"/>
        <v>0</v>
      </c>
      <c r="BK84" s="86"/>
      <c r="BL84" s="49"/>
      <c r="BM84" s="86"/>
      <c r="BN84" s="50"/>
      <c r="BO84" s="170" t="e">
        <f t="shared" si="125"/>
        <v>#VALUE!</v>
      </c>
      <c r="BP84" s="167" t="e">
        <f t="shared" si="127"/>
        <v>#VALUE!</v>
      </c>
      <c r="BQ84" s="178" t="str">
        <f t="shared" si="126"/>
        <v/>
      </c>
    </row>
    <row r="85" spans="1:69" x14ac:dyDescent="0.35">
      <c r="A85" s="44" t="s">
        <v>83</v>
      </c>
      <c r="B85" s="54" t="s">
        <v>65</v>
      </c>
      <c r="C85" s="174" t="str">
        <f>IF('May 2027 Log'!BM85="","",'May 2027 Log'!BM85)</f>
        <v/>
      </c>
      <c r="D85" s="189" t="e">
        <f t="shared" si="95"/>
        <v>#VALUE!</v>
      </c>
      <c r="E85" s="86"/>
      <c r="F85" s="167">
        <f t="shared" si="96"/>
        <v>0</v>
      </c>
      <c r="G85" s="86"/>
      <c r="H85" s="167">
        <f t="shared" si="97"/>
        <v>0</v>
      </c>
      <c r="I85" s="86"/>
      <c r="J85" s="167">
        <f t="shared" si="98"/>
        <v>0</v>
      </c>
      <c r="K85" s="86"/>
      <c r="L85" s="167">
        <f t="shared" si="99"/>
        <v>0</v>
      </c>
      <c r="M85" s="86"/>
      <c r="N85" s="167">
        <f t="shared" si="100"/>
        <v>0</v>
      </c>
      <c r="O85" s="86"/>
      <c r="P85" s="167">
        <f t="shared" si="101"/>
        <v>0</v>
      </c>
      <c r="Q85" s="86"/>
      <c r="R85" s="167">
        <f t="shared" si="102"/>
        <v>0</v>
      </c>
      <c r="S85" s="86"/>
      <c r="T85" s="167">
        <f t="shared" si="103"/>
        <v>0</v>
      </c>
      <c r="U85" s="86"/>
      <c r="V85" s="167">
        <f t="shared" si="104"/>
        <v>0</v>
      </c>
      <c r="W85" s="86"/>
      <c r="X85" s="167">
        <f t="shared" si="105"/>
        <v>0</v>
      </c>
      <c r="Y85" s="86"/>
      <c r="Z85" s="167">
        <f t="shared" si="106"/>
        <v>0</v>
      </c>
      <c r="AA85" s="86"/>
      <c r="AB85" s="167">
        <f t="shared" si="107"/>
        <v>0</v>
      </c>
      <c r="AC85" s="86"/>
      <c r="AD85" s="167">
        <f t="shared" si="108"/>
        <v>0</v>
      </c>
      <c r="AE85" s="86"/>
      <c r="AF85" s="167">
        <f t="shared" si="109"/>
        <v>0</v>
      </c>
      <c r="AG85" s="86"/>
      <c r="AH85" s="167">
        <f t="shared" si="110"/>
        <v>0</v>
      </c>
      <c r="AI85" s="86"/>
      <c r="AJ85" s="167">
        <f t="shared" si="111"/>
        <v>0</v>
      </c>
      <c r="AK85" s="86"/>
      <c r="AL85" s="167">
        <f t="shared" si="112"/>
        <v>0</v>
      </c>
      <c r="AM85" s="86"/>
      <c r="AN85" s="167">
        <f t="shared" si="113"/>
        <v>0</v>
      </c>
      <c r="AO85" s="86"/>
      <c r="AP85" s="167">
        <f t="shared" si="114"/>
        <v>0</v>
      </c>
      <c r="AQ85" s="86"/>
      <c r="AR85" s="167">
        <f t="shared" si="115"/>
        <v>0</v>
      </c>
      <c r="AS85" s="86"/>
      <c r="AT85" s="167">
        <f t="shared" si="116"/>
        <v>0</v>
      </c>
      <c r="AU85" s="86"/>
      <c r="AV85" s="167">
        <f t="shared" si="117"/>
        <v>0</v>
      </c>
      <c r="AW85" s="86"/>
      <c r="AX85" s="167">
        <f t="shared" si="118"/>
        <v>0</v>
      </c>
      <c r="AY85" s="86"/>
      <c r="AZ85" s="167">
        <f t="shared" si="119"/>
        <v>0</v>
      </c>
      <c r="BA85" s="86"/>
      <c r="BB85" s="167">
        <f t="shared" si="120"/>
        <v>0</v>
      </c>
      <c r="BC85" s="86"/>
      <c r="BD85" s="167">
        <f t="shared" si="121"/>
        <v>0</v>
      </c>
      <c r="BE85" s="86"/>
      <c r="BF85" s="167">
        <f t="shared" si="122"/>
        <v>0</v>
      </c>
      <c r="BG85" s="86"/>
      <c r="BH85" s="167">
        <f t="shared" si="123"/>
        <v>0</v>
      </c>
      <c r="BI85" s="86"/>
      <c r="BJ85" s="167">
        <f t="shared" si="124"/>
        <v>0</v>
      </c>
      <c r="BK85" s="86"/>
      <c r="BL85" s="49"/>
      <c r="BM85" s="86"/>
      <c r="BN85" s="50"/>
      <c r="BO85" s="170" t="e">
        <f t="shared" si="125"/>
        <v>#VALUE!</v>
      </c>
      <c r="BP85" s="167" t="e">
        <f t="shared" si="127"/>
        <v>#VALUE!</v>
      </c>
      <c r="BQ85" s="178" t="str">
        <f t="shared" si="126"/>
        <v/>
      </c>
    </row>
    <row r="86" spans="1:69" x14ac:dyDescent="0.35">
      <c r="A86" s="135" t="s">
        <v>84</v>
      </c>
      <c r="B86" s="54" t="s">
        <v>67</v>
      </c>
      <c r="C86" s="174" t="str">
        <f>IF('May 2027 Log'!BM86="","",'May 2027 Log'!BM86)</f>
        <v/>
      </c>
      <c r="D86" s="189" t="e">
        <f t="shared" si="95"/>
        <v>#VALUE!</v>
      </c>
      <c r="E86" s="86"/>
      <c r="F86" s="167">
        <f t="shared" si="96"/>
        <v>0</v>
      </c>
      <c r="G86" s="86"/>
      <c r="H86" s="167">
        <f t="shared" si="97"/>
        <v>0</v>
      </c>
      <c r="I86" s="86"/>
      <c r="J86" s="167">
        <f t="shared" si="98"/>
        <v>0</v>
      </c>
      <c r="K86" s="86"/>
      <c r="L86" s="167">
        <f t="shared" si="99"/>
        <v>0</v>
      </c>
      <c r="M86" s="86"/>
      <c r="N86" s="167">
        <f t="shared" si="100"/>
        <v>0</v>
      </c>
      <c r="O86" s="86"/>
      <c r="P86" s="167">
        <f t="shared" si="101"/>
        <v>0</v>
      </c>
      <c r="Q86" s="86"/>
      <c r="R86" s="167">
        <f t="shared" si="102"/>
        <v>0</v>
      </c>
      <c r="S86" s="86"/>
      <c r="T86" s="167">
        <f t="shared" si="103"/>
        <v>0</v>
      </c>
      <c r="U86" s="86"/>
      <c r="V86" s="167">
        <f t="shared" si="104"/>
        <v>0</v>
      </c>
      <c r="W86" s="86"/>
      <c r="X86" s="167">
        <f t="shared" si="105"/>
        <v>0</v>
      </c>
      <c r="Y86" s="86"/>
      <c r="Z86" s="167">
        <f t="shared" si="106"/>
        <v>0</v>
      </c>
      <c r="AA86" s="86"/>
      <c r="AB86" s="167">
        <f t="shared" si="107"/>
        <v>0</v>
      </c>
      <c r="AC86" s="86"/>
      <c r="AD86" s="167">
        <f t="shared" si="108"/>
        <v>0</v>
      </c>
      <c r="AE86" s="86"/>
      <c r="AF86" s="167">
        <f t="shared" si="109"/>
        <v>0</v>
      </c>
      <c r="AG86" s="86"/>
      <c r="AH86" s="167">
        <f t="shared" si="110"/>
        <v>0</v>
      </c>
      <c r="AI86" s="86"/>
      <c r="AJ86" s="167">
        <f t="shared" si="111"/>
        <v>0</v>
      </c>
      <c r="AK86" s="86"/>
      <c r="AL86" s="167">
        <f t="shared" si="112"/>
        <v>0</v>
      </c>
      <c r="AM86" s="86"/>
      <c r="AN86" s="167">
        <f t="shared" si="113"/>
        <v>0</v>
      </c>
      <c r="AO86" s="86"/>
      <c r="AP86" s="167">
        <f t="shared" si="114"/>
        <v>0</v>
      </c>
      <c r="AQ86" s="86"/>
      <c r="AR86" s="167">
        <f t="shared" si="115"/>
        <v>0</v>
      </c>
      <c r="AS86" s="86"/>
      <c r="AT86" s="167">
        <f t="shared" si="116"/>
        <v>0</v>
      </c>
      <c r="AU86" s="86"/>
      <c r="AV86" s="167">
        <f t="shared" si="117"/>
        <v>0</v>
      </c>
      <c r="AW86" s="86"/>
      <c r="AX86" s="167">
        <f t="shared" si="118"/>
        <v>0</v>
      </c>
      <c r="AY86" s="86"/>
      <c r="AZ86" s="167">
        <f t="shared" si="119"/>
        <v>0</v>
      </c>
      <c r="BA86" s="86"/>
      <c r="BB86" s="167">
        <f t="shared" si="120"/>
        <v>0</v>
      </c>
      <c r="BC86" s="86"/>
      <c r="BD86" s="167">
        <f t="shared" si="121"/>
        <v>0</v>
      </c>
      <c r="BE86" s="86"/>
      <c r="BF86" s="167">
        <f t="shared" si="122"/>
        <v>0</v>
      </c>
      <c r="BG86" s="86"/>
      <c r="BH86" s="167">
        <f t="shared" si="123"/>
        <v>0</v>
      </c>
      <c r="BI86" s="86"/>
      <c r="BJ86" s="167">
        <f t="shared" si="124"/>
        <v>0</v>
      </c>
      <c r="BK86" s="86"/>
      <c r="BL86" s="49"/>
      <c r="BM86" s="86"/>
      <c r="BN86" s="50"/>
      <c r="BO86" s="170" t="e">
        <f t="shared" si="125"/>
        <v>#VALUE!</v>
      </c>
      <c r="BP86" s="167" t="e">
        <f t="shared" si="127"/>
        <v>#VALUE!</v>
      </c>
      <c r="BQ86" s="178" t="str">
        <f t="shared" si="126"/>
        <v/>
      </c>
    </row>
    <row r="87" spans="1:69" x14ac:dyDescent="0.35">
      <c r="A87" s="136" t="s">
        <v>85</v>
      </c>
      <c r="B87" s="54" t="s">
        <v>66</v>
      </c>
      <c r="C87" s="174" t="str">
        <f>IF('May 2027 Log'!BM87="","",'May 2027 Log'!BM87)</f>
        <v/>
      </c>
      <c r="D87" s="189" t="e">
        <f t="shared" si="95"/>
        <v>#VALUE!</v>
      </c>
      <c r="E87" s="86"/>
      <c r="F87" s="167">
        <f t="shared" si="96"/>
        <v>0</v>
      </c>
      <c r="G87" s="86"/>
      <c r="H87" s="167">
        <f t="shared" si="97"/>
        <v>0</v>
      </c>
      <c r="I87" s="86"/>
      <c r="J87" s="167">
        <f t="shared" si="98"/>
        <v>0</v>
      </c>
      <c r="K87" s="86"/>
      <c r="L87" s="167">
        <f t="shared" si="99"/>
        <v>0</v>
      </c>
      <c r="M87" s="86"/>
      <c r="N87" s="167">
        <f t="shared" si="100"/>
        <v>0</v>
      </c>
      <c r="O87" s="86"/>
      <c r="P87" s="167">
        <f t="shared" si="101"/>
        <v>0</v>
      </c>
      <c r="Q87" s="86"/>
      <c r="R87" s="167">
        <f t="shared" si="102"/>
        <v>0</v>
      </c>
      <c r="S87" s="86"/>
      <c r="T87" s="167">
        <f t="shared" si="103"/>
        <v>0</v>
      </c>
      <c r="U87" s="86"/>
      <c r="V87" s="167">
        <f t="shared" si="104"/>
        <v>0</v>
      </c>
      <c r="W87" s="86"/>
      <c r="X87" s="167">
        <f t="shared" si="105"/>
        <v>0</v>
      </c>
      <c r="Y87" s="86"/>
      <c r="Z87" s="167">
        <f t="shared" si="106"/>
        <v>0</v>
      </c>
      <c r="AA87" s="86"/>
      <c r="AB87" s="167">
        <f t="shared" si="107"/>
        <v>0</v>
      </c>
      <c r="AC87" s="86"/>
      <c r="AD87" s="167">
        <f t="shared" si="108"/>
        <v>0</v>
      </c>
      <c r="AE87" s="86"/>
      <c r="AF87" s="167">
        <f t="shared" si="109"/>
        <v>0</v>
      </c>
      <c r="AG87" s="86"/>
      <c r="AH87" s="167">
        <f t="shared" si="110"/>
        <v>0</v>
      </c>
      <c r="AI87" s="86"/>
      <c r="AJ87" s="167">
        <f t="shared" si="111"/>
        <v>0</v>
      </c>
      <c r="AK87" s="86"/>
      <c r="AL87" s="167">
        <f t="shared" si="112"/>
        <v>0</v>
      </c>
      <c r="AM87" s="86"/>
      <c r="AN87" s="167">
        <f t="shared" si="113"/>
        <v>0</v>
      </c>
      <c r="AO87" s="86"/>
      <c r="AP87" s="167">
        <f t="shared" si="114"/>
        <v>0</v>
      </c>
      <c r="AQ87" s="86"/>
      <c r="AR87" s="167">
        <f t="shared" si="115"/>
        <v>0</v>
      </c>
      <c r="AS87" s="86"/>
      <c r="AT87" s="167">
        <f t="shared" si="116"/>
        <v>0</v>
      </c>
      <c r="AU87" s="86"/>
      <c r="AV87" s="167">
        <f t="shared" si="117"/>
        <v>0</v>
      </c>
      <c r="AW87" s="86"/>
      <c r="AX87" s="167">
        <f t="shared" si="118"/>
        <v>0</v>
      </c>
      <c r="AY87" s="86"/>
      <c r="AZ87" s="167">
        <f t="shared" si="119"/>
        <v>0</v>
      </c>
      <c r="BA87" s="86"/>
      <c r="BB87" s="167">
        <f t="shared" si="120"/>
        <v>0</v>
      </c>
      <c r="BC87" s="86"/>
      <c r="BD87" s="167">
        <f t="shared" si="121"/>
        <v>0</v>
      </c>
      <c r="BE87" s="86"/>
      <c r="BF87" s="167">
        <f t="shared" si="122"/>
        <v>0</v>
      </c>
      <c r="BG87" s="86"/>
      <c r="BH87" s="167">
        <f t="shared" si="123"/>
        <v>0</v>
      </c>
      <c r="BI87" s="86"/>
      <c r="BJ87" s="167">
        <f t="shared" si="124"/>
        <v>0</v>
      </c>
      <c r="BK87" s="86"/>
      <c r="BL87" s="49"/>
      <c r="BM87" s="86"/>
      <c r="BN87" s="50"/>
      <c r="BO87" s="170" t="e">
        <f t="shared" si="125"/>
        <v>#VALUE!</v>
      </c>
      <c r="BP87" s="167" t="e">
        <f t="shared" si="127"/>
        <v>#VALUE!</v>
      </c>
      <c r="BQ87" s="178" t="str">
        <f t="shared" si="126"/>
        <v/>
      </c>
    </row>
    <row r="88" spans="1:69" x14ac:dyDescent="0.35">
      <c r="A88" s="44" t="s">
        <v>86</v>
      </c>
      <c r="B88" s="54" t="s">
        <v>65</v>
      </c>
      <c r="C88" s="174" t="str">
        <f>IF('May 2027 Log'!BM88="","",'May 2027 Log'!BM88)</f>
        <v/>
      </c>
      <c r="D88" s="189" t="e">
        <f t="shared" si="95"/>
        <v>#VALUE!</v>
      </c>
      <c r="E88" s="86"/>
      <c r="F88" s="167">
        <f t="shared" si="96"/>
        <v>0</v>
      </c>
      <c r="G88" s="86"/>
      <c r="H88" s="167">
        <f t="shared" si="97"/>
        <v>0</v>
      </c>
      <c r="I88" s="86"/>
      <c r="J88" s="167">
        <f t="shared" si="98"/>
        <v>0</v>
      </c>
      <c r="K88" s="86"/>
      <c r="L88" s="167">
        <f t="shared" si="99"/>
        <v>0</v>
      </c>
      <c r="M88" s="86"/>
      <c r="N88" s="167">
        <f t="shared" si="100"/>
        <v>0</v>
      </c>
      <c r="O88" s="86"/>
      <c r="P88" s="167">
        <f t="shared" si="101"/>
        <v>0</v>
      </c>
      <c r="Q88" s="86"/>
      <c r="R88" s="167">
        <f t="shared" si="102"/>
        <v>0</v>
      </c>
      <c r="S88" s="86"/>
      <c r="T88" s="167">
        <f t="shared" si="103"/>
        <v>0</v>
      </c>
      <c r="U88" s="86"/>
      <c r="V88" s="167">
        <f t="shared" si="104"/>
        <v>0</v>
      </c>
      <c r="W88" s="86"/>
      <c r="X88" s="167">
        <f t="shared" si="105"/>
        <v>0</v>
      </c>
      <c r="Y88" s="86"/>
      <c r="Z88" s="167">
        <f t="shared" si="106"/>
        <v>0</v>
      </c>
      <c r="AA88" s="86"/>
      <c r="AB88" s="167">
        <f t="shared" si="107"/>
        <v>0</v>
      </c>
      <c r="AC88" s="86"/>
      <c r="AD88" s="167">
        <f t="shared" si="108"/>
        <v>0</v>
      </c>
      <c r="AE88" s="86"/>
      <c r="AF88" s="167">
        <f t="shared" si="109"/>
        <v>0</v>
      </c>
      <c r="AG88" s="86"/>
      <c r="AH88" s="167">
        <f t="shared" si="110"/>
        <v>0</v>
      </c>
      <c r="AI88" s="86"/>
      <c r="AJ88" s="167">
        <f t="shared" si="111"/>
        <v>0</v>
      </c>
      <c r="AK88" s="86"/>
      <c r="AL88" s="167">
        <f t="shared" si="112"/>
        <v>0</v>
      </c>
      <c r="AM88" s="86"/>
      <c r="AN88" s="167">
        <f t="shared" si="113"/>
        <v>0</v>
      </c>
      <c r="AO88" s="86"/>
      <c r="AP88" s="167">
        <f t="shared" si="114"/>
        <v>0</v>
      </c>
      <c r="AQ88" s="86"/>
      <c r="AR88" s="167">
        <f t="shared" si="115"/>
        <v>0</v>
      </c>
      <c r="AS88" s="86"/>
      <c r="AT88" s="167">
        <f t="shared" si="116"/>
        <v>0</v>
      </c>
      <c r="AU88" s="86"/>
      <c r="AV88" s="167">
        <f t="shared" si="117"/>
        <v>0</v>
      </c>
      <c r="AW88" s="86"/>
      <c r="AX88" s="167">
        <f t="shared" si="118"/>
        <v>0</v>
      </c>
      <c r="AY88" s="86"/>
      <c r="AZ88" s="167">
        <f t="shared" si="119"/>
        <v>0</v>
      </c>
      <c r="BA88" s="86"/>
      <c r="BB88" s="167">
        <f t="shared" si="120"/>
        <v>0</v>
      </c>
      <c r="BC88" s="86"/>
      <c r="BD88" s="167">
        <f t="shared" si="121"/>
        <v>0</v>
      </c>
      <c r="BE88" s="86"/>
      <c r="BF88" s="167">
        <f t="shared" si="122"/>
        <v>0</v>
      </c>
      <c r="BG88" s="86"/>
      <c r="BH88" s="167">
        <f t="shared" si="123"/>
        <v>0</v>
      </c>
      <c r="BI88" s="86"/>
      <c r="BJ88" s="167">
        <f t="shared" si="124"/>
        <v>0</v>
      </c>
      <c r="BK88" s="86"/>
      <c r="BL88" s="49"/>
      <c r="BM88" s="86"/>
      <c r="BN88" s="50"/>
      <c r="BO88" s="170" t="e">
        <f t="shared" si="125"/>
        <v>#VALUE!</v>
      </c>
      <c r="BP88" s="167" t="e">
        <f t="shared" si="127"/>
        <v>#VALUE!</v>
      </c>
      <c r="BQ88" s="178" t="str">
        <f t="shared" si="126"/>
        <v/>
      </c>
    </row>
    <row r="89" spans="1:69" x14ac:dyDescent="0.35">
      <c r="A89" s="53"/>
      <c r="B89" s="54"/>
      <c r="C89" s="144"/>
      <c r="D89" s="192">
        <f t="shared" si="95"/>
        <v>0</v>
      </c>
      <c r="E89" s="145"/>
      <c r="F89" s="173">
        <f t="shared" si="96"/>
        <v>0</v>
      </c>
      <c r="G89" s="145"/>
      <c r="H89" s="173">
        <f t="shared" si="97"/>
        <v>0</v>
      </c>
      <c r="I89" s="145"/>
      <c r="J89" s="173">
        <f t="shared" si="98"/>
        <v>0</v>
      </c>
      <c r="K89" s="145"/>
      <c r="L89" s="173">
        <f t="shared" si="99"/>
        <v>0</v>
      </c>
      <c r="M89" s="145"/>
      <c r="N89" s="173">
        <f t="shared" si="100"/>
        <v>0</v>
      </c>
      <c r="O89" s="145"/>
      <c r="P89" s="173">
        <f t="shared" si="101"/>
        <v>0</v>
      </c>
      <c r="Q89" s="145"/>
      <c r="R89" s="173">
        <f t="shared" si="102"/>
        <v>0</v>
      </c>
      <c r="S89" s="145"/>
      <c r="T89" s="173">
        <f t="shared" si="103"/>
        <v>0</v>
      </c>
      <c r="U89" s="145"/>
      <c r="V89" s="173">
        <f t="shared" si="104"/>
        <v>0</v>
      </c>
      <c r="W89" s="145"/>
      <c r="X89" s="173">
        <f t="shared" si="105"/>
        <v>0</v>
      </c>
      <c r="Y89" s="145"/>
      <c r="Z89" s="173">
        <f t="shared" si="106"/>
        <v>0</v>
      </c>
      <c r="AA89" s="145"/>
      <c r="AB89" s="173">
        <f t="shared" si="107"/>
        <v>0</v>
      </c>
      <c r="AC89" s="145"/>
      <c r="AD89" s="173">
        <f t="shared" si="108"/>
        <v>0</v>
      </c>
      <c r="AE89" s="145"/>
      <c r="AF89" s="173">
        <f t="shared" si="109"/>
        <v>0</v>
      </c>
      <c r="AG89" s="145"/>
      <c r="AH89" s="173">
        <f t="shared" si="110"/>
        <v>0</v>
      </c>
      <c r="AI89" s="145"/>
      <c r="AJ89" s="173">
        <f t="shared" si="111"/>
        <v>0</v>
      </c>
      <c r="AK89" s="145"/>
      <c r="AL89" s="173">
        <f t="shared" si="112"/>
        <v>0</v>
      </c>
      <c r="AM89" s="145"/>
      <c r="AN89" s="173">
        <f t="shared" si="113"/>
        <v>0</v>
      </c>
      <c r="AO89" s="145"/>
      <c r="AP89" s="173">
        <f t="shared" si="114"/>
        <v>0</v>
      </c>
      <c r="AQ89" s="145"/>
      <c r="AR89" s="173">
        <f t="shared" si="115"/>
        <v>0</v>
      </c>
      <c r="AS89" s="145"/>
      <c r="AT89" s="173">
        <f t="shared" si="116"/>
        <v>0</v>
      </c>
      <c r="AU89" s="145"/>
      <c r="AV89" s="173">
        <f t="shared" si="117"/>
        <v>0</v>
      </c>
      <c r="AW89" s="145"/>
      <c r="AX89" s="173">
        <f t="shared" si="118"/>
        <v>0</v>
      </c>
      <c r="AY89" s="145"/>
      <c r="AZ89" s="173">
        <f t="shared" si="119"/>
        <v>0</v>
      </c>
      <c r="BA89" s="145"/>
      <c r="BB89" s="173">
        <f t="shared" si="120"/>
        <v>0</v>
      </c>
      <c r="BC89" s="145"/>
      <c r="BD89" s="173">
        <f t="shared" si="121"/>
        <v>0</v>
      </c>
      <c r="BE89" s="145"/>
      <c r="BF89" s="173">
        <f t="shared" si="122"/>
        <v>0</v>
      </c>
      <c r="BG89" s="145"/>
      <c r="BH89" s="173">
        <f t="shared" si="123"/>
        <v>0</v>
      </c>
      <c r="BI89" s="145"/>
      <c r="BJ89" s="173">
        <f t="shared" si="124"/>
        <v>0</v>
      </c>
      <c r="BK89" s="145"/>
      <c r="BL89" s="87"/>
      <c r="BM89" s="145"/>
      <c r="BN89" s="50"/>
      <c r="BO89" s="51"/>
      <c r="BP89" s="173">
        <f t="shared" si="127"/>
        <v>0</v>
      </c>
      <c r="BQ89" s="88"/>
    </row>
    <row r="90" spans="1:69" x14ac:dyDescent="0.35">
      <c r="A90" s="74" t="s">
        <v>93</v>
      </c>
      <c r="B90" s="75"/>
      <c r="C90" s="141"/>
      <c r="D90" s="102"/>
      <c r="E90" s="142"/>
      <c r="F90" s="104"/>
      <c r="G90" s="142"/>
      <c r="H90" s="104"/>
      <c r="I90" s="142"/>
      <c r="J90" s="104"/>
      <c r="K90" s="142"/>
      <c r="L90" s="104"/>
      <c r="M90" s="142"/>
      <c r="N90" s="104"/>
      <c r="O90" s="142"/>
      <c r="P90" s="104"/>
      <c r="Q90" s="142"/>
      <c r="R90" s="104"/>
      <c r="S90" s="142"/>
      <c r="T90" s="104"/>
      <c r="U90" s="142"/>
      <c r="V90" s="104"/>
      <c r="W90" s="142"/>
      <c r="X90" s="104"/>
      <c r="Y90" s="142"/>
      <c r="Z90" s="104"/>
      <c r="AA90" s="142"/>
      <c r="AB90" s="104"/>
      <c r="AC90" s="142"/>
      <c r="AD90" s="104"/>
      <c r="AE90" s="142"/>
      <c r="AF90" s="104"/>
      <c r="AG90" s="142"/>
      <c r="AH90" s="104"/>
      <c r="AI90" s="142"/>
      <c r="AJ90" s="104"/>
      <c r="AK90" s="142"/>
      <c r="AL90" s="104"/>
      <c r="AM90" s="142"/>
      <c r="AN90" s="104"/>
      <c r="AO90" s="142"/>
      <c r="AP90" s="104"/>
      <c r="AQ90" s="142"/>
      <c r="AR90" s="104"/>
      <c r="AS90" s="142"/>
      <c r="AT90" s="104"/>
      <c r="AU90" s="142"/>
      <c r="AV90" s="104"/>
      <c r="AW90" s="142"/>
      <c r="AX90" s="104"/>
      <c r="AY90" s="142"/>
      <c r="AZ90" s="104"/>
      <c r="BA90" s="142"/>
      <c r="BB90" s="104"/>
      <c r="BC90" s="142"/>
      <c r="BD90" s="104"/>
      <c r="BE90" s="142"/>
      <c r="BF90" s="104"/>
      <c r="BG90" s="142"/>
      <c r="BH90" s="104"/>
      <c r="BI90" s="142"/>
      <c r="BJ90" s="104"/>
      <c r="BK90" s="142"/>
      <c r="BL90" s="104"/>
      <c r="BM90" s="142"/>
      <c r="BN90" s="105"/>
      <c r="BO90" s="106"/>
      <c r="BP90" s="104"/>
      <c r="BQ90" s="107"/>
    </row>
    <row r="91" spans="1:69" x14ac:dyDescent="0.35">
      <c r="A91" s="132" t="s">
        <v>75</v>
      </c>
      <c r="B91" s="54" t="s">
        <v>65</v>
      </c>
      <c r="C91" s="144"/>
      <c r="D91" s="146"/>
      <c r="E91" s="166" t="e">
        <f>+D91-D77</f>
        <v>#VALUE!</v>
      </c>
      <c r="F91" s="147"/>
      <c r="G91" s="166">
        <f>+F91-F77</f>
        <v>0</v>
      </c>
      <c r="H91" s="147"/>
      <c r="I91" s="166">
        <f>+H91-H77</f>
        <v>0</v>
      </c>
      <c r="J91" s="147"/>
      <c r="K91" s="166">
        <f>+J91-J77</f>
        <v>0</v>
      </c>
      <c r="L91" s="147"/>
      <c r="M91" s="166">
        <f>+L91-L77</f>
        <v>0</v>
      </c>
      <c r="N91" s="147"/>
      <c r="O91" s="166">
        <f>+N91-N77</f>
        <v>0</v>
      </c>
      <c r="P91" s="147"/>
      <c r="Q91" s="166">
        <f>+P91-P77</f>
        <v>0</v>
      </c>
      <c r="R91" s="147"/>
      <c r="S91" s="166">
        <f>+R91-R77</f>
        <v>0</v>
      </c>
      <c r="T91" s="147"/>
      <c r="U91" s="166">
        <f>+T91-T77</f>
        <v>0</v>
      </c>
      <c r="V91" s="147"/>
      <c r="W91" s="166">
        <f>+V91-V77</f>
        <v>0</v>
      </c>
      <c r="X91" s="147"/>
      <c r="Y91" s="166">
        <f>+X91-X77</f>
        <v>0</v>
      </c>
      <c r="Z91" s="147"/>
      <c r="AA91" s="166">
        <f>+Z91-Z77</f>
        <v>0</v>
      </c>
      <c r="AB91" s="147"/>
      <c r="AC91" s="166">
        <f>+AB91-AB77</f>
        <v>0</v>
      </c>
      <c r="AD91" s="147"/>
      <c r="AE91" s="166">
        <f>+AD91-AD77</f>
        <v>0</v>
      </c>
      <c r="AF91" s="147"/>
      <c r="AG91" s="166">
        <f>+AF91-AF77</f>
        <v>0</v>
      </c>
      <c r="AH91" s="147"/>
      <c r="AI91" s="166">
        <f>+AH91-AH77</f>
        <v>0</v>
      </c>
      <c r="AJ91" s="147"/>
      <c r="AK91" s="166">
        <f>+AJ91-AJ77</f>
        <v>0</v>
      </c>
      <c r="AL91" s="147"/>
      <c r="AM91" s="166">
        <f>+AL91-AL77</f>
        <v>0</v>
      </c>
      <c r="AN91" s="147"/>
      <c r="AO91" s="166">
        <f>+AN91-AN77</f>
        <v>0</v>
      </c>
      <c r="AP91" s="147"/>
      <c r="AQ91" s="166">
        <f>+AP91-AP77</f>
        <v>0</v>
      </c>
      <c r="AR91" s="147"/>
      <c r="AS91" s="166">
        <f>+AR91-AR77</f>
        <v>0</v>
      </c>
      <c r="AT91" s="147"/>
      <c r="AU91" s="166">
        <f>+AT91-AT77</f>
        <v>0</v>
      </c>
      <c r="AV91" s="147"/>
      <c r="AW91" s="166">
        <f>+AV91-AV77</f>
        <v>0</v>
      </c>
      <c r="AX91" s="147"/>
      <c r="AY91" s="166">
        <f>+AX91-AX77</f>
        <v>0</v>
      </c>
      <c r="AZ91" s="147"/>
      <c r="BA91" s="166">
        <f>+AZ91-AZ77</f>
        <v>0</v>
      </c>
      <c r="BB91" s="147"/>
      <c r="BC91" s="166">
        <f>+BB91-BB77</f>
        <v>0</v>
      </c>
      <c r="BD91" s="147"/>
      <c r="BE91" s="166">
        <f>+BD91-BD77</f>
        <v>0</v>
      </c>
      <c r="BF91" s="147"/>
      <c r="BG91" s="166">
        <f>+BF91-BF77</f>
        <v>0</v>
      </c>
      <c r="BH91" s="147"/>
      <c r="BI91" s="166">
        <f>+BH91-BH77</f>
        <v>0</v>
      </c>
      <c r="BJ91" s="147"/>
      <c r="BK91" s="166">
        <f>+BJ91-BJ77</f>
        <v>0</v>
      </c>
      <c r="BL91" s="147"/>
      <c r="BM91" s="48"/>
      <c r="BN91" s="50"/>
      <c r="BO91" s="170" t="e">
        <f t="shared" ref="BO91:BO103" si="128">IF(COUNT(E91,G91,I91,K91,M91,O91,Q91,S91,U91,W91,Y91,AA91,AC91,AE91,AG91,AI91,AK91,AM91,AO91,AQ91,AS91,AU91,AW91,AY91,BA91,BC91,BE91,BG91,BI91,BK91,BM91)=0,"",SUM(E91,G91,I91,K91,M91,O91,Q91,S91,U91,W91,Y91,AA91,AC91,AE91,AG91,AI91,AK91,AM91,AO91,AQ91,AS91,AU91,AW91,AY91,BA91,BC91,BE91,BG91,BI91,BK91,BM91))</f>
        <v>#VALUE!</v>
      </c>
      <c r="BP91" s="87"/>
      <c r="BQ91" s="52"/>
    </row>
    <row r="92" spans="1:69" x14ac:dyDescent="0.35">
      <c r="A92" s="136"/>
      <c r="B92" s="54" t="s">
        <v>66</v>
      </c>
      <c r="C92" s="144"/>
      <c r="D92" s="146"/>
      <c r="E92" s="166" t="e">
        <f t="shared" ref="E92:K102" si="129">+D92-D78</f>
        <v>#VALUE!</v>
      </c>
      <c r="F92" s="147"/>
      <c r="G92" s="166">
        <f t="shared" si="129"/>
        <v>0</v>
      </c>
      <c r="H92" s="147"/>
      <c r="I92" s="166">
        <f t="shared" si="129"/>
        <v>0</v>
      </c>
      <c r="J92" s="147"/>
      <c r="K92" s="166">
        <f t="shared" si="129"/>
        <v>0</v>
      </c>
      <c r="L92" s="147"/>
      <c r="M92" s="166">
        <f t="shared" ref="M92:M102" si="130">+L92-L78</f>
        <v>0</v>
      </c>
      <c r="N92" s="147"/>
      <c r="O92" s="166">
        <f t="shared" ref="O92:O102" si="131">+N92-N78</f>
        <v>0</v>
      </c>
      <c r="P92" s="147"/>
      <c r="Q92" s="166">
        <f t="shared" ref="Q92:Q102" si="132">+P92-P78</f>
        <v>0</v>
      </c>
      <c r="R92" s="147"/>
      <c r="S92" s="166">
        <f t="shared" ref="S92:S102" si="133">+R92-R78</f>
        <v>0</v>
      </c>
      <c r="T92" s="147"/>
      <c r="U92" s="166">
        <f t="shared" ref="U92:U102" si="134">+T92-T78</f>
        <v>0</v>
      </c>
      <c r="V92" s="147"/>
      <c r="W92" s="166">
        <f t="shared" ref="W92:W102" si="135">+V92-V78</f>
        <v>0</v>
      </c>
      <c r="X92" s="147"/>
      <c r="Y92" s="166">
        <f t="shared" ref="Y92:Y102" si="136">+X92-X78</f>
        <v>0</v>
      </c>
      <c r="Z92" s="147"/>
      <c r="AA92" s="166">
        <f t="shared" ref="AA92:AA102" si="137">+Z92-Z78</f>
        <v>0</v>
      </c>
      <c r="AB92" s="147"/>
      <c r="AC92" s="166">
        <f t="shared" ref="AC92:AC102" si="138">+AB92-AB78</f>
        <v>0</v>
      </c>
      <c r="AD92" s="147"/>
      <c r="AE92" s="166">
        <f t="shared" ref="AE92:AE102" si="139">+AD92-AD78</f>
        <v>0</v>
      </c>
      <c r="AF92" s="147"/>
      <c r="AG92" s="166">
        <f t="shared" ref="AG92:AG102" si="140">+AF92-AF78</f>
        <v>0</v>
      </c>
      <c r="AH92" s="147"/>
      <c r="AI92" s="166">
        <f t="shared" ref="AI92:AI102" si="141">+AH92-AH78</f>
        <v>0</v>
      </c>
      <c r="AJ92" s="147"/>
      <c r="AK92" s="166">
        <f t="shared" ref="AK92:AK102" si="142">+AJ92-AJ78</f>
        <v>0</v>
      </c>
      <c r="AL92" s="147"/>
      <c r="AM92" s="166">
        <f t="shared" ref="AM92:AM102" si="143">+AL92-AL78</f>
        <v>0</v>
      </c>
      <c r="AN92" s="147"/>
      <c r="AO92" s="166">
        <f t="shared" ref="AO92:AO102" si="144">+AN92-AN78</f>
        <v>0</v>
      </c>
      <c r="AP92" s="147"/>
      <c r="AQ92" s="166">
        <f t="shared" ref="AQ92:AQ102" si="145">+AP92-AP78</f>
        <v>0</v>
      </c>
      <c r="AR92" s="147"/>
      <c r="AS92" s="166">
        <f t="shared" ref="AS92:AS102" si="146">+AR92-AR78</f>
        <v>0</v>
      </c>
      <c r="AT92" s="147"/>
      <c r="AU92" s="166">
        <f t="shared" ref="AU92:AU102" si="147">+AT92-AT78</f>
        <v>0</v>
      </c>
      <c r="AV92" s="147"/>
      <c r="AW92" s="166">
        <f t="shared" ref="AW92:AW102" si="148">+AV92-AV78</f>
        <v>0</v>
      </c>
      <c r="AX92" s="147"/>
      <c r="AY92" s="166">
        <f t="shared" ref="AY92:AY102" si="149">+AX92-AX78</f>
        <v>0</v>
      </c>
      <c r="AZ92" s="147"/>
      <c r="BA92" s="166">
        <f t="shared" ref="BA92:BA102" si="150">+AZ92-AZ78</f>
        <v>0</v>
      </c>
      <c r="BB92" s="147"/>
      <c r="BC92" s="166">
        <f t="shared" ref="BC92:BC102" si="151">+BB92-BB78</f>
        <v>0</v>
      </c>
      <c r="BD92" s="147"/>
      <c r="BE92" s="166">
        <f t="shared" ref="BE92:BE102" si="152">+BD92-BD78</f>
        <v>0</v>
      </c>
      <c r="BF92" s="147"/>
      <c r="BG92" s="166">
        <f t="shared" ref="BG92:BG102" si="153">+BF92-BF78</f>
        <v>0</v>
      </c>
      <c r="BH92" s="147"/>
      <c r="BI92" s="166">
        <f t="shared" ref="BI92:BI102" si="154">+BH92-BH78</f>
        <v>0</v>
      </c>
      <c r="BJ92" s="147"/>
      <c r="BK92" s="166">
        <f t="shared" ref="BK92:BK102" si="155">+BJ92-BJ78</f>
        <v>0</v>
      </c>
      <c r="BL92" s="147"/>
      <c r="BM92" s="48"/>
      <c r="BN92" s="50"/>
      <c r="BO92" s="170" t="e">
        <f t="shared" si="128"/>
        <v>#VALUE!</v>
      </c>
      <c r="BP92" s="87"/>
      <c r="BQ92" s="52"/>
    </row>
    <row r="93" spans="1:69" x14ac:dyDescent="0.35">
      <c r="A93" s="134" t="s">
        <v>77</v>
      </c>
      <c r="B93" s="54" t="s">
        <v>67</v>
      </c>
      <c r="C93" s="144"/>
      <c r="D93" s="146"/>
      <c r="E93" s="166" t="e">
        <f t="shared" si="129"/>
        <v>#VALUE!</v>
      </c>
      <c r="F93" s="147"/>
      <c r="G93" s="166">
        <f t="shared" si="129"/>
        <v>0</v>
      </c>
      <c r="H93" s="147"/>
      <c r="I93" s="166">
        <f t="shared" si="129"/>
        <v>0</v>
      </c>
      <c r="J93" s="147"/>
      <c r="K93" s="166">
        <f t="shared" si="129"/>
        <v>0</v>
      </c>
      <c r="L93" s="147"/>
      <c r="M93" s="166">
        <f t="shared" si="130"/>
        <v>0</v>
      </c>
      <c r="N93" s="147"/>
      <c r="O93" s="166">
        <f t="shared" si="131"/>
        <v>0</v>
      </c>
      <c r="P93" s="147"/>
      <c r="Q93" s="166">
        <f t="shared" si="132"/>
        <v>0</v>
      </c>
      <c r="R93" s="147"/>
      <c r="S93" s="166">
        <f t="shared" si="133"/>
        <v>0</v>
      </c>
      <c r="T93" s="147"/>
      <c r="U93" s="166">
        <f t="shared" si="134"/>
        <v>0</v>
      </c>
      <c r="V93" s="147"/>
      <c r="W93" s="166">
        <f t="shared" si="135"/>
        <v>0</v>
      </c>
      <c r="X93" s="147"/>
      <c r="Y93" s="166">
        <f t="shared" si="136"/>
        <v>0</v>
      </c>
      <c r="Z93" s="147"/>
      <c r="AA93" s="166">
        <f t="shared" si="137"/>
        <v>0</v>
      </c>
      <c r="AB93" s="147"/>
      <c r="AC93" s="166">
        <f t="shared" si="138"/>
        <v>0</v>
      </c>
      <c r="AD93" s="147"/>
      <c r="AE93" s="166">
        <f t="shared" si="139"/>
        <v>0</v>
      </c>
      <c r="AF93" s="147"/>
      <c r="AG93" s="166">
        <f t="shared" si="140"/>
        <v>0</v>
      </c>
      <c r="AH93" s="147"/>
      <c r="AI93" s="166">
        <f t="shared" si="141"/>
        <v>0</v>
      </c>
      <c r="AJ93" s="147"/>
      <c r="AK93" s="166">
        <f t="shared" si="142"/>
        <v>0</v>
      </c>
      <c r="AL93" s="147"/>
      <c r="AM93" s="166">
        <f t="shared" si="143"/>
        <v>0</v>
      </c>
      <c r="AN93" s="147"/>
      <c r="AO93" s="48"/>
      <c r="AP93" s="147"/>
      <c r="AQ93" s="166">
        <f t="shared" si="145"/>
        <v>0</v>
      </c>
      <c r="AR93" s="147"/>
      <c r="AS93" s="166">
        <f t="shared" si="146"/>
        <v>0</v>
      </c>
      <c r="AT93" s="147"/>
      <c r="AU93" s="166">
        <f t="shared" si="147"/>
        <v>0</v>
      </c>
      <c r="AV93" s="147"/>
      <c r="AW93" s="166">
        <f t="shared" si="148"/>
        <v>0</v>
      </c>
      <c r="AX93" s="147"/>
      <c r="AY93" s="166">
        <f t="shared" si="149"/>
        <v>0</v>
      </c>
      <c r="AZ93" s="147"/>
      <c r="BA93" s="166">
        <f t="shared" si="150"/>
        <v>0</v>
      </c>
      <c r="BB93" s="147"/>
      <c r="BC93" s="166">
        <f t="shared" si="151"/>
        <v>0</v>
      </c>
      <c r="BD93" s="147"/>
      <c r="BE93" s="166">
        <f t="shared" si="152"/>
        <v>0</v>
      </c>
      <c r="BF93" s="147"/>
      <c r="BG93" s="166">
        <f t="shared" si="153"/>
        <v>0</v>
      </c>
      <c r="BH93" s="147"/>
      <c r="BI93" s="166">
        <f t="shared" si="154"/>
        <v>0</v>
      </c>
      <c r="BJ93" s="147"/>
      <c r="BK93" s="166">
        <f t="shared" si="155"/>
        <v>0</v>
      </c>
      <c r="BL93" s="147"/>
      <c r="BM93" s="48"/>
      <c r="BN93" s="50"/>
      <c r="BO93" s="170" t="e">
        <f t="shared" si="128"/>
        <v>#VALUE!</v>
      </c>
      <c r="BP93" s="87"/>
      <c r="BQ93" s="52"/>
    </row>
    <row r="94" spans="1:69" x14ac:dyDescent="0.35">
      <c r="A94" s="132" t="s">
        <v>78</v>
      </c>
      <c r="B94" s="54" t="s">
        <v>65</v>
      </c>
      <c r="C94" s="144"/>
      <c r="D94" s="146"/>
      <c r="E94" s="166" t="e">
        <f t="shared" si="129"/>
        <v>#VALUE!</v>
      </c>
      <c r="F94" s="147"/>
      <c r="G94" s="166">
        <f t="shared" si="129"/>
        <v>0</v>
      </c>
      <c r="H94" s="147"/>
      <c r="I94" s="166">
        <f t="shared" si="129"/>
        <v>0</v>
      </c>
      <c r="J94" s="147"/>
      <c r="K94" s="166">
        <f t="shared" si="129"/>
        <v>0</v>
      </c>
      <c r="L94" s="147"/>
      <c r="M94" s="166">
        <f t="shared" si="130"/>
        <v>0</v>
      </c>
      <c r="N94" s="147"/>
      <c r="O94" s="166">
        <f t="shared" si="131"/>
        <v>0</v>
      </c>
      <c r="P94" s="147"/>
      <c r="Q94" s="166">
        <f t="shared" si="132"/>
        <v>0</v>
      </c>
      <c r="R94" s="147"/>
      <c r="S94" s="166">
        <f t="shared" si="133"/>
        <v>0</v>
      </c>
      <c r="T94" s="147"/>
      <c r="U94" s="166">
        <f t="shared" si="134"/>
        <v>0</v>
      </c>
      <c r="V94" s="147"/>
      <c r="W94" s="166">
        <f t="shared" si="135"/>
        <v>0</v>
      </c>
      <c r="X94" s="147"/>
      <c r="Y94" s="166">
        <f t="shared" si="136"/>
        <v>0</v>
      </c>
      <c r="Z94" s="147"/>
      <c r="AA94" s="166">
        <f t="shared" si="137"/>
        <v>0</v>
      </c>
      <c r="AB94" s="147"/>
      <c r="AC94" s="166">
        <f t="shared" si="138"/>
        <v>0</v>
      </c>
      <c r="AD94" s="147"/>
      <c r="AE94" s="166">
        <f t="shared" si="139"/>
        <v>0</v>
      </c>
      <c r="AF94" s="147"/>
      <c r="AG94" s="166">
        <f t="shared" si="140"/>
        <v>0</v>
      </c>
      <c r="AH94" s="147"/>
      <c r="AI94" s="166">
        <f t="shared" si="141"/>
        <v>0</v>
      </c>
      <c r="AJ94" s="147"/>
      <c r="AK94" s="166">
        <f t="shared" si="142"/>
        <v>0</v>
      </c>
      <c r="AL94" s="147"/>
      <c r="AM94" s="166">
        <f t="shared" si="143"/>
        <v>0</v>
      </c>
      <c r="AN94" s="147"/>
      <c r="AO94" s="166">
        <f t="shared" si="144"/>
        <v>0</v>
      </c>
      <c r="AP94" s="147"/>
      <c r="AQ94" s="166">
        <f t="shared" si="145"/>
        <v>0</v>
      </c>
      <c r="AR94" s="147"/>
      <c r="AS94" s="166">
        <f t="shared" si="146"/>
        <v>0</v>
      </c>
      <c r="AT94" s="147"/>
      <c r="AU94" s="166">
        <f t="shared" si="147"/>
        <v>0</v>
      </c>
      <c r="AV94" s="147"/>
      <c r="AW94" s="166">
        <f t="shared" si="148"/>
        <v>0</v>
      </c>
      <c r="AX94" s="147"/>
      <c r="AY94" s="166">
        <f t="shared" si="149"/>
        <v>0</v>
      </c>
      <c r="AZ94" s="147"/>
      <c r="BA94" s="166">
        <f t="shared" si="150"/>
        <v>0</v>
      </c>
      <c r="BB94" s="147"/>
      <c r="BC94" s="166">
        <f t="shared" si="151"/>
        <v>0</v>
      </c>
      <c r="BD94" s="147"/>
      <c r="BE94" s="166">
        <f t="shared" si="152"/>
        <v>0</v>
      </c>
      <c r="BF94" s="147"/>
      <c r="BG94" s="166">
        <f t="shared" si="153"/>
        <v>0</v>
      </c>
      <c r="BH94" s="147"/>
      <c r="BI94" s="166">
        <f t="shared" si="154"/>
        <v>0</v>
      </c>
      <c r="BJ94" s="147"/>
      <c r="BK94" s="166">
        <f t="shared" si="155"/>
        <v>0</v>
      </c>
      <c r="BL94" s="147"/>
      <c r="BM94" s="48"/>
      <c r="BN94" s="50"/>
      <c r="BO94" s="170" t="e">
        <f t="shared" si="128"/>
        <v>#VALUE!</v>
      </c>
      <c r="BP94" s="87"/>
      <c r="BQ94" s="52"/>
    </row>
    <row r="95" spans="1:69" x14ac:dyDescent="0.35">
      <c r="A95" s="136"/>
      <c r="B95" s="54" t="s">
        <v>66</v>
      </c>
      <c r="C95" s="144"/>
      <c r="D95" s="146"/>
      <c r="E95" s="166" t="e">
        <f t="shared" si="129"/>
        <v>#VALUE!</v>
      </c>
      <c r="F95" s="147"/>
      <c r="G95" s="166">
        <f t="shared" si="129"/>
        <v>0</v>
      </c>
      <c r="H95" s="147"/>
      <c r="I95" s="166">
        <f t="shared" si="129"/>
        <v>0</v>
      </c>
      <c r="J95" s="147"/>
      <c r="K95" s="166">
        <f t="shared" si="129"/>
        <v>0</v>
      </c>
      <c r="L95" s="147"/>
      <c r="M95" s="166">
        <f t="shared" si="130"/>
        <v>0</v>
      </c>
      <c r="N95" s="147"/>
      <c r="O95" s="166">
        <f t="shared" si="131"/>
        <v>0</v>
      </c>
      <c r="P95" s="147"/>
      <c r="Q95" s="166">
        <f t="shared" si="132"/>
        <v>0</v>
      </c>
      <c r="R95" s="147"/>
      <c r="S95" s="166">
        <f t="shared" si="133"/>
        <v>0</v>
      </c>
      <c r="T95" s="147"/>
      <c r="U95" s="166">
        <f t="shared" si="134"/>
        <v>0</v>
      </c>
      <c r="V95" s="147"/>
      <c r="W95" s="166">
        <f t="shared" si="135"/>
        <v>0</v>
      </c>
      <c r="X95" s="147"/>
      <c r="Y95" s="166">
        <f t="shared" si="136"/>
        <v>0</v>
      </c>
      <c r="Z95" s="147"/>
      <c r="AA95" s="166">
        <f t="shared" si="137"/>
        <v>0</v>
      </c>
      <c r="AB95" s="147"/>
      <c r="AC95" s="166">
        <f t="shared" si="138"/>
        <v>0</v>
      </c>
      <c r="AD95" s="147"/>
      <c r="AE95" s="166">
        <f t="shared" si="139"/>
        <v>0</v>
      </c>
      <c r="AF95" s="147"/>
      <c r="AG95" s="166">
        <f t="shared" si="140"/>
        <v>0</v>
      </c>
      <c r="AH95" s="147"/>
      <c r="AI95" s="166">
        <f t="shared" si="141"/>
        <v>0</v>
      </c>
      <c r="AJ95" s="147"/>
      <c r="AK95" s="166">
        <f t="shared" si="142"/>
        <v>0</v>
      </c>
      <c r="AL95" s="147"/>
      <c r="AM95" s="166">
        <f t="shared" si="143"/>
        <v>0</v>
      </c>
      <c r="AN95" s="147"/>
      <c r="AO95" s="166">
        <f t="shared" si="144"/>
        <v>0</v>
      </c>
      <c r="AP95" s="147"/>
      <c r="AQ95" s="166">
        <f t="shared" si="145"/>
        <v>0</v>
      </c>
      <c r="AR95" s="147"/>
      <c r="AS95" s="166">
        <f t="shared" si="146"/>
        <v>0</v>
      </c>
      <c r="AT95" s="147"/>
      <c r="AU95" s="166">
        <f t="shared" si="147"/>
        <v>0</v>
      </c>
      <c r="AV95" s="147"/>
      <c r="AW95" s="166">
        <f t="shared" si="148"/>
        <v>0</v>
      </c>
      <c r="AX95" s="147"/>
      <c r="AY95" s="166">
        <f t="shared" si="149"/>
        <v>0</v>
      </c>
      <c r="AZ95" s="147"/>
      <c r="BA95" s="166">
        <f t="shared" si="150"/>
        <v>0</v>
      </c>
      <c r="BB95" s="147"/>
      <c r="BC95" s="166">
        <f t="shared" si="151"/>
        <v>0</v>
      </c>
      <c r="BD95" s="147"/>
      <c r="BE95" s="166">
        <f t="shared" si="152"/>
        <v>0</v>
      </c>
      <c r="BF95" s="147"/>
      <c r="BG95" s="166">
        <f t="shared" si="153"/>
        <v>0</v>
      </c>
      <c r="BH95" s="147"/>
      <c r="BI95" s="166">
        <f t="shared" si="154"/>
        <v>0</v>
      </c>
      <c r="BJ95" s="147"/>
      <c r="BK95" s="166">
        <f t="shared" si="155"/>
        <v>0</v>
      </c>
      <c r="BL95" s="147"/>
      <c r="BM95" s="48"/>
      <c r="BN95" s="50"/>
      <c r="BO95" s="170" t="e">
        <f t="shared" si="128"/>
        <v>#VALUE!</v>
      </c>
      <c r="BP95" s="87"/>
      <c r="BQ95" s="52"/>
    </row>
    <row r="96" spans="1:69" x14ac:dyDescent="0.35">
      <c r="A96" s="134" t="s">
        <v>80</v>
      </c>
      <c r="B96" s="54" t="s">
        <v>67</v>
      </c>
      <c r="C96" s="144"/>
      <c r="D96" s="146"/>
      <c r="E96" s="166" t="e">
        <f t="shared" si="129"/>
        <v>#VALUE!</v>
      </c>
      <c r="F96" s="147"/>
      <c r="G96" s="166">
        <f t="shared" si="129"/>
        <v>0</v>
      </c>
      <c r="H96" s="147"/>
      <c r="I96" s="166">
        <f t="shared" si="129"/>
        <v>0</v>
      </c>
      <c r="J96" s="147"/>
      <c r="K96" s="166">
        <f t="shared" si="129"/>
        <v>0</v>
      </c>
      <c r="L96" s="147"/>
      <c r="M96" s="166">
        <f t="shared" si="130"/>
        <v>0</v>
      </c>
      <c r="N96" s="147"/>
      <c r="O96" s="166">
        <f t="shared" si="131"/>
        <v>0</v>
      </c>
      <c r="P96" s="147"/>
      <c r="Q96" s="166">
        <f t="shared" si="132"/>
        <v>0</v>
      </c>
      <c r="R96" s="147"/>
      <c r="S96" s="166">
        <f t="shared" si="133"/>
        <v>0</v>
      </c>
      <c r="T96" s="147"/>
      <c r="U96" s="166">
        <f t="shared" si="134"/>
        <v>0</v>
      </c>
      <c r="V96" s="147"/>
      <c r="W96" s="166">
        <f t="shared" si="135"/>
        <v>0</v>
      </c>
      <c r="X96" s="147"/>
      <c r="Y96" s="166">
        <f t="shared" si="136"/>
        <v>0</v>
      </c>
      <c r="Z96" s="147"/>
      <c r="AA96" s="166">
        <f t="shared" si="137"/>
        <v>0</v>
      </c>
      <c r="AB96" s="147"/>
      <c r="AC96" s="166">
        <f t="shared" si="138"/>
        <v>0</v>
      </c>
      <c r="AD96" s="147"/>
      <c r="AE96" s="166">
        <f t="shared" si="139"/>
        <v>0</v>
      </c>
      <c r="AF96" s="147"/>
      <c r="AG96" s="166">
        <f t="shared" si="140"/>
        <v>0</v>
      </c>
      <c r="AH96" s="147"/>
      <c r="AI96" s="166">
        <f t="shared" si="141"/>
        <v>0</v>
      </c>
      <c r="AJ96" s="147"/>
      <c r="AK96" s="166">
        <f t="shared" si="142"/>
        <v>0</v>
      </c>
      <c r="AL96" s="147"/>
      <c r="AM96" s="166">
        <f t="shared" si="143"/>
        <v>0</v>
      </c>
      <c r="AN96" s="147"/>
      <c r="AO96" s="166">
        <f t="shared" si="144"/>
        <v>0</v>
      </c>
      <c r="AP96" s="147"/>
      <c r="AQ96" s="166">
        <f t="shared" si="145"/>
        <v>0</v>
      </c>
      <c r="AR96" s="147"/>
      <c r="AS96" s="166">
        <f t="shared" si="146"/>
        <v>0</v>
      </c>
      <c r="AT96" s="147"/>
      <c r="AU96" s="166">
        <f t="shared" si="147"/>
        <v>0</v>
      </c>
      <c r="AV96" s="147"/>
      <c r="AW96" s="166">
        <f t="shared" si="148"/>
        <v>0</v>
      </c>
      <c r="AX96" s="147"/>
      <c r="AY96" s="166">
        <f t="shared" si="149"/>
        <v>0</v>
      </c>
      <c r="AZ96" s="147"/>
      <c r="BA96" s="166">
        <f t="shared" si="150"/>
        <v>0</v>
      </c>
      <c r="BB96" s="147"/>
      <c r="BC96" s="166">
        <f t="shared" si="151"/>
        <v>0</v>
      </c>
      <c r="BD96" s="147"/>
      <c r="BE96" s="166">
        <f t="shared" si="152"/>
        <v>0</v>
      </c>
      <c r="BF96" s="147"/>
      <c r="BG96" s="166">
        <f t="shared" si="153"/>
        <v>0</v>
      </c>
      <c r="BH96" s="147"/>
      <c r="BI96" s="166">
        <f t="shared" si="154"/>
        <v>0</v>
      </c>
      <c r="BJ96" s="147"/>
      <c r="BK96" s="166">
        <f t="shared" si="155"/>
        <v>0</v>
      </c>
      <c r="BL96" s="147"/>
      <c r="BM96" s="48"/>
      <c r="BN96" s="50"/>
      <c r="BO96" s="170" t="e">
        <f t="shared" si="128"/>
        <v>#VALUE!</v>
      </c>
      <c r="BP96" s="87"/>
      <c r="BQ96" s="52"/>
    </row>
    <row r="97" spans="1:76" x14ac:dyDescent="0.35">
      <c r="A97" s="135"/>
      <c r="B97" s="54" t="s">
        <v>67</v>
      </c>
      <c r="C97" s="144"/>
      <c r="D97" s="146"/>
      <c r="E97" s="166" t="e">
        <f t="shared" si="129"/>
        <v>#VALUE!</v>
      </c>
      <c r="F97" s="147"/>
      <c r="G97" s="166">
        <f t="shared" si="129"/>
        <v>0</v>
      </c>
      <c r="H97" s="147"/>
      <c r="I97" s="166">
        <f t="shared" si="129"/>
        <v>0</v>
      </c>
      <c r="J97" s="147"/>
      <c r="K97" s="166">
        <f t="shared" si="129"/>
        <v>0</v>
      </c>
      <c r="L97" s="147"/>
      <c r="M97" s="166">
        <f t="shared" si="130"/>
        <v>0</v>
      </c>
      <c r="N97" s="147"/>
      <c r="O97" s="166">
        <f t="shared" si="131"/>
        <v>0</v>
      </c>
      <c r="P97" s="147"/>
      <c r="Q97" s="166">
        <f t="shared" si="132"/>
        <v>0</v>
      </c>
      <c r="R97" s="147"/>
      <c r="S97" s="166">
        <f t="shared" si="133"/>
        <v>0</v>
      </c>
      <c r="T97" s="147"/>
      <c r="U97" s="166">
        <f t="shared" si="134"/>
        <v>0</v>
      </c>
      <c r="V97" s="147"/>
      <c r="W97" s="166">
        <f t="shared" si="135"/>
        <v>0</v>
      </c>
      <c r="X97" s="147"/>
      <c r="Y97" s="166">
        <f t="shared" si="136"/>
        <v>0</v>
      </c>
      <c r="Z97" s="147"/>
      <c r="AA97" s="166">
        <f t="shared" si="137"/>
        <v>0</v>
      </c>
      <c r="AB97" s="147"/>
      <c r="AC97" s="166">
        <f t="shared" si="138"/>
        <v>0</v>
      </c>
      <c r="AD97" s="147"/>
      <c r="AE97" s="166">
        <f t="shared" si="139"/>
        <v>0</v>
      </c>
      <c r="AF97" s="147"/>
      <c r="AG97" s="166">
        <f t="shared" si="140"/>
        <v>0</v>
      </c>
      <c r="AH97" s="147"/>
      <c r="AI97" s="166">
        <f t="shared" si="141"/>
        <v>0</v>
      </c>
      <c r="AJ97" s="147"/>
      <c r="AK97" s="166">
        <f t="shared" si="142"/>
        <v>0</v>
      </c>
      <c r="AL97" s="147"/>
      <c r="AM97" s="166">
        <f t="shared" si="143"/>
        <v>0</v>
      </c>
      <c r="AN97" s="147"/>
      <c r="AO97" s="166">
        <f t="shared" si="144"/>
        <v>0</v>
      </c>
      <c r="AP97" s="147"/>
      <c r="AQ97" s="166">
        <f t="shared" si="145"/>
        <v>0</v>
      </c>
      <c r="AR97" s="147"/>
      <c r="AS97" s="166">
        <f t="shared" si="146"/>
        <v>0</v>
      </c>
      <c r="AT97" s="147"/>
      <c r="AU97" s="166">
        <f t="shared" si="147"/>
        <v>0</v>
      </c>
      <c r="AV97" s="147"/>
      <c r="AW97" s="166">
        <f t="shared" si="148"/>
        <v>0</v>
      </c>
      <c r="AX97" s="147"/>
      <c r="AY97" s="166">
        <f t="shared" si="149"/>
        <v>0</v>
      </c>
      <c r="AZ97" s="147"/>
      <c r="BA97" s="166">
        <f t="shared" si="150"/>
        <v>0</v>
      </c>
      <c r="BB97" s="147"/>
      <c r="BC97" s="166">
        <f t="shared" si="151"/>
        <v>0</v>
      </c>
      <c r="BD97" s="147"/>
      <c r="BE97" s="166">
        <f t="shared" si="152"/>
        <v>0</v>
      </c>
      <c r="BF97" s="147"/>
      <c r="BG97" s="166">
        <f t="shared" si="153"/>
        <v>0</v>
      </c>
      <c r="BH97" s="147"/>
      <c r="BI97" s="166">
        <f t="shared" si="154"/>
        <v>0</v>
      </c>
      <c r="BJ97" s="147"/>
      <c r="BK97" s="166">
        <f t="shared" si="155"/>
        <v>0</v>
      </c>
      <c r="BL97" s="147"/>
      <c r="BM97" s="48"/>
      <c r="BN97" s="50"/>
      <c r="BO97" s="170" t="e">
        <f t="shared" si="128"/>
        <v>#VALUE!</v>
      </c>
      <c r="BP97" s="87"/>
      <c r="BQ97" s="52"/>
    </row>
    <row r="98" spans="1:76" x14ac:dyDescent="0.35">
      <c r="A98" s="136" t="s">
        <v>82</v>
      </c>
      <c r="B98" s="54" t="s">
        <v>66</v>
      </c>
      <c r="C98" s="144"/>
      <c r="D98" s="146"/>
      <c r="E98" s="166" t="e">
        <f t="shared" si="129"/>
        <v>#VALUE!</v>
      </c>
      <c r="F98" s="147"/>
      <c r="G98" s="166">
        <f t="shared" si="129"/>
        <v>0</v>
      </c>
      <c r="H98" s="147"/>
      <c r="I98" s="166">
        <f t="shared" si="129"/>
        <v>0</v>
      </c>
      <c r="J98" s="147"/>
      <c r="K98" s="166">
        <f t="shared" si="129"/>
        <v>0</v>
      </c>
      <c r="L98" s="147"/>
      <c r="M98" s="166">
        <f t="shared" si="130"/>
        <v>0</v>
      </c>
      <c r="N98" s="147"/>
      <c r="O98" s="166">
        <f t="shared" si="131"/>
        <v>0</v>
      </c>
      <c r="P98" s="147"/>
      <c r="Q98" s="166">
        <f t="shared" si="132"/>
        <v>0</v>
      </c>
      <c r="R98" s="147"/>
      <c r="S98" s="166">
        <f t="shared" si="133"/>
        <v>0</v>
      </c>
      <c r="T98" s="147"/>
      <c r="U98" s="166">
        <f t="shared" si="134"/>
        <v>0</v>
      </c>
      <c r="V98" s="147"/>
      <c r="W98" s="166">
        <f t="shared" si="135"/>
        <v>0</v>
      </c>
      <c r="X98" s="147"/>
      <c r="Y98" s="166">
        <f t="shared" si="136"/>
        <v>0</v>
      </c>
      <c r="Z98" s="147"/>
      <c r="AA98" s="166">
        <f t="shared" si="137"/>
        <v>0</v>
      </c>
      <c r="AB98" s="147"/>
      <c r="AC98" s="166">
        <f t="shared" si="138"/>
        <v>0</v>
      </c>
      <c r="AD98" s="147"/>
      <c r="AE98" s="166">
        <f t="shared" si="139"/>
        <v>0</v>
      </c>
      <c r="AF98" s="147"/>
      <c r="AG98" s="166">
        <f t="shared" si="140"/>
        <v>0</v>
      </c>
      <c r="AH98" s="147"/>
      <c r="AI98" s="166">
        <f t="shared" si="141"/>
        <v>0</v>
      </c>
      <c r="AJ98" s="147"/>
      <c r="AK98" s="166">
        <f t="shared" si="142"/>
        <v>0</v>
      </c>
      <c r="AL98" s="147"/>
      <c r="AM98" s="166">
        <f t="shared" si="143"/>
        <v>0</v>
      </c>
      <c r="AN98" s="147"/>
      <c r="AO98" s="166">
        <f t="shared" si="144"/>
        <v>0</v>
      </c>
      <c r="AP98" s="147"/>
      <c r="AQ98" s="166">
        <f t="shared" si="145"/>
        <v>0</v>
      </c>
      <c r="AR98" s="147"/>
      <c r="AS98" s="166">
        <f t="shared" si="146"/>
        <v>0</v>
      </c>
      <c r="AT98" s="147"/>
      <c r="AU98" s="166">
        <f t="shared" si="147"/>
        <v>0</v>
      </c>
      <c r="AV98" s="147"/>
      <c r="AW98" s="166">
        <f t="shared" si="148"/>
        <v>0</v>
      </c>
      <c r="AX98" s="147"/>
      <c r="AY98" s="166">
        <f t="shared" si="149"/>
        <v>0</v>
      </c>
      <c r="AZ98" s="147"/>
      <c r="BA98" s="166">
        <f t="shared" si="150"/>
        <v>0</v>
      </c>
      <c r="BB98" s="147"/>
      <c r="BC98" s="166">
        <f t="shared" si="151"/>
        <v>0</v>
      </c>
      <c r="BD98" s="147"/>
      <c r="BE98" s="166">
        <f t="shared" si="152"/>
        <v>0</v>
      </c>
      <c r="BF98" s="147"/>
      <c r="BG98" s="166">
        <f t="shared" si="153"/>
        <v>0</v>
      </c>
      <c r="BH98" s="147"/>
      <c r="BI98" s="166">
        <f t="shared" si="154"/>
        <v>0</v>
      </c>
      <c r="BJ98" s="147"/>
      <c r="BK98" s="166">
        <f t="shared" si="155"/>
        <v>0</v>
      </c>
      <c r="BL98" s="147"/>
      <c r="BM98" s="48"/>
      <c r="BN98" s="50"/>
      <c r="BO98" s="170" t="e">
        <f t="shared" si="128"/>
        <v>#VALUE!</v>
      </c>
      <c r="BP98" s="87"/>
      <c r="BQ98" s="52"/>
    </row>
    <row r="99" spans="1:76" x14ac:dyDescent="0.35">
      <c r="A99" s="44"/>
      <c r="B99" s="54" t="s">
        <v>65</v>
      </c>
      <c r="C99" s="144"/>
      <c r="D99" s="146"/>
      <c r="E99" s="166" t="e">
        <f t="shared" si="129"/>
        <v>#VALUE!</v>
      </c>
      <c r="F99" s="147"/>
      <c r="G99" s="166">
        <f t="shared" si="129"/>
        <v>0</v>
      </c>
      <c r="H99" s="147"/>
      <c r="I99" s="166">
        <f t="shared" si="129"/>
        <v>0</v>
      </c>
      <c r="J99" s="147"/>
      <c r="K99" s="166">
        <f t="shared" si="129"/>
        <v>0</v>
      </c>
      <c r="L99" s="147"/>
      <c r="M99" s="166">
        <f t="shared" si="130"/>
        <v>0</v>
      </c>
      <c r="N99" s="147"/>
      <c r="O99" s="166">
        <f t="shared" si="131"/>
        <v>0</v>
      </c>
      <c r="P99" s="147"/>
      <c r="Q99" s="166">
        <f t="shared" si="132"/>
        <v>0</v>
      </c>
      <c r="R99" s="147"/>
      <c r="S99" s="166">
        <f t="shared" si="133"/>
        <v>0</v>
      </c>
      <c r="T99" s="147"/>
      <c r="U99" s="166">
        <f t="shared" si="134"/>
        <v>0</v>
      </c>
      <c r="V99" s="147"/>
      <c r="W99" s="166">
        <f t="shared" si="135"/>
        <v>0</v>
      </c>
      <c r="X99" s="147"/>
      <c r="Y99" s="166">
        <f t="shared" si="136"/>
        <v>0</v>
      </c>
      <c r="Z99" s="147"/>
      <c r="AA99" s="166">
        <f t="shared" si="137"/>
        <v>0</v>
      </c>
      <c r="AB99" s="147"/>
      <c r="AC99" s="166">
        <f t="shared" si="138"/>
        <v>0</v>
      </c>
      <c r="AD99" s="147"/>
      <c r="AE99" s="166">
        <f t="shared" si="139"/>
        <v>0</v>
      </c>
      <c r="AF99" s="147"/>
      <c r="AG99" s="166">
        <f t="shared" si="140"/>
        <v>0</v>
      </c>
      <c r="AH99" s="147"/>
      <c r="AI99" s="166">
        <f t="shared" si="141"/>
        <v>0</v>
      </c>
      <c r="AJ99" s="147"/>
      <c r="AK99" s="166">
        <f t="shared" si="142"/>
        <v>0</v>
      </c>
      <c r="AL99" s="147"/>
      <c r="AM99" s="166">
        <f t="shared" si="143"/>
        <v>0</v>
      </c>
      <c r="AN99" s="147"/>
      <c r="AO99" s="166">
        <f t="shared" si="144"/>
        <v>0</v>
      </c>
      <c r="AP99" s="147"/>
      <c r="AQ99" s="166">
        <f t="shared" si="145"/>
        <v>0</v>
      </c>
      <c r="AR99" s="147"/>
      <c r="AS99" s="166">
        <f t="shared" si="146"/>
        <v>0</v>
      </c>
      <c r="AT99" s="147"/>
      <c r="AU99" s="166">
        <f t="shared" si="147"/>
        <v>0</v>
      </c>
      <c r="AV99" s="147"/>
      <c r="AW99" s="166">
        <f t="shared" si="148"/>
        <v>0</v>
      </c>
      <c r="AX99" s="147"/>
      <c r="AY99" s="166">
        <f t="shared" si="149"/>
        <v>0</v>
      </c>
      <c r="AZ99" s="147"/>
      <c r="BA99" s="166">
        <f t="shared" si="150"/>
        <v>0</v>
      </c>
      <c r="BB99" s="147"/>
      <c r="BC99" s="166">
        <f t="shared" si="151"/>
        <v>0</v>
      </c>
      <c r="BD99" s="147"/>
      <c r="BE99" s="166">
        <f t="shared" si="152"/>
        <v>0</v>
      </c>
      <c r="BF99" s="147"/>
      <c r="BG99" s="166">
        <f t="shared" si="153"/>
        <v>0</v>
      </c>
      <c r="BH99" s="147"/>
      <c r="BI99" s="166">
        <f t="shared" si="154"/>
        <v>0</v>
      </c>
      <c r="BJ99" s="147"/>
      <c r="BK99" s="166">
        <f t="shared" si="155"/>
        <v>0</v>
      </c>
      <c r="BL99" s="147"/>
      <c r="BM99" s="48"/>
      <c r="BN99" s="50"/>
      <c r="BO99" s="170" t="e">
        <f t="shared" si="128"/>
        <v>#VALUE!</v>
      </c>
      <c r="BP99" s="87"/>
      <c r="BQ99" s="52"/>
    </row>
    <row r="100" spans="1:76" x14ac:dyDescent="0.35">
      <c r="A100" s="135" t="s">
        <v>84</v>
      </c>
      <c r="B100" s="54" t="s">
        <v>67</v>
      </c>
      <c r="C100" s="144"/>
      <c r="D100" s="146"/>
      <c r="E100" s="166" t="e">
        <f t="shared" si="129"/>
        <v>#VALUE!</v>
      </c>
      <c r="F100" s="147"/>
      <c r="G100" s="166">
        <f t="shared" si="129"/>
        <v>0</v>
      </c>
      <c r="H100" s="147"/>
      <c r="I100" s="166">
        <f t="shared" si="129"/>
        <v>0</v>
      </c>
      <c r="J100" s="147"/>
      <c r="K100" s="166">
        <f t="shared" si="129"/>
        <v>0</v>
      </c>
      <c r="L100" s="147"/>
      <c r="M100" s="166">
        <f t="shared" si="130"/>
        <v>0</v>
      </c>
      <c r="N100" s="147"/>
      <c r="O100" s="166">
        <f t="shared" si="131"/>
        <v>0</v>
      </c>
      <c r="P100" s="147"/>
      <c r="Q100" s="166">
        <f t="shared" si="132"/>
        <v>0</v>
      </c>
      <c r="R100" s="147"/>
      <c r="S100" s="166">
        <f t="shared" si="133"/>
        <v>0</v>
      </c>
      <c r="T100" s="147"/>
      <c r="U100" s="166">
        <f t="shared" si="134"/>
        <v>0</v>
      </c>
      <c r="V100" s="147"/>
      <c r="W100" s="166">
        <f t="shared" si="135"/>
        <v>0</v>
      </c>
      <c r="X100" s="147"/>
      <c r="Y100" s="166">
        <f t="shared" si="136"/>
        <v>0</v>
      </c>
      <c r="Z100" s="147"/>
      <c r="AA100" s="166">
        <f t="shared" si="137"/>
        <v>0</v>
      </c>
      <c r="AB100" s="147"/>
      <c r="AC100" s="166">
        <f t="shared" si="138"/>
        <v>0</v>
      </c>
      <c r="AD100" s="147"/>
      <c r="AE100" s="166">
        <f t="shared" si="139"/>
        <v>0</v>
      </c>
      <c r="AF100" s="147"/>
      <c r="AG100" s="166">
        <f t="shared" si="140"/>
        <v>0</v>
      </c>
      <c r="AH100" s="147"/>
      <c r="AI100" s="166">
        <f t="shared" si="141"/>
        <v>0</v>
      </c>
      <c r="AJ100" s="147"/>
      <c r="AK100" s="166">
        <f t="shared" si="142"/>
        <v>0</v>
      </c>
      <c r="AL100" s="147"/>
      <c r="AM100" s="166">
        <f t="shared" si="143"/>
        <v>0</v>
      </c>
      <c r="AN100" s="147"/>
      <c r="AO100" s="166">
        <f t="shared" si="144"/>
        <v>0</v>
      </c>
      <c r="AP100" s="147"/>
      <c r="AQ100" s="166">
        <f t="shared" si="145"/>
        <v>0</v>
      </c>
      <c r="AR100" s="147"/>
      <c r="AS100" s="166">
        <f t="shared" si="146"/>
        <v>0</v>
      </c>
      <c r="AT100" s="147"/>
      <c r="AU100" s="166">
        <f t="shared" si="147"/>
        <v>0</v>
      </c>
      <c r="AV100" s="147"/>
      <c r="AW100" s="166">
        <f t="shared" si="148"/>
        <v>0</v>
      </c>
      <c r="AX100" s="147"/>
      <c r="AY100" s="166">
        <f t="shared" si="149"/>
        <v>0</v>
      </c>
      <c r="AZ100" s="147"/>
      <c r="BA100" s="166">
        <f t="shared" si="150"/>
        <v>0</v>
      </c>
      <c r="BB100" s="147"/>
      <c r="BC100" s="166">
        <f t="shared" si="151"/>
        <v>0</v>
      </c>
      <c r="BD100" s="147"/>
      <c r="BE100" s="166">
        <f t="shared" si="152"/>
        <v>0</v>
      </c>
      <c r="BF100" s="147"/>
      <c r="BG100" s="166">
        <f t="shared" si="153"/>
        <v>0</v>
      </c>
      <c r="BH100" s="147"/>
      <c r="BI100" s="166">
        <f t="shared" si="154"/>
        <v>0</v>
      </c>
      <c r="BJ100" s="147"/>
      <c r="BK100" s="166">
        <f t="shared" si="155"/>
        <v>0</v>
      </c>
      <c r="BL100" s="147"/>
      <c r="BM100" s="48"/>
      <c r="BN100" s="50"/>
      <c r="BO100" s="170" t="e">
        <f t="shared" si="128"/>
        <v>#VALUE!</v>
      </c>
      <c r="BP100" s="87"/>
      <c r="BQ100" s="52"/>
    </row>
    <row r="101" spans="1:76" x14ac:dyDescent="0.35">
      <c r="A101" s="136" t="s">
        <v>85</v>
      </c>
      <c r="B101" s="54" t="s">
        <v>66</v>
      </c>
      <c r="C101" s="144"/>
      <c r="D101" s="146"/>
      <c r="E101" s="166" t="e">
        <f t="shared" si="129"/>
        <v>#VALUE!</v>
      </c>
      <c r="F101" s="147"/>
      <c r="G101" s="166">
        <f t="shared" si="129"/>
        <v>0</v>
      </c>
      <c r="H101" s="147"/>
      <c r="I101" s="166">
        <f t="shared" si="129"/>
        <v>0</v>
      </c>
      <c r="J101" s="147"/>
      <c r="K101" s="166">
        <f t="shared" si="129"/>
        <v>0</v>
      </c>
      <c r="L101" s="147"/>
      <c r="M101" s="166">
        <f t="shared" si="130"/>
        <v>0</v>
      </c>
      <c r="N101" s="147"/>
      <c r="O101" s="166">
        <f t="shared" si="131"/>
        <v>0</v>
      </c>
      <c r="P101" s="147"/>
      <c r="Q101" s="166">
        <f t="shared" si="132"/>
        <v>0</v>
      </c>
      <c r="R101" s="147"/>
      <c r="S101" s="166">
        <f t="shared" si="133"/>
        <v>0</v>
      </c>
      <c r="T101" s="147"/>
      <c r="U101" s="166">
        <f t="shared" si="134"/>
        <v>0</v>
      </c>
      <c r="V101" s="147"/>
      <c r="W101" s="166">
        <f t="shared" si="135"/>
        <v>0</v>
      </c>
      <c r="X101" s="147"/>
      <c r="Y101" s="166">
        <f t="shared" si="136"/>
        <v>0</v>
      </c>
      <c r="Z101" s="147"/>
      <c r="AA101" s="166">
        <f t="shared" si="137"/>
        <v>0</v>
      </c>
      <c r="AB101" s="147"/>
      <c r="AC101" s="166">
        <f t="shared" si="138"/>
        <v>0</v>
      </c>
      <c r="AD101" s="147"/>
      <c r="AE101" s="166">
        <f t="shared" si="139"/>
        <v>0</v>
      </c>
      <c r="AF101" s="147"/>
      <c r="AG101" s="166">
        <f t="shared" si="140"/>
        <v>0</v>
      </c>
      <c r="AH101" s="147"/>
      <c r="AI101" s="166">
        <f t="shared" si="141"/>
        <v>0</v>
      </c>
      <c r="AJ101" s="147"/>
      <c r="AK101" s="166">
        <f t="shared" si="142"/>
        <v>0</v>
      </c>
      <c r="AL101" s="147"/>
      <c r="AM101" s="166">
        <f t="shared" si="143"/>
        <v>0</v>
      </c>
      <c r="AN101" s="147"/>
      <c r="AO101" s="166">
        <f t="shared" si="144"/>
        <v>0</v>
      </c>
      <c r="AP101" s="147"/>
      <c r="AQ101" s="166">
        <f t="shared" si="145"/>
        <v>0</v>
      </c>
      <c r="AR101" s="147"/>
      <c r="AS101" s="166">
        <f t="shared" si="146"/>
        <v>0</v>
      </c>
      <c r="AT101" s="147"/>
      <c r="AU101" s="166">
        <f t="shared" si="147"/>
        <v>0</v>
      </c>
      <c r="AV101" s="147"/>
      <c r="AW101" s="166">
        <f t="shared" si="148"/>
        <v>0</v>
      </c>
      <c r="AX101" s="147"/>
      <c r="AY101" s="166">
        <f t="shared" si="149"/>
        <v>0</v>
      </c>
      <c r="AZ101" s="147"/>
      <c r="BA101" s="166">
        <f t="shared" si="150"/>
        <v>0</v>
      </c>
      <c r="BB101" s="147"/>
      <c r="BC101" s="166">
        <f t="shared" si="151"/>
        <v>0</v>
      </c>
      <c r="BD101" s="147"/>
      <c r="BE101" s="166">
        <f t="shared" si="152"/>
        <v>0</v>
      </c>
      <c r="BF101" s="147"/>
      <c r="BG101" s="166">
        <f t="shared" si="153"/>
        <v>0</v>
      </c>
      <c r="BH101" s="147"/>
      <c r="BI101" s="166">
        <f t="shared" si="154"/>
        <v>0</v>
      </c>
      <c r="BJ101" s="147"/>
      <c r="BK101" s="166">
        <f t="shared" si="155"/>
        <v>0</v>
      </c>
      <c r="BL101" s="147"/>
      <c r="BM101" s="48"/>
      <c r="BN101" s="50"/>
      <c r="BO101" s="170" t="e">
        <f t="shared" si="128"/>
        <v>#VALUE!</v>
      </c>
      <c r="BP101" s="87"/>
      <c r="BQ101" s="52"/>
    </row>
    <row r="102" spans="1:76" x14ac:dyDescent="0.35">
      <c r="A102" s="44" t="s">
        <v>86</v>
      </c>
      <c r="B102" s="54" t="s">
        <v>65</v>
      </c>
      <c r="C102" s="144"/>
      <c r="D102" s="146"/>
      <c r="E102" s="166" t="e">
        <f t="shared" si="129"/>
        <v>#VALUE!</v>
      </c>
      <c r="F102" s="147"/>
      <c r="G102" s="166">
        <f t="shared" si="129"/>
        <v>0</v>
      </c>
      <c r="H102" s="147"/>
      <c r="I102" s="166">
        <f t="shared" si="129"/>
        <v>0</v>
      </c>
      <c r="J102" s="147"/>
      <c r="K102" s="166">
        <f t="shared" si="129"/>
        <v>0</v>
      </c>
      <c r="L102" s="147"/>
      <c r="M102" s="166">
        <f t="shared" si="130"/>
        <v>0</v>
      </c>
      <c r="N102" s="147"/>
      <c r="O102" s="166">
        <f t="shared" si="131"/>
        <v>0</v>
      </c>
      <c r="P102" s="147"/>
      <c r="Q102" s="166">
        <f t="shared" si="132"/>
        <v>0</v>
      </c>
      <c r="R102" s="147"/>
      <c r="S102" s="166">
        <f t="shared" si="133"/>
        <v>0</v>
      </c>
      <c r="T102" s="147"/>
      <c r="U102" s="166">
        <f t="shared" si="134"/>
        <v>0</v>
      </c>
      <c r="V102" s="147"/>
      <c r="W102" s="166">
        <f t="shared" si="135"/>
        <v>0</v>
      </c>
      <c r="X102" s="147"/>
      <c r="Y102" s="166">
        <f t="shared" si="136"/>
        <v>0</v>
      </c>
      <c r="Z102" s="147"/>
      <c r="AA102" s="166">
        <f t="shared" si="137"/>
        <v>0</v>
      </c>
      <c r="AB102" s="147"/>
      <c r="AC102" s="166">
        <f t="shared" si="138"/>
        <v>0</v>
      </c>
      <c r="AD102" s="147"/>
      <c r="AE102" s="166">
        <f t="shared" si="139"/>
        <v>0</v>
      </c>
      <c r="AF102" s="147"/>
      <c r="AG102" s="166">
        <f t="shared" si="140"/>
        <v>0</v>
      </c>
      <c r="AH102" s="147"/>
      <c r="AI102" s="166">
        <f t="shared" si="141"/>
        <v>0</v>
      </c>
      <c r="AJ102" s="147"/>
      <c r="AK102" s="166">
        <f t="shared" si="142"/>
        <v>0</v>
      </c>
      <c r="AL102" s="147"/>
      <c r="AM102" s="166">
        <f t="shared" si="143"/>
        <v>0</v>
      </c>
      <c r="AN102" s="147"/>
      <c r="AO102" s="166">
        <f t="shared" si="144"/>
        <v>0</v>
      </c>
      <c r="AP102" s="147"/>
      <c r="AQ102" s="166">
        <f t="shared" si="145"/>
        <v>0</v>
      </c>
      <c r="AR102" s="147"/>
      <c r="AS102" s="166">
        <f t="shared" si="146"/>
        <v>0</v>
      </c>
      <c r="AT102" s="147"/>
      <c r="AU102" s="166">
        <f t="shared" si="147"/>
        <v>0</v>
      </c>
      <c r="AV102" s="147"/>
      <c r="AW102" s="166">
        <f t="shared" si="148"/>
        <v>0</v>
      </c>
      <c r="AX102" s="147"/>
      <c r="AY102" s="166">
        <f t="shared" si="149"/>
        <v>0</v>
      </c>
      <c r="AZ102" s="147"/>
      <c r="BA102" s="166">
        <f t="shared" si="150"/>
        <v>0</v>
      </c>
      <c r="BB102" s="147"/>
      <c r="BC102" s="166">
        <f t="shared" si="151"/>
        <v>0</v>
      </c>
      <c r="BD102" s="147"/>
      <c r="BE102" s="166">
        <f t="shared" si="152"/>
        <v>0</v>
      </c>
      <c r="BF102" s="147"/>
      <c r="BG102" s="166">
        <f t="shared" si="153"/>
        <v>0</v>
      </c>
      <c r="BH102" s="147"/>
      <c r="BI102" s="166">
        <f t="shared" si="154"/>
        <v>0</v>
      </c>
      <c r="BJ102" s="147"/>
      <c r="BK102" s="166">
        <f t="shared" si="155"/>
        <v>0</v>
      </c>
      <c r="BL102" s="147"/>
      <c r="BM102" s="48"/>
      <c r="BN102" s="50"/>
      <c r="BO102" s="170" t="e">
        <f t="shared" si="128"/>
        <v>#VALUE!</v>
      </c>
      <c r="BP102" s="87"/>
      <c r="BQ102" s="52"/>
    </row>
    <row r="103" spans="1:76" x14ac:dyDescent="0.35">
      <c r="A103" s="53"/>
      <c r="B103" s="54"/>
      <c r="C103" s="144"/>
      <c r="D103" s="189">
        <f>SUM(D91:D102)</f>
        <v>0</v>
      </c>
      <c r="E103" s="166" t="e">
        <f t="shared" ref="E103:BP103" si="156">SUM(E91:E102)</f>
        <v>#VALUE!</v>
      </c>
      <c r="F103" s="167">
        <f t="shared" si="156"/>
        <v>0</v>
      </c>
      <c r="G103" s="166">
        <f t="shared" si="156"/>
        <v>0</v>
      </c>
      <c r="H103" s="167">
        <f t="shared" si="156"/>
        <v>0</v>
      </c>
      <c r="I103" s="166">
        <f t="shared" si="156"/>
        <v>0</v>
      </c>
      <c r="J103" s="167">
        <f t="shared" si="156"/>
        <v>0</v>
      </c>
      <c r="K103" s="166">
        <f t="shared" si="156"/>
        <v>0</v>
      </c>
      <c r="L103" s="167">
        <f t="shared" si="156"/>
        <v>0</v>
      </c>
      <c r="M103" s="166">
        <f t="shared" si="156"/>
        <v>0</v>
      </c>
      <c r="N103" s="167">
        <f t="shared" si="156"/>
        <v>0</v>
      </c>
      <c r="O103" s="166">
        <f t="shared" si="156"/>
        <v>0</v>
      </c>
      <c r="P103" s="167">
        <f t="shared" si="156"/>
        <v>0</v>
      </c>
      <c r="Q103" s="166">
        <f t="shared" si="156"/>
        <v>0</v>
      </c>
      <c r="R103" s="167">
        <f t="shared" si="156"/>
        <v>0</v>
      </c>
      <c r="S103" s="166">
        <f t="shared" si="156"/>
        <v>0</v>
      </c>
      <c r="T103" s="167">
        <f t="shared" si="156"/>
        <v>0</v>
      </c>
      <c r="U103" s="166">
        <f t="shared" si="156"/>
        <v>0</v>
      </c>
      <c r="V103" s="167">
        <f t="shared" si="156"/>
        <v>0</v>
      </c>
      <c r="W103" s="166">
        <f t="shared" si="156"/>
        <v>0</v>
      </c>
      <c r="X103" s="167">
        <f t="shared" si="156"/>
        <v>0</v>
      </c>
      <c r="Y103" s="166">
        <f t="shared" si="156"/>
        <v>0</v>
      </c>
      <c r="Z103" s="167">
        <f t="shared" si="156"/>
        <v>0</v>
      </c>
      <c r="AA103" s="166">
        <f t="shared" si="156"/>
        <v>0</v>
      </c>
      <c r="AB103" s="167">
        <f t="shared" si="156"/>
        <v>0</v>
      </c>
      <c r="AC103" s="166">
        <f t="shared" si="156"/>
        <v>0</v>
      </c>
      <c r="AD103" s="167">
        <f t="shared" si="156"/>
        <v>0</v>
      </c>
      <c r="AE103" s="166">
        <f t="shared" si="156"/>
        <v>0</v>
      </c>
      <c r="AF103" s="167">
        <f t="shared" si="156"/>
        <v>0</v>
      </c>
      <c r="AG103" s="166">
        <f t="shared" si="156"/>
        <v>0</v>
      </c>
      <c r="AH103" s="167">
        <f t="shared" si="156"/>
        <v>0</v>
      </c>
      <c r="AI103" s="166">
        <f t="shared" si="156"/>
        <v>0</v>
      </c>
      <c r="AJ103" s="167">
        <f t="shared" si="156"/>
        <v>0</v>
      </c>
      <c r="AK103" s="166">
        <f t="shared" si="156"/>
        <v>0</v>
      </c>
      <c r="AL103" s="167">
        <f t="shared" si="156"/>
        <v>0</v>
      </c>
      <c r="AM103" s="166">
        <f t="shared" si="156"/>
        <v>0</v>
      </c>
      <c r="AN103" s="167">
        <f t="shared" si="156"/>
        <v>0</v>
      </c>
      <c r="AO103" s="166">
        <f t="shared" si="156"/>
        <v>0</v>
      </c>
      <c r="AP103" s="167">
        <f t="shared" si="156"/>
        <v>0</v>
      </c>
      <c r="AQ103" s="194">
        <f t="shared" si="156"/>
        <v>0</v>
      </c>
      <c r="AR103" s="167">
        <f t="shared" si="156"/>
        <v>0</v>
      </c>
      <c r="AS103" s="166">
        <f t="shared" si="156"/>
        <v>0</v>
      </c>
      <c r="AT103" s="167">
        <f t="shared" si="156"/>
        <v>0</v>
      </c>
      <c r="AU103" s="166">
        <f t="shared" si="156"/>
        <v>0</v>
      </c>
      <c r="AV103" s="167">
        <f t="shared" si="156"/>
        <v>0</v>
      </c>
      <c r="AW103" s="166">
        <f t="shared" si="156"/>
        <v>0</v>
      </c>
      <c r="AX103" s="167">
        <f t="shared" si="156"/>
        <v>0</v>
      </c>
      <c r="AY103" s="166">
        <f t="shared" si="156"/>
        <v>0</v>
      </c>
      <c r="AZ103" s="167">
        <f t="shared" si="156"/>
        <v>0</v>
      </c>
      <c r="BA103" s="166">
        <f t="shared" si="156"/>
        <v>0</v>
      </c>
      <c r="BB103" s="167">
        <f t="shared" si="156"/>
        <v>0</v>
      </c>
      <c r="BC103" s="166">
        <f t="shared" si="156"/>
        <v>0</v>
      </c>
      <c r="BD103" s="167">
        <f t="shared" si="156"/>
        <v>0</v>
      </c>
      <c r="BE103" s="166">
        <f t="shared" si="156"/>
        <v>0</v>
      </c>
      <c r="BF103" s="167">
        <f t="shared" si="156"/>
        <v>0</v>
      </c>
      <c r="BG103" s="166">
        <f t="shared" si="156"/>
        <v>0</v>
      </c>
      <c r="BH103" s="167">
        <f t="shared" si="156"/>
        <v>0</v>
      </c>
      <c r="BI103" s="166">
        <f t="shared" si="156"/>
        <v>0</v>
      </c>
      <c r="BJ103" s="167">
        <f t="shared" si="156"/>
        <v>0</v>
      </c>
      <c r="BK103" s="166">
        <f t="shared" si="156"/>
        <v>0</v>
      </c>
      <c r="BL103" s="49"/>
      <c r="BM103" s="48"/>
      <c r="BN103" s="50"/>
      <c r="BO103" s="170" t="e">
        <f t="shared" si="128"/>
        <v>#VALUE!</v>
      </c>
      <c r="BP103" s="173">
        <f t="shared" si="156"/>
        <v>0</v>
      </c>
      <c r="BQ103" s="52"/>
    </row>
    <row r="104" spans="1:76" x14ac:dyDescent="0.35">
      <c r="A104" s="53"/>
      <c r="B104" s="54"/>
      <c r="C104" s="144"/>
      <c r="D104" s="189">
        <f t="shared" si="95"/>
        <v>0</v>
      </c>
      <c r="E104" s="48"/>
      <c r="F104" s="167">
        <f t="shared" si="96"/>
        <v>0</v>
      </c>
      <c r="G104" s="48"/>
      <c r="H104" s="167">
        <f t="shared" si="97"/>
        <v>0</v>
      </c>
      <c r="I104" s="48"/>
      <c r="J104" s="167">
        <f t="shared" si="98"/>
        <v>0</v>
      </c>
      <c r="K104" s="48"/>
      <c r="L104" s="167">
        <f t="shared" ref="L104" si="157">+M104-K104</f>
        <v>0</v>
      </c>
      <c r="M104" s="48"/>
      <c r="N104" s="167">
        <f t="shared" ref="N104" si="158">+O104-M104</f>
        <v>0</v>
      </c>
      <c r="O104" s="48"/>
      <c r="P104" s="167">
        <f t="shared" ref="P104" si="159">+Q104-O104</f>
        <v>0</v>
      </c>
      <c r="Q104" s="48"/>
      <c r="R104" s="167">
        <f t="shared" ref="R104" si="160">+S104-Q104</f>
        <v>0</v>
      </c>
      <c r="S104" s="48"/>
      <c r="T104" s="167">
        <f t="shared" ref="T104" si="161">+U104-S104</f>
        <v>0</v>
      </c>
      <c r="U104" s="48"/>
      <c r="V104" s="167">
        <f t="shared" ref="V104" si="162">+W104-U104</f>
        <v>0</v>
      </c>
      <c r="W104" s="48"/>
      <c r="X104" s="167">
        <f t="shared" ref="X104" si="163">+Y104-W104</f>
        <v>0</v>
      </c>
      <c r="Y104" s="48"/>
      <c r="Z104" s="167">
        <f t="shared" ref="Z104" si="164">+AA104-Y104</f>
        <v>0</v>
      </c>
      <c r="AA104" s="48"/>
      <c r="AB104" s="167">
        <f t="shared" ref="AB104" si="165">+AC104-AA104</f>
        <v>0</v>
      </c>
      <c r="AC104" s="48"/>
      <c r="AD104" s="167">
        <f t="shared" ref="AD104" si="166">+AE104-AC104</f>
        <v>0</v>
      </c>
      <c r="AE104" s="48"/>
      <c r="AF104" s="167">
        <f t="shared" ref="AF104" si="167">+AG104-AE104</f>
        <v>0</v>
      </c>
      <c r="AG104" s="48"/>
      <c r="AH104" s="167">
        <f t="shared" ref="AH104" si="168">+AI104-AG104</f>
        <v>0</v>
      </c>
      <c r="AI104" s="48"/>
      <c r="AJ104" s="167">
        <f t="shared" ref="AJ104" si="169">+AK104-AI104</f>
        <v>0</v>
      </c>
      <c r="AK104" s="48"/>
      <c r="AL104" s="167">
        <f t="shared" ref="AL104" si="170">+AM104-AK104</f>
        <v>0</v>
      </c>
      <c r="AM104" s="48"/>
      <c r="AN104" s="167">
        <f t="shared" ref="AN104" si="171">+AO104-AM104</f>
        <v>0</v>
      </c>
      <c r="AO104" s="48"/>
      <c r="AP104" s="167">
        <f t="shared" ref="AP104" si="172">+AQ104-AO104</f>
        <v>0</v>
      </c>
      <c r="AQ104" s="48"/>
      <c r="AR104" s="167">
        <f t="shared" ref="AR104" si="173">+AS104-AQ104</f>
        <v>0</v>
      </c>
      <c r="AS104" s="48"/>
      <c r="AT104" s="167">
        <f t="shared" ref="AT104" si="174">+AU104-AS104</f>
        <v>0</v>
      </c>
      <c r="AU104" s="48"/>
      <c r="AV104" s="167">
        <f t="shared" ref="AV104" si="175">+AW104-AU104</f>
        <v>0</v>
      </c>
      <c r="AW104" s="48"/>
      <c r="AX104" s="167">
        <f t="shared" ref="AX104" si="176">+AY104-AW104</f>
        <v>0</v>
      </c>
      <c r="AY104" s="48"/>
      <c r="AZ104" s="167">
        <f t="shared" ref="AZ104" si="177">+BA104-AY104</f>
        <v>0</v>
      </c>
      <c r="BA104" s="48"/>
      <c r="BB104" s="167">
        <f t="shared" ref="BB104" si="178">+BC104-BA104</f>
        <v>0</v>
      </c>
      <c r="BC104" s="48"/>
      <c r="BD104" s="167">
        <f t="shared" ref="BD104" si="179">+BE104-BC104</f>
        <v>0</v>
      </c>
      <c r="BE104" s="48"/>
      <c r="BF104" s="167">
        <f t="shared" ref="BF104" si="180">+BG104-BE104</f>
        <v>0</v>
      </c>
      <c r="BG104" s="48"/>
      <c r="BH104" s="167">
        <f t="shared" ref="BH104" si="181">+BI104-BG104</f>
        <v>0</v>
      </c>
      <c r="BI104" s="48"/>
      <c r="BJ104" s="167">
        <f t="shared" ref="BJ104" si="182">+BK104-BI104</f>
        <v>0</v>
      </c>
      <c r="BK104" s="48"/>
      <c r="BL104" s="49"/>
      <c r="BM104" s="48"/>
      <c r="BN104" s="50"/>
      <c r="BO104" s="51"/>
      <c r="BP104" s="173">
        <f t="shared" ref="BP104" si="183">+BQ104-BM104</f>
        <v>0</v>
      </c>
      <c r="BQ104" s="52"/>
    </row>
    <row r="105" spans="1:76" x14ac:dyDescent="0.35">
      <c r="A105" s="74"/>
      <c r="B105" s="75"/>
      <c r="C105" s="76"/>
      <c r="D105" s="77"/>
      <c r="E105" s="148"/>
      <c r="F105" s="79"/>
      <c r="G105" s="148"/>
      <c r="H105" s="79"/>
      <c r="I105" s="148"/>
      <c r="J105" s="79"/>
      <c r="K105" s="148"/>
      <c r="L105" s="79"/>
      <c r="M105" s="148"/>
      <c r="N105" s="79"/>
      <c r="O105" s="148"/>
      <c r="P105" s="79"/>
      <c r="Q105" s="148"/>
      <c r="R105" s="79"/>
      <c r="S105" s="148"/>
      <c r="T105" s="79"/>
      <c r="U105" s="148"/>
      <c r="V105" s="79"/>
      <c r="W105" s="148"/>
      <c r="X105" s="79"/>
      <c r="Y105" s="148"/>
      <c r="Z105" s="79"/>
      <c r="AA105" s="148"/>
      <c r="AB105" s="79"/>
      <c r="AC105" s="148"/>
      <c r="AD105" s="79"/>
      <c r="AE105" s="148"/>
      <c r="AF105" s="79"/>
      <c r="AG105" s="148"/>
      <c r="AH105" s="79"/>
      <c r="AI105" s="148"/>
      <c r="AJ105" s="79"/>
      <c r="AK105" s="148"/>
      <c r="AL105" s="79"/>
      <c r="AM105" s="148"/>
      <c r="AN105" s="79"/>
      <c r="AO105" s="148"/>
      <c r="AP105" s="79"/>
      <c r="AQ105" s="148"/>
      <c r="AR105" s="79"/>
      <c r="AS105" s="148"/>
      <c r="AT105" s="79"/>
      <c r="AU105" s="148"/>
      <c r="AV105" s="79"/>
      <c r="AW105" s="148"/>
      <c r="AX105" s="79"/>
      <c r="AY105" s="148"/>
      <c r="AZ105" s="79"/>
      <c r="BA105" s="148"/>
      <c r="BB105" s="79"/>
      <c r="BC105" s="148"/>
      <c r="BD105" s="79"/>
      <c r="BE105" s="148"/>
      <c r="BF105" s="79"/>
      <c r="BG105" s="148"/>
      <c r="BH105" s="79"/>
      <c r="BI105" s="148"/>
      <c r="BJ105" s="79"/>
      <c r="BK105" s="148"/>
      <c r="BL105" s="79"/>
      <c r="BM105" s="148"/>
      <c r="BN105" s="80"/>
      <c r="BO105" s="81"/>
      <c r="BP105" s="79"/>
      <c r="BQ105" s="82"/>
    </row>
    <row r="106" spans="1:76" x14ac:dyDescent="0.35">
      <c r="A106" s="53" t="s">
        <v>32</v>
      </c>
      <c r="B106" s="54"/>
      <c r="C106" s="67"/>
      <c r="D106" s="68"/>
      <c r="E106" s="69"/>
      <c r="F106" s="70"/>
      <c r="G106" s="69"/>
      <c r="H106" s="70"/>
      <c r="I106" s="69"/>
      <c r="J106" s="70"/>
      <c r="K106" s="69"/>
      <c r="L106" s="70"/>
      <c r="M106" s="69"/>
      <c r="N106" s="70"/>
      <c r="O106" s="69"/>
      <c r="P106" s="70"/>
      <c r="Q106" s="69"/>
      <c r="R106" s="70"/>
      <c r="S106" s="69"/>
      <c r="T106" s="70"/>
      <c r="U106" s="69"/>
      <c r="V106" s="70"/>
      <c r="W106" s="69"/>
      <c r="X106" s="70"/>
      <c r="Y106" s="69"/>
      <c r="Z106" s="70"/>
      <c r="AA106" s="69"/>
      <c r="AB106" s="70"/>
      <c r="AC106" s="69"/>
      <c r="AD106" s="70"/>
      <c r="AE106" s="69"/>
      <c r="AF106" s="70"/>
      <c r="AG106" s="69"/>
      <c r="AH106" s="70"/>
      <c r="AI106" s="69"/>
      <c r="AJ106" s="70"/>
      <c r="AK106" s="69"/>
      <c r="AL106" s="70"/>
      <c r="AM106" s="69"/>
      <c r="AN106" s="70"/>
      <c r="AO106" s="69"/>
      <c r="AP106" s="70"/>
      <c r="AQ106" s="69"/>
      <c r="AR106" s="70"/>
      <c r="AS106" s="69"/>
      <c r="AT106" s="70"/>
      <c r="AU106" s="69"/>
      <c r="AV106" s="70"/>
      <c r="AW106" s="69"/>
      <c r="AX106" s="70"/>
      <c r="AY106" s="69"/>
      <c r="AZ106" s="70"/>
      <c r="BA106" s="69"/>
      <c r="BB106" s="70"/>
      <c r="BC106" s="69"/>
      <c r="BD106" s="70"/>
      <c r="BE106" s="69"/>
      <c r="BF106" s="70"/>
      <c r="BG106" s="69"/>
      <c r="BH106" s="70"/>
      <c r="BI106" s="69"/>
      <c r="BJ106" s="70"/>
      <c r="BK106" s="69"/>
      <c r="BL106" s="70"/>
      <c r="BM106" s="69"/>
      <c r="BN106" s="71"/>
      <c r="BO106" s="182" t="str">
        <f t="shared" ref="BO106:BO120" si="184">IF(COUNT(E106,G106,I106,K106,M106,O106,Q106,S106,U106,W106,Y106,AA106,AC106,AE106,AG106,AI106,AK106,AM106,AO106,AQ106,AS106,AU106,AW106,AY106,BA106,BC106,BE106,BG106,BI106,BK106,BM106)=0,"",SUM(E106,G106,I106,K106,M106,O106,Q106,S106,U106,W106,Y106,AA106,AC106,AE106,AG106,AI106,AK106,AM106,AO106,AQ106,AS106,AU106,AW106,AY106,BA106,BC106,BE106,BG106,BI106,BK106,BM106))</f>
        <v/>
      </c>
      <c r="BP106" s="70"/>
      <c r="BQ106" s="73"/>
    </row>
    <row r="107" spans="1:76" x14ac:dyDescent="0.35">
      <c r="A107" s="53" t="s">
        <v>33</v>
      </c>
      <c r="B107" s="54"/>
      <c r="C107" s="67"/>
      <c r="D107" s="68"/>
      <c r="E107" s="69"/>
      <c r="F107" s="70"/>
      <c r="G107" s="69"/>
      <c r="H107" s="70"/>
      <c r="I107" s="69"/>
      <c r="J107" s="70"/>
      <c r="K107" s="69"/>
      <c r="L107" s="70"/>
      <c r="M107" s="69"/>
      <c r="N107" s="70"/>
      <c r="O107" s="69"/>
      <c r="P107" s="70"/>
      <c r="Q107" s="69"/>
      <c r="R107" s="70"/>
      <c r="S107" s="69"/>
      <c r="T107" s="70"/>
      <c r="U107" s="69"/>
      <c r="V107" s="70"/>
      <c r="W107" s="69"/>
      <c r="X107" s="70"/>
      <c r="Y107" s="69"/>
      <c r="Z107" s="70"/>
      <c r="AA107" s="69"/>
      <c r="AB107" s="70"/>
      <c r="AC107" s="69"/>
      <c r="AD107" s="70"/>
      <c r="AE107" s="69"/>
      <c r="AF107" s="70"/>
      <c r="AG107" s="69"/>
      <c r="AH107" s="70"/>
      <c r="AI107" s="69"/>
      <c r="AJ107" s="70"/>
      <c r="AK107" s="69"/>
      <c r="AL107" s="70"/>
      <c r="AM107" s="69"/>
      <c r="AN107" s="70"/>
      <c r="AO107" s="69"/>
      <c r="AP107" s="70"/>
      <c r="AQ107" s="69"/>
      <c r="AR107" s="70"/>
      <c r="AS107" s="69"/>
      <c r="AT107" s="70"/>
      <c r="AU107" s="69"/>
      <c r="AV107" s="70"/>
      <c r="AW107" s="69"/>
      <c r="AX107" s="70"/>
      <c r="AY107" s="69"/>
      <c r="AZ107" s="70"/>
      <c r="BA107" s="69"/>
      <c r="BB107" s="70"/>
      <c r="BC107" s="69"/>
      <c r="BD107" s="70"/>
      <c r="BE107" s="69"/>
      <c r="BF107" s="70"/>
      <c r="BG107" s="69"/>
      <c r="BH107" s="70"/>
      <c r="BI107" s="69"/>
      <c r="BJ107" s="70"/>
      <c r="BK107" s="69"/>
      <c r="BL107" s="70"/>
      <c r="BM107" s="69"/>
      <c r="BN107" s="71"/>
      <c r="BO107" s="182" t="str">
        <f t="shared" si="184"/>
        <v/>
      </c>
      <c r="BP107" s="70"/>
      <c r="BQ107" s="73"/>
    </row>
    <row r="108" spans="1:76" x14ac:dyDescent="0.35">
      <c r="A108" s="53" t="s">
        <v>33</v>
      </c>
      <c r="B108" s="54"/>
      <c r="C108" s="67"/>
      <c r="D108" s="68"/>
      <c r="E108" s="69"/>
      <c r="F108" s="70"/>
      <c r="G108" s="69"/>
      <c r="H108" s="70"/>
      <c r="I108" s="69"/>
      <c r="J108" s="70"/>
      <c r="K108" s="69"/>
      <c r="L108" s="70"/>
      <c r="M108" s="69"/>
      <c r="N108" s="70"/>
      <c r="O108" s="69"/>
      <c r="P108" s="70"/>
      <c r="Q108" s="69"/>
      <c r="R108" s="70"/>
      <c r="S108" s="69"/>
      <c r="T108" s="70"/>
      <c r="U108" s="69"/>
      <c r="V108" s="70"/>
      <c r="W108" s="69"/>
      <c r="X108" s="70"/>
      <c r="Y108" s="69"/>
      <c r="Z108" s="70"/>
      <c r="AA108" s="69"/>
      <c r="AB108" s="70"/>
      <c r="AC108" s="69"/>
      <c r="AD108" s="70"/>
      <c r="AE108" s="69"/>
      <c r="AF108" s="70"/>
      <c r="AG108" s="69"/>
      <c r="AH108" s="70"/>
      <c r="AI108" s="69"/>
      <c r="AJ108" s="70"/>
      <c r="AK108" s="69"/>
      <c r="AL108" s="70"/>
      <c r="AM108" s="69"/>
      <c r="AN108" s="70"/>
      <c r="AO108" s="69"/>
      <c r="AP108" s="70"/>
      <c r="AQ108" s="69"/>
      <c r="AR108" s="70"/>
      <c r="AS108" s="69"/>
      <c r="AT108" s="70"/>
      <c r="AU108" s="69"/>
      <c r="AV108" s="70"/>
      <c r="AW108" s="69"/>
      <c r="AX108" s="70"/>
      <c r="AY108" s="69"/>
      <c r="AZ108" s="70"/>
      <c r="BA108" s="69"/>
      <c r="BB108" s="70"/>
      <c r="BC108" s="69"/>
      <c r="BD108" s="70"/>
      <c r="BE108" s="69"/>
      <c r="BF108" s="70"/>
      <c r="BG108" s="69"/>
      <c r="BH108" s="70"/>
      <c r="BI108" s="69"/>
      <c r="BJ108" s="70"/>
      <c r="BK108" s="69"/>
      <c r="BL108" s="70"/>
      <c r="BM108" s="69"/>
      <c r="BN108" s="71"/>
      <c r="BO108" s="182" t="str">
        <f t="shared" si="184"/>
        <v/>
      </c>
      <c r="BP108" s="70"/>
      <c r="BQ108" s="73"/>
    </row>
    <row r="109" spans="1:76" x14ac:dyDescent="0.35">
      <c r="A109" s="53" t="s">
        <v>34</v>
      </c>
      <c r="B109" s="54"/>
      <c r="C109" s="67"/>
      <c r="D109" s="68"/>
      <c r="E109" s="69"/>
      <c r="F109" s="70"/>
      <c r="G109" s="69"/>
      <c r="H109" s="70"/>
      <c r="I109" s="69"/>
      <c r="J109" s="70"/>
      <c r="K109" s="69"/>
      <c r="L109" s="70"/>
      <c r="M109" s="69"/>
      <c r="N109" s="70"/>
      <c r="O109" s="69"/>
      <c r="P109" s="70"/>
      <c r="Q109" s="69"/>
      <c r="R109" s="70"/>
      <c r="S109" s="69"/>
      <c r="T109" s="70"/>
      <c r="U109" s="69"/>
      <c r="V109" s="70"/>
      <c r="W109" s="69"/>
      <c r="X109" s="70"/>
      <c r="Y109" s="69"/>
      <c r="Z109" s="70"/>
      <c r="AA109" s="69"/>
      <c r="AB109" s="70"/>
      <c r="AC109" s="69"/>
      <c r="AD109" s="70"/>
      <c r="AE109" s="69"/>
      <c r="AF109" s="70"/>
      <c r="AG109" s="69"/>
      <c r="AH109" s="70"/>
      <c r="AI109" s="69"/>
      <c r="AJ109" s="70"/>
      <c r="AK109" s="69"/>
      <c r="AL109" s="70"/>
      <c r="AM109" s="69"/>
      <c r="AN109" s="70"/>
      <c r="AO109" s="69"/>
      <c r="AP109" s="70"/>
      <c r="AQ109" s="69"/>
      <c r="AR109" s="70"/>
      <c r="AS109" s="69"/>
      <c r="AT109" s="70"/>
      <c r="AU109" s="69"/>
      <c r="AV109" s="70"/>
      <c r="AW109" s="69"/>
      <c r="AX109" s="70"/>
      <c r="AY109" s="69"/>
      <c r="AZ109" s="70"/>
      <c r="BA109" s="69"/>
      <c r="BB109" s="70"/>
      <c r="BC109" s="69"/>
      <c r="BD109" s="70"/>
      <c r="BE109" s="69"/>
      <c r="BF109" s="70"/>
      <c r="BG109" s="69"/>
      <c r="BH109" s="70"/>
      <c r="BI109" s="69"/>
      <c r="BJ109" s="70"/>
      <c r="BK109" s="69"/>
      <c r="BL109" s="70"/>
      <c r="BM109" s="69"/>
      <c r="BN109" s="71"/>
      <c r="BO109" s="182" t="str">
        <f t="shared" si="184"/>
        <v/>
      </c>
      <c r="BP109" s="70"/>
      <c r="BQ109" s="73"/>
    </row>
    <row r="110" spans="1:76" x14ac:dyDescent="0.35">
      <c r="A110" s="53" t="s">
        <v>34</v>
      </c>
      <c r="B110" s="54"/>
      <c r="C110" s="67"/>
      <c r="D110" s="68"/>
      <c r="E110" s="69"/>
      <c r="F110" s="70"/>
      <c r="G110" s="69"/>
      <c r="H110" s="70"/>
      <c r="I110" s="69"/>
      <c r="J110" s="70"/>
      <c r="K110" s="69"/>
      <c r="L110" s="70"/>
      <c r="M110" s="69"/>
      <c r="N110" s="70"/>
      <c r="O110" s="69"/>
      <c r="P110" s="70"/>
      <c r="Q110" s="69"/>
      <c r="R110" s="70"/>
      <c r="S110" s="69"/>
      <c r="T110" s="70"/>
      <c r="U110" s="69"/>
      <c r="V110" s="70"/>
      <c r="W110" s="69"/>
      <c r="X110" s="70"/>
      <c r="Y110" s="69"/>
      <c r="Z110" s="70"/>
      <c r="AA110" s="69"/>
      <c r="AB110" s="70"/>
      <c r="AC110" s="69"/>
      <c r="AD110" s="70"/>
      <c r="AE110" s="69"/>
      <c r="AF110" s="70"/>
      <c r="AG110" s="69"/>
      <c r="AH110" s="70"/>
      <c r="AI110" s="69"/>
      <c r="AJ110" s="70"/>
      <c r="AK110" s="69"/>
      <c r="AL110" s="70"/>
      <c r="AM110" s="69"/>
      <c r="AN110" s="70"/>
      <c r="AO110" s="69"/>
      <c r="AP110" s="70"/>
      <c r="AQ110" s="69"/>
      <c r="AR110" s="70"/>
      <c r="AS110" s="69"/>
      <c r="AT110" s="70"/>
      <c r="AU110" s="69"/>
      <c r="AV110" s="70"/>
      <c r="AW110" s="69"/>
      <c r="AX110" s="70"/>
      <c r="AY110" s="69"/>
      <c r="AZ110" s="70"/>
      <c r="BA110" s="69"/>
      <c r="BB110" s="70"/>
      <c r="BC110" s="69"/>
      <c r="BD110" s="70"/>
      <c r="BE110" s="69"/>
      <c r="BF110" s="70"/>
      <c r="BG110" s="69"/>
      <c r="BH110" s="70"/>
      <c r="BI110" s="69"/>
      <c r="BJ110" s="70"/>
      <c r="BK110" s="69"/>
      <c r="BL110" s="70"/>
      <c r="BM110" s="69"/>
      <c r="BN110" s="71"/>
      <c r="BO110" s="182" t="str">
        <f t="shared" si="184"/>
        <v/>
      </c>
      <c r="BP110" s="70"/>
      <c r="BQ110" s="73"/>
    </row>
    <row r="111" spans="1:76" s="6" customFormat="1" x14ac:dyDescent="0.35">
      <c r="A111" s="149" t="s">
        <v>71</v>
      </c>
      <c r="B111" s="150"/>
      <c r="C111" s="67"/>
      <c r="D111" s="151"/>
      <c r="E111" s="69"/>
      <c r="F111" s="152"/>
      <c r="G111" s="69"/>
      <c r="H111" s="152"/>
      <c r="I111" s="69"/>
      <c r="J111" s="152"/>
      <c r="K111" s="69"/>
      <c r="L111" s="152"/>
      <c r="M111" s="69"/>
      <c r="N111" s="152"/>
      <c r="O111" s="69"/>
      <c r="P111" s="152"/>
      <c r="Q111" s="69"/>
      <c r="R111" s="152"/>
      <c r="S111" s="69"/>
      <c r="T111" s="152"/>
      <c r="U111" s="69"/>
      <c r="V111" s="152"/>
      <c r="W111" s="69"/>
      <c r="X111" s="152"/>
      <c r="Y111" s="69"/>
      <c r="Z111" s="152"/>
      <c r="AA111" s="69"/>
      <c r="AB111" s="152"/>
      <c r="AC111" s="69"/>
      <c r="AD111" s="152"/>
      <c r="AE111" s="69"/>
      <c r="AF111" s="152"/>
      <c r="AG111" s="69"/>
      <c r="AH111" s="152"/>
      <c r="AI111" s="69"/>
      <c r="AJ111" s="152"/>
      <c r="AK111" s="69"/>
      <c r="AL111" s="152"/>
      <c r="AM111" s="69"/>
      <c r="AN111" s="152"/>
      <c r="AO111" s="69"/>
      <c r="AP111" s="152"/>
      <c r="AQ111" s="69"/>
      <c r="AR111" s="152"/>
      <c r="AS111" s="69"/>
      <c r="AT111" s="152"/>
      <c r="AU111" s="69"/>
      <c r="AV111" s="152"/>
      <c r="AW111" s="69"/>
      <c r="AX111" s="152"/>
      <c r="AY111" s="69"/>
      <c r="AZ111" s="152"/>
      <c r="BA111" s="69"/>
      <c r="BB111" s="152"/>
      <c r="BC111" s="69"/>
      <c r="BD111" s="152"/>
      <c r="BE111" s="69"/>
      <c r="BF111" s="152"/>
      <c r="BG111" s="69"/>
      <c r="BH111" s="152"/>
      <c r="BI111" s="69"/>
      <c r="BJ111" s="152"/>
      <c r="BK111" s="69"/>
      <c r="BL111" s="152"/>
      <c r="BM111" s="69"/>
      <c r="BN111" s="71"/>
      <c r="BO111" s="182" t="str">
        <f t="shared" si="184"/>
        <v/>
      </c>
      <c r="BP111" s="152"/>
      <c r="BQ111" s="73"/>
      <c r="BR111"/>
      <c r="BS111"/>
      <c r="BT111"/>
      <c r="BU111"/>
      <c r="BV111"/>
      <c r="BW111"/>
      <c r="BX111"/>
    </row>
    <row r="112" spans="1:76" x14ac:dyDescent="0.35">
      <c r="A112" s="53" t="s">
        <v>72</v>
      </c>
      <c r="B112" s="54"/>
      <c r="C112" s="67"/>
      <c r="D112" s="68"/>
      <c r="E112" s="69"/>
      <c r="F112" s="70"/>
      <c r="G112" s="69"/>
      <c r="H112" s="70"/>
      <c r="I112" s="69"/>
      <c r="J112" s="70"/>
      <c r="K112" s="69"/>
      <c r="L112" s="70"/>
      <c r="M112" s="69"/>
      <c r="N112" s="70"/>
      <c r="O112" s="69"/>
      <c r="P112" s="70"/>
      <c r="Q112" s="69"/>
      <c r="R112" s="70"/>
      <c r="S112" s="69"/>
      <c r="T112" s="70"/>
      <c r="U112" s="69"/>
      <c r="V112" s="70"/>
      <c r="W112" s="69"/>
      <c r="X112" s="70"/>
      <c r="Y112" s="69"/>
      <c r="Z112" s="70"/>
      <c r="AA112" s="69"/>
      <c r="AB112" s="70"/>
      <c r="AC112" s="69"/>
      <c r="AD112" s="70"/>
      <c r="AE112" s="69"/>
      <c r="AF112" s="70"/>
      <c r="AG112" s="69"/>
      <c r="AH112" s="70"/>
      <c r="AI112" s="69"/>
      <c r="AJ112" s="70"/>
      <c r="AK112" s="69"/>
      <c r="AL112" s="70"/>
      <c r="AM112" s="69"/>
      <c r="AN112" s="70"/>
      <c r="AO112" s="69"/>
      <c r="AP112" s="70"/>
      <c r="AQ112" s="69"/>
      <c r="AR112" s="70"/>
      <c r="AS112" s="69"/>
      <c r="AT112" s="70"/>
      <c r="AU112" s="69"/>
      <c r="AV112" s="70"/>
      <c r="AW112" s="69"/>
      <c r="AX112" s="70"/>
      <c r="AY112" s="69"/>
      <c r="AZ112" s="70"/>
      <c r="BA112" s="69"/>
      <c r="BB112" s="70"/>
      <c r="BC112" s="69"/>
      <c r="BD112" s="70"/>
      <c r="BE112" s="69"/>
      <c r="BF112" s="70"/>
      <c r="BG112" s="69"/>
      <c r="BH112" s="70"/>
      <c r="BI112" s="69"/>
      <c r="BJ112" s="70"/>
      <c r="BK112" s="69"/>
      <c r="BL112" s="70"/>
      <c r="BM112" s="69"/>
      <c r="BN112" s="71"/>
      <c r="BO112" s="182" t="str">
        <f t="shared" si="184"/>
        <v/>
      </c>
      <c r="BP112" s="70"/>
      <c r="BQ112" s="73"/>
    </row>
    <row r="113" spans="1:69" x14ac:dyDescent="0.35">
      <c r="A113" s="53" t="s">
        <v>73</v>
      </c>
      <c r="B113" s="54"/>
      <c r="C113" s="67"/>
      <c r="D113" s="68"/>
      <c r="E113" s="69"/>
      <c r="F113" s="70"/>
      <c r="G113" s="69"/>
      <c r="H113" s="70"/>
      <c r="I113" s="69"/>
      <c r="J113" s="70"/>
      <c r="K113" s="69"/>
      <c r="L113" s="70"/>
      <c r="M113" s="69"/>
      <c r="N113" s="70"/>
      <c r="O113" s="69"/>
      <c r="P113" s="70"/>
      <c r="Q113" s="69"/>
      <c r="R113" s="70"/>
      <c r="S113" s="69"/>
      <c r="T113" s="70"/>
      <c r="U113" s="69"/>
      <c r="V113" s="70"/>
      <c r="W113" s="69"/>
      <c r="X113" s="70"/>
      <c r="Y113" s="69"/>
      <c r="Z113" s="70"/>
      <c r="AA113" s="69"/>
      <c r="AB113" s="70"/>
      <c r="AC113" s="69"/>
      <c r="AD113" s="70"/>
      <c r="AE113" s="69"/>
      <c r="AF113" s="70"/>
      <c r="AG113" s="69"/>
      <c r="AH113" s="70"/>
      <c r="AI113" s="69"/>
      <c r="AJ113" s="70"/>
      <c r="AK113" s="69"/>
      <c r="AL113" s="70"/>
      <c r="AM113" s="69"/>
      <c r="AN113" s="70"/>
      <c r="AO113" s="69"/>
      <c r="AP113" s="70"/>
      <c r="AQ113" s="69"/>
      <c r="AR113" s="70"/>
      <c r="AS113" s="69"/>
      <c r="AT113" s="70"/>
      <c r="AU113" s="69"/>
      <c r="AV113" s="70"/>
      <c r="AW113" s="69"/>
      <c r="AX113" s="70"/>
      <c r="AY113" s="69"/>
      <c r="AZ113" s="70"/>
      <c r="BA113" s="69"/>
      <c r="BB113" s="70"/>
      <c r="BC113" s="69"/>
      <c r="BD113" s="70"/>
      <c r="BE113" s="69"/>
      <c r="BF113" s="70"/>
      <c r="BG113" s="69"/>
      <c r="BH113" s="70"/>
      <c r="BI113" s="69"/>
      <c r="BJ113" s="70"/>
      <c r="BK113" s="69"/>
      <c r="BL113" s="70"/>
      <c r="BM113" s="69"/>
      <c r="BN113" s="71"/>
      <c r="BO113" s="182" t="str">
        <f t="shared" si="184"/>
        <v/>
      </c>
      <c r="BP113" s="70"/>
      <c r="BQ113" s="73"/>
    </row>
    <row r="114" spans="1:69" x14ac:dyDescent="0.35">
      <c r="A114" s="53" t="s">
        <v>70</v>
      </c>
      <c r="B114" s="54"/>
      <c r="C114" s="67"/>
      <c r="D114" s="68"/>
      <c r="E114" s="69"/>
      <c r="F114" s="70"/>
      <c r="G114" s="69"/>
      <c r="H114" s="70"/>
      <c r="I114" s="69"/>
      <c r="J114" s="70"/>
      <c r="K114" s="69"/>
      <c r="L114" s="70"/>
      <c r="M114" s="69"/>
      <c r="N114" s="70"/>
      <c r="O114" s="69"/>
      <c r="P114" s="70"/>
      <c r="Q114" s="69"/>
      <c r="R114" s="70"/>
      <c r="S114" s="69"/>
      <c r="T114" s="70"/>
      <c r="U114" s="69"/>
      <c r="V114" s="70"/>
      <c r="W114" s="69"/>
      <c r="X114" s="70"/>
      <c r="Y114" s="69"/>
      <c r="Z114" s="70"/>
      <c r="AA114" s="69"/>
      <c r="AB114" s="70"/>
      <c r="AC114" s="69"/>
      <c r="AD114" s="70"/>
      <c r="AE114" s="69"/>
      <c r="AF114" s="70"/>
      <c r="AG114" s="69"/>
      <c r="AH114" s="70"/>
      <c r="AI114" s="69"/>
      <c r="AJ114" s="70"/>
      <c r="AK114" s="69"/>
      <c r="AL114" s="70"/>
      <c r="AM114" s="69"/>
      <c r="AN114" s="70"/>
      <c r="AO114" s="69"/>
      <c r="AP114" s="70"/>
      <c r="AQ114" s="69"/>
      <c r="AR114" s="70"/>
      <c r="AS114" s="69"/>
      <c r="AT114" s="70"/>
      <c r="AU114" s="69"/>
      <c r="AV114" s="70"/>
      <c r="AW114" s="69"/>
      <c r="AX114" s="70"/>
      <c r="AY114" s="69"/>
      <c r="AZ114" s="70"/>
      <c r="BA114" s="69"/>
      <c r="BB114" s="70"/>
      <c r="BC114" s="69"/>
      <c r="BD114" s="70"/>
      <c r="BE114" s="69"/>
      <c r="BF114" s="70"/>
      <c r="BG114" s="69"/>
      <c r="BH114" s="70"/>
      <c r="BI114" s="69"/>
      <c r="BJ114" s="70"/>
      <c r="BK114" s="69"/>
      <c r="BL114" s="70"/>
      <c r="BM114" s="69"/>
      <c r="BN114" s="71"/>
      <c r="BO114" s="182" t="str">
        <f t="shared" si="184"/>
        <v/>
      </c>
      <c r="BP114" s="70"/>
      <c r="BQ114" s="73"/>
    </row>
    <row r="115" spans="1:69" x14ac:dyDescent="0.35">
      <c r="A115" s="53" t="s">
        <v>27</v>
      </c>
      <c r="B115" s="54"/>
      <c r="C115" s="67"/>
      <c r="D115" s="68"/>
      <c r="E115" s="69"/>
      <c r="F115" s="70"/>
      <c r="G115" s="69"/>
      <c r="H115" s="70"/>
      <c r="I115" s="69"/>
      <c r="J115" s="70"/>
      <c r="K115" s="69"/>
      <c r="L115" s="70"/>
      <c r="M115" s="69"/>
      <c r="N115" s="70"/>
      <c r="O115" s="69"/>
      <c r="P115" s="70"/>
      <c r="Q115" s="69"/>
      <c r="R115" s="70"/>
      <c r="S115" s="69"/>
      <c r="T115" s="70"/>
      <c r="U115" s="69"/>
      <c r="V115" s="70"/>
      <c r="W115" s="69"/>
      <c r="X115" s="70"/>
      <c r="Y115" s="69"/>
      <c r="Z115" s="70"/>
      <c r="AA115" s="69"/>
      <c r="AB115" s="70"/>
      <c r="AC115" s="69"/>
      <c r="AD115" s="70"/>
      <c r="AE115" s="69"/>
      <c r="AF115" s="70"/>
      <c r="AG115" s="69"/>
      <c r="AH115" s="70"/>
      <c r="AI115" s="69"/>
      <c r="AJ115" s="70"/>
      <c r="AK115" s="69"/>
      <c r="AL115" s="70"/>
      <c r="AM115" s="69"/>
      <c r="AN115" s="70"/>
      <c r="AO115" s="69"/>
      <c r="AP115" s="70"/>
      <c r="AQ115" s="69"/>
      <c r="AR115" s="70"/>
      <c r="AS115" s="69"/>
      <c r="AT115" s="70"/>
      <c r="AU115" s="69"/>
      <c r="AV115" s="70"/>
      <c r="AW115" s="69"/>
      <c r="AX115" s="70"/>
      <c r="AY115" s="69"/>
      <c r="AZ115" s="70"/>
      <c r="BA115" s="69"/>
      <c r="BB115" s="70"/>
      <c r="BC115" s="69"/>
      <c r="BD115" s="70"/>
      <c r="BE115" s="69"/>
      <c r="BF115" s="70"/>
      <c r="BG115" s="69"/>
      <c r="BH115" s="70"/>
      <c r="BI115" s="69"/>
      <c r="BJ115" s="70"/>
      <c r="BK115" s="69"/>
      <c r="BL115" s="70"/>
      <c r="BM115" s="69"/>
      <c r="BN115" s="71"/>
      <c r="BO115" s="182" t="str">
        <f t="shared" si="184"/>
        <v/>
      </c>
      <c r="BP115" s="70"/>
      <c r="BQ115" s="73"/>
    </row>
    <row r="116" spans="1:69" x14ac:dyDescent="0.35">
      <c r="A116" s="53" t="s">
        <v>28</v>
      </c>
      <c r="B116" s="54"/>
      <c r="C116" s="67"/>
      <c r="D116" s="68"/>
      <c r="E116" s="69"/>
      <c r="F116" s="70"/>
      <c r="G116" s="69"/>
      <c r="H116" s="70"/>
      <c r="I116" s="69"/>
      <c r="J116" s="70"/>
      <c r="K116" s="69"/>
      <c r="L116" s="70"/>
      <c r="M116" s="69"/>
      <c r="N116" s="70"/>
      <c r="O116" s="69"/>
      <c r="P116" s="70"/>
      <c r="Q116" s="69"/>
      <c r="R116" s="70"/>
      <c r="S116" s="69"/>
      <c r="T116" s="70"/>
      <c r="U116" s="69"/>
      <c r="V116" s="70"/>
      <c r="W116" s="69"/>
      <c r="X116" s="70"/>
      <c r="Y116" s="69"/>
      <c r="Z116" s="70"/>
      <c r="AA116" s="69"/>
      <c r="AB116" s="70"/>
      <c r="AC116" s="69"/>
      <c r="AD116" s="70"/>
      <c r="AE116" s="69"/>
      <c r="AF116" s="70"/>
      <c r="AG116" s="69"/>
      <c r="AH116" s="70"/>
      <c r="AI116" s="69"/>
      <c r="AJ116" s="70"/>
      <c r="AK116" s="69"/>
      <c r="AL116" s="70"/>
      <c r="AM116" s="69"/>
      <c r="AN116" s="70"/>
      <c r="AO116" s="69"/>
      <c r="AP116" s="70"/>
      <c r="AQ116" s="69"/>
      <c r="AR116" s="70"/>
      <c r="AS116" s="69"/>
      <c r="AT116" s="70"/>
      <c r="AU116" s="69"/>
      <c r="AV116" s="70"/>
      <c r="AW116" s="69"/>
      <c r="AX116" s="70"/>
      <c r="AY116" s="69"/>
      <c r="AZ116" s="70"/>
      <c r="BA116" s="69"/>
      <c r="BB116" s="70"/>
      <c r="BC116" s="69"/>
      <c r="BD116" s="70"/>
      <c r="BE116" s="69"/>
      <c r="BF116" s="70"/>
      <c r="BG116" s="69"/>
      <c r="BH116" s="70"/>
      <c r="BI116" s="69"/>
      <c r="BJ116" s="70"/>
      <c r="BK116" s="69"/>
      <c r="BL116" s="70"/>
      <c r="BM116" s="69"/>
      <c r="BN116" s="71"/>
      <c r="BO116" s="182" t="str">
        <f t="shared" si="184"/>
        <v/>
      </c>
      <c r="BP116" s="70"/>
      <c r="BQ116" s="73"/>
    </row>
    <row r="117" spans="1:69" x14ac:dyDescent="0.35">
      <c r="A117" s="53" t="s">
        <v>29</v>
      </c>
      <c r="B117" s="54"/>
      <c r="C117" s="67"/>
      <c r="D117" s="68"/>
      <c r="E117" s="69"/>
      <c r="F117" s="70"/>
      <c r="G117" s="69"/>
      <c r="H117" s="70"/>
      <c r="I117" s="69"/>
      <c r="J117" s="70"/>
      <c r="K117" s="69"/>
      <c r="L117" s="70"/>
      <c r="M117" s="69"/>
      <c r="N117" s="70"/>
      <c r="O117" s="69"/>
      <c r="P117" s="70"/>
      <c r="Q117" s="69"/>
      <c r="R117" s="70"/>
      <c r="S117" s="69"/>
      <c r="T117" s="70"/>
      <c r="U117" s="69"/>
      <c r="V117" s="70"/>
      <c r="W117" s="69"/>
      <c r="X117" s="70"/>
      <c r="Y117" s="69"/>
      <c r="Z117" s="70"/>
      <c r="AA117" s="69"/>
      <c r="AB117" s="70"/>
      <c r="AC117" s="69"/>
      <c r="AD117" s="70"/>
      <c r="AE117" s="69"/>
      <c r="AF117" s="70"/>
      <c r="AG117" s="69"/>
      <c r="AH117" s="70"/>
      <c r="AI117" s="69"/>
      <c r="AJ117" s="70"/>
      <c r="AK117" s="69"/>
      <c r="AL117" s="70"/>
      <c r="AM117" s="69"/>
      <c r="AN117" s="70"/>
      <c r="AO117" s="69"/>
      <c r="AP117" s="70"/>
      <c r="AQ117" s="69"/>
      <c r="AR117" s="70"/>
      <c r="AS117" s="69"/>
      <c r="AT117" s="70"/>
      <c r="AU117" s="69"/>
      <c r="AV117" s="70"/>
      <c r="AW117" s="69"/>
      <c r="AX117" s="70"/>
      <c r="AY117" s="69"/>
      <c r="AZ117" s="70"/>
      <c r="BA117" s="69"/>
      <c r="BB117" s="70"/>
      <c r="BC117" s="69"/>
      <c r="BD117" s="70"/>
      <c r="BE117" s="69"/>
      <c r="BF117" s="70"/>
      <c r="BG117" s="69"/>
      <c r="BH117" s="70"/>
      <c r="BI117" s="69"/>
      <c r="BJ117" s="70"/>
      <c r="BK117" s="69"/>
      <c r="BL117" s="70"/>
      <c r="BM117" s="69"/>
      <c r="BN117" s="71"/>
      <c r="BO117" s="182" t="str">
        <f t="shared" si="184"/>
        <v/>
      </c>
      <c r="BP117" s="70"/>
      <c r="BQ117" s="73"/>
    </row>
    <row r="118" spans="1:69" x14ac:dyDescent="0.35">
      <c r="A118" s="74"/>
      <c r="B118" s="75"/>
      <c r="C118" s="153"/>
      <c r="D118" s="77"/>
      <c r="E118" s="78"/>
      <c r="F118" s="79"/>
      <c r="G118" s="78"/>
      <c r="H118" s="79"/>
      <c r="I118" s="78"/>
      <c r="J118" s="79"/>
      <c r="K118" s="78"/>
      <c r="L118" s="79"/>
      <c r="M118" s="78"/>
      <c r="N118" s="79"/>
      <c r="O118" s="78"/>
      <c r="P118" s="79"/>
      <c r="Q118" s="78"/>
      <c r="R118" s="79"/>
      <c r="S118" s="78"/>
      <c r="T118" s="79"/>
      <c r="U118" s="78"/>
      <c r="V118" s="79"/>
      <c r="W118" s="78"/>
      <c r="X118" s="79"/>
      <c r="Y118" s="78"/>
      <c r="Z118" s="79"/>
      <c r="AA118" s="78"/>
      <c r="AB118" s="79"/>
      <c r="AC118" s="78"/>
      <c r="AD118" s="79"/>
      <c r="AE118" s="78"/>
      <c r="AF118" s="79"/>
      <c r="AG118" s="78"/>
      <c r="AH118" s="79"/>
      <c r="AI118" s="78"/>
      <c r="AJ118" s="79"/>
      <c r="AK118" s="78"/>
      <c r="AL118" s="79"/>
      <c r="AM118" s="78"/>
      <c r="AN118" s="79"/>
      <c r="AO118" s="78"/>
      <c r="AP118" s="79"/>
      <c r="AQ118" s="78"/>
      <c r="AR118" s="79"/>
      <c r="AS118" s="78"/>
      <c r="AT118" s="79"/>
      <c r="AU118" s="78"/>
      <c r="AV118" s="79"/>
      <c r="AW118" s="78"/>
      <c r="AX118" s="79"/>
      <c r="AY118" s="78"/>
      <c r="AZ118" s="79"/>
      <c r="BA118" s="78"/>
      <c r="BB118" s="79"/>
      <c r="BC118" s="78"/>
      <c r="BD118" s="79"/>
      <c r="BE118" s="78"/>
      <c r="BF118" s="79"/>
      <c r="BG118" s="78"/>
      <c r="BH118" s="79"/>
      <c r="BI118" s="78"/>
      <c r="BJ118" s="79"/>
      <c r="BK118" s="78"/>
      <c r="BL118" s="79"/>
      <c r="BM118" s="78"/>
      <c r="BN118" s="80"/>
      <c r="BO118" s="195" t="str">
        <f t="shared" si="184"/>
        <v/>
      </c>
      <c r="BP118" s="79"/>
      <c r="BQ118" s="82"/>
    </row>
    <row r="119" spans="1:69" x14ac:dyDescent="0.35">
      <c r="A119" s="53" t="s">
        <v>55</v>
      </c>
      <c r="B119" s="54"/>
      <c r="C119" s="67"/>
      <c r="D119" s="68"/>
      <c r="E119" s="69"/>
      <c r="F119" s="70"/>
      <c r="G119" s="69"/>
      <c r="H119" s="70"/>
      <c r="I119" s="69"/>
      <c r="J119" s="70"/>
      <c r="K119" s="69"/>
      <c r="L119" s="70"/>
      <c r="M119" s="69"/>
      <c r="N119" s="70"/>
      <c r="O119" s="69"/>
      <c r="P119" s="70"/>
      <c r="Q119" s="69"/>
      <c r="R119" s="70"/>
      <c r="S119" s="69"/>
      <c r="T119" s="70"/>
      <c r="U119" s="69"/>
      <c r="V119" s="70"/>
      <c r="W119" s="69"/>
      <c r="X119" s="70"/>
      <c r="Y119" s="69"/>
      <c r="Z119" s="70"/>
      <c r="AA119" s="69"/>
      <c r="AB119" s="70"/>
      <c r="AC119" s="69"/>
      <c r="AD119" s="70"/>
      <c r="AE119" s="69"/>
      <c r="AF119" s="70"/>
      <c r="AG119" s="69"/>
      <c r="AH119" s="70"/>
      <c r="AI119" s="69"/>
      <c r="AJ119" s="70"/>
      <c r="AK119" s="69"/>
      <c r="AL119" s="70"/>
      <c r="AM119" s="69"/>
      <c r="AN119" s="70"/>
      <c r="AO119" s="69"/>
      <c r="AP119" s="70"/>
      <c r="AQ119" s="69"/>
      <c r="AR119" s="70"/>
      <c r="AS119" s="69"/>
      <c r="AT119" s="70"/>
      <c r="AU119" s="69"/>
      <c r="AV119" s="70"/>
      <c r="AW119" s="69"/>
      <c r="AX119" s="70"/>
      <c r="AY119" s="69"/>
      <c r="AZ119" s="70"/>
      <c r="BA119" s="69"/>
      <c r="BB119" s="70"/>
      <c r="BC119" s="69"/>
      <c r="BD119" s="70"/>
      <c r="BE119" s="69"/>
      <c r="BF119" s="70"/>
      <c r="BG119" s="69"/>
      <c r="BH119" s="70"/>
      <c r="BI119" s="69"/>
      <c r="BJ119" s="70"/>
      <c r="BK119" s="69"/>
      <c r="BL119" s="70"/>
      <c r="BM119" s="69"/>
      <c r="BN119" s="71"/>
      <c r="BO119" s="182" t="str">
        <f t="shared" si="184"/>
        <v/>
      </c>
      <c r="BP119" s="70"/>
      <c r="BQ119" s="73"/>
    </row>
    <row r="120" spans="1:69" ht="15" thickBot="1" x14ac:dyDescent="0.4">
      <c r="A120" s="154" t="s">
        <v>56</v>
      </c>
      <c r="B120" s="155"/>
      <c r="C120" s="156"/>
      <c r="D120" s="157"/>
      <c r="E120" s="158"/>
      <c r="F120" s="159"/>
      <c r="G120" s="158"/>
      <c r="H120" s="159"/>
      <c r="I120" s="158"/>
      <c r="J120" s="159"/>
      <c r="K120" s="158"/>
      <c r="L120" s="159"/>
      <c r="M120" s="158"/>
      <c r="N120" s="159"/>
      <c r="O120" s="158"/>
      <c r="P120" s="159"/>
      <c r="Q120" s="158"/>
      <c r="R120" s="159"/>
      <c r="S120" s="158"/>
      <c r="T120" s="159"/>
      <c r="U120" s="158"/>
      <c r="V120" s="159"/>
      <c r="W120" s="158"/>
      <c r="X120" s="159"/>
      <c r="Y120" s="158"/>
      <c r="Z120" s="159"/>
      <c r="AA120" s="158"/>
      <c r="AB120" s="159"/>
      <c r="AC120" s="158"/>
      <c r="AD120" s="159"/>
      <c r="AE120" s="158"/>
      <c r="AF120" s="159"/>
      <c r="AG120" s="158"/>
      <c r="AH120" s="159"/>
      <c r="AI120" s="158"/>
      <c r="AJ120" s="159"/>
      <c r="AK120" s="158"/>
      <c r="AL120" s="159"/>
      <c r="AM120" s="158"/>
      <c r="AN120" s="159"/>
      <c r="AO120" s="158"/>
      <c r="AP120" s="159"/>
      <c r="AQ120" s="158"/>
      <c r="AR120" s="159"/>
      <c r="AS120" s="158"/>
      <c r="AT120" s="159"/>
      <c r="AU120" s="158"/>
      <c r="AV120" s="159"/>
      <c r="AW120" s="158"/>
      <c r="AX120" s="159"/>
      <c r="AY120" s="158"/>
      <c r="AZ120" s="159"/>
      <c r="BA120" s="158"/>
      <c r="BB120" s="159"/>
      <c r="BC120" s="158"/>
      <c r="BD120" s="159"/>
      <c r="BE120" s="158"/>
      <c r="BF120" s="159"/>
      <c r="BG120" s="158"/>
      <c r="BH120" s="159"/>
      <c r="BI120" s="158"/>
      <c r="BJ120" s="159"/>
      <c r="BK120" s="158"/>
      <c r="BL120" s="159"/>
      <c r="BM120" s="158"/>
      <c r="BN120" s="160"/>
      <c r="BO120" s="196" t="str">
        <f t="shared" si="184"/>
        <v/>
      </c>
      <c r="BP120" s="159"/>
      <c r="BQ120" s="161"/>
    </row>
    <row r="121" spans="1:69" x14ac:dyDescent="0.35">
      <c r="AT121"/>
      <c r="AU121"/>
      <c r="AW121"/>
      <c r="BA121"/>
    </row>
    <row r="122" spans="1:69" x14ac:dyDescent="0.35">
      <c r="AT122"/>
      <c r="AU122"/>
      <c r="AW122"/>
      <c r="BA122"/>
    </row>
    <row r="123" spans="1:69" x14ac:dyDescent="0.35">
      <c r="AT123"/>
      <c r="AU123"/>
      <c r="AW123"/>
      <c r="BA123"/>
    </row>
    <row r="124" spans="1:69" x14ac:dyDescent="0.35">
      <c r="AT124"/>
      <c r="AU124"/>
      <c r="AW124"/>
      <c r="BA124"/>
    </row>
    <row r="125" spans="1:69" x14ac:dyDescent="0.35">
      <c r="AT125"/>
      <c r="AU125"/>
      <c r="AW125"/>
      <c r="BA125"/>
    </row>
    <row r="126" spans="1:69" x14ac:dyDescent="0.35">
      <c r="AT126"/>
      <c r="AU126"/>
      <c r="AW126"/>
      <c r="BA126"/>
    </row>
    <row r="127" spans="1:69" x14ac:dyDescent="0.35">
      <c r="AT127"/>
      <c r="AU127"/>
      <c r="AW127"/>
      <c r="BA127"/>
    </row>
    <row r="128" spans="1:69" x14ac:dyDescent="0.35">
      <c r="AT128"/>
      <c r="AU128"/>
      <c r="AW128"/>
      <c r="BA128"/>
    </row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</sheetData>
  <sheetProtection sheet="1" objects="1" scenarios="1"/>
  <mergeCells count="100">
    <mergeCell ref="AD5:AE5"/>
    <mergeCell ref="A1:BQ1"/>
    <mergeCell ref="A2:BQ2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BB5:BC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P5:BQ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BD5:BE5"/>
    <mergeCell ref="BF5:BG5"/>
    <mergeCell ref="BH5:BI5"/>
    <mergeCell ref="BJ5:BK5"/>
    <mergeCell ref="BL5:BM5"/>
    <mergeCell ref="BN5:BO5"/>
    <mergeCell ref="AR6:AS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BP6:BQ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Z12:AA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AX12:AY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BL12:BM12"/>
    <mergeCell ref="BP12:BQ12"/>
    <mergeCell ref="AZ12:BA12"/>
    <mergeCell ref="BB12:BC12"/>
    <mergeCell ref="BD12:BE12"/>
    <mergeCell ref="BF12:BG12"/>
    <mergeCell ref="BH12:BI12"/>
    <mergeCell ref="BJ12:BK12"/>
  </mergeCells>
  <conditionalFormatting sqref="D77:BL88">
    <cfRule type="cellIs" dxfId="29" priority="9" operator="lessThan">
      <formula>0</formula>
    </cfRule>
  </conditionalFormatting>
  <conditionalFormatting sqref="D7:BM11 BP7:BQ104 BO7:BO120">
    <cfRule type="cellIs" dxfId="28" priority="1" operator="lessThan">
      <formula>0</formula>
    </cfRule>
  </conditionalFormatting>
  <conditionalFormatting sqref="D22:BM22">
    <cfRule type="cellIs" dxfId="27" priority="2" operator="lessThan">
      <formula>0</formula>
    </cfRule>
  </conditionalFormatting>
  <conditionalFormatting sqref="D30:BM31">
    <cfRule type="cellIs" dxfId="26" priority="3" operator="lessThan">
      <formula>0</formula>
    </cfRule>
  </conditionalFormatting>
  <conditionalFormatting sqref="D42:BM42">
    <cfRule type="cellIs" dxfId="25" priority="4" operator="lessThan">
      <formula>0</formula>
    </cfRule>
  </conditionalFormatting>
  <conditionalFormatting sqref="D49:BM50">
    <cfRule type="cellIs" dxfId="24" priority="5" operator="lessThan">
      <formula>0</formula>
    </cfRule>
  </conditionalFormatting>
  <conditionalFormatting sqref="D54:BM54">
    <cfRule type="cellIs" dxfId="23" priority="6" operator="lessThan">
      <formula>0</formula>
    </cfRule>
  </conditionalFormatting>
  <conditionalFormatting sqref="D57:BM59">
    <cfRule type="cellIs" dxfId="22" priority="7" operator="lessThan">
      <formula>0</formula>
    </cfRule>
  </conditionalFormatting>
  <conditionalFormatting sqref="D61:BM75">
    <cfRule type="cellIs" dxfId="21" priority="8" operator="lessThan">
      <formula>0</formula>
    </cfRule>
  </conditionalFormatting>
  <conditionalFormatting sqref="E91:BM104">
    <cfRule type="cellIs" dxfId="20" priority="10" operator="lessThan">
      <formula>0</formula>
    </cfRule>
  </conditionalFormatting>
  <pageMargins left="0.25" right="0.25" top="0.75" bottom="0.75" header="0.3" footer="0.3"/>
  <pageSetup scale="1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8283-D9A1-4EC8-80AD-27A484446D3A}">
  <sheetPr>
    <pageSetUpPr fitToPage="1"/>
  </sheetPr>
  <dimension ref="A1:BX134"/>
  <sheetViews>
    <sheetView zoomScaleNormal="100" workbookViewId="0">
      <pane xSplit="1" ySplit="12" topLeftCell="B49" activePane="bottomRight" state="frozen"/>
      <selection pane="topRight" activeCell="B1" sqref="B1"/>
      <selection pane="bottomLeft" activeCell="A9" sqref="A9"/>
      <selection pane="bottomRight" activeCell="A13" sqref="A13:XFD13"/>
    </sheetView>
  </sheetViews>
  <sheetFormatPr defaultRowHeight="14.5" x14ac:dyDescent="0.35"/>
  <cols>
    <col min="1" max="1" width="28.54296875" customWidth="1"/>
    <col min="2" max="2" width="15.26953125" customWidth="1"/>
    <col min="3" max="3" width="18.1796875" customWidth="1"/>
    <col min="4" max="45" width="11.81640625" customWidth="1"/>
    <col min="46" max="47" width="11.81640625" style="3" customWidth="1"/>
    <col min="48" max="48" width="11.81640625" customWidth="1"/>
    <col min="49" max="49" width="11.81640625" style="3" customWidth="1"/>
    <col min="50" max="52" width="11.81640625" customWidth="1"/>
    <col min="53" max="53" width="11.81640625" style="3" customWidth="1"/>
    <col min="54" max="65" width="11.81640625" customWidth="1"/>
    <col min="66" max="69" width="15.54296875" customWidth="1"/>
    <col min="70" max="70" width="12.7265625" customWidth="1"/>
    <col min="71" max="71" width="11.1796875" bestFit="1" customWidth="1"/>
    <col min="72" max="72" width="14.81640625" customWidth="1"/>
    <col min="73" max="73" width="8.81640625" customWidth="1"/>
    <col min="74" max="74" width="11.26953125" customWidth="1"/>
    <col min="75" max="75" width="9.26953125" bestFit="1" customWidth="1"/>
    <col min="76" max="76" width="13.453125" customWidth="1"/>
  </cols>
  <sheetData>
    <row r="1" spans="1:76" ht="48" customHeight="1" x14ac:dyDescent="0.35">
      <c r="A1" s="241" t="str">
        <f>"TEXAN FILLING STATION — "&amp;UPPER(TEXT(B3,"MMMM YYYY"))&amp;" DAILY CONTROL"</f>
        <v>TEXAN FILLING STATION — JULY 2027 DAILY CONTROL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  <c r="BL1" s="233"/>
      <c r="BM1" s="233"/>
      <c r="BN1" s="233"/>
      <c r="BO1" s="233"/>
      <c r="BP1" s="233"/>
      <c r="BQ1" s="233"/>
    </row>
    <row r="2" spans="1:76" ht="24" customHeight="1" x14ac:dyDescent="0.35">
      <c r="A2" s="234" t="s">
        <v>108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  <c r="BP2" s="234"/>
      <c r="BQ2" s="234"/>
    </row>
    <row r="3" spans="1:76" x14ac:dyDescent="0.35">
      <c r="A3" s="26" t="s">
        <v>109</v>
      </c>
      <c r="B3" s="27">
        <v>46569</v>
      </c>
      <c r="C3" s="28" t="s">
        <v>110</v>
      </c>
      <c r="D3" s="28" t="s">
        <v>111</v>
      </c>
      <c r="E3" s="29" t="s">
        <v>112</v>
      </c>
      <c r="F3" s="30" t="s">
        <v>113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2"/>
      <c r="AU3" s="32"/>
      <c r="AV3" s="31"/>
      <c r="AW3" s="32"/>
      <c r="AX3" s="31"/>
      <c r="AY3" s="31"/>
      <c r="AZ3" s="31"/>
      <c r="BA3" s="32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</row>
    <row r="4" spans="1:76" ht="15" thickBot="1" x14ac:dyDescent="0.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2"/>
      <c r="AU4" s="32"/>
      <c r="AV4" s="31"/>
      <c r="AW4" s="32"/>
      <c r="AX4" s="31"/>
      <c r="AY4" s="31"/>
      <c r="AZ4" s="31"/>
      <c r="BA4" s="32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</row>
    <row r="5" spans="1:76" ht="16.149999999999999" customHeight="1" x14ac:dyDescent="0.35">
      <c r="A5" s="164">
        <f>68*0.1</f>
        <v>6.8000000000000007</v>
      </c>
      <c r="B5" s="33"/>
      <c r="C5" s="34" t="s">
        <v>116</v>
      </c>
      <c r="D5" s="235" t="str">
        <f>IF(D6="","",UPPER(TEXT(D6,"dddd")))</f>
        <v>THURSDAY</v>
      </c>
      <c r="E5" s="229"/>
      <c r="F5" s="228" t="str">
        <f>IF(F6="","",UPPER(TEXT(F6,"dddd")))</f>
        <v>FRIDAY</v>
      </c>
      <c r="G5" s="229"/>
      <c r="H5" s="228" t="str">
        <f>IF(H6="","",UPPER(TEXT(H6,"dddd")))</f>
        <v>SATURDAY</v>
      </c>
      <c r="I5" s="229"/>
      <c r="J5" s="228" t="str">
        <f>IF(J6="","",UPPER(TEXT(J6,"dddd")))</f>
        <v>SUNDAY</v>
      </c>
      <c r="K5" s="229"/>
      <c r="L5" s="228" t="str">
        <f>IF(L6="","",UPPER(TEXT(L6,"dddd")))</f>
        <v>MONDAY</v>
      </c>
      <c r="M5" s="229"/>
      <c r="N5" s="228" t="str">
        <f>IF(N6="","",UPPER(TEXT(N6,"dddd")))</f>
        <v>TUESDAY</v>
      </c>
      <c r="O5" s="229"/>
      <c r="P5" s="228" t="str">
        <f>IF(P6="","",UPPER(TEXT(P6,"dddd")))</f>
        <v>WEDNESDAY</v>
      </c>
      <c r="Q5" s="229"/>
      <c r="R5" s="228" t="str">
        <f>IF(R6="","",UPPER(TEXT(R6,"dddd")))</f>
        <v>THURSDAY</v>
      </c>
      <c r="S5" s="229"/>
      <c r="T5" s="228" t="str">
        <f>IF(T6="","",UPPER(TEXT(T6,"dddd")))</f>
        <v>FRIDAY</v>
      </c>
      <c r="U5" s="229"/>
      <c r="V5" s="228" t="str">
        <f>IF(V6="","",UPPER(TEXT(V6,"dddd")))</f>
        <v>SATURDAY</v>
      </c>
      <c r="W5" s="229"/>
      <c r="X5" s="228" t="str">
        <f>IF(X6="","",UPPER(TEXT(X6,"dddd")))</f>
        <v>SUNDAY</v>
      </c>
      <c r="Y5" s="229"/>
      <c r="Z5" s="228" t="str">
        <f>IF(Z6="","",UPPER(TEXT(Z6,"dddd")))</f>
        <v>MONDAY</v>
      </c>
      <c r="AA5" s="229"/>
      <c r="AB5" s="228" t="str">
        <f>IF(AB6="","",UPPER(TEXT(AB6,"dddd")))</f>
        <v>TUESDAY</v>
      </c>
      <c r="AC5" s="229"/>
      <c r="AD5" s="228" t="str">
        <f>IF(AD6="","",UPPER(TEXT(AD6,"dddd")))</f>
        <v>WEDNESDAY</v>
      </c>
      <c r="AE5" s="229"/>
      <c r="AF5" s="228" t="str">
        <f>IF(AF6="","",UPPER(TEXT(AF6,"dddd")))</f>
        <v>THURSDAY</v>
      </c>
      <c r="AG5" s="229"/>
      <c r="AH5" s="228" t="str">
        <f>IF(AH6="","",UPPER(TEXT(AH6,"dddd")))</f>
        <v>FRIDAY</v>
      </c>
      <c r="AI5" s="229"/>
      <c r="AJ5" s="228" t="str">
        <f>IF(AJ6="","",UPPER(TEXT(AJ6,"dddd")))</f>
        <v>SATURDAY</v>
      </c>
      <c r="AK5" s="229"/>
      <c r="AL5" s="228" t="str">
        <f>IF(AL6="","",UPPER(TEXT(AL6,"dddd")))</f>
        <v>SUNDAY</v>
      </c>
      <c r="AM5" s="229"/>
      <c r="AN5" s="228" t="str">
        <f>IF(AN6="","",UPPER(TEXT(AN6,"dddd")))</f>
        <v>MONDAY</v>
      </c>
      <c r="AO5" s="229"/>
      <c r="AP5" s="228" t="str">
        <f>IF(AP6="","",UPPER(TEXT(AP6,"dddd")))</f>
        <v>TUESDAY</v>
      </c>
      <c r="AQ5" s="229"/>
      <c r="AR5" s="228" t="str">
        <f>IF(AR6="","",UPPER(TEXT(AR6,"dddd")))</f>
        <v>WEDNESDAY</v>
      </c>
      <c r="AS5" s="229"/>
      <c r="AT5" s="228" t="str">
        <f>IF(AT6="","",UPPER(TEXT(AT6,"dddd")))</f>
        <v>THURSDAY</v>
      </c>
      <c r="AU5" s="229"/>
      <c r="AV5" s="228" t="str">
        <f>IF(AV6="","",UPPER(TEXT(AV6,"dddd")))</f>
        <v>FRIDAY</v>
      </c>
      <c r="AW5" s="229"/>
      <c r="AX5" s="228" t="str">
        <f>IF(AX6="","",UPPER(TEXT(AX6,"dddd")))</f>
        <v>SATURDAY</v>
      </c>
      <c r="AY5" s="229"/>
      <c r="AZ5" s="228" t="str">
        <f>IF(AZ6="","",UPPER(TEXT(AZ6,"dddd")))</f>
        <v>SUNDAY</v>
      </c>
      <c r="BA5" s="229"/>
      <c r="BB5" s="228" t="str">
        <f>IF(BB6="","",UPPER(TEXT(BB6,"dddd")))</f>
        <v>MONDAY</v>
      </c>
      <c r="BC5" s="229"/>
      <c r="BD5" s="228" t="str">
        <f>IF(BD6="","",UPPER(TEXT(BD6,"dddd")))</f>
        <v>TUESDAY</v>
      </c>
      <c r="BE5" s="229"/>
      <c r="BF5" s="228" t="str">
        <f>IF(BF6="","",UPPER(TEXT(BF6,"dddd")))</f>
        <v>WEDNESDAY</v>
      </c>
      <c r="BG5" s="229"/>
      <c r="BH5" s="228" t="str">
        <f>IF(BH6="","",UPPER(TEXT(BH6,"dddd")))</f>
        <v>THURSDAY</v>
      </c>
      <c r="BI5" s="229"/>
      <c r="BJ5" s="228" t="str">
        <f>IF(BJ6="","",UPPER(TEXT(BJ6,"dddd")))</f>
        <v>FRIDAY</v>
      </c>
      <c r="BK5" s="229"/>
      <c r="BL5" s="228" t="str">
        <f>IF(BL6="","",UPPER(TEXT(BL6,"dddd")))</f>
        <v>SATURDAY</v>
      </c>
      <c r="BM5" s="229"/>
      <c r="BN5" s="230" t="s">
        <v>114</v>
      </c>
      <c r="BO5" s="231"/>
      <c r="BP5" s="225" t="s">
        <v>118</v>
      </c>
      <c r="BQ5" s="226"/>
    </row>
    <row r="6" spans="1:76" x14ac:dyDescent="0.35">
      <c r="A6" s="35"/>
      <c r="B6" s="36"/>
      <c r="C6" s="37" t="s">
        <v>117</v>
      </c>
      <c r="D6" s="227">
        <f>IF($B$3="","",IF(MONTH($B$3+0)=MONTH($B$3),$B$3+0,""))</f>
        <v>46569</v>
      </c>
      <c r="E6" s="222"/>
      <c r="F6" s="220">
        <f>IF($B$3="","",IF(MONTH($B$3+1)=MONTH($B$3),$B$3+1,""))</f>
        <v>46570</v>
      </c>
      <c r="G6" s="222"/>
      <c r="H6" s="220">
        <f>IF($B$3="","",IF(MONTH($B$3+2)=MONTH($B$3),$B$3+2,""))</f>
        <v>46571</v>
      </c>
      <c r="I6" s="222"/>
      <c r="J6" s="220">
        <f>IF($B$3="","",IF(MONTH($B$3+3)=MONTH($B$3),$B$3+3,""))</f>
        <v>46572</v>
      </c>
      <c r="K6" s="222"/>
      <c r="L6" s="220">
        <f>IF($B$3="","",IF(MONTH($B$3+4)=MONTH($B$3),$B$3+4,""))</f>
        <v>46573</v>
      </c>
      <c r="M6" s="222"/>
      <c r="N6" s="220">
        <f>IF($B$3="","",IF(MONTH($B$3+5)=MONTH($B$3),$B$3+5,""))</f>
        <v>46574</v>
      </c>
      <c r="O6" s="222"/>
      <c r="P6" s="220">
        <f>IF($B$3="","",IF(MONTH($B$3+6)=MONTH($B$3),$B$3+6,""))</f>
        <v>46575</v>
      </c>
      <c r="Q6" s="222"/>
      <c r="R6" s="220">
        <f>IF($B$3="","",IF(MONTH($B$3+7)=MONTH($B$3),$B$3+7,""))</f>
        <v>46576</v>
      </c>
      <c r="S6" s="222"/>
      <c r="T6" s="220">
        <f>IF($B$3="","",IF(MONTH($B$3+8)=MONTH($B$3),$B$3+8,""))</f>
        <v>46577</v>
      </c>
      <c r="U6" s="222"/>
      <c r="V6" s="220">
        <f>IF($B$3="","",IF(MONTH($B$3+9)=MONTH($B$3),$B$3+9,""))</f>
        <v>46578</v>
      </c>
      <c r="W6" s="222"/>
      <c r="X6" s="220">
        <f>IF($B$3="","",IF(MONTH($B$3+10)=MONTH($B$3),$B$3+10,""))</f>
        <v>46579</v>
      </c>
      <c r="Y6" s="222"/>
      <c r="Z6" s="220">
        <f>IF($B$3="","",IF(MONTH($B$3+11)=MONTH($B$3),$B$3+11,""))</f>
        <v>46580</v>
      </c>
      <c r="AA6" s="222"/>
      <c r="AB6" s="220">
        <f>IF($B$3="","",IF(MONTH($B$3+12)=MONTH($B$3),$B$3+12,""))</f>
        <v>46581</v>
      </c>
      <c r="AC6" s="222"/>
      <c r="AD6" s="220">
        <f>IF($B$3="","",IF(MONTH($B$3+13)=MONTH($B$3),$B$3+13,""))</f>
        <v>46582</v>
      </c>
      <c r="AE6" s="222"/>
      <c r="AF6" s="220">
        <f>IF($B$3="","",IF(MONTH($B$3+14)=MONTH($B$3),$B$3+14,""))</f>
        <v>46583</v>
      </c>
      <c r="AG6" s="222"/>
      <c r="AH6" s="220">
        <f>IF($B$3="","",IF(MONTH($B$3+15)=MONTH($B$3),$B$3+15,""))</f>
        <v>46584</v>
      </c>
      <c r="AI6" s="222"/>
      <c r="AJ6" s="220">
        <f>IF($B$3="","",IF(MONTH($B$3+16)=MONTH($B$3),$B$3+16,""))</f>
        <v>46585</v>
      </c>
      <c r="AK6" s="222"/>
      <c r="AL6" s="220">
        <f>IF($B$3="","",IF(MONTH($B$3+17)=MONTH($B$3),$B$3+17,""))</f>
        <v>46586</v>
      </c>
      <c r="AM6" s="222"/>
      <c r="AN6" s="220">
        <f>IF($B$3="","",IF(MONTH($B$3+18)=MONTH($B$3),$B$3+18,""))</f>
        <v>46587</v>
      </c>
      <c r="AO6" s="222"/>
      <c r="AP6" s="220">
        <f>IF($B$3="","",IF(MONTH($B$3+19)=MONTH($B$3),$B$3+19,""))</f>
        <v>46588</v>
      </c>
      <c r="AQ6" s="222"/>
      <c r="AR6" s="220">
        <f>IF($B$3="","",IF(MONTH($B$3+20)=MONTH($B$3),$B$3+20,""))</f>
        <v>46589</v>
      </c>
      <c r="AS6" s="222"/>
      <c r="AT6" s="220">
        <f>IF($B$3="","",IF(MONTH($B$3+21)=MONTH($B$3),$B$3+21,""))</f>
        <v>46590</v>
      </c>
      <c r="AU6" s="222"/>
      <c r="AV6" s="220">
        <f>IF($B$3="","",IF(MONTH($B$3+22)=MONTH($B$3),$B$3+22,""))</f>
        <v>46591</v>
      </c>
      <c r="AW6" s="222"/>
      <c r="AX6" s="220">
        <f>IF($B$3="","",IF(MONTH($B$3+23)=MONTH($B$3),$B$3+23,""))</f>
        <v>46592</v>
      </c>
      <c r="AY6" s="222"/>
      <c r="AZ6" s="220">
        <f>IF($B$3="","",IF(MONTH($B$3+24)=MONTH($B$3),$B$3+24,""))</f>
        <v>46593</v>
      </c>
      <c r="BA6" s="222"/>
      <c r="BB6" s="220">
        <f>IF($B$3="","",IF(MONTH($B$3+25)=MONTH($B$3),$B$3+25,""))</f>
        <v>46594</v>
      </c>
      <c r="BC6" s="222"/>
      <c r="BD6" s="220">
        <f>IF($B$3="","",IF(MONTH($B$3+26)=MONTH($B$3),$B$3+26,""))</f>
        <v>46595</v>
      </c>
      <c r="BE6" s="222"/>
      <c r="BF6" s="220">
        <f>IF($B$3="","",IF(MONTH($B$3+27)=MONTH($B$3),$B$3+27,""))</f>
        <v>46596</v>
      </c>
      <c r="BG6" s="222"/>
      <c r="BH6" s="220">
        <f>IF($B$3="","",IF(MONTH($B$3+28)=MONTH($B$3),$B$3+28,""))</f>
        <v>46597</v>
      </c>
      <c r="BI6" s="222"/>
      <c r="BJ6" s="220">
        <f>IF($B$3="","",IF(MONTH($B$3+29)=MONTH($B$3),$B$3+29,""))</f>
        <v>46598</v>
      </c>
      <c r="BK6" s="222"/>
      <c r="BL6" s="220">
        <f>IF($B$3="","",IF(MONTH($B$3+30)=MONTH($B$3),$B$3+30,""))</f>
        <v>46599</v>
      </c>
      <c r="BM6" s="222"/>
      <c r="BN6" s="223" t="s">
        <v>115</v>
      </c>
      <c r="BO6" s="224"/>
      <c r="BP6" s="220">
        <f>IF($B$3="","",EOMONTH($B$3,0)+1)</f>
        <v>46600</v>
      </c>
      <c r="BQ6" s="221"/>
    </row>
    <row r="7" spans="1:76" x14ac:dyDescent="0.35">
      <c r="A7" s="38" t="s">
        <v>20</v>
      </c>
      <c r="B7" s="39"/>
      <c r="C7" s="40"/>
      <c r="D7" s="41"/>
      <c r="E7" s="165">
        <f>E59</f>
        <v>0</v>
      </c>
      <c r="F7" s="42"/>
      <c r="G7" s="165">
        <f>G59</f>
        <v>0</v>
      </c>
      <c r="H7" s="42"/>
      <c r="I7" s="165">
        <f>I59</f>
        <v>0</v>
      </c>
      <c r="J7" s="42"/>
      <c r="K7" s="165">
        <f>K59</f>
        <v>0</v>
      </c>
      <c r="L7" s="42"/>
      <c r="M7" s="165">
        <f>M59</f>
        <v>0</v>
      </c>
      <c r="N7" s="42"/>
      <c r="O7" s="165">
        <f>O59</f>
        <v>0</v>
      </c>
      <c r="P7" s="42"/>
      <c r="Q7" s="165">
        <f>Q59</f>
        <v>0</v>
      </c>
      <c r="R7" s="42"/>
      <c r="S7" s="165">
        <f>S59</f>
        <v>0</v>
      </c>
      <c r="T7" s="42"/>
      <c r="U7" s="165">
        <f>U59</f>
        <v>0</v>
      </c>
      <c r="V7" s="42"/>
      <c r="W7" s="165">
        <f>W59</f>
        <v>0</v>
      </c>
      <c r="X7" s="42"/>
      <c r="Y7" s="165">
        <f>Y59</f>
        <v>0</v>
      </c>
      <c r="Z7" s="42"/>
      <c r="AA7" s="165">
        <f>AA59</f>
        <v>0</v>
      </c>
      <c r="AB7" s="42"/>
      <c r="AC7" s="165">
        <f>AC59</f>
        <v>0</v>
      </c>
      <c r="AD7" s="42"/>
      <c r="AE7" s="165">
        <f>AE59</f>
        <v>0</v>
      </c>
      <c r="AF7" s="42"/>
      <c r="AG7" s="165">
        <f>AG59</f>
        <v>0</v>
      </c>
      <c r="AH7" s="42"/>
      <c r="AI7" s="165">
        <f>AI59</f>
        <v>0</v>
      </c>
      <c r="AJ7" s="42"/>
      <c r="AK7" s="165">
        <f>AK59</f>
        <v>0</v>
      </c>
      <c r="AL7" s="42"/>
      <c r="AM7" s="165">
        <f>AM59</f>
        <v>0</v>
      </c>
      <c r="AN7" s="42"/>
      <c r="AO7" s="165">
        <f>AO59</f>
        <v>0</v>
      </c>
      <c r="AP7" s="42"/>
      <c r="AQ7" s="165">
        <f>AQ59</f>
        <v>0</v>
      </c>
      <c r="AR7" s="42"/>
      <c r="AS7" s="165">
        <f>AS59</f>
        <v>0</v>
      </c>
      <c r="AT7" s="42"/>
      <c r="AU7" s="165">
        <f>AU59</f>
        <v>0</v>
      </c>
      <c r="AV7" s="42"/>
      <c r="AW7" s="165">
        <f>AW59</f>
        <v>0</v>
      </c>
      <c r="AX7" s="42"/>
      <c r="AY7" s="165">
        <f>AY59</f>
        <v>0</v>
      </c>
      <c r="AZ7" s="42"/>
      <c r="BA7" s="165">
        <f>BA59</f>
        <v>0</v>
      </c>
      <c r="BB7" s="42"/>
      <c r="BC7" s="165">
        <f>BC59</f>
        <v>0</v>
      </c>
      <c r="BD7" s="42"/>
      <c r="BE7" s="165">
        <f>BE59</f>
        <v>0</v>
      </c>
      <c r="BF7" s="42"/>
      <c r="BG7" s="165">
        <f>BG59</f>
        <v>0</v>
      </c>
      <c r="BH7" s="42"/>
      <c r="BI7" s="165">
        <f>BI59</f>
        <v>0</v>
      </c>
      <c r="BJ7" s="42"/>
      <c r="BK7" s="165">
        <f>BK59</f>
        <v>0</v>
      </c>
      <c r="BL7" s="42"/>
      <c r="BM7" s="165">
        <f>BM59</f>
        <v>0</v>
      </c>
      <c r="BN7" s="43"/>
      <c r="BO7" s="169">
        <f>IF(COUNT(E7,G7,I7,K7,M7,O7,Q7,S7,U7,W7,Y7,AA7,AC7,AE7,AG7,AI7,AK7,AM7,AO7,AQ7,AS7,AU7,AW7,AY7,BA7,BC7,BE7,BG7,BI7,BK7,BM7)=0,"",SUM(E7,G7,I7,K7,M7,O7,Q7,S7,U7,W7,Y7,AA7,AC7,AE7,AG7,AI7,AK7,AM7,AO7,AQ7,AS7,AU7,AW7,AY7,BA7,BC7,BE7,BG7,BI7,BK7,BM7))</f>
        <v>0</v>
      </c>
      <c r="BP7" s="42"/>
      <c r="BQ7" s="171">
        <f>BQ59</f>
        <v>0</v>
      </c>
    </row>
    <row r="8" spans="1:76" x14ac:dyDescent="0.35">
      <c r="A8" s="38" t="s">
        <v>49</v>
      </c>
      <c r="B8" s="39"/>
      <c r="C8" s="40"/>
      <c r="D8" s="41"/>
      <c r="E8" s="165">
        <f>E58</f>
        <v>0</v>
      </c>
      <c r="F8" s="42"/>
      <c r="G8" s="165">
        <f>G58</f>
        <v>0</v>
      </c>
      <c r="H8" s="42"/>
      <c r="I8" s="165">
        <f>I58</f>
        <v>0</v>
      </c>
      <c r="J8" s="42"/>
      <c r="K8" s="165">
        <f>K58</f>
        <v>0</v>
      </c>
      <c r="L8" s="42"/>
      <c r="M8" s="165">
        <f>M58</f>
        <v>0</v>
      </c>
      <c r="N8" s="42"/>
      <c r="O8" s="165">
        <f>O58</f>
        <v>0</v>
      </c>
      <c r="P8" s="42"/>
      <c r="Q8" s="165">
        <f>Q58</f>
        <v>0</v>
      </c>
      <c r="R8" s="42"/>
      <c r="S8" s="165">
        <f>S58</f>
        <v>0</v>
      </c>
      <c r="T8" s="42"/>
      <c r="U8" s="165">
        <f>U58</f>
        <v>0</v>
      </c>
      <c r="V8" s="42"/>
      <c r="W8" s="165">
        <f>W58</f>
        <v>0</v>
      </c>
      <c r="X8" s="42"/>
      <c r="Y8" s="165">
        <f>Y58</f>
        <v>0</v>
      </c>
      <c r="Z8" s="42"/>
      <c r="AA8" s="165">
        <f>AA58</f>
        <v>0</v>
      </c>
      <c r="AB8" s="42"/>
      <c r="AC8" s="165">
        <f>AC58</f>
        <v>0</v>
      </c>
      <c r="AD8" s="42"/>
      <c r="AE8" s="165">
        <f>AE58</f>
        <v>0</v>
      </c>
      <c r="AF8" s="42"/>
      <c r="AG8" s="165">
        <f>AG58</f>
        <v>0</v>
      </c>
      <c r="AH8" s="42"/>
      <c r="AI8" s="165">
        <f>AI58</f>
        <v>0</v>
      </c>
      <c r="AJ8" s="42"/>
      <c r="AK8" s="165">
        <f>AK58</f>
        <v>0</v>
      </c>
      <c r="AL8" s="42"/>
      <c r="AM8" s="165">
        <f>AM58</f>
        <v>0</v>
      </c>
      <c r="AN8" s="42"/>
      <c r="AO8" s="165">
        <f>AO58</f>
        <v>0</v>
      </c>
      <c r="AP8" s="42"/>
      <c r="AQ8" s="165">
        <f>AQ58</f>
        <v>0</v>
      </c>
      <c r="AR8" s="42"/>
      <c r="AS8" s="165">
        <f>AS58</f>
        <v>0</v>
      </c>
      <c r="AT8" s="42"/>
      <c r="AU8" s="168">
        <f>AU58</f>
        <v>0</v>
      </c>
      <c r="AV8" s="42"/>
      <c r="AW8" s="165">
        <f>AW58</f>
        <v>0</v>
      </c>
      <c r="AX8" s="42"/>
      <c r="AY8" s="165">
        <f>AY58</f>
        <v>0</v>
      </c>
      <c r="AZ8" s="42"/>
      <c r="BA8" s="165">
        <f>BA58</f>
        <v>0</v>
      </c>
      <c r="BB8" s="42"/>
      <c r="BC8" s="165">
        <f>BC58</f>
        <v>0</v>
      </c>
      <c r="BD8" s="42"/>
      <c r="BE8" s="165">
        <f>BE58</f>
        <v>0</v>
      </c>
      <c r="BF8" s="42"/>
      <c r="BG8" s="165">
        <f>BG58</f>
        <v>0</v>
      </c>
      <c r="BH8" s="42"/>
      <c r="BI8" s="165">
        <f>BI58</f>
        <v>0</v>
      </c>
      <c r="BJ8" s="42"/>
      <c r="BK8" s="165">
        <f>BK58</f>
        <v>0</v>
      </c>
      <c r="BL8" s="42"/>
      <c r="BM8" s="165">
        <f>BM58</f>
        <v>0</v>
      </c>
      <c r="BN8" s="43"/>
      <c r="BO8" s="169">
        <f>IF(COUNT(E8,G8,I8,K8,M8,O8,Q8,S8,U8,W8,Y8,AA8,AC8,AE8,AG8,AI8,AK8,AM8,AO8,AQ8,AS8,AU8,AW8,AY8,BA8,BC8,BE8,BG8,BI8,BK8,BM8)=0,"",SUM(E8,G8,I8,K8,M8,O8,Q8,S8,U8,W8,Y8,AA8,AC8,AE8,AG8,AI8,AK8,AM8,AO8,AQ8,AS8,AU8,AW8,AY8,BA8,BC8,BE8,BG8,BI8,BK8,BM8))</f>
        <v>0</v>
      </c>
      <c r="BP8" s="42"/>
      <c r="BQ8" s="171">
        <f>BQ58</f>
        <v>0</v>
      </c>
    </row>
    <row r="9" spans="1:76" x14ac:dyDescent="0.35">
      <c r="A9" s="38" t="s">
        <v>50</v>
      </c>
      <c r="B9" s="39"/>
      <c r="C9" s="40"/>
      <c r="D9" s="41"/>
      <c r="E9" s="165" t="e">
        <f>E61</f>
        <v>#VALUE!</v>
      </c>
      <c r="F9" s="42"/>
      <c r="G9" s="165">
        <f>G61</f>
        <v>0</v>
      </c>
      <c r="H9" s="42"/>
      <c r="I9" s="165">
        <f>I61</f>
        <v>0</v>
      </c>
      <c r="J9" s="42"/>
      <c r="K9" s="165">
        <f>K61</f>
        <v>0</v>
      </c>
      <c r="L9" s="42"/>
      <c r="M9" s="165">
        <f>M61</f>
        <v>0</v>
      </c>
      <c r="N9" s="42"/>
      <c r="O9" s="165">
        <f>O61</f>
        <v>0</v>
      </c>
      <c r="P9" s="42"/>
      <c r="Q9" s="165">
        <f>Q61</f>
        <v>0</v>
      </c>
      <c r="R9" s="42"/>
      <c r="S9" s="165">
        <f>S61</f>
        <v>0</v>
      </c>
      <c r="T9" s="42"/>
      <c r="U9" s="165">
        <f>U61</f>
        <v>0</v>
      </c>
      <c r="V9" s="42"/>
      <c r="W9" s="165">
        <f>W61</f>
        <v>0</v>
      </c>
      <c r="X9" s="42"/>
      <c r="Y9" s="165">
        <f>Y61</f>
        <v>0</v>
      </c>
      <c r="Z9" s="42"/>
      <c r="AA9" s="165">
        <f>AA61</f>
        <v>0</v>
      </c>
      <c r="AB9" s="42"/>
      <c r="AC9" s="165">
        <f>AC61</f>
        <v>0</v>
      </c>
      <c r="AD9" s="42"/>
      <c r="AE9" s="165">
        <f>AE61</f>
        <v>0</v>
      </c>
      <c r="AF9" s="42"/>
      <c r="AG9" s="165">
        <f>AG61</f>
        <v>0</v>
      </c>
      <c r="AH9" s="42"/>
      <c r="AI9" s="165">
        <f>AI61</f>
        <v>0</v>
      </c>
      <c r="AJ9" s="42"/>
      <c r="AK9" s="165">
        <f>AK61</f>
        <v>0</v>
      </c>
      <c r="AL9" s="42"/>
      <c r="AM9" s="165">
        <f>AM61</f>
        <v>0</v>
      </c>
      <c r="AN9" s="42"/>
      <c r="AO9" s="165">
        <f>AO61</f>
        <v>0</v>
      </c>
      <c r="AP9" s="42"/>
      <c r="AQ9" s="165">
        <f>AQ61</f>
        <v>0</v>
      </c>
      <c r="AR9" s="42"/>
      <c r="AS9" s="165">
        <f>AS61</f>
        <v>0</v>
      </c>
      <c r="AT9" s="42"/>
      <c r="AU9" s="165">
        <f>AU61</f>
        <v>0</v>
      </c>
      <c r="AV9" s="42"/>
      <c r="AW9" s="165">
        <f>AW61</f>
        <v>0</v>
      </c>
      <c r="AX9" s="42"/>
      <c r="AY9" s="165">
        <f>AY61</f>
        <v>0</v>
      </c>
      <c r="AZ9" s="42"/>
      <c r="BA9" s="165">
        <f>BA61</f>
        <v>0</v>
      </c>
      <c r="BB9" s="42"/>
      <c r="BC9" s="165">
        <f>BC61</f>
        <v>0</v>
      </c>
      <c r="BD9" s="42"/>
      <c r="BE9" s="165">
        <f>BE61</f>
        <v>0</v>
      </c>
      <c r="BF9" s="42"/>
      <c r="BG9" s="165">
        <f>BG61</f>
        <v>0</v>
      </c>
      <c r="BH9" s="42"/>
      <c r="BI9" s="165">
        <f>BI61</f>
        <v>0</v>
      </c>
      <c r="BJ9" s="42"/>
      <c r="BK9" s="165">
        <f>BK61</f>
        <v>0</v>
      </c>
      <c r="BL9" s="42"/>
      <c r="BM9" s="165">
        <f>BM61</f>
        <v>0</v>
      </c>
      <c r="BN9" s="43"/>
      <c r="BO9" s="169" t="e">
        <f>IF(COUNT(E9,G9,I9,K9,M9,O9,Q9,S9,U9,W9,Y9,AA9,AC9,AE9,AG9,AI9,AK9,AM9,AO9,AQ9,AS9,AU9,AW9,AY9,BA9,BC9,BE9,BG9,BI9,BK9,BM9)=0,"",SUM(E9,G9,I9,K9,M9,O9,Q9,S9,U9,W9,Y9,AA9,AC9,AE9,AG9,AI9,AK9,AM9,AO9,AQ9,AS9,AU9,AW9,AY9,BA9,BC9,BE9,BG9,BI9,BK9,BM9))</f>
        <v>#VALUE!</v>
      </c>
      <c r="BP9" s="42"/>
      <c r="BQ9" s="171">
        <f>BQ61</f>
        <v>0</v>
      </c>
    </row>
    <row r="10" spans="1:76" s="2" customFormat="1" x14ac:dyDescent="0.35">
      <c r="A10" s="44" t="s">
        <v>47</v>
      </c>
      <c r="B10" s="45"/>
      <c r="C10" s="46">
        <v>1413.73</v>
      </c>
      <c r="D10" s="47"/>
      <c r="E10" s="166" t="e">
        <f>E73</f>
        <v>#VALUE!</v>
      </c>
      <c r="F10" s="49"/>
      <c r="G10" s="166">
        <f t="shared" ref="G10:BQ10" si="0">G73</f>
        <v>0</v>
      </c>
      <c r="H10" s="49"/>
      <c r="I10" s="166">
        <f t="shared" si="0"/>
        <v>0</v>
      </c>
      <c r="J10" s="49"/>
      <c r="K10" s="166">
        <f t="shared" si="0"/>
        <v>0</v>
      </c>
      <c r="L10" s="49"/>
      <c r="M10" s="166">
        <f t="shared" si="0"/>
        <v>0</v>
      </c>
      <c r="N10" s="49"/>
      <c r="O10" s="166">
        <f t="shared" si="0"/>
        <v>0</v>
      </c>
      <c r="P10" s="49"/>
      <c r="Q10" s="166">
        <f t="shared" si="0"/>
        <v>0</v>
      </c>
      <c r="R10" s="49"/>
      <c r="S10" s="166">
        <f t="shared" si="0"/>
        <v>0</v>
      </c>
      <c r="T10" s="49"/>
      <c r="U10" s="166">
        <f t="shared" si="0"/>
        <v>0</v>
      </c>
      <c r="V10" s="49"/>
      <c r="W10" s="166">
        <f t="shared" si="0"/>
        <v>0</v>
      </c>
      <c r="X10" s="49"/>
      <c r="Y10" s="166">
        <f t="shared" si="0"/>
        <v>0</v>
      </c>
      <c r="Z10" s="49"/>
      <c r="AA10" s="166">
        <f t="shared" si="0"/>
        <v>0</v>
      </c>
      <c r="AB10" s="49"/>
      <c r="AC10" s="166">
        <f t="shared" si="0"/>
        <v>0</v>
      </c>
      <c r="AD10" s="49"/>
      <c r="AE10" s="166">
        <f t="shared" si="0"/>
        <v>0</v>
      </c>
      <c r="AF10" s="49"/>
      <c r="AG10" s="166">
        <f t="shared" si="0"/>
        <v>0</v>
      </c>
      <c r="AH10" s="49"/>
      <c r="AI10" s="166">
        <f t="shared" si="0"/>
        <v>0</v>
      </c>
      <c r="AJ10" s="49"/>
      <c r="AK10" s="166">
        <f t="shared" si="0"/>
        <v>0</v>
      </c>
      <c r="AL10" s="49"/>
      <c r="AM10" s="166">
        <f t="shared" si="0"/>
        <v>0</v>
      </c>
      <c r="AN10" s="49"/>
      <c r="AO10" s="166">
        <f t="shared" si="0"/>
        <v>0</v>
      </c>
      <c r="AP10" s="49"/>
      <c r="AQ10" s="166">
        <f t="shared" si="0"/>
        <v>0</v>
      </c>
      <c r="AR10" s="49"/>
      <c r="AS10" s="166">
        <f t="shared" si="0"/>
        <v>0</v>
      </c>
      <c r="AT10" s="49"/>
      <c r="AU10" s="166">
        <f t="shared" si="0"/>
        <v>0</v>
      </c>
      <c r="AV10" s="49"/>
      <c r="AW10" s="166">
        <f t="shared" si="0"/>
        <v>0</v>
      </c>
      <c r="AX10" s="49"/>
      <c r="AY10" s="166">
        <f t="shared" si="0"/>
        <v>0</v>
      </c>
      <c r="AZ10" s="49"/>
      <c r="BA10" s="166">
        <f t="shared" si="0"/>
        <v>0</v>
      </c>
      <c r="BB10" s="49"/>
      <c r="BC10" s="166">
        <f t="shared" si="0"/>
        <v>0</v>
      </c>
      <c r="BD10" s="49"/>
      <c r="BE10" s="166">
        <f t="shared" si="0"/>
        <v>0</v>
      </c>
      <c r="BF10" s="49"/>
      <c r="BG10" s="166">
        <f t="shared" si="0"/>
        <v>0</v>
      </c>
      <c r="BH10" s="49"/>
      <c r="BI10" s="166">
        <f t="shared" si="0"/>
        <v>0</v>
      </c>
      <c r="BJ10" s="49"/>
      <c r="BK10" s="166">
        <f t="shared" si="0"/>
        <v>0</v>
      </c>
      <c r="BL10" s="49"/>
      <c r="BM10" s="166">
        <f t="shared" si="0"/>
        <v>0</v>
      </c>
      <c r="BN10" s="50"/>
      <c r="BO10" s="170" t="e">
        <f>IF(COUNT(E10,G10,I10,K10,M10,O10,Q10,S10,U10,W10,Y10,AA10,AC10,AE10,AG10,AI10,AK10,AM10,AO10,AQ10,AS10,AU10,AW10,AY10,BA10,BC10,BE10,BG10,BI10,BK10,BM10)=0,"",SUM(E10,G10,I10,K10,M10,O10,Q10,S10,U10,W10,Y10,AA10,AC10,AE10,AG10,AI10,AK10,AM10,AO10,AQ10,AS10,AU10,AW10,AY10,BA10,BC10,BE10,BG10,BI10,BK10,BM10))</f>
        <v>#VALUE!</v>
      </c>
      <c r="BP10" s="49"/>
      <c r="BQ10" s="172">
        <f t="shared" si="0"/>
        <v>0</v>
      </c>
      <c r="BR10"/>
      <c r="BS10"/>
      <c r="BT10"/>
      <c r="BU10"/>
      <c r="BV10"/>
      <c r="BW10"/>
      <c r="BX10"/>
    </row>
    <row r="11" spans="1:76" s="2" customFormat="1" x14ac:dyDescent="0.35">
      <c r="A11" s="44" t="s">
        <v>48</v>
      </c>
      <c r="B11" s="45"/>
      <c r="C11" s="46">
        <v>5252.8</v>
      </c>
      <c r="D11" s="47"/>
      <c r="E11" s="166">
        <f>E75+E56</f>
        <v>0</v>
      </c>
      <c r="F11" s="49"/>
      <c r="G11" s="166">
        <f>G75+G56</f>
        <v>0</v>
      </c>
      <c r="H11" s="49"/>
      <c r="I11" s="166">
        <f>I75+I56</f>
        <v>0</v>
      </c>
      <c r="J11" s="49"/>
      <c r="K11" s="166">
        <f>K75+K56</f>
        <v>0</v>
      </c>
      <c r="L11" s="49"/>
      <c r="M11" s="166">
        <f>M75+M56</f>
        <v>0</v>
      </c>
      <c r="N11" s="49"/>
      <c r="O11" s="166">
        <f>O75+O56</f>
        <v>0</v>
      </c>
      <c r="P11" s="49"/>
      <c r="Q11" s="166">
        <f>Q75+Q56</f>
        <v>0</v>
      </c>
      <c r="R11" s="49"/>
      <c r="S11" s="166">
        <f>S75+S56</f>
        <v>0</v>
      </c>
      <c r="T11" s="49"/>
      <c r="U11" s="166">
        <f>U75+U56</f>
        <v>0</v>
      </c>
      <c r="V11" s="49"/>
      <c r="W11" s="166">
        <f>W75+W56</f>
        <v>0</v>
      </c>
      <c r="X11" s="167">
        <f t="shared" ref="X11:AL11" si="1">X75</f>
        <v>0</v>
      </c>
      <c r="Y11" s="166">
        <f>Y75+Y56</f>
        <v>0</v>
      </c>
      <c r="Z11" s="167">
        <f t="shared" si="1"/>
        <v>0</v>
      </c>
      <c r="AA11" s="166">
        <f>AA75+AA56</f>
        <v>0</v>
      </c>
      <c r="AB11" s="167">
        <f t="shared" si="1"/>
        <v>0</v>
      </c>
      <c r="AC11" s="166">
        <f>AC75+AC56</f>
        <v>0</v>
      </c>
      <c r="AD11" s="167">
        <f t="shared" si="1"/>
        <v>0</v>
      </c>
      <c r="AE11" s="166">
        <f>AE75+AE56</f>
        <v>0</v>
      </c>
      <c r="AF11" s="167">
        <f t="shared" si="1"/>
        <v>0</v>
      </c>
      <c r="AG11" s="166">
        <f>AG75+AG56</f>
        <v>0</v>
      </c>
      <c r="AH11" s="167">
        <f t="shared" si="1"/>
        <v>0</v>
      </c>
      <c r="AI11" s="166">
        <f>AI75+AI56</f>
        <v>0</v>
      </c>
      <c r="AJ11" s="167">
        <f t="shared" si="1"/>
        <v>0</v>
      </c>
      <c r="AK11" s="166">
        <f>AK75+AK56</f>
        <v>0</v>
      </c>
      <c r="AL11" s="167">
        <f t="shared" si="1"/>
        <v>0</v>
      </c>
      <c r="AM11" s="166">
        <f>AM75+AM56</f>
        <v>0</v>
      </c>
      <c r="AN11" s="49"/>
      <c r="AO11" s="166">
        <f>AO75+AO56</f>
        <v>0</v>
      </c>
      <c r="AP11" s="49"/>
      <c r="AQ11" s="166">
        <f>AQ75+AQ56</f>
        <v>0</v>
      </c>
      <c r="AR11" s="49"/>
      <c r="AS11" s="166">
        <f>AS75+AS56</f>
        <v>0</v>
      </c>
      <c r="AT11" s="49"/>
      <c r="AU11" s="166">
        <f>AU75+AU56</f>
        <v>0</v>
      </c>
      <c r="AV11" s="49"/>
      <c r="AW11" s="166">
        <f>AW75+AW56</f>
        <v>0</v>
      </c>
      <c r="AX11" s="49"/>
      <c r="AY11" s="166">
        <f>AY75+AY56</f>
        <v>0</v>
      </c>
      <c r="AZ11" s="49"/>
      <c r="BA11" s="166">
        <f>BA75+BA56</f>
        <v>0</v>
      </c>
      <c r="BB11" s="49"/>
      <c r="BC11" s="166">
        <f>BC75+BC56</f>
        <v>0</v>
      </c>
      <c r="BD11" s="49"/>
      <c r="BE11" s="166">
        <f>BE75+BE56</f>
        <v>0</v>
      </c>
      <c r="BF11" s="49"/>
      <c r="BG11" s="166">
        <f>BG75+BG56</f>
        <v>0</v>
      </c>
      <c r="BH11" s="49"/>
      <c r="BI11" s="166">
        <f>BI75+BI56</f>
        <v>0</v>
      </c>
      <c r="BJ11" s="49"/>
      <c r="BK11" s="166">
        <f>BK75+BK56</f>
        <v>0</v>
      </c>
      <c r="BL11" s="49"/>
      <c r="BM11" s="166">
        <f>BM75+BM56</f>
        <v>0</v>
      </c>
      <c r="BN11" s="50"/>
      <c r="BO11" s="170">
        <f>IF(COUNT(E11,G11,I11,K11,M11,O11,Q11,S11,U11,W11,Y11,AA11,AC11,AE11,AG11,AI11,AK11,AM11,AO11,AQ11,AS11,AU11,AW11,AY11,BA11,BC11,BE11,BG11,BI11,BK11,BM11)=0,"",SUM(E11,G11,I11,K11,M11,O11,Q11,S11,U11,W11,Y11,AA11,AC11,AE11,AG11,AI11,AK11,AM11,AO11,AQ11,AS11,AU11,AW11,AY11,BA11,BC11,BE11,BG11,BI11,BK11,BM11))</f>
        <v>0</v>
      </c>
      <c r="BP11" s="49"/>
      <c r="BQ11" s="172" t="e">
        <f>BQ75+BQ56</f>
        <v>#VALUE!</v>
      </c>
      <c r="BR11"/>
      <c r="BS11"/>
      <c r="BT11"/>
      <c r="BU11"/>
      <c r="BV11"/>
      <c r="BW11"/>
      <c r="BX11"/>
    </row>
    <row r="12" spans="1:76" ht="13.5" customHeight="1" x14ac:dyDescent="0.35">
      <c r="A12" s="53"/>
      <c r="B12" s="54"/>
      <c r="C12" s="55"/>
      <c r="D12" s="219"/>
      <c r="E12" s="217"/>
      <c r="F12" s="216"/>
      <c r="G12" s="217"/>
      <c r="H12" s="216"/>
      <c r="I12" s="217"/>
      <c r="J12" s="216"/>
      <c r="K12" s="217"/>
      <c r="L12" s="216"/>
      <c r="M12" s="217"/>
      <c r="N12" s="216"/>
      <c r="O12" s="217"/>
      <c r="P12" s="216"/>
      <c r="Q12" s="217"/>
      <c r="R12" s="216"/>
      <c r="S12" s="217"/>
      <c r="T12" s="216"/>
      <c r="U12" s="217"/>
      <c r="V12" s="216"/>
      <c r="W12" s="217"/>
      <c r="X12" s="216"/>
      <c r="Y12" s="217"/>
      <c r="Z12" s="216"/>
      <c r="AA12" s="217"/>
      <c r="AB12" s="216"/>
      <c r="AC12" s="217"/>
      <c r="AD12" s="216"/>
      <c r="AE12" s="217"/>
      <c r="AF12" s="216"/>
      <c r="AG12" s="217"/>
      <c r="AH12" s="216"/>
      <c r="AI12" s="217"/>
      <c r="AJ12" s="216"/>
      <c r="AK12" s="217"/>
      <c r="AL12" s="216"/>
      <c r="AM12" s="217"/>
      <c r="AN12" s="216"/>
      <c r="AO12" s="217"/>
      <c r="AP12" s="216"/>
      <c r="AQ12" s="217"/>
      <c r="AR12" s="216"/>
      <c r="AS12" s="217"/>
      <c r="AT12" s="216"/>
      <c r="AU12" s="217"/>
      <c r="AV12" s="216"/>
      <c r="AW12" s="217"/>
      <c r="AX12" s="216"/>
      <c r="AY12" s="217"/>
      <c r="AZ12" s="216"/>
      <c r="BA12" s="217"/>
      <c r="BB12" s="216"/>
      <c r="BC12" s="217"/>
      <c r="BD12" s="216"/>
      <c r="BE12" s="217"/>
      <c r="BF12" s="216"/>
      <c r="BG12" s="217"/>
      <c r="BH12" s="216"/>
      <c r="BI12" s="217"/>
      <c r="BJ12" s="216"/>
      <c r="BK12" s="217"/>
      <c r="BL12" s="216"/>
      <c r="BM12" s="217"/>
      <c r="BN12" s="56"/>
      <c r="BO12" s="57"/>
      <c r="BP12" s="216"/>
      <c r="BQ12" s="218"/>
    </row>
    <row r="13" spans="1:76" x14ac:dyDescent="0.35">
      <c r="A13" s="58" t="s">
        <v>39</v>
      </c>
      <c r="B13" s="59"/>
      <c r="C13" s="205" t="str">
        <f>IF('June 2027 Log'!BK13="","",'June 2027 Log'!BK13)</f>
        <v/>
      </c>
      <c r="D13" s="61" t="s">
        <v>52</v>
      </c>
      <c r="E13" s="62"/>
      <c r="F13" s="63" t="s">
        <v>52</v>
      </c>
      <c r="G13" s="62"/>
      <c r="H13" s="63" t="s">
        <v>52</v>
      </c>
      <c r="I13" s="62"/>
      <c r="J13" s="63" t="s">
        <v>52</v>
      </c>
      <c r="K13" s="62"/>
      <c r="L13" s="63" t="s">
        <v>52</v>
      </c>
      <c r="M13" s="62"/>
      <c r="N13" s="63" t="s">
        <v>52</v>
      </c>
      <c r="O13" s="62"/>
      <c r="P13" s="63" t="s">
        <v>52</v>
      </c>
      <c r="Q13" s="62"/>
      <c r="R13" s="63" t="s">
        <v>52</v>
      </c>
      <c r="S13" s="62"/>
      <c r="T13" s="63" t="s">
        <v>52</v>
      </c>
      <c r="U13" s="62"/>
      <c r="V13" s="63" t="s">
        <v>52</v>
      </c>
      <c r="W13" s="62"/>
      <c r="X13" s="63" t="s">
        <v>52</v>
      </c>
      <c r="Y13" s="62"/>
      <c r="Z13" s="63" t="s">
        <v>52</v>
      </c>
      <c r="AA13" s="62"/>
      <c r="AB13" s="63" t="s">
        <v>52</v>
      </c>
      <c r="AC13" s="62"/>
      <c r="AD13" s="63" t="s">
        <v>52</v>
      </c>
      <c r="AE13" s="62"/>
      <c r="AF13" s="63" t="s">
        <v>52</v>
      </c>
      <c r="AG13" s="62"/>
      <c r="AH13" s="63" t="s">
        <v>52</v>
      </c>
      <c r="AI13" s="62"/>
      <c r="AJ13" s="63" t="s">
        <v>52</v>
      </c>
      <c r="AK13" s="62"/>
      <c r="AL13" s="63" t="s">
        <v>52</v>
      </c>
      <c r="AM13" s="62"/>
      <c r="AN13" s="63" t="s">
        <v>52</v>
      </c>
      <c r="AO13" s="62"/>
      <c r="AP13" s="63" t="s">
        <v>52</v>
      </c>
      <c r="AQ13" s="62"/>
      <c r="AR13" s="63" t="s">
        <v>52</v>
      </c>
      <c r="AS13" s="62"/>
      <c r="AT13" s="63" t="s">
        <v>52</v>
      </c>
      <c r="AU13" s="62"/>
      <c r="AV13" s="63" t="s">
        <v>52</v>
      </c>
      <c r="AW13" s="62"/>
      <c r="AX13" s="63" t="s">
        <v>52</v>
      </c>
      <c r="AY13" s="62"/>
      <c r="AZ13" s="63" t="s">
        <v>52</v>
      </c>
      <c r="BA13" s="62"/>
      <c r="BB13" s="63" t="s">
        <v>52</v>
      </c>
      <c r="BC13" s="62"/>
      <c r="BD13" s="63" t="s">
        <v>52</v>
      </c>
      <c r="BE13" s="62"/>
      <c r="BF13" s="63" t="s">
        <v>52</v>
      </c>
      <c r="BG13" s="62"/>
      <c r="BH13" s="63" t="s">
        <v>52</v>
      </c>
      <c r="BI13" s="62"/>
      <c r="BJ13" s="63" t="s">
        <v>52</v>
      </c>
      <c r="BK13" s="62"/>
      <c r="BL13" s="63" t="s">
        <v>52</v>
      </c>
      <c r="BM13" s="62"/>
      <c r="BN13" s="64"/>
      <c r="BO13" s="65"/>
      <c r="BP13" s="63" t="s">
        <v>52</v>
      </c>
      <c r="BQ13" s="207" t="str">
        <f>IF(BM13="","",BM13)</f>
        <v/>
      </c>
    </row>
    <row r="14" spans="1:76" x14ac:dyDescent="0.35">
      <c r="A14" s="53" t="s">
        <v>40</v>
      </c>
      <c r="B14" s="59"/>
      <c r="C14" s="206" t="str">
        <f>IF('June 2027 Log'!BK14="","",'June 2027 Log'!BK14)</f>
        <v/>
      </c>
      <c r="D14" s="68" t="s">
        <v>40</v>
      </c>
      <c r="E14" s="69"/>
      <c r="F14" s="70" t="s">
        <v>40</v>
      </c>
      <c r="G14" s="69"/>
      <c r="H14" s="70" t="s">
        <v>40</v>
      </c>
      <c r="I14" s="69"/>
      <c r="J14" s="70" t="s">
        <v>40</v>
      </c>
      <c r="K14" s="69"/>
      <c r="L14" s="70" t="s">
        <v>40</v>
      </c>
      <c r="M14" s="69"/>
      <c r="N14" s="70" t="s">
        <v>40</v>
      </c>
      <c r="O14" s="69"/>
      <c r="P14" s="70" t="s">
        <v>40</v>
      </c>
      <c r="Q14" s="69"/>
      <c r="R14" s="70" t="s">
        <v>40</v>
      </c>
      <c r="S14" s="69"/>
      <c r="T14" s="70" t="s">
        <v>40</v>
      </c>
      <c r="U14" s="69"/>
      <c r="V14" s="70" t="s">
        <v>40</v>
      </c>
      <c r="W14" s="69"/>
      <c r="X14" s="70" t="s">
        <v>40</v>
      </c>
      <c r="Y14" s="69"/>
      <c r="Z14" s="70" t="s">
        <v>40</v>
      </c>
      <c r="AA14" s="69"/>
      <c r="AB14" s="70" t="s">
        <v>40</v>
      </c>
      <c r="AC14" s="69"/>
      <c r="AD14" s="70" t="s">
        <v>40</v>
      </c>
      <c r="AE14" s="69"/>
      <c r="AF14" s="70" t="s">
        <v>40</v>
      </c>
      <c r="AG14" s="69"/>
      <c r="AH14" s="70" t="s">
        <v>40</v>
      </c>
      <c r="AI14" s="69"/>
      <c r="AJ14" s="70" t="s">
        <v>40</v>
      </c>
      <c r="AK14" s="69"/>
      <c r="AL14" s="70" t="s">
        <v>40</v>
      </c>
      <c r="AM14" s="69"/>
      <c r="AN14" s="70" t="s">
        <v>40</v>
      </c>
      <c r="AO14" s="69"/>
      <c r="AP14" s="70" t="s">
        <v>40</v>
      </c>
      <c r="AQ14" s="69"/>
      <c r="AR14" s="70" t="s">
        <v>40</v>
      </c>
      <c r="AS14" s="69"/>
      <c r="AT14" s="70" t="s">
        <v>40</v>
      </c>
      <c r="AU14" s="69"/>
      <c r="AV14" s="70" t="s">
        <v>40</v>
      </c>
      <c r="AW14" s="69"/>
      <c r="AX14" s="70" t="s">
        <v>40</v>
      </c>
      <c r="AY14" s="69"/>
      <c r="AZ14" s="70" t="s">
        <v>40</v>
      </c>
      <c r="BA14" s="69"/>
      <c r="BB14" s="70" t="s">
        <v>40</v>
      </c>
      <c r="BC14" s="69"/>
      <c r="BD14" s="70" t="s">
        <v>40</v>
      </c>
      <c r="BE14" s="69"/>
      <c r="BF14" s="70" t="s">
        <v>40</v>
      </c>
      <c r="BG14" s="69"/>
      <c r="BH14" s="70" t="s">
        <v>40</v>
      </c>
      <c r="BI14" s="69"/>
      <c r="BJ14" s="70" t="s">
        <v>40</v>
      </c>
      <c r="BK14" s="69"/>
      <c r="BL14" s="70" t="s">
        <v>40</v>
      </c>
      <c r="BM14" s="69"/>
      <c r="BN14" s="71"/>
      <c r="BO14" s="72"/>
      <c r="BP14" s="70" t="s">
        <v>40</v>
      </c>
      <c r="BQ14" s="208" t="str">
        <f>IF(BM14="","",BM14)</f>
        <v/>
      </c>
    </row>
    <row r="15" spans="1:76" x14ac:dyDescent="0.35">
      <c r="A15" s="53" t="s">
        <v>38</v>
      </c>
      <c r="B15" s="54"/>
      <c r="C15" s="206" t="str">
        <f>IF('June 2027 Log'!BK15="","",'June 2027 Log'!BK15)</f>
        <v/>
      </c>
      <c r="D15" s="68" t="s">
        <v>53</v>
      </c>
      <c r="E15" s="69"/>
      <c r="F15" s="70" t="s">
        <v>53</v>
      </c>
      <c r="G15" s="69"/>
      <c r="H15" s="70" t="s">
        <v>53</v>
      </c>
      <c r="I15" s="69"/>
      <c r="J15" s="70" t="s">
        <v>53</v>
      </c>
      <c r="K15" s="69"/>
      <c r="L15" s="70" t="s">
        <v>53</v>
      </c>
      <c r="M15" s="69"/>
      <c r="N15" s="70" t="s">
        <v>53</v>
      </c>
      <c r="O15" s="69"/>
      <c r="P15" s="70" t="s">
        <v>53</v>
      </c>
      <c r="Q15" s="69"/>
      <c r="R15" s="70" t="s">
        <v>53</v>
      </c>
      <c r="S15" s="69"/>
      <c r="T15" s="70" t="s">
        <v>53</v>
      </c>
      <c r="U15" s="69"/>
      <c r="V15" s="70" t="s">
        <v>53</v>
      </c>
      <c r="W15" s="69"/>
      <c r="X15" s="70" t="s">
        <v>53</v>
      </c>
      <c r="Y15" s="69"/>
      <c r="Z15" s="70" t="s">
        <v>53</v>
      </c>
      <c r="AA15" s="69"/>
      <c r="AB15" s="70" t="s">
        <v>53</v>
      </c>
      <c r="AC15" s="69"/>
      <c r="AD15" s="70" t="s">
        <v>53</v>
      </c>
      <c r="AE15" s="69"/>
      <c r="AF15" s="70" t="s">
        <v>53</v>
      </c>
      <c r="AG15" s="69"/>
      <c r="AH15" s="70" t="s">
        <v>53</v>
      </c>
      <c r="AI15" s="69"/>
      <c r="AJ15" s="70" t="s">
        <v>53</v>
      </c>
      <c r="AK15" s="69"/>
      <c r="AL15" s="70" t="s">
        <v>53</v>
      </c>
      <c r="AM15" s="69"/>
      <c r="AN15" s="70" t="s">
        <v>53</v>
      </c>
      <c r="AO15" s="69"/>
      <c r="AP15" s="70" t="s">
        <v>53</v>
      </c>
      <c r="AQ15" s="69"/>
      <c r="AR15" s="70" t="s">
        <v>53</v>
      </c>
      <c r="AS15" s="69"/>
      <c r="AT15" s="70" t="s">
        <v>53</v>
      </c>
      <c r="AU15" s="69"/>
      <c r="AV15" s="70" t="s">
        <v>53</v>
      </c>
      <c r="AW15" s="69"/>
      <c r="AX15" s="70" t="s">
        <v>53</v>
      </c>
      <c r="AY15" s="69"/>
      <c r="AZ15" s="70" t="s">
        <v>53</v>
      </c>
      <c r="BA15" s="69"/>
      <c r="BB15" s="70" t="s">
        <v>53</v>
      </c>
      <c r="BC15" s="69"/>
      <c r="BD15" s="70" t="s">
        <v>53</v>
      </c>
      <c r="BE15" s="69"/>
      <c r="BF15" s="70" t="s">
        <v>53</v>
      </c>
      <c r="BG15" s="69"/>
      <c r="BH15" s="70" t="s">
        <v>53</v>
      </c>
      <c r="BI15" s="69"/>
      <c r="BJ15" s="70" t="s">
        <v>53</v>
      </c>
      <c r="BK15" s="69"/>
      <c r="BL15" s="70" t="s">
        <v>53</v>
      </c>
      <c r="BM15" s="69"/>
      <c r="BN15" s="71"/>
      <c r="BO15" s="72"/>
      <c r="BP15" s="70" t="s">
        <v>53</v>
      </c>
      <c r="BQ15" s="208" t="str">
        <f>IF(BM15="","",BM15)</f>
        <v/>
      </c>
    </row>
    <row r="16" spans="1:76" x14ac:dyDescent="0.35">
      <c r="A16" s="74" t="s">
        <v>51</v>
      </c>
      <c r="B16" s="75"/>
      <c r="C16" s="76"/>
      <c r="D16" s="77"/>
      <c r="E16" s="78"/>
      <c r="F16" s="79"/>
      <c r="G16" s="78"/>
      <c r="H16" s="79"/>
      <c r="I16" s="78"/>
      <c r="J16" s="79"/>
      <c r="K16" s="78"/>
      <c r="L16" s="79"/>
      <c r="M16" s="78"/>
      <c r="N16" s="79"/>
      <c r="O16" s="78"/>
      <c r="P16" s="79"/>
      <c r="Q16" s="78"/>
      <c r="R16" s="79"/>
      <c r="S16" s="78"/>
      <c r="T16" s="79"/>
      <c r="U16" s="78"/>
      <c r="V16" s="79"/>
      <c r="W16" s="78"/>
      <c r="X16" s="79"/>
      <c r="Y16" s="78"/>
      <c r="Z16" s="79"/>
      <c r="AA16" s="78"/>
      <c r="AB16" s="79"/>
      <c r="AC16" s="78"/>
      <c r="AD16" s="79"/>
      <c r="AE16" s="78"/>
      <c r="AF16" s="79"/>
      <c r="AG16" s="78"/>
      <c r="AH16" s="79"/>
      <c r="AI16" s="78"/>
      <c r="AJ16" s="79"/>
      <c r="AK16" s="78"/>
      <c r="AL16" s="79"/>
      <c r="AM16" s="78"/>
      <c r="AN16" s="79"/>
      <c r="AO16" s="78"/>
      <c r="AP16" s="79"/>
      <c r="AQ16" s="78"/>
      <c r="AR16" s="79"/>
      <c r="AS16" s="78"/>
      <c r="AT16" s="79"/>
      <c r="AU16" s="78"/>
      <c r="AV16" s="79"/>
      <c r="AW16" s="78"/>
      <c r="AX16" s="79"/>
      <c r="AY16" s="78"/>
      <c r="AZ16" s="79"/>
      <c r="BA16" s="78"/>
      <c r="BB16" s="79"/>
      <c r="BC16" s="78"/>
      <c r="BD16" s="79"/>
      <c r="BE16" s="78"/>
      <c r="BF16" s="79"/>
      <c r="BG16" s="78"/>
      <c r="BH16" s="79"/>
      <c r="BI16" s="78"/>
      <c r="BJ16" s="79"/>
      <c r="BK16" s="78"/>
      <c r="BL16" s="79"/>
      <c r="BM16" s="78"/>
      <c r="BN16" s="80"/>
      <c r="BO16" s="81"/>
      <c r="BP16" s="79"/>
      <c r="BQ16" s="82"/>
    </row>
    <row r="17" spans="1:76" x14ac:dyDescent="0.35">
      <c r="A17" s="53" t="s">
        <v>45</v>
      </c>
      <c r="B17" s="54"/>
      <c r="C17" s="206" t="str">
        <f>IF('June 2027 Log'!BK17="","",'June 2027 Log'!BK17)</f>
        <v/>
      </c>
      <c r="D17" s="68"/>
      <c r="E17" s="69"/>
      <c r="F17" s="70"/>
      <c r="G17" s="69"/>
      <c r="H17" s="70"/>
      <c r="I17" s="69"/>
      <c r="J17" s="70"/>
      <c r="K17" s="69"/>
      <c r="L17" s="70"/>
      <c r="M17" s="69"/>
      <c r="N17" s="70"/>
      <c r="O17" s="69"/>
      <c r="P17" s="70"/>
      <c r="Q17" s="69"/>
      <c r="R17" s="70"/>
      <c r="S17" s="69"/>
      <c r="T17" s="70"/>
      <c r="U17" s="69"/>
      <c r="V17" s="70"/>
      <c r="W17" s="69"/>
      <c r="X17" s="70"/>
      <c r="Y17" s="69"/>
      <c r="Z17" s="70"/>
      <c r="AA17" s="69"/>
      <c r="AB17" s="70"/>
      <c r="AC17" s="69"/>
      <c r="AD17" s="70"/>
      <c r="AE17" s="69"/>
      <c r="AF17" s="70"/>
      <c r="AG17" s="69"/>
      <c r="AH17" s="70"/>
      <c r="AI17" s="69"/>
      <c r="AJ17" s="70"/>
      <c r="AK17" s="69"/>
      <c r="AL17" s="70"/>
      <c r="AM17" s="69"/>
      <c r="AN17" s="70"/>
      <c r="AO17" s="69"/>
      <c r="AP17" s="70"/>
      <c r="AQ17" s="69"/>
      <c r="AR17" s="70"/>
      <c r="AS17" s="69"/>
      <c r="AT17" s="70"/>
      <c r="AU17" s="69"/>
      <c r="AV17" s="70"/>
      <c r="AW17" s="69"/>
      <c r="AX17" s="70"/>
      <c r="AY17" s="69"/>
      <c r="AZ17" s="70"/>
      <c r="BA17" s="69"/>
      <c r="BB17" s="70"/>
      <c r="BC17" s="69"/>
      <c r="BD17" s="70"/>
      <c r="BE17" s="69"/>
      <c r="BF17" s="70"/>
      <c r="BG17" s="69"/>
      <c r="BH17" s="70"/>
      <c r="BI17" s="69"/>
      <c r="BJ17" s="70"/>
      <c r="BK17" s="69"/>
      <c r="BL17" s="70"/>
      <c r="BM17" s="69"/>
      <c r="BN17" s="71"/>
      <c r="BO17" s="182" t="str">
        <f t="shared" ref="BO17:BO59" si="2">IF(COUNT(E17,G17,I17,K17,M17,O17,Q17,S17,U17,W17,Y17,AA17,AC17,AE17,AG17,AI17,AK17,AM17,AO17,AQ17,AS17,AU17,AW17,AY17,BA17,BC17,BE17,BG17,BI17,BK17,BM17)=0,"",SUM(E17,G17,I17,K17,M17,O17,Q17,S17,U17,W17,Y17,AA17,AC17,AE17,AG17,AI17,AK17,AM17,AO17,AQ17,AS17,AU17,AW17,AY17,BA17,BC17,BE17,BG17,BI17,BK17,BM17))</f>
        <v/>
      </c>
      <c r="BP17" s="70"/>
      <c r="BQ17" s="208" t="str">
        <f>IF(BM17="","",BM17)</f>
        <v/>
      </c>
    </row>
    <row r="18" spans="1:76" x14ac:dyDescent="0.35">
      <c r="A18" s="53" t="s">
        <v>46</v>
      </c>
      <c r="B18" s="54"/>
      <c r="C18" s="67"/>
      <c r="D18" s="68"/>
      <c r="E18" s="69"/>
      <c r="F18" s="70"/>
      <c r="G18" s="69"/>
      <c r="H18" s="70"/>
      <c r="I18" s="69"/>
      <c r="J18" s="70"/>
      <c r="K18" s="69"/>
      <c r="L18" s="70"/>
      <c r="M18" s="69"/>
      <c r="N18" s="70"/>
      <c r="O18" s="69"/>
      <c r="P18" s="70"/>
      <c r="Q18" s="69"/>
      <c r="R18" s="70"/>
      <c r="S18" s="69"/>
      <c r="T18" s="70"/>
      <c r="U18" s="69"/>
      <c r="V18" s="70"/>
      <c r="W18" s="69"/>
      <c r="X18" s="70"/>
      <c r="Y18" s="69"/>
      <c r="Z18" s="70"/>
      <c r="AA18" s="69"/>
      <c r="AB18" s="70"/>
      <c r="AC18" s="69"/>
      <c r="AD18" s="70"/>
      <c r="AE18" s="69"/>
      <c r="AF18" s="70"/>
      <c r="AG18" s="69"/>
      <c r="AH18" s="70"/>
      <c r="AI18" s="69"/>
      <c r="AJ18" s="70"/>
      <c r="AK18" s="69"/>
      <c r="AL18" s="70"/>
      <c r="AM18" s="69"/>
      <c r="AN18" s="70"/>
      <c r="AO18" s="69"/>
      <c r="AP18" s="70"/>
      <c r="AQ18" s="69"/>
      <c r="AR18" s="70"/>
      <c r="AS18" s="69"/>
      <c r="AT18" s="70"/>
      <c r="AU18" s="69"/>
      <c r="AV18" s="70"/>
      <c r="AW18" s="69"/>
      <c r="AX18" s="70"/>
      <c r="AY18" s="69"/>
      <c r="AZ18" s="70"/>
      <c r="BA18" s="69"/>
      <c r="BB18" s="70"/>
      <c r="BC18" s="69"/>
      <c r="BD18" s="70"/>
      <c r="BE18" s="69"/>
      <c r="BF18" s="70"/>
      <c r="BG18" s="69"/>
      <c r="BH18" s="70"/>
      <c r="BI18" s="69"/>
      <c r="BJ18" s="70"/>
      <c r="BK18" s="69"/>
      <c r="BL18" s="70"/>
      <c r="BM18" s="69"/>
      <c r="BN18" s="71"/>
      <c r="BO18" s="182" t="str">
        <f t="shared" si="2"/>
        <v/>
      </c>
      <c r="BP18" s="70"/>
      <c r="BQ18" s="73"/>
    </row>
    <row r="19" spans="1:76" x14ac:dyDescent="0.35">
      <c r="A19" s="53" t="s">
        <v>69</v>
      </c>
      <c r="B19" s="54"/>
      <c r="C19" s="67"/>
      <c r="D19" s="68"/>
      <c r="E19" s="69"/>
      <c r="F19" s="70"/>
      <c r="G19" s="69"/>
      <c r="H19" s="70"/>
      <c r="I19" s="69"/>
      <c r="J19" s="70"/>
      <c r="K19" s="69"/>
      <c r="L19" s="70"/>
      <c r="M19" s="69"/>
      <c r="N19" s="70"/>
      <c r="O19" s="69"/>
      <c r="P19" s="70"/>
      <c r="Q19" s="69"/>
      <c r="R19" s="70"/>
      <c r="S19" s="69"/>
      <c r="T19" s="70"/>
      <c r="U19" s="69"/>
      <c r="V19" s="70"/>
      <c r="W19" s="69"/>
      <c r="X19" s="70"/>
      <c r="Y19" s="69"/>
      <c r="Z19" s="70"/>
      <c r="AA19" s="69"/>
      <c r="AB19" s="70"/>
      <c r="AC19" s="69"/>
      <c r="AD19" s="70"/>
      <c r="AE19" s="69"/>
      <c r="AF19" s="70"/>
      <c r="AG19" s="69"/>
      <c r="AH19" s="70"/>
      <c r="AI19" s="69"/>
      <c r="AJ19" s="70"/>
      <c r="AK19" s="69"/>
      <c r="AL19" s="70"/>
      <c r="AM19" s="69"/>
      <c r="AN19" s="70"/>
      <c r="AO19" s="69"/>
      <c r="AP19" s="70"/>
      <c r="AQ19" s="69"/>
      <c r="AR19" s="70"/>
      <c r="AS19" s="69"/>
      <c r="AT19" s="70"/>
      <c r="AU19" s="69"/>
      <c r="AV19" s="70"/>
      <c r="AW19" s="69"/>
      <c r="AX19" s="70"/>
      <c r="AY19" s="69"/>
      <c r="AZ19" s="70"/>
      <c r="BA19" s="69"/>
      <c r="BB19" s="70"/>
      <c r="BC19" s="69"/>
      <c r="BD19" s="70"/>
      <c r="BE19" s="69"/>
      <c r="BF19" s="70"/>
      <c r="BG19" s="69"/>
      <c r="BH19" s="70"/>
      <c r="BI19" s="69"/>
      <c r="BJ19" s="70"/>
      <c r="BK19" s="69"/>
      <c r="BL19" s="70"/>
      <c r="BM19" s="69"/>
      <c r="BN19" s="71"/>
      <c r="BO19" s="182" t="str">
        <f t="shared" si="2"/>
        <v/>
      </c>
      <c r="BP19" s="70"/>
      <c r="BQ19" s="73"/>
    </row>
    <row r="20" spans="1:76" x14ac:dyDescent="0.35">
      <c r="A20" s="83" t="s">
        <v>0</v>
      </c>
      <c r="B20" s="54"/>
      <c r="C20" s="84"/>
      <c r="D20" s="85"/>
      <c r="E20" s="86"/>
      <c r="F20" s="87"/>
      <c r="G20" s="86"/>
      <c r="H20" s="87"/>
      <c r="I20" s="86"/>
      <c r="J20" s="87"/>
      <c r="K20" s="86"/>
      <c r="L20" s="87"/>
      <c r="M20" s="86"/>
      <c r="N20" s="87"/>
      <c r="O20" s="86"/>
      <c r="P20" s="87"/>
      <c r="Q20" s="86"/>
      <c r="R20" s="87"/>
      <c r="S20" s="86"/>
      <c r="T20" s="87"/>
      <c r="U20" s="86"/>
      <c r="V20" s="87"/>
      <c r="W20" s="86"/>
      <c r="X20" s="87"/>
      <c r="Y20" s="86"/>
      <c r="Z20" s="87"/>
      <c r="AA20" s="86"/>
      <c r="AB20" s="87"/>
      <c r="AC20" s="86"/>
      <c r="AD20" s="87"/>
      <c r="AE20" s="86"/>
      <c r="AF20" s="87"/>
      <c r="AG20" s="86"/>
      <c r="AH20" s="87"/>
      <c r="AI20" s="86"/>
      <c r="AJ20" s="87"/>
      <c r="AK20" s="86"/>
      <c r="AL20" s="87"/>
      <c r="AM20" s="86"/>
      <c r="AN20" s="87"/>
      <c r="AO20" s="86"/>
      <c r="AP20" s="87"/>
      <c r="AQ20" s="86"/>
      <c r="AR20" s="87"/>
      <c r="AS20" s="86"/>
      <c r="AT20" s="87"/>
      <c r="AU20" s="86"/>
      <c r="AV20" s="87"/>
      <c r="AW20" s="86"/>
      <c r="AX20" s="87"/>
      <c r="AY20" s="86"/>
      <c r="AZ20" s="87"/>
      <c r="BA20" s="86"/>
      <c r="BB20" s="87"/>
      <c r="BC20" s="86"/>
      <c r="BD20" s="87"/>
      <c r="BE20" s="86"/>
      <c r="BF20" s="87"/>
      <c r="BG20" s="86"/>
      <c r="BH20" s="87"/>
      <c r="BI20" s="86"/>
      <c r="BJ20" s="87"/>
      <c r="BK20" s="86"/>
      <c r="BL20" s="87"/>
      <c r="BM20" s="86"/>
      <c r="BN20" s="50"/>
      <c r="BO20" s="170" t="str">
        <f t="shared" si="2"/>
        <v/>
      </c>
      <c r="BP20" s="87"/>
      <c r="BQ20" s="88"/>
    </row>
    <row r="21" spans="1:76" x14ac:dyDescent="0.35">
      <c r="A21" s="83" t="s">
        <v>1</v>
      </c>
      <c r="B21" s="54"/>
      <c r="C21" s="174" t="str">
        <f>IF('June 2027 Log'!BK21="","",'June 2027 Log'!BK21)</f>
        <v/>
      </c>
      <c r="D21" s="85"/>
      <c r="E21" s="86"/>
      <c r="F21" s="87"/>
      <c r="G21" s="86"/>
      <c r="H21" s="87"/>
      <c r="I21" s="86"/>
      <c r="J21" s="87"/>
      <c r="K21" s="86"/>
      <c r="L21" s="87"/>
      <c r="M21" s="86"/>
      <c r="N21" s="87"/>
      <c r="O21" s="86"/>
      <c r="P21" s="87"/>
      <c r="Q21" s="86"/>
      <c r="R21" s="87"/>
      <c r="S21" s="86"/>
      <c r="T21" s="87"/>
      <c r="U21" s="86"/>
      <c r="V21" s="87"/>
      <c r="W21" s="86"/>
      <c r="X21" s="87"/>
      <c r="Y21" s="86"/>
      <c r="Z21" s="87"/>
      <c r="AA21" s="86"/>
      <c r="AB21" s="87"/>
      <c r="AC21" s="86"/>
      <c r="AD21" s="87"/>
      <c r="AE21" s="86"/>
      <c r="AF21" s="87"/>
      <c r="AG21" s="86"/>
      <c r="AH21" s="87"/>
      <c r="AI21" s="86"/>
      <c r="AJ21" s="87"/>
      <c r="AK21" s="86"/>
      <c r="AL21" s="87"/>
      <c r="AM21" s="86"/>
      <c r="AN21" s="87"/>
      <c r="AO21" s="86"/>
      <c r="AP21" s="87"/>
      <c r="AQ21" s="86"/>
      <c r="AR21" s="87"/>
      <c r="AS21" s="86"/>
      <c r="AT21" s="87"/>
      <c r="AU21" s="86"/>
      <c r="AV21" s="87"/>
      <c r="AW21" s="86"/>
      <c r="AX21" s="87"/>
      <c r="AY21" s="86"/>
      <c r="AZ21" s="87"/>
      <c r="BA21" s="86"/>
      <c r="BB21" s="87"/>
      <c r="BC21" s="86"/>
      <c r="BD21" s="87"/>
      <c r="BE21" s="86"/>
      <c r="BF21" s="87"/>
      <c r="BG21" s="86"/>
      <c r="BH21" s="87"/>
      <c r="BI21" s="86"/>
      <c r="BJ21" s="87"/>
      <c r="BK21" s="86"/>
      <c r="BL21" s="87"/>
      <c r="BM21" s="86"/>
      <c r="BN21" s="50"/>
      <c r="BO21" s="170" t="str">
        <f t="shared" si="2"/>
        <v/>
      </c>
      <c r="BP21" s="87"/>
      <c r="BQ21" s="178" t="str">
        <f>IF(BM21="","",BM21)</f>
        <v/>
      </c>
    </row>
    <row r="22" spans="1:76" s="1" customFormat="1" ht="15" thickBot="1" x14ac:dyDescent="0.4">
      <c r="A22" s="89" t="s">
        <v>41</v>
      </c>
      <c r="B22" s="90"/>
      <c r="C22" s="175">
        <f>IF('June 2027 Log'!BK22="","",'June 2027 Log'!BK22)</f>
        <v>0</v>
      </c>
      <c r="D22" s="47"/>
      <c r="E22" s="177">
        <f t="shared" ref="E22" si="3">SUM(E20:E21)</f>
        <v>0</v>
      </c>
      <c r="F22" s="49"/>
      <c r="G22" s="177">
        <f t="shared" ref="G22" si="4">SUM(G20:G21)</f>
        <v>0</v>
      </c>
      <c r="H22" s="49"/>
      <c r="I22" s="177">
        <f t="shared" ref="I22" si="5">SUM(I20:I21)</f>
        <v>0</v>
      </c>
      <c r="J22" s="49"/>
      <c r="K22" s="177">
        <f t="shared" ref="K22" si="6">SUM(K20:K21)</f>
        <v>0</v>
      </c>
      <c r="L22" s="49"/>
      <c r="M22" s="177">
        <f t="shared" ref="M22" si="7">SUM(M20:M21)</f>
        <v>0</v>
      </c>
      <c r="N22" s="49"/>
      <c r="O22" s="177">
        <f t="shared" ref="O22" si="8">SUM(O20:O21)</f>
        <v>0</v>
      </c>
      <c r="P22" s="49"/>
      <c r="Q22" s="177">
        <f t="shared" ref="Q22" si="9">SUM(Q20:Q21)</f>
        <v>0</v>
      </c>
      <c r="R22" s="49"/>
      <c r="S22" s="177">
        <f t="shared" ref="S22" si="10">SUM(S20:S21)</f>
        <v>0</v>
      </c>
      <c r="T22" s="49"/>
      <c r="U22" s="177">
        <f t="shared" ref="U22" si="11">SUM(U20:U21)</f>
        <v>0</v>
      </c>
      <c r="V22" s="49"/>
      <c r="W22" s="177">
        <f t="shared" ref="W22" si="12">SUM(W20:W21)</f>
        <v>0</v>
      </c>
      <c r="X22" s="49"/>
      <c r="Y22" s="177">
        <f t="shared" ref="Y22" si="13">SUM(Y20:Y21)</f>
        <v>0</v>
      </c>
      <c r="Z22" s="49"/>
      <c r="AA22" s="177">
        <f t="shared" ref="AA22" si="14">SUM(AA20:AA21)</f>
        <v>0</v>
      </c>
      <c r="AB22" s="49"/>
      <c r="AC22" s="177">
        <f t="shared" ref="AC22" si="15">SUM(AC20:AC21)</f>
        <v>0</v>
      </c>
      <c r="AD22" s="49"/>
      <c r="AE22" s="177">
        <f t="shared" ref="AE22" si="16">SUM(AE20:AE21)</f>
        <v>0</v>
      </c>
      <c r="AF22" s="49"/>
      <c r="AG22" s="177">
        <f t="shared" ref="AG22" si="17">SUM(AG20:AG21)</f>
        <v>0</v>
      </c>
      <c r="AH22" s="49"/>
      <c r="AI22" s="177">
        <f t="shared" ref="AI22" si="18">SUM(AI20:AI21)</f>
        <v>0</v>
      </c>
      <c r="AJ22" s="49"/>
      <c r="AK22" s="177">
        <f t="shared" ref="AK22" si="19">SUM(AK20:AK21)</f>
        <v>0</v>
      </c>
      <c r="AL22" s="49"/>
      <c r="AM22" s="177">
        <f t="shared" ref="AM22" si="20">SUM(AM20:AM21)</f>
        <v>0</v>
      </c>
      <c r="AN22" s="49"/>
      <c r="AO22" s="177">
        <f t="shared" ref="AO22" si="21">SUM(AO20:AO21)</f>
        <v>0</v>
      </c>
      <c r="AP22" s="49"/>
      <c r="AQ22" s="177">
        <f t="shared" ref="AQ22" si="22">SUM(AQ20:AQ21)</f>
        <v>0</v>
      </c>
      <c r="AR22" s="49"/>
      <c r="AS22" s="177">
        <f t="shared" ref="AS22" si="23">SUM(AS20:AS21)</f>
        <v>0</v>
      </c>
      <c r="AT22" s="49"/>
      <c r="AU22" s="177">
        <f t="shared" ref="AU22" si="24">SUM(AU20:AU21)</f>
        <v>0</v>
      </c>
      <c r="AV22" s="49"/>
      <c r="AW22" s="177">
        <f t="shared" ref="AW22" si="25">SUM(AW20:AW21)</f>
        <v>0</v>
      </c>
      <c r="AX22" s="49"/>
      <c r="AY22" s="177">
        <f t="shared" ref="AY22" si="26">SUM(AY20:AY21)</f>
        <v>0</v>
      </c>
      <c r="AZ22" s="49"/>
      <c r="BA22" s="177">
        <f t="shared" ref="BA22" si="27">SUM(BA20:BA21)</f>
        <v>0</v>
      </c>
      <c r="BB22" s="49"/>
      <c r="BC22" s="177">
        <f t="shared" ref="BC22" si="28">SUM(BC20:BC21)</f>
        <v>0</v>
      </c>
      <c r="BD22" s="49"/>
      <c r="BE22" s="177">
        <f t="shared" ref="BE22" si="29">SUM(BE20:BE21)</f>
        <v>0</v>
      </c>
      <c r="BF22" s="49"/>
      <c r="BG22" s="177">
        <f t="shared" ref="BG22" si="30">SUM(BG20:BG21)</f>
        <v>0</v>
      </c>
      <c r="BH22" s="49"/>
      <c r="BI22" s="177">
        <f t="shared" ref="BI22" si="31">SUM(BI20:BI21)</f>
        <v>0</v>
      </c>
      <c r="BJ22" s="49"/>
      <c r="BK22" s="177">
        <f t="shared" ref="BK22" si="32">SUM(BK20:BK21)</f>
        <v>0</v>
      </c>
      <c r="BL22" s="49"/>
      <c r="BM22" s="177">
        <f t="shared" ref="BM22" si="33">SUM(BM20:BM21)</f>
        <v>0</v>
      </c>
      <c r="BN22" s="92"/>
      <c r="BO22" s="170">
        <f t="shared" si="2"/>
        <v>0</v>
      </c>
      <c r="BP22" s="49"/>
      <c r="BQ22" s="179">
        <f>IF(BM22="","",BM22)</f>
        <v>0</v>
      </c>
      <c r="BR22"/>
      <c r="BS22"/>
      <c r="BT22"/>
      <c r="BU22"/>
      <c r="BV22"/>
      <c r="BW22"/>
      <c r="BX22"/>
    </row>
    <row r="23" spans="1:76" ht="15" hidden="1" thickBot="1" x14ac:dyDescent="0.4">
      <c r="A23" s="83" t="s">
        <v>2</v>
      </c>
      <c r="B23" s="54"/>
      <c r="C23" s="84"/>
      <c r="D23" s="85"/>
      <c r="E23" s="86"/>
      <c r="F23" s="87"/>
      <c r="G23" s="86"/>
      <c r="H23" s="87"/>
      <c r="I23" s="86"/>
      <c r="J23" s="87"/>
      <c r="K23" s="86"/>
      <c r="L23" s="87"/>
      <c r="M23" s="86"/>
      <c r="N23" s="87"/>
      <c r="O23" s="86"/>
      <c r="P23" s="87"/>
      <c r="Q23" s="86"/>
      <c r="R23" s="87"/>
      <c r="S23" s="86"/>
      <c r="T23" s="87"/>
      <c r="U23" s="86"/>
      <c r="V23" s="87"/>
      <c r="W23" s="86"/>
      <c r="X23" s="87"/>
      <c r="Y23" s="86"/>
      <c r="Z23" s="87"/>
      <c r="AA23" s="86"/>
      <c r="AB23" s="87"/>
      <c r="AC23" s="86"/>
      <c r="AD23" s="87"/>
      <c r="AE23" s="86"/>
      <c r="AF23" s="87"/>
      <c r="AG23" s="86"/>
      <c r="AH23" s="87"/>
      <c r="AI23" s="86"/>
      <c r="AJ23" s="87"/>
      <c r="AK23" s="86"/>
      <c r="AL23" s="87"/>
      <c r="AM23" s="86"/>
      <c r="AN23" s="87"/>
      <c r="AO23" s="86"/>
      <c r="AP23" s="87"/>
      <c r="AQ23" s="86"/>
      <c r="AR23" s="87"/>
      <c r="AS23" s="86"/>
      <c r="AT23" s="87"/>
      <c r="AU23" s="86"/>
      <c r="AV23" s="87"/>
      <c r="AW23" s="86"/>
      <c r="AX23" s="87"/>
      <c r="AY23" s="86"/>
      <c r="AZ23" s="87"/>
      <c r="BA23" s="86"/>
      <c r="BB23" s="87"/>
      <c r="BC23" s="86"/>
      <c r="BD23" s="87"/>
      <c r="BE23" s="86"/>
      <c r="BF23" s="87"/>
      <c r="BG23" s="86"/>
      <c r="BH23" s="87"/>
      <c r="BI23" s="86"/>
      <c r="BJ23" s="87"/>
      <c r="BK23" s="86"/>
      <c r="BL23" s="87"/>
      <c r="BM23" s="86"/>
      <c r="BN23" s="50"/>
      <c r="BO23" s="170" t="str">
        <f t="shared" si="2"/>
        <v/>
      </c>
      <c r="BP23" s="87"/>
      <c r="BQ23" s="88"/>
    </row>
    <row r="24" spans="1:76" ht="15" hidden="1" thickBot="1" x14ac:dyDescent="0.4">
      <c r="A24" s="83" t="s">
        <v>3</v>
      </c>
      <c r="B24" s="54"/>
      <c r="C24" s="84"/>
      <c r="D24" s="85"/>
      <c r="E24" s="86"/>
      <c r="F24" s="87"/>
      <c r="G24" s="86"/>
      <c r="H24" s="87"/>
      <c r="I24" s="86"/>
      <c r="J24" s="87"/>
      <c r="K24" s="86"/>
      <c r="L24" s="87"/>
      <c r="M24" s="86"/>
      <c r="N24" s="87"/>
      <c r="O24" s="86"/>
      <c r="P24" s="87"/>
      <c r="Q24" s="86"/>
      <c r="R24" s="87"/>
      <c r="S24" s="86"/>
      <c r="T24" s="87"/>
      <c r="U24" s="86"/>
      <c r="V24" s="87"/>
      <c r="W24" s="86"/>
      <c r="X24" s="87"/>
      <c r="Y24" s="86"/>
      <c r="Z24" s="87"/>
      <c r="AA24" s="86"/>
      <c r="AB24" s="87"/>
      <c r="AC24" s="86"/>
      <c r="AD24" s="87"/>
      <c r="AE24" s="86"/>
      <c r="AF24" s="87"/>
      <c r="AG24" s="86"/>
      <c r="AH24" s="87"/>
      <c r="AI24" s="86"/>
      <c r="AJ24" s="87"/>
      <c r="AK24" s="86"/>
      <c r="AL24" s="87"/>
      <c r="AM24" s="86"/>
      <c r="AN24" s="87"/>
      <c r="AO24" s="86"/>
      <c r="AP24" s="87"/>
      <c r="AQ24" s="86"/>
      <c r="AR24" s="87"/>
      <c r="AS24" s="86"/>
      <c r="AT24" s="87"/>
      <c r="AU24" s="86"/>
      <c r="AV24" s="87"/>
      <c r="AW24" s="86"/>
      <c r="AX24" s="87"/>
      <c r="AY24" s="86"/>
      <c r="AZ24" s="87"/>
      <c r="BA24" s="86"/>
      <c r="BB24" s="87"/>
      <c r="BC24" s="86"/>
      <c r="BD24" s="87"/>
      <c r="BE24" s="86"/>
      <c r="BF24" s="87"/>
      <c r="BG24" s="86"/>
      <c r="BH24" s="87"/>
      <c r="BI24" s="86"/>
      <c r="BJ24" s="87"/>
      <c r="BK24" s="86"/>
      <c r="BL24" s="87"/>
      <c r="BM24" s="86"/>
      <c r="BN24" s="50"/>
      <c r="BO24" s="170" t="str">
        <f t="shared" si="2"/>
        <v/>
      </c>
      <c r="BP24" s="87"/>
      <c r="BQ24" s="88"/>
    </row>
    <row r="25" spans="1:76" s="7" customFormat="1" x14ac:dyDescent="0.35">
      <c r="A25" s="83" t="s">
        <v>37</v>
      </c>
      <c r="B25" s="54"/>
      <c r="C25" s="174" t="str">
        <f>IF('June 2027 Log'!BK25="","",'June 2027 Log'!BK25)</f>
        <v/>
      </c>
      <c r="D25" s="85"/>
      <c r="E25" s="86"/>
      <c r="F25" s="87"/>
      <c r="G25" s="86"/>
      <c r="H25" s="87"/>
      <c r="I25" s="86"/>
      <c r="J25" s="87"/>
      <c r="K25" s="86"/>
      <c r="L25" s="87"/>
      <c r="M25" s="86"/>
      <c r="N25" s="87"/>
      <c r="O25" s="86"/>
      <c r="P25" s="87"/>
      <c r="Q25" s="86"/>
      <c r="R25" s="87"/>
      <c r="S25" s="86"/>
      <c r="T25" s="87"/>
      <c r="U25" s="86"/>
      <c r="V25" s="87"/>
      <c r="W25" s="86"/>
      <c r="X25" s="87"/>
      <c r="Y25" s="86"/>
      <c r="Z25" s="87"/>
      <c r="AA25" s="86"/>
      <c r="AB25" s="87"/>
      <c r="AC25" s="86"/>
      <c r="AD25" s="87"/>
      <c r="AE25" s="86"/>
      <c r="AF25" s="87"/>
      <c r="AG25" s="86"/>
      <c r="AH25" s="87"/>
      <c r="AI25" s="86"/>
      <c r="AJ25" s="87"/>
      <c r="AK25" s="86"/>
      <c r="AL25" s="87"/>
      <c r="AM25" s="86"/>
      <c r="AN25" s="87"/>
      <c r="AO25" s="86"/>
      <c r="AP25" s="87"/>
      <c r="AQ25" s="86"/>
      <c r="AR25" s="87"/>
      <c r="AS25" s="86"/>
      <c r="AT25" s="87"/>
      <c r="AU25" s="86"/>
      <c r="AV25" s="87"/>
      <c r="AW25" s="86"/>
      <c r="AX25" s="87"/>
      <c r="AY25" s="86"/>
      <c r="AZ25" s="87"/>
      <c r="BA25" s="86"/>
      <c r="BB25" s="87"/>
      <c r="BC25" s="86"/>
      <c r="BD25" s="87"/>
      <c r="BE25" s="86"/>
      <c r="BF25" s="87"/>
      <c r="BG25" s="86"/>
      <c r="BH25" s="87"/>
      <c r="BI25" s="86"/>
      <c r="BJ25" s="87"/>
      <c r="BK25" s="86"/>
      <c r="BL25" s="87"/>
      <c r="BM25" s="86"/>
      <c r="BN25" s="50"/>
      <c r="BO25" s="170" t="str">
        <f t="shared" si="2"/>
        <v/>
      </c>
      <c r="BP25" s="87"/>
      <c r="BQ25" s="178" t="str">
        <f>IF(BM25="","",BM25)</f>
        <v/>
      </c>
      <c r="BR25"/>
      <c r="BS25"/>
      <c r="BT25"/>
      <c r="BU25"/>
      <c r="BV25"/>
      <c r="BW25"/>
      <c r="BX25"/>
    </row>
    <row r="26" spans="1:76" ht="15" thickBot="1" x14ac:dyDescent="0.4">
      <c r="A26" s="94" t="s">
        <v>4</v>
      </c>
      <c r="B26" s="95"/>
      <c r="C26" s="174" t="str">
        <f>IF('June 2027 Log'!BK26="","",'June 2027 Log'!BK26)</f>
        <v/>
      </c>
      <c r="D26" s="96"/>
      <c r="E26" s="86"/>
      <c r="F26" s="97"/>
      <c r="G26" s="86"/>
      <c r="H26" s="97"/>
      <c r="I26" s="86"/>
      <c r="J26" s="97"/>
      <c r="K26" s="86"/>
      <c r="L26" s="97"/>
      <c r="M26" s="86"/>
      <c r="N26" s="97"/>
      <c r="O26" s="86"/>
      <c r="P26" s="97"/>
      <c r="Q26" s="86"/>
      <c r="R26" s="97"/>
      <c r="S26" s="86"/>
      <c r="T26" s="97"/>
      <c r="U26" s="86"/>
      <c r="V26" s="97"/>
      <c r="W26" s="86"/>
      <c r="X26" s="97"/>
      <c r="Y26" s="86"/>
      <c r="Z26" s="97"/>
      <c r="AA26" s="86"/>
      <c r="AB26" s="97"/>
      <c r="AC26" s="86"/>
      <c r="AD26" s="97"/>
      <c r="AE26" s="86"/>
      <c r="AF26" s="97"/>
      <c r="AG26" s="86"/>
      <c r="AH26" s="97"/>
      <c r="AI26" s="86"/>
      <c r="AJ26" s="97"/>
      <c r="AK26" s="86"/>
      <c r="AL26" s="97"/>
      <c r="AM26" s="86"/>
      <c r="AN26" s="97"/>
      <c r="AO26" s="86"/>
      <c r="AP26" s="97"/>
      <c r="AQ26" s="86"/>
      <c r="AR26" s="97"/>
      <c r="AS26" s="86"/>
      <c r="AT26" s="97"/>
      <c r="AU26" s="86"/>
      <c r="AV26" s="97"/>
      <c r="AW26" s="86"/>
      <c r="AX26" s="97"/>
      <c r="AY26" s="86"/>
      <c r="AZ26" s="97"/>
      <c r="BA26" s="86"/>
      <c r="BB26" s="97"/>
      <c r="BC26" s="86"/>
      <c r="BD26" s="97"/>
      <c r="BE26" s="86"/>
      <c r="BF26" s="97"/>
      <c r="BG26" s="86"/>
      <c r="BH26" s="97"/>
      <c r="BI26" s="86"/>
      <c r="BJ26" s="97"/>
      <c r="BK26" s="86"/>
      <c r="BL26" s="97"/>
      <c r="BM26" s="86"/>
      <c r="BN26" s="50"/>
      <c r="BO26" s="170" t="str">
        <f t="shared" si="2"/>
        <v/>
      </c>
      <c r="BP26" s="97"/>
      <c r="BQ26" s="178" t="str">
        <f>IF(BM26="","",BM26)</f>
        <v/>
      </c>
    </row>
    <row r="27" spans="1:76" s="7" customFormat="1" x14ac:dyDescent="0.35">
      <c r="A27" s="53" t="s">
        <v>21</v>
      </c>
      <c r="B27" s="54"/>
      <c r="C27" s="174" t="str">
        <f>IF('June 2027 Log'!BK27="","",'June 2027 Log'!BK27)</f>
        <v/>
      </c>
      <c r="D27" s="85"/>
      <c r="E27" s="86"/>
      <c r="F27" s="87"/>
      <c r="G27" s="86"/>
      <c r="H27" s="87"/>
      <c r="I27" s="86"/>
      <c r="J27" s="87"/>
      <c r="K27" s="86"/>
      <c r="L27" s="87"/>
      <c r="M27" s="86"/>
      <c r="N27" s="87"/>
      <c r="O27" s="86"/>
      <c r="P27" s="87"/>
      <c r="Q27" s="86"/>
      <c r="R27" s="87"/>
      <c r="S27" s="86"/>
      <c r="T27" s="87"/>
      <c r="U27" s="86"/>
      <c r="V27" s="87"/>
      <c r="W27" s="86"/>
      <c r="X27" s="87"/>
      <c r="Y27" s="86"/>
      <c r="Z27" s="87"/>
      <c r="AA27" s="86"/>
      <c r="AB27" s="87"/>
      <c r="AC27" s="86"/>
      <c r="AD27" s="87"/>
      <c r="AE27" s="86"/>
      <c r="AF27" s="87"/>
      <c r="AG27" s="86"/>
      <c r="AH27" s="87"/>
      <c r="AI27" s="86"/>
      <c r="AJ27" s="87"/>
      <c r="AK27" s="86"/>
      <c r="AL27" s="87"/>
      <c r="AM27" s="86"/>
      <c r="AN27" s="87"/>
      <c r="AO27" s="86"/>
      <c r="AP27" s="87"/>
      <c r="AQ27" s="86"/>
      <c r="AR27" s="87"/>
      <c r="AS27" s="86"/>
      <c r="AT27" s="87"/>
      <c r="AU27" s="86"/>
      <c r="AV27" s="87"/>
      <c r="AW27" s="86"/>
      <c r="AX27" s="87"/>
      <c r="AY27" s="86"/>
      <c r="AZ27" s="87"/>
      <c r="BA27" s="86"/>
      <c r="BB27" s="87"/>
      <c r="BC27" s="86"/>
      <c r="BD27" s="87"/>
      <c r="BE27" s="86"/>
      <c r="BF27" s="87"/>
      <c r="BG27" s="86"/>
      <c r="BH27" s="87"/>
      <c r="BI27" s="86"/>
      <c r="BJ27" s="87"/>
      <c r="BK27" s="86"/>
      <c r="BL27" s="87"/>
      <c r="BM27" s="86"/>
      <c r="BN27" s="50"/>
      <c r="BO27" s="170" t="str">
        <f t="shared" si="2"/>
        <v/>
      </c>
      <c r="BP27" s="87"/>
      <c r="BQ27" s="178" t="str">
        <f>IF(BM27="","",BM27)</f>
        <v/>
      </c>
      <c r="BR27"/>
      <c r="BS27"/>
      <c r="BT27"/>
      <c r="BU27"/>
      <c r="BV27"/>
      <c r="BW27"/>
      <c r="BX27"/>
    </row>
    <row r="28" spans="1:76" x14ac:dyDescent="0.35">
      <c r="A28" s="53" t="s">
        <v>22</v>
      </c>
      <c r="B28" s="54"/>
      <c r="C28" s="174" t="str">
        <f>IF('June 2027 Log'!BK28="","",'June 2027 Log'!BK28)</f>
        <v/>
      </c>
      <c r="D28" s="85"/>
      <c r="E28" s="86"/>
      <c r="F28" s="87"/>
      <c r="G28" s="86"/>
      <c r="H28" s="87"/>
      <c r="I28" s="86"/>
      <c r="J28" s="87"/>
      <c r="K28" s="86"/>
      <c r="L28" s="87"/>
      <c r="M28" s="86"/>
      <c r="N28" s="87"/>
      <c r="O28" s="86"/>
      <c r="P28" s="87"/>
      <c r="Q28" s="86"/>
      <c r="R28" s="87"/>
      <c r="S28" s="86"/>
      <c r="T28" s="87"/>
      <c r="U28" s="86"/>
      <c r="V28" s="87"/>
      <c r="W28" s="86"/>
      <c r="X28" s="87"/>
      <c r="Y28" s="86"/>
      <c r="Z28" s="87"/>
      <c r="AA28" s="86"/>
      <c r="AB28" s="87"/>
      <c r="AC28" s="86"/>
      <c r="AD28" s="87"/>
      <c r="AE28" s="86"/>
      <c r="AF28" s="87"/>
      <c r="AG28" s="86"/>
      <c r="AH28" s="87"/>
      <c r="AI28" s="86"/>
      <c r="AJ28" s="87"/>
      <c r="AK28" s="86"/>
      <c r="AL28" s="87"/>
      <c r="AM28" s="86"/>
      <c r="AN28" s="87"/>
      <c r="AO28" s="86"/>
      <c r="AP28" s="87"/>
      <c r="AQ28" s="86"/>
      <c r="AR28" s="87"/>
      <c r="AS28" s="86"/>
      <c r="AT28" s="87"/>
      <c r="AU28" s="86"/>
      <c r="AV28" s="87"/>
      <c r="AW28" s="86"/>
      <c r="AX28" s="87"/>
      <c r="AY28" s="86"/>
      <c r="AZ28" s="87"/>
      <c r="BA28" s="86"/>
      <c r="BB28" s="87"/>
      <c r="BC28" s="86"/>
      <c r="BD28" s="87"/>
      <c r="BE28" s="86"/>
      <c r="BF28" s="87"/>
      <c r="BG28" s="86"/>
      <c r="BH28" s="87"/>
      <c r="BI28" s="86"/>
      <c r="BJ28" s="87"/>
      <c r="BK28" s="86"/>
      <c r="BL28" s="87"/>
      <c r="BM28" s="86"/>
      <c r="BN28" s="50"/>
      <c r="BO28" s="170" t="str">
        <f t="shared" si="2"/>
        <v/>
      </c>
      <c r="BP28" s="87"/>
      <c r="BQ28" s="178" t="str">
        <f>IF(BM28="","",BM28)</f>
        <v/>
      </c>
    </row>
    <row r="29" spans="1:76" s="4" customFormat="1" ht="15" thickBot="1" x14ac:dyDescent="0.4">
      <c r="A29" s="53" t="s">
        <v>23</v>
      </c>
      <c r="B29" s="54"/>
      <c r="C29" s="84"/>
      <c r="D29" s="85"/>
      <c r="E29" s="86"/>
      <c r="F29" s="87"/>
      <c r="G29" s="86"/>
      <c r="H29" s="87"/>
      <c r="I29" s="86"/>
      <c r="J29" s="87"/>
      <c r="K29" s="86"/>
      <c r="L29" s="87"/>
      <c r="M29" s="86"/>
      <c r="N29" s="87"/>
      <c r="O29" s="86"/>
      <c r="P29" s="87"/>
      <c r="Q29" s="86"/>
      <c r="R29" s="87"/>
      <c r="S29" s="86"/>
      <c r="T29" s="87"/>
      <c r="U29" s="86"/>
      <c r="V29" s="87"/>
      <c r="W29" s="86"/>
      <c r="X29" s="87"/>
      <c r="Y29" s="86"/>
      <c r="Z29" s="87"/>
      <c r="AA29" s="86"/>
      <c r="AB29" s="87"/>
      <c r="AC29" s="86"/>
      <c r="AD29" s="87"/>
      <c r="AE29" s="86"/>
      <c r="AF29" s="87"/>
      <c r="AG29" s="86"/>
      <c r="AH29" s="87"/>
      <c r="AI29" s="86"/>
      <c r="AJ29" s="87"/>
      <c r="AK29" s="86"/>
      <c r="AL29" s="87"/>
      <c r="AM29" s="86"/>
      <c r="AN29" s="87"/>
      <c r="AO29" s="86"/>
      <c r="AP29" s="87"/>
      <c r="AQ29" s="86"/>
      <c r="AR29" s="87"/>
      <c r="AS29" s="86"/>
      <c r="AT29" s="87"/>
      <c r="AU29" s="86"/>
      <c r="AV29" s="87"/>
      <c r="AW29" s="86"/>
      <c r="AX29" s="87"/>
      <c r="AY29" s="86"/>
      <c r="AZ29" s="87"/>
      <c r="BA29" s="86"/>
      <c r="BB29" s="87"/>
      <c r="BC29" s="86"/>
      <c r="BD29" s="87"/>
      <c r="BE29" s="86"/>
      <c r="BF29" s="87"/>
      <c r="BG29" s="86"/>
      <c r="BH29" s="87"/>
      <c r="BI29" s="86"/>
      <c r="BJ29" s="87"/>
      <c r="BK29" s="86"/>
      <c r="BL29" s="87"/>
      <c r="BM29" s="86"/>
      <c r="BN29" s="50"/>
      <c r="BO29" s="170" t="str">
        <f t="shared" si="2"/>
        <v/>
      </c>
      <c r="BP29" s="87"/>
      <c r="BQ29" s="88"/>
      <c r="BR29"/>
      <c r="BS29"/>
      <c r="BT29"/>
      <c r="BU29"/>
      <c r="BV29"/>
      <c r="BW29"/>
      <c r="BX29"/>
    </row>
    <row r="30" spans="1:76" s="5" customFormat="1" ht="15" thickBot="1" x14ac:dyDescent="0.4">
      <c r="A30" s="98"/>
      <c r="B30" s="90"/>
      <c r="C30" s="84"/>
      <c r="D30" s="47"/>
      <c r="E30" s="180" t="e">
        <f>E28-(C28-E25+E29)</f>
        <v>#VALUE!</v>
      </c>
      <c r="F30" s="49"/>
      <c r="G30" s="166">
        <f>G28-(E28-G25+G29)</f>
        <v>0</v>
      </c>
      <c r="H30" s="49"/>
      <c r="I30" s="166">
        <f>I28-(G28-I25+I29)</f>
        <v>0</v>
      </c>
      <c r="J30" s="49"/>
      <c r="K30" s="180">
        <f>K28-(I28-K25+K29)</f>
        <v>0</v>
      </c>
      <c r="L30" s="49"/>
      <c r="M30" s="166">
        <f>M28-(K28-M25+M29)</f>
        <v>0</v>
      </c>
      <c r="N30" s="49"/>
      <c r="O30" s="166">
        <f>O28-(M28-O25+O29)</f>
        <v>0</v>
      </c>
      <c r="P30" s="49"/>
      <c r="Q30" s="166">
        <f>Q28-(O28-Q25+Q29)</f>
        <v>0</v>
      </c>
      <c r="R30" s="49"/>
      <c r="S30" s="166">
        <f>S28-(Q28-S25+S29)</f>
        <v>0</v>
      </c>
      <c r="T30" s="49"/>
      <c r="U30" s="166">
        <f>U28-(S28-U25+U29)</f>
        <v>0</v>
      </c>
      <c r="V30" s="49"/>
      <c r="W30" s="166">
        <f>W28-(U28-W25+W29)</f>
        <v>0</v>
      </c>
      <c r="X30" s="49"/>
      <c r="Y30" s="166">
        <f>Y28-(W28-Y25+Y29)</f>
        <v>0</v>
      </c>
      <c r="Z30" s="49"/>
      <c r="AA30" s="166">
        <f>AA28-(Y28-AA25+AA29)</f>
        <v>0</v>
      </c>
      <c r="AB30" s="49"/>
      <c r="AC30" s="166">
        <f>AC28-(AA28-AC25+AC29)</f>
        <v>0</v>
      </c>
      <c r="AD30" s="49"/>
      <c r="AE30" s="166">
        <f>AE28-(AC28-AE25+AE29)</f>
        <v>0</v>
      </c>
      <c r="AF30" s="49"/>
      <c r="AG30" s="166">
        <f>AG28-(AE28-AG25+AG29)</f>
        <v>0</v>
      </c>
      <c r="AH30" s="49"/>
      <c r="AI30" s="166">
        <f>AI28-(AG28-AI25+AI29)</f>
        <v>0</v>
      </c>
      <c r="AJ30" s="49"/>
      <c r="AK30" s="166">
        <f>AK28-(AI28-AK25+AK29)</f>
        <v>0</v>
      </c>
      <c r="AL30" s="49"/>
      <c r="AM30" s="166">
        <f>AM28-(AK28-AM25+AM29)</f>
        <v>0</v>
      </c>
      <c r="AN30" s="49"/>
      <c r="AO30" s="166">
        <f>AO28-(AM28-AO25+AO29)</f>
        <v>0</v>
      </c>
      <c r="AP30" s="49"/>
      <c r="AQ30" s="166">
        <f>AQ28-(AO28-AQ25+AQ29)</f>
        <v>0</v>
      </c>
      <c r="AR30" s="49"/>
      <c r="AS30" s="166">
        <f>AS28-(AQ28-AS25+AS29)</f>
        <v>0</v>
      </c>
      <c r="AT30" s="49"/>
      <c r="AU30" s="166">
        <f>AU28-(AS28-AU25+AU29)</f>
        <v>0</v>
      </c>
      <c r="AV30" s="49"/>
      <c r="AW30" s="166">
        <f>AW28-(AU28-AW25+AW29)</f>
        <v>0</v>
      </c>
      <c r="AX30" s="49"/>
      <c r="AY30" s="166">
        <f>AY28-(AW28-AY25+AY29)</f>
        <v>0</v>
      </c>
      <c r="AZ30" s="49"/>
      <c r="BA30" s="166">
        <f>BA28-(AY28-BA25+BA29)</f>
        <v>0</v>
      </c>
      <c r="BB30" s="49"/>
      <c r="BC30" s="166">
        <f>BC28-(BA28-BC25+BC29)</f>
        <v>0</v>
      </c>
      <c r="BD30" s="49"/>
      <c r="BE30" s="166">
        <f>BE28-(BC28-BE25+BE29)</f>
        <v>0</v>
      </c>
      <c r="BF30" s="49"/>
      <c r="BG30" s="166">
        <f>BG28-(BE28-BG25+BG29)</f>
        <v>0</v>
      </c>
      <c r="BH30" s="49"/>
      <c r="BI30" s="166">
        <f>BI28-(BG28-BI25+BI29)</f>
        <v>0</v>
      </c>
      <c r="BJ30" s="49"/>
      <c r="BK30" s="166">
        <f>BK28-(BI28-BK25+BK29)</f>
        <v>0</v>
      </c>
      <c r="BL30" s="49"/>
      <c r="BM30" s="166">
        <f>BM28-(BK28-BM25+BM29)</f>
        <v>0</v>
      </c>
      <c r="BN30" s="50"/>
      <c r="BO30" s="170" t="e">
        <f t="shared" si="2"/>
        <v>#VALUE!</v>
      </c>
      <c r="BP30" s="49"/>
      <c r="BQ30" s="52"/>
      <c r="BR30"/>
      <c r="BS30"/>
      <c r="BT30"/>
      <c r="BU30"/>
      <c r="BV30"/>
      <c r="BW30"/>
      <c r="BX30"/>
    </row>
    <row r="31" spans="1:76" s="5" customFormat="1" ht="15" thickBot="1" x14ac:dyDescent="0.4">
      <c r="A31" s="98"/>
      <c r="B31" s="90"/>
      <c r="C31" s="84"/>
      <c r="D31" s="47"/>
      <c r="E31" s="166" t="str">
        <f>IF(E25=0,"",E30/E25*100)</f>
        <v/>
      </c>
      <c r="F31" s="49"/>
      <c r="G31" s="166" t="str">
        <f>IF(G25=0,"",G30/G25*100)</f>
        <v/>
      </c>
      <c r="H31" s="49"/>
      <c r="I31" s="166" t="str">
        <f>IF(I25=0,"",I30/I25*100)</f>
        <v/>
      </c>
      <c r="J31" s="49"/>
      <c r="K31" s="166" t="str">
        <f>IF(K25=0,"",K30/K25*100)</f>
        <v/>
      </c>
      <c r="L31" s="49"/>
      <c r="M31" s="166" t="str">
        <f>IF(M25=0,"",M30/M25*100)</f>
        <v/>
      </c>
      <c r="N31" s="49"/>
      <c r="O31" s="166" t="str">
        <f>IF(O25=0,"",O30/O25*100)</f>
        <v/>
      </c>
      <c r="P31" s="49"/>
      <c r="Q31" s="166" t="str">
        <f>IF(Q25=0,"",Q30/Q25*100)</f>
        <v/>
      </c>
      <c r="R31" s="49"/>
      <c r="S31" s="166" t="str">
        <f>IF(S25=0,"",S30/S25*100)</f>
        <v/>
      </c>
      <c r="T31" s="49"/>
      <c r="U31" s="166" t="str">
        <f>IF(U25=0,"",U30/U25*100)</f>
        <v/>
      </c>
      <c r="V31" s="49"/>
      <c r="W31" s="166" t="str">
        <f>IF(W25=0,"",W30/W25*100)</f>
        <v/>
      </c>
      <c r="X31" s="49"/>
      <c r="Y31" s="166" t="str">
        <f>IF(Y25=0,"",Y30/Y25*100)</f>
        <v/>
      </c>
      <c r="Z31" s="49"/>
      <c r="AA31" s="166" t="str">
        <f>IF(AA25=0,"",AA30/AA25*100)</f>
        <v/>
      </c>
      <c r="AB31" s="49"/>
      <c r="AC31" s="166" t="str">
        <f>IF(AC25=0,"",AC30/AC25*100)</f>
        <v/>
      </c>
      <c r="AD31" s="49"/>
      <c r="AE31" s="166" t="str">
        <f>IF(AE25=0,"",AE30/AE25*100)</f>
        <v/>
      </c>
      <c r="AF31" s="49"/>
      <c r="AG31" s="166" t="str">
        <f>IF(AG25=0,"",AG30/AG25*100)</f>
        <v/>
      </c>
      <c r="AH31" s="49"/>
      <c r="AI31" s="166" t="str">
        <f>IF(AI25=0,"",AI30/AI25*100)</f>
        <v/>
      </c>
      <c r="AJ31" s="49"/>
      <c r="AK31" s="166" t="str">
        <f>IF(AK25=0,"",AK30/AK25*100)</f>
        <v/>
      </c>
      <c r="AL31" s="49"/>
      <c r="AM31" s="166" t="str">
        <f>IF(AM25=0,"",AM30/AM25*100)</f>
        <v/>
      </c>
      <c r="AN31" s="49"/>
      <c r="AO31" s="166" t="str">
        <f>IF(AO25=0,"",AO30/AO25*100)</f>
        <v/>
      </c>
      <c r="AP31" s="49"/>
      <c r="AQ31" s="166" t="str">
        <f>IF(AQ25=0,"",AQ30/AQ25*100)</f>
        <v/>
      </c>
      <c r="AR31" s="49"/>
      <c r="AS31" s="166" t="str">
        <f>IF(AS25=0,"",AS30/AS25*100)</f>
        <v/>
      </c>
      <c r="AT31" s="49"/>
      <c r="AU31" s="166" t="str">
        <f>IF(AU25=0,"",AU30/AU25*100)</f>
        <v/>
      </c>
      <c r="AV31" s="49"/>
      <c r="AW31" s="166" t="str">
        <f>IF(AW25=0,"",AW30/AW25*100)</f>
        <v/>
      </c>
      <c r="AX31" s="49"/>
      <c r="AY31" s="166" t="str">
        <f>IF(AY25=0,"",AY30/AY25*100)</f>
        <v/>
      </c>
      <c r="AZ31" s="49"/>
      <c r="BA31" s="166" t="str">
        <f>IF(BA25=0,"",BA30/BA25*100)</f>
        <v/>
      </c>
      <c r="BB31" s="49"/>
      <c r="BC31" s="166" t="str">
        <f>IF(BC25=0,"",BC30/BC25*100)</f>
        <v/>
      </c>
      <c r="BD31" s="49"/>
      <c r="BE31" s="166" t="str">
        <f>IF(BE25=0,"",BE30/BE25*100)</f>
        <v/>
      </c>
      <c r="BF31" s="49"/>
      <c r="BG31" s="166" t="str">
        <f>IF(BG25=0,"",BG30/BG25*100)</f>
        <v/>
      </c>
      <c r="BH31" s="49"/>
      <c r="BI31" s="166" t="str">
        <f>IF(BI25=0,"",BI30/BI25*100)</f>
        <v/>
      </c>
      <c r="BJ31" s="49"/>
      <c r="BK31" s="166" t="str">
        <f>IF(BK25=0,"",BK30/BK25*100)</f>
        <v/>
      </c>
      <c r="BL31" s="49"/>
      <c r="BM31" s="166" t="str">
        <f>IF(BM25=0,"",BM30/BM25*100)</f>
        <v/>
      </c>
      <c r="BN31" s="50"/>
      <c r="BO31" s="170" t="str">
        <f t="shared" si="2"/>
        <v/>
      </c>
      <c r="BP31" s="49"/>
      <c r="BQ31" s="52"/>
      <c r="BR31"/>
      <c r="BS31"/>
      <c r="BT31"/>
      <c r="BU31"/>
      <c r="BV31"/>
      <c r="BW31"/>
      <c r="BX31"/>
    </row>
    <row r="32" spans="1:76" x14ac:dyDescent="0.35">
      <c r="A32" s="83" t="s">
        <v>5</v>
      </c>
      <c r="B32" s="54"/>
      <c r="C32" s="174" t="str">
        <f>IF('June 2027 Log'!BK32="","",'June 2027 Log'!BK32)</f>
        <v/>
      </c>
      <c r="D32" s="85"/>
      <c r="E32" s="86"/>
      <c r="F32" s="87"/>
      <c r="G32" s="86"/>
      <c r="H32" s="87"/>
      <c r="I32" s="86"/>
      <c r="J32" s="87"/>
      <c r="K32" s="86"/>
      <c r="L32" s="87"/>
      <c r="M32" s="86"/>
      <c r="N32" s="87"/>
      <c r="O32" s="86"/>
      <c r="P32" s="87"/>
      <c r="Q32" s="86"/>
      <c r="R32" s="87"/>
      <c r="S32" s="86"/>
      <c r="T32" s="87"/>
      <c r="U32" s="86"/>
      <c r="V32" s="87"/>
      <c r="W32" s="86"/>
      <c r="X32" s="87"/>
      <c r="Y32" s="86"/>
      <c r="Z32" s="87"/>
      <c r="AA32" s="86"/>
      <c r="AB32" s="87"/>
      <c r="AC32" s="86"/>
      <c r="AD32" s="87"/>
      <c r="AE32" s="86"/>
      <c r="AF32" s="87"/>
      <c r="AG32" s="86"/>
      <c r="AH32" s="87"/>
      <c r="AI32" s="86"/>
      <c r="AJ32" s="87"/>
      <c r="AK32" s="86"/>
      <c r="AL32" s="87"/>
      <c r="AM32" s="86"/>
      <c r="AN32" s="87"/>
      <c r="AO32" s="86"/>
      <c r="AP32" s="87"/>
      <c r="AQ32" s="86"/>
      <c r="AR32" s="87"/>
      <c r="AS32" s="86"/>
      <c r="AT32" s="87"/>
      <c r="AU32" s="86"/>
      <c r="AV32" s="87"/>
      <c r="AW32" s="86"/>
      <c r="AX32" s="87"/>
      <c r="AY32" s="86"/>
      <c r="AZ32" s="87"/>
      <c r="BA32" s="86"/>
      <c r="BB32" s="87"/>
      <c r="BC32" s="86"/>
      <c r="BD32" s="87"/>
      <c r="BE32" s="86"/>
      <c r="BF32" s="87"/>
      <c r="BG32" s="86"/>
      <c r="BH32" s="87"/>
      <c r="BI32" s="86"/>
      <c r="BJ32" s="87"/>
      <c r="BK32" s="86"/>
      <c r="BL32" s="87"/>
      <c r="BM32" s="86"/>
      <c r="BN32" s="50"/>
      <c r="BO32" s="170" t="str">
        <f t="shared" si="2"/>
        <v/>
      </c>
      <c r="BP32" s="87"/>
      <c r="BQ32" s="178" t="str">
        <f>IF(BM32="","",BM32)</f>
        <v/>
      </c>
    </row>
    <row r="33" spans="1:76" x14ac:dyDescent="0.35">
      <c r="A33" s="83" t="s">
        <v>6</v>
      </c>
      <c r="B33" s="54"/>
      <c r="C33" s="174" t="str">
        <f>IF('June 2027 Log'!BK33="","",'June 2027 Log'!BK33)</f>
        <v/>
      </c>
      <c r="D33" s="85"/>
      <c r="E33" s="86"/>
      <c r="F33" s="87"/>
      <c r="G33" s="86"/>
      <c r="H33" s="87"/>
      <c r="I33" s="86"/>
      <c r="J33" s="87"/>
      <c r="K33" s="86"/>
      <c r="L33" s="87"/>
      <c r="M33" s="86"/>
      <c r="N33" s="87"/>
      <c r="O33" s="86"/>
      <c r="P33" s="87"/>
      <c r="Q33" s="86"/>
      <c r="R33" s="87"/>
      <c r="S33" s="86"/>
      <c r="T33" s="87"/>
      <c r="U33" s="86"/>
      <c r="V33" s="87"/>
      <c r="W33" s="86"/>
      <c r="X33" s="87"/>
      <c r="Y33" s="86"/>
      <c r="Z33" s="87"/>
      <c r="AA33" s="86"/>
      <c r="AB33" s="87"/>
      <c r="AC33" s="86"/>
      <c r="AD33" s="87"/>
      <c r="AE33" s="86"/>
      <c r="AF33" s="87"/>
      <c r="AG33" s="86"/>
      <c r="AH33" s="87"/>
      <c r="AI33" s="86"/>
      <c r="AJ33" s="87"/>
      <c r="AK33" s="86"/>
      <c r="AL33" s="87"/>
      <c r="AM33" s="86"/>
      <c r="AN33" s="87"/>
      <c r="AO33" s="86"/>
      <c r="AP33" s="87"/>
      <c r="AQ33" s="86"/>
      <c r="AR33" s="87"/>
      <c r="AS33" s="86"/>
      <c r="AT33" s="87"/>
      <c r="AU33" s="86"/>
      <c r="AV33" s="87"/>
      <c r="AW33" s="86"/>
      <c r="AX33" s="87"/>
      <c r="AY33" s="86"/>
      <c r="AZ33" s="87"/>
      <c r="BA33" s="86"/>
      <c r="BB33" s="87"/>
      <c r="BC33" s="86"/>
      <c r="BD33" s="87"/>
      <c r="BE33" s="86"/>
      <c r="BF33" s="87"/>
      <c r="BG33" s="86"/>
      <c r="BH33" s="87"/>
      <c r="BI33" s="86"/>
      <c r="BJ33" s="87"/>
      <c r="BK33" s="86"/>
      <c r="BL33" s="87"/>
      <c r="BM33" s="86"/>
      <c r="BN33" s="50"/>
      <c r="BO33" s="170" t="str">
        <f t="shared" si="2"/>
        <v/>
      </c>
      <c r="BP33" s="87"/>
      <c r="BQ33" s="178" t="str">
        <f>IF(BM33="","",BM33)</f>
        <v/>
      </c>
    </row>
    <row r="34" spans="1:76" x14ac:dyDescent="0.35">
      <c r="A34" s="83" t="s">
        <v>7</v>
      </c>
      <c r="B34" s="54"/>
      <c r="C34" s="174" t="str">
        <f>IF('June 2027 Log'!BK34="","",'June 2027 Log'!BK34)</f>
        <v/>
      </c>
      <c r="D34" s="85"/>
      <c r="E34" s="86"/>
      <c r="F34" s="87"/>
      <c r="G34" s="86"/>
      <c r="H34" s="87"/>
      <c r="I34" s="86"/>
      <c r="J34" s="87"/>
      <c r="K34" s="86"/>
      <c r="L34" s="87"/>
      <c r="M34" s="86"/>
      <c r="N34" s="87"/>
      <c r="O34" s="86"/>
      <c r="P34" s="87"/>
      <c r="Q34" s="86"/>
      <c r="R34" s="87"/>
      <c r="S34" s="86"/>
      <c r="T34" s="87"/>
      <c r="U34" s="86"/>
      <c r="V34" s="87"/>
      <c r="W34" s="86"/>
      <c r="X34" s="87"/>
      <c r="Y34" s="86"/>
      <c r="Z34" s="87"/>
      <c r="AA34" s="86"/>
      <c r="AB34" s="87"/>
      <c r="AC34" s="86"/>
      <c r="AD34" s="87"/>
      <c r="AE34" s="86"/>
      <c r="AF34" s="87"/>
      <c r="AG34" s="86"/>
      <c r="AH34" s="87"/>
      <c r="AI34" s="86"/>
      <c r="AJ34" s="87"/>
      <c r="AK34" s="86"/>
      <c r="AL34" s="87"/>
      <c r="AM34" s="86"/>
      <c r="AN34" s="87"/>
      <c r="AO34" s="86"/>
      <c r="AP34" s="87"/>
      <c r="AQ34" s="86"/>
      <c r="AR34" s="87"/>
      <c r="AS34" s="86"/>
      <c r="AT34" s="99"/>
      <c r="AU34" s="86"/>
      <c r="AV34" s="87"/>
      <c r="AW34" s="86"/>
      <c r="AX34" s="87"/>
      <c r="AY34" s="86"/>
      <c r="AZ34" s="87"/>
      <c r="BA34" s="86"/>
      <c r="BB34" s="87"/>
      <c r="BC34" s="86"/>
      <c r="BD34" s="87"/>
      <c r="BE34" s="86"/>
      <c r="BF34" s="87"/>
      <c r="BG34" s="86"/>
      <c r="BH34" s="87"/>
      <c r="BI34" s="86"/>
      <c r="BJ34" s="87"/>
      <c r="BK34" s="86"/>
      <c r="BL34" s="87"/>
      <c r="BM34" s="86"/>
      <c r="BN34" s="50"/>
      <c r="BO34" s="170" t="str">
        <f t="shared" si="2"/>
        <v/>
      </c>
      <c r="BP34" s="87"/>
      <c r="BQ34" s="178" t="str">
        <f>IF(BM34="","",BM34)</f>
        <v/>
      </c>
    </row>
    <row r="35" spans="1:76" x14ac:dyDescent="0.35">
      <c r="A35" s="100"/>
      <c r="B35" s="75"/>
      <c r="C35" s="101"/>
      <c r="D35" s="102"/>
      <c r="E35" s="103"/>
      <c r="F35" s="104"/>
      <c r="G35" s="103"/>
      <c r="H35" s="104"/>
      <c r="I35" s="103"/>
      <c r="J35" s="104"/>
      <c r="K35" s="103"/>
      <c r="L35" s="104"/>
      <c r="M35" s="103"/>
      <c r="N35" s="104"/>
      <c r="O35" s="103"/>
      <c r="P35" s="104"/>
      <c r="Q35" s="103"/>
      <c r="R35" s="104"/>
      <c r="S35" s="103"/>
      <c r="T35" s="104"/>
      <c r="U35" s="103"/>
      <c r="V35" s="104"/>
      <c r="W35" s="103"/>
      <c r="X35" s="104"/>
      <c r="Y35" s="103"/>
      <c r="Z35" s="104"/>
      <c r="AA35" s="103"/>
      <c r="AB35" s="104"/>
      <c r="AC35" s="103"/>
      <c r="AD35" s="104"/>
      <c r="AE35" s="103"/>
      <c r="AF35" s="104"/>
      <c r="AG35" s="103"/>
      <c r="AH35" s="104"/>
      <c r="AI35" s="103"/>
      <c r="AJ35" s="104"/>
      <c r="AK35" s="103"/>
      <c r="AL35" s="104"/>
      <c r="AM35" s="103"/>
      <c r="AN35" s="104"/>
      <c r="AO35" s="103"/>
      <c r="AP35" s="104"/>
      <c r="AQ35" s="103"/>
      <c r="AR35" s="104"/>
      <c r="AS35" s="103"/>
      <c r="AT35" s="104"/>
      <c r="AU35" s="103"/>
      <c r="AV35" s="104"/>
      <c r="AW35" s="103"/>
      <c r="AX35" s="104"/>
      <c r="AY35" s="103"/>
      <c r="AZ35" s="104"/>
      <c r="BA35" s="103"/>
      <c r="BB35" s="104"/>
      <c r="BC35" s="103"/>
      <c r="BD35" s="104"/>
      <c r="BE35" s="103"/>
      <c r="BF35" s="104"/>
      <c r="BG35" s="103"/>
      <c r="BH35" s="104"/>
      <c r="BI35" s="103"/>
      <c r="BJ35" s="104"/>
      <c r="BK35" s="103"/>
      <c r="BL35" s="104"/>
      <c r="BM35" s="103"/>
      <c r="BN35" s="105"/>
      <c r="BO35" s="183" t="str">
        <f t="shared" si="2"/>
        <v/>
      </c>
      <c r="BP35" s="104"/>
      <c r="BQ35" s="107"/>
    </row>
    <row r="36" spans="1:76" x14ac:dyDescent="0.35">
      <c r="A36" s="83" t="s">
        <v>59</v>
      </c>
      <c r="B36" s="54" t="s">
        <v>58</v>
      </c>
      <c r="C36" s="174" t="str">
        <f>IF('June 2027 Log'!BK36="","",'June 2027 Log'!BK36)</f>
        <v/>
      </c>
      <c r="D36" s="85"/>
      <c r="E36" s="86"/>
      <c r="F36" s="87"/>
      <c r="G36" s="86"/>
      <c r="H36" s="87"/>
      <c r="I36" s="86"/>
      <c r="J36" s="87"/>
      <c r="K36" s="86"/>
      <c r="L36" s="87"/>
      <c r="M36" s="86"/>
      <c r="N36" s="87"/>
      <c r="O36" s="86"/>
      <c r="P36" s="87"/>
      <c r="Q36" s="86"/>
      <c r="R36" s="87"/>
      <c r="S36" s="86"/>
      <c r="T36" s="87"/>
      <c r="U36" s="86"/>
      <c r="V36" s="87"/>
      <c r="W36" s="86"/>
      <c r="X36" s="87"/>
      <c r="Y36" s="86"/>
      <c r="Z36" s="87"/>
      <c r="AA36" s="86"/>
      <c r="AB36" s="87"/>
      <c r="AC36" s="86"/>
      <c r="AD36" s="87"/>
      <c r="AE36" s="86"/>
      <c r="AF36" s="87"/>
      <c r="AG36" s="86"/>
      <c r="AH36" s="87"/>
      <c r="AI36" s="86"/>
      <c r="AJ36" s="87"/>
      <c r="AK36" s="86"/>
      <c r="AL36" s="87"/>
      <c r="AM36" s="86"/>
      <c r="AN36" s="87"/>
      <c r="AO36" s="86"/>
      <c r="AP36" s="87"/>
      <c r="AQ36" s="86"/>
      <c r="AR36" s="87"/>
      <c r="AS36" s="86"/>
      <c r="AT36" s="87"/>
      <c r="AU36" s="86"/>
      <c r="AV36" s="87"/>
      <c r="AW36" s="86"/>
      <c r="AX36" s="87"/>
      <c r="AY36" s="86"/>
      <c r="AZ36" s="87"/>
      <c r="BA36" s="86"/>
      <c r="BB36" s="87"/>
      <c r="BC36" s="86"/>
      <c r="BD36" s="87"/>
      <c r="BE36" s="86"/>
      <c r="BF36" s="87"/>
      <c r="BG36" s="86"/>
      <c r="BH36" s="87"/>
      <c r="BI36" s="86"/>
      <c r="BJ36" s="87"/>
      <c r="BK36" s="86"/>
      <c r="BL36" s="87"/>
      <c r="BM36" s="86"/>
      <c r="BN36" s="50"/>
      <c r="BO36" s="170" t="str">
        <f t="shared" si="2"/>
        <v/>
      </c>
      <c r="BP36" s="87"/>
      <c r="BQ36" s="178" t="str">
        <f>IF(BM36="","",BM36)</f>
        <v/>
      </c>
    </row>
    <row r="37" spans="1:76" x14ac:dyDescent="0.35">
      <c r="A37" s="83"/>
      <c r="B37" s="54"/>
      <c r="C37" s="84"/>
      <c r="D37" s="85"/>
      <c r="E37" s="86"/>
      <c r="F37" s="87"/>
      <c r="G37" s="86"/>
      <c r="H37" s="87"/>
      <c r="I37" s="86"/>
      <c r="J37" s="87"/>
      <c r="K37" s="86"/>
      <c r="L37" s="87"/>
      <c r="M37" s="86"/>
      <c r="N37" s="87"/>
      <c r="O37" s="86"/>
      <c r="P37" s="87"/>
      <c r="Q37" s="86"/>
      <c r="R37" s="87"/>
      <c r="S37" s="86"/>
      <c r="T37" s="87"/>
      <c r="U37" s="86"/>
      <c r="V37" s="87"/>
      <c r="W37" s="86"/>
      <c r="X37" s="87"/>
      <c r="Y37" s="86"/>
      <c r="Z37" s="87"/>
      <c r="AA37" s="86"/>
      <c r="AB37" s="87"/>
      <c r="AC37" s="86"/>
      <c r="AD37" s="87"/>
      <c r="AE37" s="86"/>
      <c r="AF37" s="87"/>
      <c r="AG37" s="86"/>
      <c r="AH37" s="87"/>
      <c r="AI37" s="86"/>
      <c r="AJ37" s="87"/>
      <c r="AK37" s="86"/>
      <c r="AL37" s="87"/>
      <c r="AM37" s="86"/>
      <c r="AN37" s="87"/>
      <c r="AO37" s="86"/>
      <c r="AP37" s="87"/>
      <c r="AQ37" s="86"/>
      <c r="AR37" s="87"/>
      <c r="AS37" s="86"/>
      <c r="AT37" s="87"/>
      <c r="AU37" s="86"/>
      <c r="AV37" s="87"/>
      <c r="AW37" s="86"/>
      <c r="AX37" s="87"/>
      <c r="AY37" s="86"/>
      <c r="AZ37" s="87"/>
      <c r="BA37" s="86"/>
      <c r="BB37" s="87"/>
      <c r="BC37" s="86"/>
      <c r="BD37" s="87"/>
      <c r="BE37" s="86"/>
      <c r="BF37" s="87"/>
      <c r="BG37" s="86"/>
      <c r="BH37" s="87"/>
      <c r="BI37" s="86"/>
      <c r="BJ37" s="87"/>
      <c r="BK37" s="86"/>
      <c r="BL37" s="87"/>
      <c r="BM37" s="86"/>
      <c r="BN37" s="50"/>
      <c r="BO37" s="170" t="str">
        <f t="shared" si="2"/>
        <v/>
      </c>
      <c r="BP37" s="87"/>
      <c r="BQ37" s="88"/>
    </row>
    <row r="38" spans="1:76" x14ac:dyDescent="0.35">
      <c r="A38" s="83" t="s">
        <v>62</v>
      </c>
      <c r="B38" s="54" t="s">
        <v>63</v>
      </c>
      <c r="C38" s="174" t="str">
        <f>IF('June 2027 Log'!BK38="","",'June 2027 Log'!BK38)</f>
        <v/>
      </c>
      <c r="D38" s="85"/>
      <c r="E38" s="86"/>
      <c r="F38" s="87"/>
      <c r="G38" s="86"/>
      <c r="H38" s="87"/>
      <c r="I38" s="86"/>
      <c r="J38" s="87"/>
      <c r="K38" s="86"/>
      <c r="L38" s="87"/>
      <c r="M38" s="86"/>
      <c r="N38" s="87"/>
      <c r="O38" s="86"/>
      <c r="P38" s="87"/>
      <c r="Q38" s="86"/>
      <c r="R38" s="87"/>
      <c r="S38" s="86"/>
      <c r="T38" s="87"/>
      <c r="U38" s="86"/>
      <c r="V38" s="87"/>
      <c r="W38" s="86"/>
      <c r="X38" s="87"/>
      <c r="Y38" s="86"/>
      <c r="Z38" s="87"/>
      <c r="AA38" s="86"/>
      <c r="AB38" s="87"/>
      <c r="AC38" s="86"/>
      <c r="AD38" s="87"/>
      <c r="AE38" s="86"/>
      <c r="AF38" s="87"/>
      <c r="AG38" s="86"/>
      <c r="AH38" s="87"/>
      <c r="AI38" s="86"/>
      <c r="AJ38" s="87"/>
      <c r="AK38" s="86"/>
      <c r="AL38" s="87"/>
      <c r="AM38" s="86"/>
      <c r="AN38" s="87"/>
      <c r="AO38" s="86"/>
      <c r="AP38" s="87"/>
      <c r="AQ38" s="86"/>
      <c r="AR38" s="87"/>
      <c r="AS38" s="86"/>
      <c r="AT38" s="87"/>
      <c r="AU38" s="86"/>
      <c r="AV38" s="87"/>
      <c r="AW38" s="86"/>
      <c r="AX38" s="87"/>
      <c r="AY38" s="86"/>
      <c r="AZ38" s="87"/>
      <c r="BA38" s="86"/>
      <c r="BB38" s="87"/>
      <c r="BC38" s="86"/>
      <c r="BD38" s="87"/>
      <c r="BE38" s="86"/>
      <c r="BF38" s="87"/>
      <c r="BG38" s="86"/>
      <c r="BH38" s="87"/>
      <c r="BI38" s="86"/>
      <c r="BJ38" s="87"/>
      <c r="BK38" s="86"/>
      <c r="BL38" s="87"/>
      <c r="BM38" s="86"/>
      <c r="BN38" s="50"/>
      <c r="BO38" s="170" t="str">
        <f t="shared" si="2"/>
        <v/>
      </c>
      <c r="BP38" s="87"/>
      <c r="BQ38" s="178" t="str">
        <f>IF(BM38="","",BM38)</f>
        <v/>
      </c>
    </row>
    <row r="39" spans="1:76" x14ac:dyDescent="0.35">
      <c r="A39" s="83" t="s">
        <v>64</v>
      </c>
      <c r="B39" s="54" t="s">
        <v>63</v>
      </c>
      <c r="C39" s="174" t="str">
        <f>IF('June 2027 Log'!BK39="","",'June 2027 Log'!BK39)</f>
        <v/>
      </c>
      <c r="D39" s="85"/>
      <c r="E39" s="86"/>
      <c r="F39" s="87"/>
      <c r="G39" s="86"/>
      <c r="H39" s="87"/>
      <c r="I39" s="86"/>
      <c r="J39" s="87"/>
      <c r="K39" s="86"/>
      <c r="L39" s="87"/>
      <c r="M39" s="86"/>
      <c r="N39" s="87"/>
      <c r="O39" s="86"/>
      <c r="P39" s="87"/>
      <c r="Q39" s="86"/>
      <c r="R39" s="87"/>
      <c r="S39" s="86"/>
      <c r="T39" s="87"/>
      <c r="U39" s="86"/>
      <c r="V39" s="87"/>
      <c r="W39" s="86"/>
      <c r="X39" s="87"/>
      <c r="Y39" s="86"/>
      <c r="Z39" s="87"/>
      <c r="AA39" s="86"/>
      <c r="AB39" s="87"/>
      <c r="AC39" s="86"/>
      <c r="AD39" s="87"/>
      <c r="AE39" s="86"/>
      <c r="AF39" s="87"/>
      <c r="AG39" s="86"/>
      <c r="AH39" s="87"/>
      <c r="AI39" s="86"/>
      <c r="AJ39" s="87"/>
      <c r="AK39" s="86"/>
      <c r="AL39" s="87"/>
      <c r="AM39" s="86"/>
      <c r="AN39" s="87"/>
      <c r="AO39" s="86"/>
      <c r="AP39" s="87"/>
      <c r="AQ39" s="86"/>
      <c r="AR39" s="87"/>
      <c r="AS39" s="86"/>
      <c r="AT39" s="87"/>
      <c r="AU39" s="86"/>
      <c r="AV39" s="87"/>
      <c r="AW39" s="86"/>
      <c r="AX39" s="87"/>
      <c r="AY39" s="86"/>
      <c r="AZ39" s="87"/>
      <c r="BA39" s="86"/>
      <c r="BB39" s="87"/>
      <c r="BC39" s="86"/>
      <c r="BD39" s="87"/>
      <c r="BE39" s="86"/>
      <c r="BF39" s="87"/>
      <c r="BG39" s="86"/>
      <c r="BH39" s="87"/>
      <c r="BI39" s="86"/>
      <c r="BJ39" s="87"/>
      <c r="BK39" s="86"/>
      <c r="BL39" s="87"/>
      <c r="BM39" s="86"/>
      <c r="BN39" s="50"/>
      <c r="BO39" s="170" t="str">
        <f t="shared" si="2"/>
        <v/>
      </c>
      <c r="BP39" s="87"/>
      <c r="BQ39" s="178" t="str">
        <f>IF(BM39="","",BM39)</f>
        <v/>
      </c>
    </row>
    <row r="40" spans="1:76" x14ac:dyDescent="0.35">
      <c r="A40" s="83" t="s">
        <v>44</v>
      </c>
      <c r="B40" s="54"/>
      <c r="C40" s="84"/>
      <c r="D40" s="85"/>
      <c r="E40" s="86"/>
      <c r="F40" s="87"/>
      <c r="G40" s="86"/>
      <c r="H40" s="87"/>
      <c r="I40" s="86"/>
      <c r="J40" s="87"/>
      <c r="K40" s="86"/>
      <c r="L40" s="87"/>
      <c r="M40" s="86"/>
      <c r="N40" s="87"/>
      <c r="O40" s="86"/>
      <c r="P40" s="87"/>
      <c r="Q40" s="86"/>
      <c r="R40" s="87"/>
      <c r="S40" s="86"/>
      <c r="T40" s="87"/>
      <c r="U40" s="86"/>
      <c r="V40" s="87"/>
      <c r="W40" s="86"/>
      <c r="X40" s="87"/>
      <c r="Y40" s="86"/>
      <c r="Z40" s="87"/>
      <c r="AA40" s="86"/>
      <c r="AB40" s="87"/>
      <c r="AC40" s="86"/>
      <c r="AD40" s="87"/>
      <c r="AE40" s="86"/>
      <c r="AF40" s="87"/>
      <c r="AG40" s="86"/>
      <c r="AH40" s="87"/>
      <c r="AI40" s="86"/>
      <c r="AJ40" s="87"/>
      <c r="AK40" s="86"/>
      <c r="AL40" s="87"/>
      <c r="AM40" s="86"/>
      <c r="AN40" s="87"/>
      <c r="AO40" s="86"/>
      <c r="AP40" s="87"/>
      <c r="AQ40" s="86"/>
      <c r="AR40" s="87"/>
      <c r="AS40" s="86"/>
      <c r="AT40" s="87"/>
      <c r="AU40" s="86"/>
      <c r="AV40" s="87"/>
      <c r="AW40" s="86"/>
      <c r="AX40" s="87"/>
      <c r="AY40" s="86"/>
      <c r="AZ40" s="87"/>
      <c r="BA40" s="86"/>
      <c r="BB40" s="87"/>
      <c r="BC40" s="86"/>
      <c r="BD40" s="87"/>
      <c r="BE40" s="86"/>
      <c r="BF40" s="87"/>
      <c r="BG40" s="86"/>
      <c r="BH40" s="87"/>
      <c r="BI40" s="86"/>
      <c r="BJ40" s="87"/>
      <c r="BK40" s="86"/>
      <c r="BL40" s="87"/>
      <c r="BM40" s="86"/>
      <c r="BN40" s="50"/>
      <c r="BO40" s="170" t="str">
        <f t="shared" si="2"/>
        <v/>
      </c>
      <c r="BP40" s="87"/>
      <c r="BQ40" s="88"/>
    </row>
    <row r="41" spans="1:76" x14ac:dyDescent="0.35">
      <c r="A41" s="83" t="s">
        <v>54</v>
      </c>
      <c r="B41" s="54"/>
      <c r="C41" s="84"/>
      <c r="D41" s="85"/>
      <c r="E41" s="86"/>
      <c r="F41" s="87"/>
      <c r="G41" s="86"/>
      <c r="H41" s="87"/>
      <c r="I41" s="86"/>
      <c r="J41" s="87"/>
      <c r="K41" s="86"/>
      <c r="L41" s="87"/>
      <c r="M41" s="86"/>
      <c r="N41" s="87"/>
      <c r="O41" s="86"/>
      <c r="P41" s="87"/>
      <c r="Q41" s="86"/>
      <c r="R41" s="87"/>
      <c r="S41" s="86"/>
      <c r="T41" s="87"/>
      <c r="U41" s="86"/>
      <c r="V41" s="87"/>
      <c r="W41" s="86"/>
      <c r="X41" s="87"/>
      <c r="Y41" s="86"/>
      <c r="Z41" s="87"/>
      <c r="AA41" s="86"/>
      <c r="AB41" s="87"/>
      <c r="AC41" s="86"/>
      <c r="AD41" s="87"/>
      <c r="AE41" s="86"/>
      <c r="AF41" s="87"/>
      <c r="AG41" s="86"/>
      <c r="AH41" s="87"/>
      <c r="AI41" s="86"/>
      <c r="AJ41" s="87"/>
      <c r="AK41" s="86"/>
      <c r="AL41" s="87"/>
      <c r="AM41" s="86"/>
      <c r="AN41" s="87"/>
      <c r="AO41" s="86"/>
      <c r="AP41" s="87"/>
      <c r="AQ41" s="86"/>
      <c r="AR41" s="87"/>
      <c r="AS41" s="86"/>
      <c r="AT41" s="87"/>
      <c r="AU41" s="86"/>
      <c r="AV41" s="87"/>
      <c r="AW41" s="86"/>
      <c r="AX41" s="87"/>
      <c r="AY41" s="86"/>
      <c r="AZ41" s="87"/>
      <c r="BA41" s="86"/>
      <c r="BB41" s="87"/>
      <c r="BC41" s="86"/>
      <c r="BD41" s="87"/>
      <c r="BE41" s="86"/>
      <c r="BF41" s="87"/>
      <c r="BG41" s="86"/>
      <c r="BH41" s="87"/>
      <c r="BI41" s="86"/>
      <c r="BJ41" s="87"/>
      <c r="BK41" s="86"/>
      <c r="BL41" s="87"/>
      <c r="BM41" s="86"/>
      <c r="BN41" s="50"/>
      <c r="BO41" s="170" t="str">
        <f t="shared" si="2"/>
        <v/>
      </c>
      <c r="BP41" s="87"/>
      <c r="BQ41" s="88"/>
    </row>
    <row r="42" spans="1:76" s="1" customFormat="1" x14ac:dyDescent="0.35">
      <c r="A42" s="89" t="s">
        <v>35</v>
      </c>
      <c r="B42" s="90"/>
      <c r="C42" s="174">
        <f>IF('June 2027 Log'!BK42="","",'June 2027 Log'!BK42)</f>
        <v>0</v>
      </c>
      <c r="D42" s="47"/>
      <c r="E42" s="166">
        <f>SUM(E36:E41)</f>
        <v>0</v>
      </c>
      <c r="F42" s="49"/>
      <c r="G42" s="166">
        <f>SUM(G36:G41)</f>
        <v>0</v>
      </c>
      <c r="H42" s="49"/>
      <c r="I42" s="166">
        <f>SUM(I36:I41)</f>
        <v>0</v>
      </c>
      <c r="J42" s="49"/>
      <c r="K42" s="166">
        <f>SUM(K36:K41)</f>
        <v>0</v>
      </c>
      <c r="L42" s="49"/>
      <c r="M42" s="166">
        <f>SUM(M36:M41)</f>
        <v>0</v>
      </c>
      <c r="N42" s="49"/>
      <c r="O42" s="166">
        <f>SUM(O36:O41)</f>
        <v>0</v>
      </c>
      <c r="P42" s="49"/>
      <c r="Q42" s="166">
        <f>SUM(Q36:Q41)</f>
        <v>0</v>
      </c>
      <c r="R42" s="49"/>
      <c r="S42" s="166">
        <f>SUM(S36:S41)</f>
        <v>0</v>
      </c>
      <c r="T42" s="49"/>
      <c r="U42" s="166">
        <f>SUM(U36:U41)</f>
        <v>0</v>
      </c>
      <c r="V42" s="49"/>
      <c r="W42" s="166">
        <f>SUM(W36:W41)</f>
        <v>0</v>
      </c>
      <c r="X42" s="49"/>
      <c r="Y42" s="166">
        <f>SUM(Y36:Y41)</f>
        <v>0</v>
      </c>
      <c r="Z42" s="49"/>
      <c r="AA42" s="166">
        <f>SUM(AA36:AA41)</f>
        <v>0</v>
      </c>
      <c r="AB42" s="49"/>
      <c r="AC42" s="166">
        <f>SUM(AC36:AC41)</f>
        <v>0</v>
      </c>
      <c r="AD42" s="49"/>
      <c r="AE42" s="166">
        <f>SUM(AE36:AE41)</f>
        <v>0</v>
      </c>
      <c r="AF42" s="49"/>
      <c r="AG42" s="166">
        <f>SUM(AG36:AG41)</f>
        <v>0</v>
      </c>
      <c r="AH42" s="49"/>
      <c r="AI42" s="166">
        <f>SUM(AI36:AI41)</f>
        <v>0</v>
      </c>
      <c r="AJ42" s="49"/>
      <c r="AK42" s="166">
        <f>SUM(AK36:AK41)</f>
        <v>0</v>
      </c>
      <c r="AL42" s="49"/>
      <c r="AM42" s="166">
        <f>SUM(AM36:AM41)</f>
        <v>0</v>
      </c>
      <c r="AN42" s="49"/>
      <c r="AO42" s="166">
        <f>SUM(AO36:AO41)</f>
        <v>0</v>
      </c>
      <c r="AP42" s="49"/>
      <c r="AQ42" s="166">
        <f>SUM(AQ36:AQ41)</f>
        <v>0</v>
      </c>
      <c r="AR42" s="49"/>
      <c r="AS42" s="166">
        <f>SUM(AS36:AS41)</f>
        <v>0</v>
      </c>
      <c r="AT42" s="49"/>
      <c r="AU42" s="166">
        <f>SUM(AU36:AU41)</f>
        <v>0</v>
      </c>
      <c r="AV42" s="49"/>
      <c r="AW42" s="166">
        <f>SUM(AW36:AW41)</f>
        <v>0</v>
      </c>
      <c r="AX42" s="49"/>
      <c r="AY42" s="166">
        <f>SUM(AY36:AY41)</f>
        <v>0</v>
      </c>
      <c r="AZ42" s="49"/>
      <c r="BA42" s="166">
        <f>SUM(BA36:BA41)</f>
        <v>0</v>
      </c>
      <c r="BB42" s="49"/>
      <c r="BC42" s="166">
        <f>SUM(BC36:BC41)</f>
        <v>0</v>
      </c>
      <c r="BD42" s="49"/>
      <c r="BE42" s="166">
        <f>SUM(BE36:BE41)</f>
        <v>0</v>
      </c>
      <c r="BF42" s="49"/>
      <c r="BG42" s="166">
        <f>SUM(BG36:BG41)</f>
        <v>0</v>
      </c>
      <c r="BH42" s="49"/>
      <c r="BI42" s="166">
        <f>SUM(BI36:BI41)</f>
        <v>0</v>
      </c>
      <c r="BJ42" s="49"/>
      <c r="BK42" s="166">
        <f>SUM(BK36:BK41)</f>
        <v>0</v>
      </c>
      <c r="BL42" s="49"/>
      <c r="BM42" s="166">
        <f>SUM(BM36:BM41)</f>
        <v>0</v>
      </c>
      <c r="BN42" s="50"/>
      <c r="BO42" s="170">
        <f t="shared" si="2"/>
        <v>0</v>
      </c>
      <c r="BP42" s="49"/>
      <c r="BQ42" s="172">
        <f>IF(BM42="","",BM42)</f>
        <v>0</v>
      </c>
      <c r="BR42"/>
      <c r="BS42"/>
      <c r="BT42"/>
      <c r="BU42"/>
      <c r="BV42"/>
      <c r="BW42"/>
      <c r="BX42"/>
    </row>
    <row r="43" spans="1:76" x14ac:dyDescent="0.35">
      <c r="A43" s="83" t="s">
        <v>61</v>
      </c>
      <c r="B43" s="54" t="s">
        <v>60</v>
      </c>
      <c r="C43" s="174" t="str">
        <f>IF('June 2027 Log'!BK43="","",'June 2027 Log'!BK43)</f>
        <v/>
      </c>
      <c r="D43" s="85"/>
      <c r="E43" s="86"/>
      <c r="F43" s="87"/>
      <c r="G43" s="86"/>
      <c r="H43" s="87"/>
      <c r="I43" s="86"/>
      <c r="J43" s="87"/>
      <c r="K43" s="86"/>
      <c r="L43" s="87"/>
      <c r="M43" s="86"/>
      <c r="N43" s="87"/>
      <c r="O43" s="86"/>
      <c r="P43" s="87"/>
      <c r="Q43" s="86"/>
      <c r="R43" s="87"/>
      <c r="S43" s="86"/>
      <c r="T43" s="87"/>
      <c r="U43" s="86"/>
      <c r="V43" s="87"/>
      <c r="W43" s="86"/>
      <c r="X43" s="87"/>
      <c r="Y43" s="86"/>
      <c r="Z43" s="87"/>
      <c r="AA43" s="86"/>
      <c r="AB43" s="87"/>
      <c r="AC43" s="86"/>
      <c r="AD43" s="87"/>
      <c r="AE43" s="86"/>
      <c r="AF43" s="87"/>
      <c r="AG43" s="86"/>
      <c r="AH43" s="87"/>
      <c r="AI43" s="86"/>
      <c r="AJ43" s="87"/>
      <c r="AK43" s="86"/>
      <c r="AL43" s="87"/>
      <c r="AM43" s="86"/>
      <c r="AN43" s="87"/>
      <c r="AO43" s="86"/>
      <c r="AP43" s="87"/>
      <c r="AQ43" s="86"/>
      <c r="AR43" s="87"/>
      <c r="AS43" s="86"/>
      <c r="AT43" s="87"/>
      <c r="AU43" s="86"/>
      <c r="AV43" s="87"/>
      <c r="AW43" s="86"/>
      <c r="AX43" s="87"/>
      <c r="AY43" s="86"/>
      <c r="AZ43" s="87"/>
      <c r="BA43" s="86"/>
      <c r="BB43" s="87"/>
      <c r="BC43" s="86"/>
      <c r="BD43" s="87"/>
      <c r="BE43" s="86"/>
      <c r="BF43" s="87"/>
      <c r="BG43" s="86"/>
      <c r="BH43" s="87"/>
      <c r="BI43" s="86"/>
      <c r="BJ43" s="87"/>
      <c r="BK43" s="86"/>
      <c r="BL43" s="87"/>
      <c r="BM43" s="86"/>
      <c r="BN43" s="50"/>
      <c r="BO43" s="170" t="str">
        <f t="shared" si="2"/>
        <v/>
      </c>
      <c r="BP43" s="87"/>
      <c r="BQ43" s="178" t="str">
        <f>IF(BM43="","",BM43)</f>
        <v/>
      </c>
    </row>
    <row r="44" spans="1:76" hidden="1" x14ac:dyDescent="0.35">
      <c r="A44" s="83" t="s">
        <v>8</v>
      </c>
      <c r="B44" s="54"/>
      <c r="C44" s="84"/>
      <c r="D44" s="85"/>
      <c r="E44" s="86"/>
      <c r="F44" s="87"/>
      <c r="G44" s="86"/>
      <c r="H44" s="87"/>
      <c r="I44" s="86"/>
      <c r="J44" s="87"/>
      <c r="K44" s="86"/>
      <c r="L44" s="87"/>
      <c r="M44" s="86"/>
      <c r="N44" s="87"/>
      <c r="O44" s="86"/>
      <c r="P44" s="87"/>
      <c r="Q44" s="86"/>
      <c r="R44" s="87"/>
      <c r="S44" s="86"/>
      <c r="T44" s="87"/>
      <c r="U44" s="86"/>
      <c r="V44" s="87"/>
      <c r="W44" s="86"/>
      <c r="X44" s="87"/>
      <c r="Y44" s="86"/>
      <c r="Z44" s="87"/>
      <c r="AA44" s="86"/>
      <c r="AB44" s="87"/>
      <c r="AC44" s="86"/>
      <c r="AD44" s="87"/>
      <c r="AE44" s="86"/>
      <c r="AF44" s="87"/>
      <c r="AG44" s="86"/>
      <c r="AH44" s="87"/>
      <c r="AI44" s="86"/>
      <c r="AJ44" s="87"/>
      <c r="AK44" s="86"/>
      <c r="AL44" s="87"/>
      <c r="AM44" s="86"/>
      <c r="AN44" s="87"/>
      <c r="AO44" s="86"/>
      <c r="AP44" s="87"/>
      <c r="AQ44" s="86"/>
      <c r="AR44" s="87"/>
      <c r="AS44" s="86"/>
      <c r="AT44" s="87"/>
      <c r="AU44" s="86"/>
      <c r="AV44" s="87"/>
      <c r="AW44" s="86"/>
      <c r="AX44" s="87"/>
      <c r="AY44" s="86"/>
      <c r="AZ44" s="87"/>
      <c r="BA44" s="86"/>
      <c r="BB44" s="87"/>
      <c r="BC44" s="86"/>
      <c r="BD44" s="87"/>
      <c r="BE44" s="86"/>
      <c r="BF44" s="87"/>
      <c r="BG44" s="86"/>
      <c r="BH44" s="87"/>
      <c r="BI44" s="86"/>
      <c r="BJ44" s="87"/>
      <c r="BK44" s="86"/>
      <c r="BL44" s="87"/>
      <c r="BM44" s="86"/>
      <c r="BN44" s="50"/>
      <c r="BO44" s="170" t="str">
        <f t="shared" si="2"/>
        <v/>
      </c>
      <c r="BP44" s="87"/>
      <c r="BQ44" s="88"/>
    </row>
    <row r="45" spans="1:76" hidden="1" x14ac:dyDescent="0.35">
      <c r="A45" s="83" t="s">
        <v>9</v>
      </c>
      <c r="B45" s="54"/>
      <c r="C45" s="84"/>
      <c r="D45" s="85"/>
      <c r="E45" s="86"/>
      <c r="F45" s="87"/>
      <c r="G45" s="86"/>
      <c r="H45" s="87"/>
      <c r="I45" s="86"/>
      <c r="J45" s="87"/>
      <c r="K45" s="86"/>
      <c r="L45" s="87"/>
      <c r="M45" s="86"/>
      <c r="N45" s="87"/>
      <c r="O45" s="86"/>
      <c r="P45" s="87"/>
      <c r="Q45" s="86"/>
      <c r="R45" s="87"/>
      <c r="S45" s="86"/>
      <c r="T45" s="87"/>
      <c r="U45" s="86"/>
      <c r="V45" s="87"/>
      <c r="W45" s="86"/>
      <c r="X45" s="87"/>
      <c r="Y45" s="86"/>
      <c r="Z45" s="87"/>
      <c r="AA45" s="86"/>
      <c r="AB45" s="87"/>
      <c r="AC45" s="86"/>
      <c r="AD45" s="87"/>
      <c r="AE45" s="86"/>
      <c r="AF45" s="87"/>
      <c r="AG45" s="86"/>
      <c r="AH45" s="87"/>
      <c r="AI45" s="86"/>
      <c r="AJ45" s="87"/>
      <c r="AK45" s="86"/>
      <c r="AL45" s="87"/>
      <c r="AM45" s="86"/>
      <c r="AN45" s="87"/>
      <c r="AO45" s="86"/>
      <c r="AP45" s="87"/>
      <c r="AQ45" s="86"/>
      <c r="AR45" s="87"/>
      <c r="AS45" s="86"/>
      <c r="AT45" s="87"/>
      <c r="AU45" s="86"/>
      <c r="AV45" s="87"/>
      <c r="AW45" s="86"/>
      <c r="AX45" s="87"/>
      <c r="AY45" s="86"/>
      <c r="AZ45" s="87"/>
      <c r="BA45" s="86"/>
      <c r="BB45" s="87"/>
      <c r="BC45" s="86"/>
      <c r="BD45" s="87"/>
      <c r="BE45" s="86"/>
      <c r="BF45" s="87"/>
      <c r="BG45" s="86"/>
      <c r="BH45" s="87"/>
      <c r="BI45" s="86"/>
      <c r="BJ45" s="87"/>
      <c r="BK45" s="86"/>
      <c r="BL45" s="87"/>
      <c r="BM45" s="86"/>
      <c r="BN45" s="50"/>
      <c r="BO45" s="170" t="str">
        <f t="shared" si="2"/>
        <v/>
      </c>
      <c r="BP45" s="87"/>
      <c r="BQ45" s="88"/>
    </row>
    <row r="46" spans="1:76" hidden="1" x14ac:dyDescent="0.35">
      <c r="A46" s="83" t="s">
        <v>43</v>
      </c>
      <c r="B46" s="54"/>
      <c r="C46" s="84"/>
      <c r="D46" s="85"/>
      <c r="E46" s="86"/>
      <c r="F46" s="87"/>
      <c r="G46" s="86"/>
      <c r="H46" s="87"/>
      <c r="I46" s="86"/>
      <c r="J46" s="87"/>
      <c r="K46" s="86"/>
      <c r="L46" s="87"/>
      <c r="M46" s="86"/>
      <c r="N46" s="87"/>
      <c r="O46" s="86"/>
      <c r="P46" s="87"/>
      <c r="Q46" s="86"/>
      <c r="R46" s="87"/>
      <c r="S46" s="86"/>
      <c r="T46" s="87"/>
      <c r="U46" s="86"/>
      <c r="V46" s="87"/>
      <c r="W46" s="86"/>
      <c r="X46" s="87"/>
      <c r="Y46" s="86"/>
      <c r="Z46" s="87"/>
      <c r="AA46" s="86"/>
      <c r="AB46" s="87"/>
      <c r="AC46" s="86"/>
      <c r="AD46" s="87"/>
      <c r="AE46" s="86"/>
      <c r="AF46" s="87"/>
      <c r="AG46" s="86"/>
      <c r="AH46" s="87"/>
      <c r="AI46" s="86"/>
      <c r="AJ46" s="87"/>
      <c r="AK46" s="86"/>
      <c r="AL46" s="87"/>
      <c r="AM46" s="86"/>
      <c r="AN46" s="87"/>
      <c r="AO46" s="86"/>
      <c r="AP46" s="87"/>
      <c r="AQ46" s="86"/>
      <c r="AR46" s="87"/>
      <c r="AS46" s="86"/>
      <c r="AT46" s="87"/>
      <c r="AU46" s="86"/>
      <c r="AV46" s="87"/>
      <c r="AW46" s="86"/>
      <c r="AX46" s="87"/>
      <c r="AY46" s="86"/>
      <c r="AZ46" s="87"/>
      <c r="BA46" s="86"/>
      <c r="BB46" s="87"/>
      <c r="BC46" s="86"/>
      <c r="BD46" s="87"/>
      <c r="BE46" s="86"/>
      <c r="BF46" s="87"/>
      <c r="BG46" s="86"/>
      <c r="BH46" s="87"/>
      <c r="BI46" s="86"/>
      <c r="BJ46" s="87"/>
      <c r="BK46" s="86"/>
      <c r="BL46" s="87"/>
      <c r="BM46" s="86"/>
      <c r="BN46" s="50"/>
      <c r="BO46" s="170" t="str">
        <f t="shared" si="2"/>
        <v/>
      </c>
      <c r="BP46" s="87"/>
      <c r="BQ46" s="88"/>
    </row>
    <row r="47" spans="1:76" hidden="1" x14ac:dyDescent="0.35">
      <c r="A47" s="83" t="s">
        <v>10</v>
      </c>
      <c r="B47" s="54"/>
      <c r="C47" s="84"/>
      <c r="D47" s="85"/>
      <c r="E47" s="86"/>
      <c r="F47" s="87"/>
      <c r="G47" s="86"/>
      <c r="H47" s="87"/>
      <c r="I47" s="86"/>
      <c r="J47" s="87"/>
      <c r="K47" s="86"/>
      <c r="L47" s="87"/>
      <c r="M47" s="86"/>
      <c r="N47" s="87"/>
      <c r="O47" s="86"/>
      <c r="P47" s="87"/>
      <c r="Q47" s="86"/>
      <c r="R47" s="87"/>
      <c r="S47" s="86"/>
      <c r="T47" s="87"/>
      <c r="U47" s="86"/>
      <c r="V47" s="87"/>
      <c r="W47" s="86"/>
      <c r="X47" s="87"/>
      <c r="Y47" s="86"/>
      <c r="Z47" s="87"/>
      <c r="AA47" s="86"/>
      <c r="AB47" s="87"/>
      <c r="AC47" s="86"/>
      <c r="AD47" s="87"/>
      <c r="AE47" s="86"/>
      <c r="AF47" s="87"/>
      <c r="AG47" s="86"/>
      <c r="AH47" s="87"/>
      <c r="AI47" s="86"/>
      <c r="AJ47" s="87"/>
      <c r="AK47" s="86"/>
      <c r="AL47" s="87"/>
      <c r="AM47" s="86"/>
      <c r="AN47" s="87"/>
      <c r="AO47" s="86"/>
      <c r="AP47" s="87"/>
      <c r="AQ47" s="86"/>
      <c r="AR47" s="87"/>
      <c r="AS47" s="86"/>
      <c r="AT47" s="87"/>
      <c r="AU47" s="86"/>
      <c r="AV47" s="87"/>
      <c r="AW47" s="86"/>
      <c r="AX47" s="87"/>
      <c r="AY47" s="86"/>
      <c r="AZ47" s="87"/>
      <c r="BA47" s="86"/>
      <c r="BB47" s="87"/>
      <c r="BC47" s="86"/>
      <c r="BD47" s="87"/>
      <c r="BE47" s="86"/>
      <c r="BF47" s="87"/>
      <c r="BG47" s="86"/>
      <c r="BH47" s="87"/>
      <c r="BI47" s="86"/>
      <c r="BJ47" s="87"/>
      <c r="BK47" s="86"/>
      <c r="BL47" s="87"/>
      <c r="BM47" s="86"/>
      <c r="BN47" s="50"/>
      <c r="BO47" s="170" t="str">
        <f t="shared" si="2"/>
        <v/>
      </c>
      <c r="BP47" s="87"/>
      <c r="BQ47" s="88"/>
    </row>
    <row r="48" spans="1:76" hidden="1" x14ac:dyDescent="0.35">
      <c r="A48" s="83" t="s">
        <v>11</v>
      </c>
      <c r="B48" s="54"/>
      <c r="C48" s="84"/>
      <c r="D48" s="85"/>
      <c r="E48" s="86"/>
      <c r="F48" s="87"/>
      <c r="G48" s="86"/>
      <c r="H48" s="87"/>
      <c r="I48" s="86"/>
      <c r="J48" s="87"/>
      <c r="K48" s="86"/>
      <c r="L48" s="87"/>
      <c r="M48" s="86"/>
      <c r="N48" s="87"/>
      <c r="O48" s="86"/>
      <c r="P48" s="87"/>
      <c r="Q48" s="86"/>
      <c r="R48" s="87"/>
      <c r="S48" s="86"/>
      <c r="T48" s="87"/>
      <c r="U48" s="86"/>
      <c r="V48" s="87"/>
      <c r="W48" s="86"/>
      <c r="X48" s="87"/>
      <c r="Y48" s="86"/>
      <c r="Z48" s="87"/>
      <c r="AA48" s="86"/>
      <c r="AB48" s="87"/>
      <c r="AC48" s="86"/>
      <c r="AD48" s="87"/>
      <c r="AE48" s="86"/>
      <c r="AF48" s="87"/>
      <c r="AG48" s="86"/>
      <c r="AH48" s="87"/>
      <c r="AI48" s="86"/>
      <c r="AJ48" s="87"/>
      <c r="AK48" s="86"/>
      <c r="AL48" s="87"/>
      <c r="AM48" s="86"/>
      <c r="AN48" s="87"/>
      <c r="AO48" s="86"/>
      <c r="AP48" s="87"/>
      <c r="AQ48" s="86"/>
      <c r="AR48" s="87"/>
      <c r="AS48" s="86"/>
      <c r="AT48" s="87"/>
      <c r="AU48" s="86"/>
      <c r="AV48" s="87"/>
      <c r="AW48" s="86"/>
      <c r="AX48" s="87"/>
      <c r="AY48" s="86"/>
      <c r="AZ48" s="87"/>
      <c r="BA48" s="86"/>
      <c r="BB48" s="87"/>
      <c r="BC48" s="86"/>
      <c r="BD48" s="87"/>
      <c r="BE48" s="86"/>
      <c r="BF48" s="87"/>
      <c r="BG48" s="86"/>
      <c r="BH48" s="87"/>
      <c r="BI48" s="86"/>
      <c r="BJ48" s="87"/>
      <c r="BK48" s="86"/>
      <c r="BL48" s="87"/>
      <c r="BM48" s="86"/>
      <c r="BN48" s="50"/>
      <c r="BO48" s="170" t="str">
        <f t="shared" si="2"/>
        <v/>
      </c>
      <c r="BP48" s="87"/>
      <c r="BQ48" s="88"/>
    </row>
    <row r="49" spans="1:76" s="1" customFormat="1" x14ac:dyDescent="0.35">
      <c r="A49" s="89" t="s">
        <v>36</v>
      </c>
      <c r="B49" s="90"/>
      <c r="C49" s="174">
        <f>IF('June 2027 Log'!BK49="","",'June 2027 Log'!BK49)</f>
        <v>0</v>
      </c>
      <c r="D49" s="47"/>
      <c r="E49" s="166">
        <f>SUM(E43:E48)</f>
        <v>0</v>
      </c>
      <c r="F49" s="49"/>
      <c r="G49" s="166">
        <f>SUM(G43:G48)</f>
        <v>0</v>
      </c>
      <c r="H49" s="49"/>
      <c r="I49" s="166">
        <f>SUM(I43:I48)</f>
        <v>0</v>
      </c>
      <c r="J49" s="49"/>
      <c r="K49" s="166">
        <f>SUM(K43:K48)</f>
        <v>0</v>
      </c>
      <c r="L49" s="49"/>
      <c r="M49" s="166">
        <f>SUM(M43:M48)</f>
        <v>0</v>
      </c>
      <c r="N49" s="49"/>
      <c r="O49" s="166">
        <f>SUM(O43:O48)</f>
        <v>0</v>
      </c>
      <c r="P49" s="49"/>
      <c r="Q49" s="166">
        <f>SUM(Q43:Q48)</f>
        <v>0</v>
      </c>
      <c r="R49" s="49"/>
      <c r="S49" s="166">
        <f>SUM(S43:S48)</f>
        <v>0</v>
      </c>
      <c r="T49" s="49"/>
      <c r="U49" s="166">
        <f>SUM(U43:U48)</f>
        <v>0</v>
      </c>
      <c r="V49" s="49"/>
      <c r="W49" s="166">
        <f>SUM(W43:W48)</f>
        <v>0</v>
      </c>
      <c r="X49" s="49"/>
      <c r="Y49" s="166">
        <f>SUM(Y43:Y48)</f>
        <v>0</v>
      </c>
      <c r="Z49" s="49"/>
      <c r="AA49" s="166">
        <f>SUM(AA43:AA48)</f>
        <v>0</v>
      </c>
      <c r="AB49" s="49"/>
      <c r="AC49" s="166">
        <f>SUM(AC43:AC48)</f>
        <v>0</v>
      </c>
      <c r="AD49" s="49"/>
      <c r="AE49" s="166">
        <f>SUM(AE43:AE48)</f>
        <v>0</v>
      </c>
      <c r="AF49" s="49"/>
      <c r="AG49" s="166">
        <f>SUM(AG43:AG48)</f>
        <v>0</v>
      </c>
      <c r="AH49" s="49"/>
      <c r="AI49" s="166">
        <f>SUM(AI43:AI48)</f>
        <v>0</v>
      </c>
      <c r="AJ49" s="49"/>
      <c r="AK49" s="166">
        <f>SUM(AK43:AK48)</f>
        <v>0</v>
      </c>
      <c r="AL49" s="49"/>
      <c r="AM49" s="166">
        <f>SUM(AM43:AM48)</f>
        <v>0</v>
      </c>
      <c r="AN49" s="49"/>
      <c r="AO49" s="166">
        <f>SUM(AO43:AO48)</f>
        <v>0</v>
      </c>
      <c r="AP49" s="49"/>
      <c r="AQ49" s="166">
        <f>SUM(AQ43:AQ48)</f>
        <v>0</v>
      </c>
      <c r="AR49" s="49"/>
      <c r="AS49" s="166">
        <f>SUM(AS43:AS48)</f>
        <v>0</v>
      </c>
      <c r="AT49" s="49"/>
      <c r="AU49" s="166">
        <f>SUM(AU43:AU48)</f>
        <v>0</v>
      </c>
      <c r="AV49" s="49"/>
      <c r="AW49" s="166">
        <f>SUM(AW43:AW48)</f>
        <v>0</v>
      </c>
      <c r="AX49" s="49"/>
      <c r="AY49" s="166">
        <f>SUM(AY43:AY48)</f>
        <v>0</v>
      </c>
      <c r="AZ49" s="49"/>
      <c r="BA49" s="166">
        <f>SUM(BA43:BA48)</f>
        <v>0</v>
      </c>
      <c r="BB49" s="49"/>
      <c r="BC49" s="166">
        <f>SUM(BC43:BC48)</f>
        <v>0</v>
      </c>
      <c r="BD49" s="49"/>
      <c r="BE49" s="166">
        <f>SUM(BE43:BE48)</f>
        <v>0</v>
      </c>
      <c r="BF49" s="49"/>
      <c r="BG49" s="166">
        <f>SUM(BG43:BG48)</f>
        <v>0</v>
      </c>
      <c r="BH49" s="49"/>
      <c r="BI49" s="166">
        <f>SUM(BI43:BI48)</f>
        <v>0</v>
      </c>
      <c r="BJ49" s="49"/>
      <c r="BK49" s="166">
        <f>SUM(BK43:BK48)</f>
        <v>0</v>
      </c>
      <c r="BL49" s="49"/>
      <c r="BM49" s="166">
        <f>SUM(BM43:BM48)</f>
        <v>0</v>
      </c>
      <c r="BN49" s="50"/>
      <c r="BO49" s="170">
        <f t="shared" si="2"/>
        <v>0</v>
      </c>
      <c r="BP49" s="49"/>
      <c r="BQ49" s="172">
        <f>IF(BM49="","",BM49)</f>
        <v>0</v>
      </c>
      <c r="BR49"/>
      <c r="BS49"/>
      <c r="BT49"/>
      <c r="BU49"/>
      <c r="BV49"/>
      <c r="BW49"/>
      <c r="BX49"/>
    </row>
    <row r="50" spans="1:76" s="1" customFormat="1" x14ac:dyDescent="0.35">
      <c r="A50" s="89" t="s">
        <v>12</v>
      </c>
      <c r="B50" s="90"/>
      <c r="C50" s="174">
        <f>IF('June 2027 Log'!BK50="","",'June 2027 Log'!BK50)</f>
        <v>0</v>
      </c>
      <c r="D50" s="47"/>
      <c r="E50" s="166">
        <f t="shared" ref="E50" si="34">+E42+E49</f>
        <v>0</v>
      </c>
      <c r="F50" s="49"/>
      <c r="G50" s="166">
        <f t="shared" ref="G50" si="35">+G42+G49</f>
        <v>0</v>
      </c>
      <c r="H50" s="49"/>
      <c r="I50" s="166">
        <f t="shared" ref="I50" si="36">+I42+I49</f>
        <v>0</v>
      </c>
      <c r="J50" s="49"/>
      <c r="K50" s="166">
        <f t="shared" ref="K50" si="37">+K42+K49</f>
        <v>0</v>
      </c>
      <c r="L50" s="49"/>
      <c r="M50" s="166">
        <f t="shared" ref="M50" si="38">+M42+M49</f>
        <v>0</v>
      </c>
      <c r="N50" s="49"/>
      <c r="O50" s="166">
        <f t="shared" ref="O50" si="39">+O42+O49</f>
        <v>0</v>
      </c>
      <c r="P50" s="49"/>
      <c r="Q50" s="166">
        <f t="shared" ref="Q50" si="40">+Q42+Q49</f>
        <v>0</v>
      </c>
      <c r="R50" s="49"/>
      <c r="S50" s="166">
        <f t="shared" ref="S50" si="41">+S42+S49</f>
        <v>0</v>
      </c>
      <c r="T50" s="49"/>
      <c r="U50" s="166">
        <f t="shared" ref="U50" si="42">+U42+U49</f>
        <v>0</v>
      </c>
      <c r="V50" s="49"/>
      <c r="W50" s="166">
        <f t="shared" ref="W50" si="43">+W42+W49</f>
        <v>0</v>
      </c>
      <c r="X50" s="49"/>
      <c r="Y50" s="166">
        <f t="shared" ref="Y50" si="44">+Y42+Y49</f>
        <v>0</v>
      </c>
      <c r="Z50" s="49"/>
      <c r="AA50" s="166">
        <f t="shared" ref="AA50" si="45">+AA42+AA49</f>
        <v>0</v>
      </c>
      <c r="AB50" s="49"/>
      <c r="AC50" s="166">
        <f t="shared" ref="AC50" si="46">+AC42+AC49</f>
        <v>0</v>
      </c>
      <c r="AD50" s="49"/>
      <c r="AE50" s="166">
        <f t="shared" ref="AE50" si="47">+AE42+AE49</f>
        <v>0</v>
      </c>
      <c r="AF50" s="49"/>
      <c r="AG50" s="166">
        <f t="shared" ref="AG50" si="48">+AG42+AG49</f>
        <v>0</v>
      </c>
      <c r="AH50" s="49"/>
      <c r="AI50" s="166">
        <f t="shared" ref="AI50" si="49">+AI42+AI49</f>
        <v>0</v>
      </c>
      <c r="AJ50" s="49"/>
      <c r="AK50" s="166">
        <f t="shared" ref="AK50" si="50">+AK42+AK49</f>
        <v>0</v>
      </c>
      <c r="AL50" s="49"/>
      <c r="AM50" s="166">
        <f t="shared" ref="AM50" si="51">+AM42+AM49</f>
        <v>0</v>
      </c>
      <c r="AN50" s="49"/>
      <c r="AO50" s="166">
        <f t="shared" ref="AO50" si="52">+AO42+AO49</f>
        <v>0</v>
      </c>
      <c r="AP50" s="49"/>
      <c r="AQ50" s="166">
        <f t="shared" ref="AQ50" si="53">+AQ42+AQ49</f>
        <v>0</v>
      </c>
      <c r="AR50" s="49"/>
      <c r="AS50" s="166">
        <f t="shared" ref="AS50" si="54">+AS42+AS49</f>
        <v>0</v>
      </c>
      <c r="AT50" s="49"/>
      <c r="AU50" s="166">
        <f t="shared" ref="AU50" si="55">+AU42+AU49</f>
        <v>0</v>
      </c>
      <c r="AV50" s="49"/>
      <c r="AW50" s="166">
        <f t="shared" ref="AW50" si="56">+AW42+AW49</f>
        <v>0</v>
      </c>
      <c r="AX50" s="49"/>
      <c r="AY50" s="166">
        <f t="shared" ref="AY50" si="57">+AY42+AY49</f>
        <v>0</v>
      </c>
      <c r="AZ50" s="49"/>
      <c r="BA50" s="166">
        <f t="shared" ref="BA50" si="58">+BA42+BA49</f>
        <v>0</v>
      </c>
      <c r="BB50" s="49"/>
      <c r="BC50" s="166">
        <f t="shared" ref="BC50" si="59">+BC42+BC49</f>
        <v>0</v>
      </c>
      <c r="BD50" s="49"/>
      <c r="BE50" s="166">
        <f t="shared" ref="BE50" si="60">+BE42+BE49</f>
        <v>0</v>
      </c>
      <c r="BF50" s="49"/>
      <c r="BG50" s="166">
        <f t="shared" ref="BG50" si="61">+BG42+BG49</f>
        <v>0</v>
      </c>
      <c r="BH50" s="49"/>
      <c r="BI50" s="166">
        <f t="shared" ref="BI50" si="62">+BI42+BI49</f>
        <v>0</v>
      </c>
      <c r="BJ50" s="49"/>
      <c r="BK50" s="166">
        <f t="shared" ref="BK50" si="63">+BK42+BK49</f>
        <v>0</v>
      </c>
      <c r="BL50" s="49"/>
      <c r="BM50" s="166">
        <f t="shared" ref="BM50" si="64">+BM42+BM49</f>
        <v>0</v>
      </c>
      <c r="BN50" s="50"/>
      <c r="BO50" s="170">
        <f t="shared" si="2"/>
        <v>0</v>
      </c>
      <c r="BP50" s="49"/>
      <c r="BQ50" s="172">
        <f>IF(BM50="","",BM50)</f>
        <v>0</v>
      </c>
      <c r="BR50"/>
      <c r="BS50"/>
      <c r="BT50"/>
      <c r="BU50"/>
      <c r="BV50"/>
      <c r="BW50"/>
      <c r="BX50"/>
    </row>
    <row r="51" spans="1:76" x14ac:dyDescent="0.35">
      <c r="A51" s="83" t="s">
        <v>13</v>
      </c>
      <c r="B51" s="54"/>
      <c r="C51" s="84"/>
      <c r="D51" s="85"/>
      <c r="E51" s="86"/>
      <c r="F51" s="87"/>
      <c r="G51" s="86"/>
      <c r="H51" s="87"/>
      <c r="I51" s="86"/>
      <c r="J51" s="87"/>
      <c r="K51" s="86"/>
      <c r="L51" s="87"/>
      <c r="M51" s="86"/>
      <c r="N51" s="87"/>
      <c r="O51" s="86"/>
      <c r="P51" s="87"/>
      <c r="Q51" s="86"/>
      <c r="R51" s="87"/>
      <c r="S51" s="86"/>
      <c r="T51" s="87"/>
      <c r="U51" s="86"/>
      <c r="V51" s="87"/>
      <c r="W51" s="86"/>
      <c r="X51" s="87"/>
      <c r="Y51" s="86"/>
      <c r="Z51" s="87"/>
      <c r="AA51" s="86"/>
      <c r="AB51" s="87"/>
      <c r="AC51" s="86"/>
      <c r="AD51" s="87"/>
      <c r="AE51" s="86"/>
      <c r="AF51" s="87"/>
      <c r="AG51" s="86"/>
      <c r="AH51" s="87"/>
      <c r="AI51" s="86"/>
      <c r="AJ51" s="87"/>
      <c r="AK51" s="86"/>
      <c r="AL51" s="87"/>
      <c r="AM51" s="86"/>
      <c r="AN51" s="87"/>
      <c r="AO51" s="86"/>
      <c r="AP51" s="87"/>
      <c r="AQ51" s="86"/>
      <c r="AR51" s="87"/>
      <c r="AS51" s="86"/>
      <c r="AT51" s="87"/>
      <c r="AU51" s="86"/>
      <c r="AV51" s="87"/>
      <c r="AW51" s="86"/>
      <c r="AX51" s="87"/>
      <c r="AY51" s="86"/>
      <c r="AZ51" s="87"/>
      <c r="BA51" s="86"/>
      <c r="BB51" s="87"/>
      <c r="BC51" s="86"/>
      <c r="BD51" s="87"/>
      <c r="BE51" s="86"/>
      <c r="BF51" s="87"/>
      <c r="BG51" s="86"/>
      <c r="BH51" s="87"/>
      <c r="BI51" s="86"/>
      <c r="BJ51" s="87"/>
      <c r="BK51" s="86"/>
      <c r="BL51" s="87"/>
      <c r="BM51" s="86"/>
      <c r="BN51" s="50"/>
      <c r="BO51" s="170" t="str">
        <f t="shared" si="2"/>
        <v/>
      </c>
      <c r="BP51" s="87"/>
      <c r="BQ51" s="88"/>
    </row>
    <row r="52" spans="1:76" x14ac:dyDescent="0.35">
      <c r="A52" s="83" t="s">
        <v>14</v>
      </c>
      <c r="B52" s="54"/>
      <c r="C52" s="84"/>
      <c r="D52" s="85"/>
      <c r="E52" s="86"/>
      <c r="F52" s="87"/>
      <c r="G52" s="86"/>
      <c r="H52" s="87"/>
      <c r="I52" s="86"/>
      <c r="J52" s="87"/>
      <c r="K52" s="86"/>
      <c r="L52" s="87"/>
      <c r="M52" s="86"/>
      <c r="N52" s="87"/>
      <c r="O52" s="86"/>
      <c r="P52" s="87"/>
      <c r="Q52" s="86"/>
      <c r="R52" s="87"/>
      <c r="S52" s="86"/>
      <c r="T52" s="87"/>
      <c r="U52" s="86"/>
      <c r="V52" s="87"/>
      <c r="W52" s="86"/>
      <c r="X52" s="87"/>
      <c r="Y52" s="86"/>
      <c r="Z52" s="87"/>
      <c r="AA52" s="86"/>
      <c r="AB52" s="87"/>
      <c r="AC52" s="86"/>
      <c r="AD52" s="87"/>
      <c r="AE52" s="86"/>
      <c r="AF52" s="87"/>
      <c r="AG52" s="86"/>
      <c r="AH52" s="87"/>
      <c r="AI52" s="86"/>
      <c r="AJ52" s="87"/>
      <c r="AK52" s="86"/>
      <c r="AL52" s="87"/>
      <c r="AM52" s="86"/>
      <c r="AN52" s="87"/>
      <c r="AO52" s="86"/>
      <c r="AP52" s="87"/>
      <c r="AQ52" s="86"/>
      <c r="AR52" s="87"/>
      <c r="AS52" s="86"/>
      <c r="AT52" s="87"/>
      <c r="AU52" s="86"/>
      <c r="AV52" s="87"/>
      <c r="AW52" s="86"/>
      <c r="AX52" s="87"/>
      <c r="AY52" s="86"/>
      <c r="AZ52" s="87"/>
      <c r="BA52" s="86"/>
      <c r="BB52" s="87"/>
      <c r="BC52" s="86"/>
      <c r="BD52" s="87"/>
      <c r="BE52" s="86"/>
      <c r="BF52" s="87"/>
      <c r="BG52" s="86"/>
      <c r="BH52" s="87"/>
      <c r="BI52" s="86"/>
      <c r="BJ52" s="87"/>
      <c r="BK52" s="86"/>
      <c r="BL52" s="87"/>
      <c r="BM52" s="86"/>
      <c r="BN52" s="50"/>
      <c r="BO52" s="170" t="str">
        <f t="shared" si="2"/>
        <v/>
      </c>
      <c r="BP52" s="87"/>
      <c r="BQ52" s="88"/>
    </row>
    <row r="53" spans="1:76" x14ac:dyDescent="0.35">
      <c r="A53" s="83" t="s">
        <v>42</v>
      </c>
      <c r="B53" s="54"/>
      <c r="C53" s="84"/>
      <c r="D53" s="85"/>
      <c r="E53" s="86"/>
      <c r="F53" s="87"/>
      <c r="G53" s="86"/>
      <c r="H53" s="87"/>
      <c r="I53" s="86"/>
      <c r="J53" s="87"/>
      <c r="K53" s="86"/>
      <c r="L53" s="87"/>
      <c r="M53" s="86"/>
      <c r="N53" s="87"/>
      <c r="O53" s="86"/>
      <c r="P53" s="87"/>
      <c r="Q53" s="86"/>
      <c r="R53" s="87"/>
      <c r="S53" s="86"/>
      <c r="T53" s="87"/>
      <c r="U53" s="86"/>
      <c r="V53" s="87"/>
      <c r="W53" s="86"/>
      <c r="X53" s="87"/>
      <c r="Y53" s="86"/>
      <c r="Z53" s="87"/>
      <c r="AA53" s="86"/>
      <c r="AB53" s="87"/>
      <c r="AC53" s="86"/>
      <c r="AD53" s="87"/>
      <c r="AE53" s="86"/>
      <c r="AF53" s="87"/>
      <c r="AG53" s="86"/>
      <c r="AH53" s="87"/>
      <c r="AI53" s="86"/>
      <c r="AJ53" s="87"/>
      <c r="AK53" s="86"/>
      <c r="AL53" s="87"/>
      <c r="AM53" s="86"/>
      <c r="AN53" s="87"/>
      <c r="AO53" s="86"/>
      <c r="AP53" s="87"/>
      <c r="AQ53" s="86"/>
      <c r="AR53" s="87"/>
      <c r="AS53" s="86"/>
      <c r="AT53" s="87"/>
      <c r="AU53" s="86"/>
      <c r="AV53" s="87"/>
      <c r="AW53" s="86"/>
      <c r="AX53" s="87"/>
      <c r="AY53" s="86"/>
      <c r="AZ53" s="87"/>
      <c r="BA53" s="86"/>
      <c r="BB53" s="87"/>
      <c r="BC53" s="86"/>
      <c r="BD53" s="87"/>
      <c r="BE53" s="86"/>
      <c r="BF53" s="87"/>
      <c r="BG53" s="86"/>
      <c r="BH53" s="87"/>
      <c r="BI53" s="86"/>
      <c r="BJ53" s="87"/>
      <c r="BK53" s="86"/>
      <c r="BL53" s="87"/>
      <c r="BM53" s="86"/>
      <c r="BN53" s="50"/>
      <c r="BO53" s="170" t="str">
        <f t="shared" si="2"/>
        <v/>
      </c>
      <c r="BP53" s="87"/>
      <c r="BQ53" s="88"/>
    </row>
    <row r="54" spans="1:76" x14ac:dyDescent="0.35">
      <c r="A54" s="89" t="s">
        <v>15</v>
      </c>
      <c r="B54" s="90"/>
      <c r="C54" s="174">
        <f>IF('June 2027 Log'!BK54="","",'June 2027 Log'!BK54)</f>
        <v>0</v>
      </c>
      <c r="D54" s="47"/>
      <c r="E54" s="166">
        <f>E22+E23+E32+E34+E50+E51+E52-E33+E24+E53+E112</f>
        <v>0</v>
      </c>
      <c r="F54" s="49"/>
      <c r="G54" s="166">
        <f>G22+G23+G32+G34+G50+G51+G52-G33+G24+G53+G112</f>
        <v>0</v>
      </c>
      <c r="H54" s="49"/>
      <c r="I54" s="166">
        <f>I22+I23+I32+I34+I50+I51+I52-I33+I24+I53+I112</f>
        <v>0</v>
      </c>
      <c r="J54" s="49"/>
      <c r="K54" s="166">
        <f>K22+K23+K32+K34+K50+K51+K52-K33+K24+K53+K112</f>
        <v>0</v>
      </c>
      <c r="L54" s="49"/>
      <c r="M54" s="166">
        <f>M22+M23+M32+M34+M50+M51+M52-M33+M24+M53+M112</f>
        <v>0</v>
      </c>
      <c r="N54" s="49"/>
      <c r="O54" s="166">
        <f>O22+O23+O32+O34+O50+O51+O52-O33+O24+O53+O112</f>
        <v>0</v>
      </c>
      <c r="P54" s="49"/>
      <c r="Q54" s="166">
        <f>Q22+Q23+Q32+Q34+Q50+Q51+Q52-Q33+Q24+Q53+Q112</f>
        <v>0</v>
      </c>
      <c r="R54" s="49"/>
      <c r="S54" s="166">
        <f>S22+S23+S32+S34+S50+S51+S52-S33+S24+S53+S112</f>
        <v>0</v>
      </c>
      <c r="T54" s="49"/>
      <c r="U54" s="166">
        <f>U22+U23+U32+U34+U50+U51+U52-U33+U24+U53+U112</f>
        <v>0</v>
      </c>
      <c r="V54" s="49"/>
      <c r="W54" s="166">
        <f>W22+W23+W32+W34+W50+W51+W52-W33+W24+W53+W112</f>
        <v>0</v>
      </c>
      <c r="X54" s="49"/>
      <c r="Y54" s="166">
        <f>Y22+Y23+Y32+Y34+Y50+Y51+Y52-Y33+Y24+Y53+Y112</f>
        <v>0</v>
      </c>
      <c r="Z54" s="49"/>
      <c r="AA54" s="166">
        <f>AA22+AA23+AA32+AA34+AA50+AA51+AA52-AA33+AA24+AA53+AA112</f>
        <v>0</v>
      </c>
      <c r="AB54" s="49"/>
      <c r="AC54" s="166">
        <f>AC22+AC23+AC32+AC34+AC50+AC51+AC52-AC33+AC24+AC53+AC112</f>
        <v>0</v>
      </c>
      <c r="AD54" s="49"/>
      <c r="AE54" s="166">
        <f>AE22+AE23+AE32+AE34+AE50+AE51+AE52-AE33+AE24+AE53+AE112</f>
        <v>0</v>
      </c>
      <c r="AF54" s="49"/>
      <c r="AG54" s="166">
        <f>AG22+AG23+AG32+AG34+AG50+AG51+AG52-AG33+AG24+AG53+AG112</f>
        <v>0</v>
      </c>
      <c r="AH54" s="49"/>
      <c r="AI54" s="166">
        <f>AI22+AI23+AI32+AI34+AI50+AI51+AI52-AI33+AI24+AI53+AI112</f>
        <v>0</v>
      </c>
      <c r="AJ54" s="49"/>
      <c r="AK54" s="166">
        <f>AK22+AK23+AK32+AK34+AK50+AK51+AK52-AK33+AK24+AK53+AK112</f>
        <v>0</v>
      </c>
      <c r="AL54" s="49"/>
      <c r="AM54" s="166">
        <f>AM22+AM23+AM32+AM34+AM50+AM51+AM52-AM33+AM24+AM53+AM112</f>
        <v>0</v>
      </c>
      <c r="AN54" s="49"/>
      <c r="AO54" s="166">
        <f>AO22+AO23+AO32+AO34+AO50+AO51+AO52-AO33+AO24+AO53+AO112</f>
        <v>0</v>
      </c>
      <c r="AP54" s="49"/>
      <c r="AQ54" s="166">
        <f>AQ22+AQ23+AQ32+AQ34+AQ50+AQ51+AQ52-AQ33+AQ24+AQ53+AQ112</f>
        <v>0</v>
      </c>
      <c r="AR54" s="49"/>
      <c r="AS54" s="166">
        <f>AS22+AS23+AS32+AS34+AS50+AS51+AS52-AS33+AS24+AS53+AS112</f>
        <v>0</v>
      </c>
      <c r="AT54" s="49"/>
      <c r="AU54" s="166">
        <f>AU22+AU23+AU32+AU34+AU50+AU51+AU52-AU33+AU24+AU53+AU112</f>
        <v>0</v>
      </c>
      <c r="AV54" s="49"/>
      <c r="AW54" s="166">
        <f>AW22+AW23+AW32+AW34+AW50+AW51+AW52-AW33+AW24+AW53+AW112</f>
        <v>0</v>
      </c>
      <c r="AX54" s="49"/>
      <c r="AY54" s="166">
        <f>AY22+AY23+AY32+AY34+AY50+AY51+AY52-AY33+AY24+AY53+AY112</f>
        <v>0</v>
      </c>
      <c r="AZ54" s="49"/>
      <c r="BA54" s="166">
        <f>BA22+BA23+BA32+BA34+BA50+BA51+BA52-BA33+BA24+BA53+BA112</f>
        <v>0</v>
      </c>
      <c r="BB54" s="49"/>
      <c r="BC54" s="166">
        <f>BC22+BC23+BC32+BC34+BC50+BC51+BC52-BC33+BC24+BC53+BC112</f>
        <v>0</v>
      </c>
      <c r="BD54" s="49"/>
      <c r="BE54" s="166">
        <f>BE22+BE23+BE32+BE34+BE50+BE51+BE52-BE33+BE24+BE53+BE112</f>
        <v>0</v>
      </c>
      <c r="BF54" s="49"/>
      <c r="BG54" s="166">
        <f>BG22+BG23+BG32+BG34+BG50+BG51+BG52-BG33+BG24+BG53+BG112</f>
        <v>0</v>
      </c>
      <c r="BH54" s="49"/>
      <c r="BI54" s="166">
        <f>BI22+BI23+BI32+BI34+BI50+BI51+BI52-BI33+BI24+BI53+BI112</f>
        <v>0</v>
      </c>
      <c r="BJ54" s="49"/>
      <c r="BK54" s="166">
        <f>BK22+BK23+BK32+BK34+BK50+BK51+BK52-BK33+BK24+BK53+BK112</f>
        <v>0</v>
      </c>
      <c r="BL54" s="49"/>
      <c r="BM54" s="166">
        <f>BM22+BM23+BM32+BM34+BM50+BM51+BM52-BM33+BM24+BM53+BM112</f>
        <v>0</v>
      </c>
      <c r="BN54" s="50"/>
      <c r="BO54" s="170">
        <f t="shared" si="2"/>
        <v>0</v>
      </c>
      <c r="BP54" s="49"/>
      <c r="BQ54" s="172">
        <f t="shared" ref="BQ54:BQ59" si="65">IF(BM54="","",BM54)</f>
        <v>0</v>
      </c>
    </row>
    <row r="55" spans="1:76" x14ac:dyDescent="0.35">
      <c r="A55" s="83" t="s">
        <v>16</v>
      </c>
      <c r="B55" s="54"/>
      <c r="C55" s="174" t="str">
        <f>IF('June 2027 Log'!BK55="","",'June 2027 Log'!BK55)</f>
        <v/>
      </c>
      <c r="D55" s="85"/>
      <c r="E55" s="86"/>
      <c r="F55" s="87"/>
      <c r="G55" s="86"/>
      <c r="H55" s="87"/>
      <c r="I55" s="86"/>
      <c r="J55" s="87"/>
      <c r="K55" s="86"/>
      <c r="L55" s="87"/>
      <c r="M55" s="86"/>
      <c r="N55" s="87"/>
      <c r="O55" s="86"/>
      <c r="P55" s="87"/>
      <c r="Q55" s="86"/>
      <c r="R55" s="87"/>
      <c r="S55" s="86"/>
      <c r="T55" s="87"/>
      <c r="U55" s="86"/>
      <c r="V55" s="87"/>
      <c r="W55" s="86"/>
      <c r="X55" s="87"/>
      <c r="Y55" s="86"/>
      <c r="Z55" s="87"/>
      <c r="AA55" s="86"/>
      <c r="AB55" s="87"/>
      <c r="AC55" s="86"/>
      <c r="AD55" s="87"/>
      <c r="AE55" s="86"/>
      <c r="AF55" s="87"/>
      <c r="AG55" s="86"/>
      <c r="AH55" s="87"/>
      <c r="AI55" s="86"/>
      <c r="AJ55" s="87"/>
      <c r="AK55" s="86"/>
      <c r="AL55" s="87"/>
      <c r="AM55" s="86"/>
      <c r="AN55" s="87"/>
      <c r="AO55" s="86"/>
      <c r="AP55" s="87"/>
      <c r="AQ55" s="86"/>
      <c r="AR55" s="87"/>
      <c r="AS55" s="86"/>
      <c r="AT55" s="87"/>
      <c r="AU55" s="86"/>
      <c r="AV55" s="87"/>
      <c r="AW55" s="86"/>
      <c r="AX55" s="87"/>
      <c r="AY55" s="86"/>
      <c r="AZ55" s="87"/>
      <c r="BA55" s="86"/>
      <c r="BB55" s="87"/>
      <c r="BC55" s="86"/>
      <c r="BD55" s="87"/>
      <c r="BE55" s="86"/>
      <c r="BF55" s="87"/>
      <c r="BG55" s="86"/>
      <c r="BH55" s="87"/>
      <c r="BI55" s="86"/>
      <c r="BJ55" s="87"/>
      <c r="BK55" s="86"/>
      <c r="BL55" s="87"/>
      <c r="BM55" s="86"/>
      <c r="BN55" s="50"/>
      <c r="BO55" s="170" t="str">
        <f t="shared" si="2"/>
        <v/>
      </c>
      <c r="BP55" s="87"/>
      <c r="BQ55" s="178" t="str">
        <f t="shared" si="65"/>
        <v/>
      </c>
    </row>
    <row r="56" spans="1:76" x14ac:dyDescent="0.35">
      <c r="A56" s="83" t="s">
        <v>17</v>
      </c>
      <c r="B56" s="54"/>
      <c r="C56" s="174" t="str">
        <f>IF('June 2027 Log'!BK56="","",'June 2027 Log'!BK56)</f>
        <v/>
      </c>
      <c r="D56" s="85"/>
      <c r="E56" s="86"/>
      <c r="F56" s="87"/>
      <c r="G56" s="86"/>
      <c r="H56" s="87"/>
      <c r="I56" s="86"/>
      <c r="J56" s="87"/>
      <c r="K56" s="86"/>
      <c r="L56" s="87"/>
      <c r="M56" s="86"/>
      <c r="N56" s="87"/>
      <c r="O56" s="86"/>
      <c r="P56" s="87"/>
      <c r="Q56" s="86"/>
      <c r="R56" s="87"/>
      <c r="S56" s="86"/>
      <c r="T56" s="87"/>
      <c r="U56" s="86"/>
      <c r="V56" s="87"/>
      <c r="W56" s="86"/>
      <c r="X56" s="87"/>
      <c r="Y56" s="86"/>
      <c r="Z56" s="87"/>
      <c r="AA56" s="86"/>
      <c r="AB56" s="87"/>
      <c r="AC56" s="86"/>
      <c r="AD56" s="87"/>
      <c r="AE56" s="86"/>
      <c r="AF56" s="87"/>
      <c r="AG56" s="86"/>
      <c r="AH56" s="87"/>
      <c r="AI56" s="86"/>
      <c r="AJ56" s="87"/>
      <c r="AK56" s="86"/>
      <c r="AL56" s="87"/>
      <c r="AM56" s="86"/>
      <c r="AN56" s="87"/>
      <c r="AO56" s="86"/>
      <c r="AP56" s="87"/>
      <c r="AQ56" s="86"/>
      <c r="AR56" s="87"/>
      <c r="AS56" s="86"/>
      <c r="AT56" s="87"/>
      <c r="AU56" s="86"/>
      <c r="AV56" s="87"/>
      <c r="AW56" s="86"/>
      <c r="AX56" s="87"/>
      <c r="AY56" s="86"/>
      <c r="AZ56" s="87"/>
      <c r="BA56" s="86"/>
      <c r="BB56" s="87"/>
      <c r="BC56" s="86"/>
      <c r="BD56" s="87"/>
      <c r="BE56" s="86"/>
      <c r="BF56" s="87"/>
      <c r="BG56" s="86"/>
      <c r="BH56" s="87"/>
      <c r="BI56" s="86"/>
      <c r="BJ56" s="87"/>
      <c r="BK56" s="86"/>
      <c r="BL56" s="87"/>
      <c r="BM56" s="86"/>
      <c r="BN56" s="50"/>
      <c r="BO56" s="170" t="str">
        <f t="shared" si="2"/>
        <v/>
      </c>
      <c r="BP56" s="87"/>
      <c r="BQ56" s="178" t="str">
        <f t="shared" si="65"/>
        <v/>
      </c>
    </row>
    <row r="57" spans="1:76" x14ac:dyDescent="0.35">
      <c r="A57" s="89" t="s">
        <v>18</v>
      </c>
      <c r="B57" s="90"/>
      <c r="C57" s="174">
        <f>IF('June 2027 Log'!BK57="","",'June 2027 Log'!BK57)</f>
        <v>0</v>
      </c>
      <c r="D57" s="47"/>
      <c r="E57" s="166">
        <f>SUM(E55:E56)</f>
        <v>0</v>
      </c>
      <c r="F57" s="49"/>
      <c r="G57" s="166">
        <f>SUM(G55:G56)</f>
        <v>0</v>
      </c>
      <c r="H57" s="49"/>
      <c r="I57" s="166">
        <f>SUM(I55:I56)</f>
        <v>0</v>
      </c>
      <c r="J57" s="49"/>
      <c r="K57" s="166">
        <f>SUM(K55:K56)</f>
        <v>0</v>
      </c>
      <c r="L57" s="49"/>
      <c r="M57" s="166">
        <f>SUM(M55:M56)</f>
        <v>0</v>
      </c>
      <c r="N57" s="49"/>
      <c r="O57" s="166">
        <f>SUM(O55:O56)</f>
        <v>0</v>
      </c>
      <c r="P57" s="49"/>
      <c r="Q57" s="166">
        <f>SUM(Q55:Q56)</f>
        <v>0</v>
      </c>
      <c r="R57" s="49"/>
      <c r="S57" s="166">
        <f>SUM(S55:S56)</f>
        <v>0</v>
      </c>
      <c r="T57" s="49"/>
      <c r="U57" s="166">
        <f>SUM(U55:U56)</f>
        <v>0</v>
      </c>
      <c r="V57" s="49"/>
      <c r="W57" s="166">
        <f>SUM(W55:W56)</f>
        <v>0</v>
      </c>
      <c r="X57" s="49"/>
      <c r="Y57" s="166">
        <f>SUM(Y55:Y56)</f>
        <v>0</v>
      </c>
      <c r="Z57" s="49"/>
      <c r="AA57" s="166">
        <f>SUM(AA55:AA56)</f>
        <v>0</v>
      </c>
      <c r="AB57" s="49"/>
      <c r="AC57" s="166">
        <f>SUM(AC55:AC56)</f>
        <v>0</v>
      </c>
      <c r="AD57" s="49"/>
      <c r="AE57" s="166">
        <f>SUM(AE55:AE56)</f>
        <v>0</v>
      </c>
      <c r="AF57" s="49"/>
      <c r="AG57" s="166">
        <f>SUM(AG55:AG56)</f>
        <v>0</v>
      </c>
      <c r="AH57" s="49"/>
      <c r="AI57" s="166">
        <f>SUM(AI55:AI56)</f>
        <v>0</v>
      </c>
      <c r="AJ57" s="49"/>
      <c r="AK57" s="166">
        <f>SUM(AK55:AK56)</f>
        <v>0</v>
      </c>
      <c r="AL57" s="49"/>
      <c r="AM57" s="166">
        <f>SUM(AM55:AM56)</f>
        <v>0</v>
      </c>
      <c r="AN57" s="49"/>
      <c r="AO57" s="166">
        <f>SUM(AO55:AO56)</f>
        <v>0</v>
      </c>
      <c r="AP57" s="49"/>
      <c r="AQ57" s="166">
        <f>SUM(AQ55:AQ56)</f>
        <v>0</v>
      </c>
      <c r="AR57" s="49"/>
      <c r="AS57" s="166">
        <f>SUM(AS55:AS56)</f>
        <v>0</v>
      </c>
      <c r="AT57" s="49"/>
      <c r="AU57" s="166">
        <f>SUM(AU55:AU56)</f>
        <v>0</v>
      </c>
      <c r="AV57" s="49"/>
      <c r="AW57" s="166">
        <f>SUM(AW55:AW56)</f>
        <v>0</v>
      </c>
      <c r="AX57" s="49"/>
      <c r="AY57" s="166">
        <f>SUM(AY55:AY56)</f>
        <v>0</v>
      </c>
      <c r="AZ57" s="49"/>
      <c r="BA57" s="166">
        <f>SUM(BA55:BA56)</f>
        <v>0</v>
      </c>
      <c r="BB57" s="49"/>
      <c r="BC57" s="166">
        <f>SUM(BC55:BC56)</f>
        <v>0</v>
      </c>
      <c r="BD57" s="49"/>
      <c r="BE57" s="166">
        <f>SUM(BE55:BE56)</f>
        <v>0</v>
      </c>
      <c r="BF57" s="49"/>
      <c r="BG57" s="166">
        <f>SUM(BG55:BG56)</f>
        <v>0</v>
      </c>
      <c r="BH57" s="49"/>
      <c r="BI57" s="166">
        <f>SUM(BI55:BI56)</f>
        <v>0</v>
      </c>
      <c r="BJ57" s="49"/>
      <c r="BK57" s="166">
        <f>SUM(BK55:BK56)</f>
        <v>0</v>
      </c>
      <c r="BL57" s="49"/>
      <c r="BM57" s="166">
        <f>SUM(BM55:BM56)</f>
        <v>0</v>
      </c>
      <c r="BN57" s="50"/>
      <c r="BO57" s="170">
        <f t="shared" si="2"/>
        <v>0</v>
      </c>
      <c r="BP57" s="49"/>
      <c r="BQ57" s="172">
        <f t="shared" si="65"/>
        <v>0</v>
      </c>
    </row>
    <row r="58" spans="1:76" x14ac:dyDescent="0.35">
      <c r="A58" s="108" t="s">
        <v>19</v>
      </c>
      <c r="B58" s="109"/>
      <c r="C58" s="174">
        <f>IF('June 2027 Log'!BK58="","",'June 2027 Log'!BK58)</f>
        <v>0</v>
      </c>
      <c r="D58" s="47"/>
      <c r="E58" s="166">
        <f>+E54-E57</f>
        <v>0</v>
      </c>
      <c r="F58" s="49"/>
      <c r="G58" s="166">
        <f>+G54-G57</f>
        <v>0</v>
      </c>
      <c r="H58" s="49"/>
      <c r="I58" s="166">
        <f>+I54-I57</f>
        <v>0</v>
      </c>
      <c r="J58" s="49"/>
      <c r="K58" s="166">
        <f>+K54-K57</f>
        <v>0</v>
      </c>
      <c r="L58" s="49"/>
      <c r="M58" s="166">
        <f>+M54-M57</f>
        <v>0</v>
      </c>
      <c r="N58" s="49"/>
      <c r="O58" s="166">
        <f>+O54-O57</f>
        <v>0</v>
      </c>
      <c r="P58" s="49"/>
      <c r="Q58" s="166">
        <f>+Q54-Q57</f>
        <v>0</v>
      </c>
      <c r="R58" s="49"/>
      <c r="S58" s="166">
        <f>+S54-S57</f>
        <v>0</v>
      </c>
      <c r="T58" s="49"/>
      <c r="U58" s="166">
        <f>+U54-U57</f>
        <v>0</v>
      </c>
      <c r="V58" s="49"/>
      <c r="W58" s="166">
        <f>+W54-W57</f>
        <v>0</v>
      </c>
      <c r="X58" s="49"/>
      <c r="Y58" s="166">
        <f>+Y54-Y57</f>
        <v>0</v>
      </c>
      <c r="Z58" s="49"/>
      <c r="AA58" s="166">
        <f>+AA54-AA57</f>
        <v>0</v>
      </c>
      <c r="AB58" s="49"/>
      <c r="AC58" s="166">
        <f>+AC54-AC57</f>
        <v>0</v>
      </c>
      <c r="AD58" s="49"/>
      <c r="AE58" s="166">
        <f>+AE54-AE57</f>
        <v>0</v>
      </c>
      <c r="AF58" s="49"/>
      <c r="AG58" s="166">
        <f>+AG54-AG57</f>
        <v>0</v>
      </c>
      <c r="AH58" s="49"/>
      <c r="AI58" s="166">
        <f>+AI54-AI57</f>
        <v>0</v>
      </c>
      <c r="AJ58" s="49"/>
      <c r="AK58" s="166">
        <f>+AK54-AK57</f>
        <v>0</v>
      </c>
      <c r="AL58" s="49"/>
      <c r="AM58" s="166">
        <f>+AM54-AM57</f>
        <v>0</v>
      </c>
      <c r="AN58" s="49"/>
      <c r="AO58" s="166">
        <f>+AO54-AO57</f>
        <v>0</v>
      </c>
      <c r="AP58" s="49"/>
      <c r="AQ58" s="166">
        <f>+AQ54-AQ57</f>
        <v>0</v>
      </c>
      <c r="AR58" s="49"/>
      <c r="AS58" s="166">
        <f>+AS54-AS57</f>
        <v>0</v>
      </c>
      <c r="AT58" s="49"/>
      <c r="AU58" s="166">
        <f>+AU54-AU57</f>
        <v>0</v>
      </c>
      <c r="AV58" s="49"/>
      <c r="AW58" s="166">
        <f>+AW54-AW57</f>
        <v>0</v>
      </c>
      <c r="AX58" s="49"/>
      <c r="AY58" s="166">
        <f>+AY54-AY57</f>
        <v>0</v>
      </c>
      <c r="AZ58" s="49"/>
      <c r="BA58" s="166">
        <f>+BA54-BA57</f>
        <v>0</v>
      </c>
      <c r="BB58" s="49"/>
      <c r="BC58" s="166">
        <f>+BC54-BC57</f>
        <v>0</v>
      </c>
      <c r="BD58" s="49"/>
      <c r="BE58" s="166">
        <f>+BE54-BE57</f>
        <v>0</v>
      </c>
      <c r="BF58" s="49"/>
      <c r="BG58" s="166">
        <f>+BG54-BG57</f>
        <v>0</v>
      </c>
      <c r="BH58" s="49"/>
      <c r="BI58" s="166">
        <f>+BI54-BI57</f>
        <v>0</v>
      </c>
      <c r="BJ58" s="49"/>
      <c r="BK58" s="166">
        <f>+BK54-BK57</f>
        <v>0</v>
      </c>
      <c r="BL58" s="49"/>
      <c r="BM58" s="166">
        <f>+BM54-BM57</f>
        <v>0</v>
      </c>
      <c r="BN58" s="50"/>
      <c r="BO58" s="170">
        <f t="shared" si="2"/>
        <v>0</v>
      </c>
      <c r="BP58" s="49"/>
      <c r="BQ58" s="172">
        <f t="shared" si="65"/>
        <v>0</v>
      </c>
    </row>
    <row r="59" spans="1:76" x14ac:dyDescent="0.35">
      <c r="A59" s="108" t="s">
        <v>20</v>
      </c>
      <c r="B59" s="109"/>
      <c r="C59" s="174">
        <f>IF('June 2027 Log'!BK59="","",'June 2027 Log'!BK59)</f>
        <v>0</v>
      </c>
      <c r="D59" s="47"/>
      <c r="E59" s="166">
        <f>-E25+E26</f>
        <v>0</v>
      </c>
      <c r="F59" s="49"/>
      <c r="G59" s="166">
        <f>-G25+G26</f>
        <v>0</v>
      </c>
      <c r="H59" s="49"/>
      <c r="I59" s="166">
        <f>-I25+I26</f>
        <v>0</v>
      </c>
      <c r="J59" s="49"/>
      <c r="K59" s="166">
        <f>-K25+K26</f>
        <v>0</v>
      </c>
      <c r="L59" s="49"/>
      <c r="M59" s="166">
        <f>-M25+M26</f>
        <v>0</v>
      </c>
      <c r="N59" s="49"/>
      <c r="O59" s="166">
        <f>-O25+O26</f>
        <v>0</v>
      </c>
      <c r="P59" s="49"/>
      <c r="Q59" s="166">
        <f>-Q25+Q26</f>
        <v>0</v>
      </c>
      <c r="R59" s="49"/>
      <c r="S59" s="166">
        <f>-S25+S26</f>
        <v>0</v>
      </c>
      <c r="T59" s="49"/>
      <c r="U59" s="166">
        <f>-U25+U26</f>
        <v>0</v>
      </c>
      <c r="V59" s="49"/>
      <c r="W59" s="166">
        <f>-W25+W26</f>
        <v>0</v>
      </c>
      <c r="X59" s="49"/>
      <c r="Y59" s="166">
        <f>-Y25+Y26</f>
        <v>0</v>
      </c>
      <c r="Z59" s="49"/>
      <c r="AA59" s="166">
        <f>-AA25+AA26</f>
        <v>0</v>
      </c>
      <c r="AB59" s="49"/>
      <c r="AC59" s="166">
        <f>-AC25+AC26</f>
        <v>0</v>
      </c>
      <c r="AD59" s="49"/>
      <c r="AE59" s="166">
        <f>-AE25+AE26</f>
        <v>0</v>
      </c>
      <c r="AF59" s="49"/>
      <c r="AG59" s="166">
        <f>-AG25+AG26</f>
        <v>0</v>
      </c>
      <c r="AH59" s="49"/>
      <c r="AI59" s="166">
        <f>-AI25+AI26</f>
        <v>0</v>
      </c>
      <c r="AJ59" s="49"/>
      <c r="AK59" s="166">
        <f>-AK25+AK26</f>
        <v>0</v>
      </c>
      <c r="AL59" s="49"/>
      <c r="AM59" s="166">
        <f>-AM25+AM26</f>
        <v>0</v>
      </c>
      <c r="AN59" s="49"/>
      <c r="AO59" s="166">
        <f>-AO25+AO26</f>
        <v>0</v>
      </c>
      <c r="AP59" s="49"/>
      <c r="AQ59" s="166">
        <f>-AQ25+AQ26</f>
        <v>0</v>
      </c>
      <c r="AR59" s="49"/>
      <c r="AS59" s="166">
        <f>-AS25+AS26</f>
        <v>0</v>
      </c>
      <c r="AT59" s="49"/>
      <c r="AU59" s="166">
        <f>-AU25+AU26</f>
        <v>0</v>
      </c>
      <c r="AV59" s="49"/>
      <c r="AW59" s="166">
        <f>-AW25+AW26</f>
        <v>0</v>
      </c>
      <c r="AX59" s="49"/>
      <c r="AY59" s="166">
        <f>-AY25+AY26</f>
        <v>0</v>
      </c>
      <c r="AZ59" s="49"/>
      <c r="BA59" s="166">
        <f>-BA25+BA26</f>
        <v>0</v>
      </c>
      <c r="BB59" s="49"/>
      <c r="BC59" s="166">
        <f>-BC25+BC26</f>
        <v>0</v>
      </c>
      <c r="BD59" s="49"/>
      <c r="BE59" s="166">
        <f>-BE25+BE26</f>
        <v>0</v>
      </c>
      <c r="BF59" s="49"/>
      <c r="BG59" s="166">
        <f>-BG25+BG26</f>
        <v>0</v>
      </c>
      <c r="BH59" s="49"/>
      <c r="BI59" s="166">
        <f>-BI25+BI26</f>
        <v>0</v>
      </c>
      <c r="BJ59" s="49"/>
      <c r="BK59" s="166">
        <f>-BK25+BK26</f>
        <v>0</v>
      </c>
      <c r="BL59" s="49"/>
      <c r="BM59" s="166">
        <f>-BM25+BM26</f>
        <v>0</v>
      </c>
      <c r="BN59" s="50"/>
      <c r="BO59" s="170">
        <f t="shared" si="2"/>
        <v>0</v>
      </c>
      <c r="BP59" s="49"/>
      <c r="BQ59" s="172">
        <f t="shared" si="65"/>
        <v>0</v>
      </c>
    </row>
    <row r="60" spans="1:76" x14ac:dyDescent="0.35">
      <c r="A60" s="74"/>
      <c r="B60" s="75"/>
      <c r="C60" s="141"/>
      <c r="D60" s="102"/>
      <c r="E60" s="142"/>
      <c r="F60" s="104"/>
      <c r="G60" s="142"/>
      <c r="H60" s="104"/>
      <c r="I60" s="142"/>
      <c r="J60" s="104"/>
      <c r="K60" s="142"/>
      <c r="L60" s="104"/>
      <c r="M60" s="142"/>
      <c r="N60" s="104"/>
      <c r="O60" s="142"/>
      <c r="P60" s="104"/>
      <c r="Q60" s="142"/>
      <c r="R60" s="104"/>
      <c r="S60" s="142"/>
      <c r="T60" s="104"/>
      <c r="U60" s="142"/>
      <c r="V60" s="104"/>
      <c r="W60" s="142"/>
      <c r="X60" s="104"/>
      <c r="Y60" s="142"/>
      <c r="Z60" s="104"/>
      <c r="AA60" s="142"/>
      <c r="AB60" s="104"/>
      <c r="AC60" s="142"/>
      <c r="AD60" s="104"/>
      <c r="AE60" s="142"/>
      <c r="AF60" s="104"/>
      <c r="AG60" s="142"/>
      <c r="AH60" s="104"/>
      <c r="AI60" s="142"/>
      <c r="AJ60" s="104"/>
      <c r="AK60" s="142"/>
      <c r="AL60" s="104"/>
      <c r="AM60" s="142"/>
      <c r="AN60" s="104"/>
      <c r="AO60" s="142"/>
      <c r="AP60" s="104"/>
      <c r="AQ60" s="142"/>
      <c r="AR60" s="104"/>
      <c r="AS60" s="142"/>
      <c r="AT60" s="104"/>
      <c r="AU60" s="142"/>
      <c r="AV60" s="104"/>
      <c r="AW60" s="142"/>
      <c r="AX60" s="104"/>
      <c r="AY60" s="142"/>
      <c r="AZ60" s="104"/>
      <c r="BA60" s="142"/>
      <c r="BB60" s="104"/>
      <c r="BC60" s="142"/>
      <c r="BD60" s="104"/>
      <c r="BE60" s="142"/>
      <c r="BF60" s="104"/>
      <c r="BG60" s="142"/>
      <c r="BH60" s="104"/>
      <c r="BI60" s="142"/>
      <c r="BJ60" s="104"/>
      <c r="BK60" s="142"/>
      <c r="BL60" s="104"/>
      <c r="BM60" s="142"/>
      <c r="BN60" s="105"/>
      <c r="BO60" s="106"/>
      <c r="BP60" s="104"/>
      <c r="BQ60" s="107"/>
    </row>
    <row r="61" spans="1:76" s="8" customFormat="1" x14ac:dyDescent="0.35">
      <c r="A61" s="213" t="s">
        <v>68</v>
      </c>
      <c r="B61" s="214"/>
      <c r="C61" s="215"/>
      <c r="D61" s="47"/>
      <c r="E61" s="166" t="e">
        <f t="shared" ref="E61" si="66">+E73-D67</f>
        <v>#VALUE!</v>
      </c>
      <c r="F61" s="49"/>
      <c r="G61" s="166">
        <f t="shared" ref="G61" si="67">+G73-F67</f>
        <v>0</v>
      </c>
      <c r="H61" s="49"/>
      <c r="I61" s="166">
        <f t="shared" ref="I61" si="68">+I73-H67</f>
        <v>0</v>
      </c>
      <c r="J61" s="49"/>
      <c r="K61" s="166">
        <f t="shared" ref="K61" si="69">+K73-J67</f>
        <v>0</v>
      </c>
      <c r="L61" s="49"/>
      <c r="M61" s="166">
        <f t="shared" ref="M61" si="70">+M73-L67</f>
        <v>0</v>
      </c>
      <c r="N61" s="49"/>
      <c r="O61" s="166">
        <f t="shared" ref="O61" si="71">+O73-N67</f>
        <v>0</v>
      </c>
      <c r="P61" s="49"/>
      <c r="Q61" s="166">
        <f t="shared" ref="Q61" si="72">+Q73-P67</f>
        <v>0</v>
      </c>
      <c r="R61" s="49"/>
      <c r="S61" s="166">
        <f t="shared" ref="S61" si="73">+S73-R67</f>
        <v>0</v>
      </c>
      <c r="T61" s="49"/>
      <c r="U61" s="166">
        <f t="shared" ref="U61" si="74">+U73-T67</f>
        <v>0</v>
      </c>
      <c r="V61" s="49"/>
      <c r="W61" s="166">
        <f t="shared" ref="W61" si="75">+W73-V67</f>
        <v>0</v>
      </c>
      <c r="X61" s="49"/>
      <c r="Y61" s="166">
        <f t="shared" ref="Y61" si="76">+Y73-X67</f>
        <v>0</v>
      </c>
      <c r="Z61" s="49"/>
      <c r="AA61" s="166">
        <f t="shared" ref="AA61" si="77">+AA73-Z67</f>
        <v>0</v>
      </c>
      <c r="AB61" s="49"/>
      <c r="AC61" s="166">
        <f t="shared" ref="AC61" si="78">+AC73-AB67</f>
        <v>0</v>
      </c>
      <c r="AD61" s="49"/>
      <c r="AE61" s="166">
        <f t="shared" ref="AE61" si="79">+AE73-AD67</f>
        <v>0</v>
      </c>
      <c r="AF61" s="49"/>
      <c r="AG61" s="166">
        <f t="shared" ref="AG61" si="80">+AG73-AF67</f>
        <v>0</v>
      </c>
      <c r="AH61" s="49"/>
      <c r="AI61" s="166">
        <f t="shared" ref="AI61" si="81">+AI73-AH67</f>
        <v>0</v>
      </c>
      <c r="AJ61" s="49"/>
      <c r="AK61" s="166">
        <f t="shared" ref="AK61" si="82">+AK73-AJ67</f>
        <v>0</v>
      </c>
      <c r="AL61" s="49"/>
      <c r="AM61" s="166">
        <f t="shared" ref="AM61" si="83">+AM73-AL67</f>
        <v>0</v>
      </c>
      <c r="AN61" s="49"/>
      <c r="AO61" s="166">
        <f t="shared" ref="AO61" si="84">+AO73-AN67</f>
        <v>0</v>
      </c>
      <c r="AP61" s="49"/>
      <c r="AQ61" s="166">
        <f t="shared" ref="AQ61" si="85">+AQ73-AP67</f>
        <v>0</v>
      </c>
      <c r="AR61" s="49"/>
      <c r="AS61" s="166">
        <f t="shared" ref="AS61" si="86">+AS73-AR67</f>
        <v>0</v>
      </c>
      <c r="AT61" s="49"/>
      <c r="AU61" s="166">
        <f t="shared" ref="AU61" si="87">+AU73-AT67</f>
        <v>0</v>
      </c>
      <c r="AV61" s="49"/>
      <c r="AW61" s="166">
        <f t="shared" ref="AW61" si="88">+AW73-AV67</f>
        <v>0</v>
      </c>
      <c r="AX61" s="49"/>
      <c r="AY61" s="166">
        <f t="shared" ref="AY61" si="89">+AY73-AX67</f>
        <v>0</v>
      </c>
      <c r="AZ61" s="49"/>
      <c r="BA61" s="166">
        <f t="shared" ref="BA61" si="90">+BA73-AZ67</f>
        <v>0</v>
      </c>
      <c r="BB61" s="49"/>
      <c r="BC61" s="166">
        <f t="shared" ref="BC61" si="91">+BC73-BB67</f>
        <v>0</v>
      </c>
      <c r="BD61" s="49"/>
      <c r="BE61" s="166">
        <f t="shared" ref="BE61" si="92">+BE73-BD67</f>
        <v>0</v>
      </c>
      <c r="BF61" s="49"/>
      <c r="BG61" s="166">
        <f>+BG73-BF67</f>
        <v>0</v>
      </c>
      <c r="BH61" s="49"/>
      <c r="BI61" s="166">
        <f>+BI73-BH67</f>
        <v>0</v>
      </c>
      <c r="BJ61" s="49"/>
      <c r="BK61" s="166">
        <f t="shared" ref="BK61" si="93">+BK73-BJ67</f>
        <v>0</v>
      </c>
      <c r="BL61" s="49"/>
      <c r="BM61" s="166">
        <f t="shared" ref="BM61" si="94">+BM73-BL67</f>
        <v>0</v>
      </c>
      <c r="BN61" s="50"/>
      <c r="BO61" s="170" t="e">
        <f>IF(COUNT(E61,G61,I61,K61,M61,O61,Q61,S61,U61,W61,Y61,AA61,AC61,AE61,AG61,AI61,AK61,AM61,AO61,AQ61,AS61,AU61,AW61,AY61,BA61,BC61,BE61,BG61,BI61,BK61,BM61)=0,"",SUM(E61,G61,I61,K61,M61,O61,Q61,S61,U61,W61,Y61,AA61,AC61,AE61,AG61,AI61,AK61,AM61,AO61,AQ61,AS61,AU61,AW61,AY61,BA61,BC61,BE61,BG61,BI61,BK61,BM61))</f>
        <v>#VALUE!</v>
      </c>
      <c r="BP61" s="49"/>
      <c r="BQ61" s="52"/>
      <c r="BR61"/>
      <c r="BS61"/>
      <c r="BT61"/>
      <c r="BU61"/>
      <c r="BV61"/>
      <c r="BW61"/>
      <c r="BX61"/>
    </row>
    <row r="62" spans="1:76" x14ac:dyDescent="0.35">
      <c r="A62" s="53" t="s">
        <v>24</v>
      </c>
      <c r="B62" s="187" t="e">
        <f>C62-C106</f>
        <v>#VALUE!</v>
      </c>
      <c r="C62" s="174" t="str">
        <f>IF('June 2027 Log'!BK62="","",'June 2027 Log'!BK62)</f>
        <v/>
      </c>
      <c r="D62" s="189" t="e">
        <f>+C62-E62+E106</f>
        <v>#VALUE!</v>
      </c>
      <c r="E62" s="48"/>
      <c r="F62" s="167">
        <f>+E62-G62+G106</f>
        <v>0</v>
      </c>
      <c r="G62" s="48"/>
      <c r="H62" s="167">
        <f>+G62-I62+I106</f>
        <v>0</v>
      </c>
      <c r="I62" s="48"/>
      <c r="J62" s="167">
        <f>+I62-K62+K106</f>
        <v>0</v>
      </c>
      <c r="K62" s="48"/>
      <c r="L62" s="167">
        <f>+K62-M62+M106</f>
        <v>0</v>
      </c>
      <c r="M62" s="48"/>
      <c r="N62" s="167">
        <f>+M62-O62+O106</f>
        <v>0</v>
      </c>
      <c r="O62" s="48"/>
      <c r="P62" s="167">
        <f>+O62-Q62+Q106</f>
        <v>0</v>
      </c>
      <c r="Q62" s="48"/>
      <c r="R62" s="167">
        <f>+Q62-S62+S106</f>
        <v>0</v>
      </c>
      <c r="S62" s="48"/>
      <c r="T62" s="167">
        <f>+S62-U62+U106</f>
        <v>0</v>
      </c>
      <c r="U62" s="48"/>
      <c r="V62" s="167">
        <f>+U62-W62+W106</f>
        <v>0</v>
      </c>
      <c r="W62" s="48"/>
      <c r="X62" s="167">
        <f>+W62-Y62+Y106</f>
        <v>0</v>
      </c>
      <c r="Y62" s="48"/>
      <c r="Z62" s="167">
        <f>+Y62-AA62+AA106</f>
        <v>0</v>
      </c>
      <c r="AA62" s="48"/>
      <c r="AB62" s="167">
        <f>+AA62-AC62+AC106</f>
        <v>0</v>
      </c>
      <c r="AC62" s="48"/>
      <c r="AD62" s="167">
        <f>+AC62-AE62+AE106</f>
        <v>0</v>
      </c>
      <c r="AE62" s="48"/>
      <c r="AF62" s="167">
        <f>+AE62-AG62+AG106</f>
        <v>0</v>
      </c>
      <c r="AG62" s="48"/>
      <c r="AH62" s="167">
        <f>+AG62-AI62+AI106</f>
        <v>0</v>
      </c>
      <c r="AI62" s="48"/>
      <c r="AJ62" s="167">
        <f>+AI62-AK62+AK106</f>
        <v>0</v>
      </c>
      <c r="AK62" s="48"/>
      <c r="AL62" s="167">
        <f>+AK62-AM62+AM106</f>
        <v>0</v>
      </c>
      <c r="AM62" s="48"/>
      <c r="AN62" s="167">
        <f>+AM62-AO62+AO106</f>
        <v>0</v>
      </c>
      <c r="AO62" s="48"/>
      <c r="AP62" s="167">
        <f>+AO62-AQ62+AQ106</f>
        <v>0</v>
      </c>
      <c r="AQ62" s="48"/>
      <c r="AR62" s="167">
        <f>+AQ62-AS62+AS106</f>
        <v>0</v>
      </c>
      <c r="AS62" s="48"/>
      <c r="AT62" s="167">
        <f>+AS62-AU62+AU106</f>
        <v>0</v>
      </c>
      <c r="AU62" s="48"/>
      <c r="AV62" s="167">
        <f>+AU62-AW62+AW106</f>
        <v>0</v>
      </c>
      <c r="AW62" s="48"/>
      <c r="AX62" s="167">
        <f>+AW62-AY62+AY106</f>
        <v>0</v>
      </c>
      <c r="AY62" s="48"/>
      <c r="AZ62" s="167">
        <f>+AY62-BA62+BA106</f>
        <v>0</v>
      </c>
      <c r="BA62" s="48"/>
      <c r="BB62" s="167">
        <f>+BA62-BC62+BC106</f>
        <v>0</v>
      </c>
      <c r="BC62" s="48"/>
      <c r="BD62" s="167">
        <f>+BC62-BE62+BE106</f>
        <v>0</v>
      </c>
      <c r="BE62" s="48"/>
      <c r="BF62" s="167">
        <f>+BE62-BG62+BG106</f>
        <v>0</v>
      </c>
      <c r="BG62" s="48"/>
      <c r="BH62" s="167">
        <f>+BG62-BI62+BI106</f>
        <v>0</v>
      </c>
      <c r="BI62" s="48"/>
      <c r="BJ62" s="167">
        <f>+BI62-BK62+BK106</f>
        <v>0</v>
      </c>
      <c r="BK62" s="48"/>
      <c r="BL62" s="167">
        <f>+BK62-BM62+BM106</f>
        <v>0</v>
      </c>
      <c r="BM62" s="48"/>
      <c r="BN62" s="50"/>
      <c r="BO62" s="170" t="e">
        <f>IF(COUNT(D62,F62,H62,J62,L62,N62,P62,R62,T62,V62,X62,Z62,AB62,AD62,AF62,AH62,AJ62,AL62,AN62,AP62,AR62,AT62,AV62,AX62,AZ62,BB62,BD62,BF62,BH62,BJ62,BL62)=0,"",SUM(D62,F62,H62,J62,L62,N62,P62,R62,T62,V62,X62,Z62,AB62,AD62,AF62,AH62,AJ62,AL62,AN62,AP62,AR62,AT62,AV62,AX62,AZ62,BB62,BD62,BF62,BH62,BJ62,BL62))</f>
        <v>#VALUE!</v>
      </c>
      <c r="BP62" s="167" t="e">
        <f>+BM62-BQ62+BQ106</f>
        <v>#VALUE!</v>
      </c>
      <c r="BQ62" s="178" t="str">
        <f>IF(BM62="","",BM62)</f>
        <v/>
      </c>
    </row>
    <row r="63" spans="1:76" x14ac:dyDescent="0.35">
      <c r="A63" s="53" t="s">
        <v>25</v>
      </c>
      <c r="B63" s="187" t="e">
        <f>C63-C107</f>
        <v>#VALUE!</v>
      </c>
      <c r="C63" s="174" t="str">
        <f>IF('June 2027 Log'!BK63="","",'June 2027 Log'!BK63)</f>
        <v/>
      </c>
      <c r="D63" s="189" t="e">
        <f>+C63-E63+E107</f>
        <v>#VALUE!</v>
      </c>
      <c r="E63" s="48"/>
      <c r="F63" s="167">
        <f>+E63-G63+G107</f>
        <v>0</v>
      </c>
      <c r="G63" s="48"/>
      <c r="H63" s="167">
        <f>+G63-I63+I107</f>
        <v>0</v>
      </c>
      <c r="I63" s="48"/>
      <c r="J63" s="167">
        <f>+I63-K63+K107</f>
        <v>0</v>
      </c>
      <c r="K63" s="48"/>
      <c r="L63" s="167">
        <f>+K63-M63+M107</f>
        <v>0</v>
      </c>
      <c r="M63" s="48"/>
      <c r="N63" s="167">
        <f>+M63-O63+O107</f>
        <v>0</v>
      </c>
      <c r="O63" s="48"/>
      <c r="P63" s="167">
        <f>+O63-Q63+Q107</f>
        <v>0</v>
      </c>
      <c r="Q63" s="48"/>
      <c r="R63" s="167">
        <f>+Q63-S63+S107</f>
        <v>0</v>
      </c>
      <c r="S63" s="48"/>
      <c r="T63" s="167">
        <f>+S63-U63+U107</f>
        <v>0</v>
      </c>
      <c r="U63" s="48"/>
      <c r="V63" s="167">
        <f>+U63-W63+W107</f>
        <v>0</v>
      </c>
      <c r="W63" s="48"/>
      <c r="X63" s="167">
        <f>+W63-Y63+Y107</f>
        <v>0</v>
      </c>
      <c r="Y63" s="48"/>
      <c r="Z63" s="167">
        <f>+Y63-AA63+AA107</f>
        <v>0</v>
      </c>
      <c r="AA63" s="48"/>
      <c r="AB63" s="167">
        <f>+AA63-AC63+AC107</f>
        <v>0</v>
      </c>
      <c r="AC63" s="48"/>
      <c r="AD63" s="167">
        <f>+AC63-AE63+AE107</f>
        <v>0</v>
      </c>
      <c r="AE63" s="48"/>
      <c r="AF63" s="167">
        <f>+AE63-AG63+AG107</f>
        <v>0</v>
      </c>
      <c r="AG63" s="48"/>
      <c r="AH63" s="167">
        <f>+AG63-AI63+AI107</f>
        <v>0</v>
      </c>
      <c r="AI63" s="48"/>
      <c r="AJ63" s="167">
        <f>+AI63-AK63+AK107</f>
        <v>0</v>
      </c>
      <c r="AK63" s="48"/>
      <c r="AL63" s="167">
        <f>+AK63-AM63+AM107</f>
        <v>0</v>
      </c>
      <c r="AM63" s="48"/>
      <c r="AN63" s="167">
        <f>+AM63-AO63+AO107</f>
        <v>0</v>
      </c>
      <c r="AO63" s="48"/>
      <c r="AP63" s="167">
        <f>+AO63-AQ63+AQ107</f>
        <v>0</v>
      </c>
      <c r="AQ63" s="48"/>
      <c r="AR63" s="167">
        <f>+AQ63-AS63+AS107</f>
        <v>0</v>
      </c>
      <c r="AS63" s="48"/>
      <c r="AT63" s="167">
        <f>+AS63-AU63+AU107</f>
        <v>0</v>
      </c>
      <c r="AU63" s="48"/>
      <c r="AV63" s="167">
        <f>+AU63-AW63+AW107</f>
        <v>0</v>
      </c>
      <c r="AW63" s="48"/>
      <c r="AX63" s="167">
        <f>+AW63-AY63+AY107</f>
        <v>0</v>
      </c>
      <c r="AY63" s="48"/>
      <c r="AZ63" s="167">
        <f>+AY63-BA63+BA107</f>
        <v>0</v>
      </c>
      <c r="BA63" s="48"/>
      <c r="BB63" s="167">
        <f>+BA63-BC63+BC107</f>
        <v>0</v>
      </c>
      <c r="BC63" s="48"/>
      <c r="BD63" s="167">
        <f>+BC63-BE63+BE107</f>
        <v>0</v>
      </c>
      <c r="BE63" s="48"/>
      <c r="BF63" s="167">
        <f>+BE63-BG63+BG107</f>
        <v>0</v>
      </c>
      <c r="BG63" s="48"/>
      <c r="BH63" s="167">
        <f>+BG63-BI63+BI107</f>
        <v>0</v>
      </c>
      <c r="BI63" s="48"/>
      <c r="BJ63" s="167">
        <f>+BI63-BK63+BK107</f>
        <v>0</v>
      </c>
      <c r="BK63" s="48"/>
      <c r="BL63" s="167">
        <f>+BK63-BM63+BM107</f>
        <v>0</v>
      </c>
      <c r="BM63" s="48"/>
      <c r="BN63" s="50"/>
      <c r="BO63" s="170" t="e">
        <f>IF(COUNT(D63,F63,H63,J63,L63,N63,P63,R63,T63,V63,X63,Z63,AB63,AD63,AF63,AH63,AJ63,AL63,AN63,AP63,AR63,AT63,AV63,AX63,AZ63,BB63,BD63,BF63,BH63,BJ63,BL63)=0,"",SUM(D63,F63,H63,J63,L63,N63,P63,R63,T63,V63,X63,Z63,AB63,AD63,AF63,AH63,AJ63,AL63,AN63,AP63,AR63,AT63,AV63,AX63,AZ63,BB63,BD63,BF63,BH63,BJ63,BL63))</f>
        <v>#VALUE!</v>
      </c>
      <c r="BP63" s="167" t="e">
        <f>+BM63-BQ63+BQ107</f>
        <v>#VALUE!</v>
      </c>
      <c r="BQ63" s="178" t="str">
        <f>IF(BM63="","",BM63)</f>
        <v/>
      </c>
    </row>
    <row r="64" spans="1:76" x14ac:dyDescent="0.35">
      <c r="A64" s="53" t="s">
        <v>25</v>
      </c>
      <c r="B64" s="187" t="e">
        <f>C64-C108</f>
        <v>#VALUE!</v>
      </c>
      <c r="C64" s="174" t="str">
        <f>IF('June 2027 Log'!BK64="","",'June 2027 Log'!BK64)</f>
        <v/>
      </c>
      <c r="D64" s="189" t="e">
        <f>+C64-E64+E108</f>
        <v>#VALUE!</v>
      </c>
      <c r="E64" s="48"/>
      <c r="F64" s="167">
        <f>+E64-G64+G108</f>
        <v>0</v>
      </c>
      <c r="G64" s="48"/>
      <c r="H64" s="167">
        <f>+G64-I64+I108</f>
        <v>0</v>
      </c>
      <c r="I64" s="48"/>
      <c r="J64" s="167">
        <f>+I64-K64+K108</f>
        <v>0</v>
      </c>
      <c r="K64" s="48"/>
      <c r="L64" s="167">
        <f>+K64-M64+M108</f>
        <v>0</v>
      </c>
      <c r="M64" s="48"/>
      <c r="N64" s="167">
        <f>+M64-O64+O108</f>
        <v>0</v>
      </c>
      <c r="O64" s="48"/>
      <c r="P64" s="167">
        <f>+O64-Q64+Q108</f>
        <v>0</v>
      </c>
      <c r="Q64" s="48"/>
      <c r="R64" s="167">
        <f>+Q64-S64+S108</f>
        <v>0</v>
      </c>
      <c r="S64" s="48"/>
      <c r="T64" s="167">
        <f>+S64-U64+U108</f>
        <v>0</v>
      </c>
      <c r="U64" s="48"/>
      <c r="V64" s="167">
        <f>+U64-W64+W108</f>
        <v>0</v>
      </c>
      <c r="W64" s="48"/>
      <c r="X64" s="167">
        <f>+W64-Y64+Y108</f>
        <v>0</v>
      </c>
      <c r="Y64" s="48"/>
      <c r="Z64" s="167">
        <f>+Y64-AA64+AA108</f>
        <v>0</v>
      </c>
      <c r="AA64" s="48"/>
      <c r="AB64" s="167">
        <f>+AA64-AC64+AC108</f>
        <v>0</v>
      </c>
      <c r="AC64" s="48"/>
      <c r="AD64" s="167">
        <f>+AC64-AE64+AE108</f>
        <v>0</v>
      </c>
      <c r="AE64" s="48"/>
      <c r="AF64" s="167">
        <f>+AE64-AG64+AG108</f>
        <v>0</v>
      </c>
      <c r="AG64" s="48"/>
      <c r="AH64" s="167">
        <f>+AG64-AI64+AI108</f>
        <v>0</v>
      </c>
      <c r="AI64" s="48"/>
      <c r="AJ64" s="167">
        <f>+AI64-AK64+AK108</f>
        <v>0</v>
      </c>
      <c r="AK64" s="48"/>
      <c r="AL64" s="167">
        <f>+AK64-AM64+AM108</f>
        <v>0</v>
      </c>
      <c r="AM64" s="48"/>
      <c r="AN64" s="167">
        <f>+AM64-AO64+AO108</f>
        <v>0</v>
      </c>
      <c r="AO64" s="48"/>
      <c r="AP64" s="167">
        <f>+AO64-AQ64+AQ108</f>
        <v>0</v>
      </c>
      <c r="AQ64" s="48"/>
      <c r="AR64" s="167">
        <f>+AQ64-AS64+AS108</f>
        <v>0</v>
      </c>
      <c r="AS64" s="48"/>
      <c r="AT64" s="167">
        <f>+AS64-AU64+AU108</f>
        <v>0</v>
      </c>
      <c r="AU64" s="48"/>
      <c r="AV64" s="167">
        <f>+AU64-AW64+AW108</f>
        <v>0</v>
      </c>
      <c r="AW64" s="48"/>
      <c r="AX64" s="167">
        <f>+AW64-AY64+AY108</f>
        <v>0</v>
      </c>
      <c r="AY64" s="48"/>
      <c r="AZ64" s="167">
        <f>+AY64-BA64+BA108</f>
        <v>0</v>
      </c>
      <c r="BA64" s="48"/>
      <c r="BB64" s="167">
        <f>+BA64-BC64+BC108</f>
        <v>0</v>
      </c>
      <c r="BC64" s="48"/>
      <c r="BD64" s="167">
        <f>+BC64-BE64+BE108</f>
        <v>0</v>
      </c>
      <c r="BE64" s="48"/>
      <c r="BF64" s="167">
        <f>+BE64-BG64+BG108</f>
        <v>0</v>
      </c>
      <c r="BG64" s="48"/>
      <c r="BH64" s="167">
        <f>+BG64-BI64+BI108</f>
        <v>0</v>
      </c>
      <c r="BI64" s="48"/>
      <c r="BJ64" s="167">
        <f>+BI64-BK64+BK108</f>
        <v>0</v>
      </c>
      <c r="BK64" s="48"/>
      <c r="BL64" s="167">
        <f>+BK64-BM64+BM108</f>
        <v>0</v>
      </c>
      <c r="BM64" s="48"/>
      <c r="BN64" s="50"/>
      <c r="BO64" s="170" t="e">
        <f>IF(COUNT(D64,F64,H64,J64,L64,N64,P64,R64,T64,V64,X64,Z64,AB64,AD64,AF64,AH64,AJ64,AL64,AN64,AP64,AR64,AT64,AV64,AX64,AZ64,BB64,BD64,BF64,BH64,BJ64,BL64)=0,"",SUM(D64,F64,H64,J64,L64,N64,P64,R64,T64,V64,X64,Z64,AB64,AD64,AF64,AH64,AJ64,AL64,AN64,AP64,AR64,AT64,AV64,AX64,AZ64,BB64,BD64,BF64,BH64,BJ64,BL64))</f>
        <v>#VALUE!</v>
      </c>
      <c r="BP64" s="167" t="e">
        <f>+BM64-BQ64+BQ108</f>
        <v>#VALUE!</v>
      </c>
      <c r="BQ64" s="178" t="str">
        <f>IF(BM64="","",BM64)</f>
        <v/>
      </c>
    </row>
    <row r="65" spans="1:69" x14ac:dyDescent="0.35">
      <c r="A65" s="53" t="s">
        <v>26</v>
      </c>
      <c r="B65" s="187" t="e">
        <f>C65-C109</f>
        <v>#VALUE!</v>
      </c>
      <c r="C65" s="174" t="str">
        <f>IF('June 2027 Log'!BK65="","",'June 2027 Log'!BK65)</f>
        <v/>
      </c>
      <c r="D65" s="189" t="e">
        <f>+C65-E65+E109</f>
        <v>#VALUE!</v>
      </c>
      <c r="E65" s="48"/>
      <c r="F65" s="167">
        <f>+E65-G65+G109</f>
        <v>0</v>
      </c>
      <c r="G65" s="48"/>
      <c r="H65" s="167">
        <f>+G65-I65+I109</f>
        <v>0</v>
      </c>
      <c r="I65" s="48"/>
      <c r="J65" s="167">
        <f>+I65-K65+K109</f>
        <v>0</v>
      </c>
      <c r="K65" s="48"/>
      <c r="L65" s="167">
        <f>+K65-M65+M109</f>
        <v>0</v>
      </c>
      <c r="M65" s="48"/>
      <c r="N65" s="167">
        <f>+M65-O65+O109</f>
        <v>0</v>
      </c>
      <c r="O65" s="48"/>
      <c r="P65" s="167">
        <f>+O65-Q65+Q109</f>
        <v>0</v>
      </c>
      <c r="Q65" s="48"/>
      <c r="R65" s="167">
        <f>+Q65-S65+S109</f>
        <v>0</v>
      </c>
      <c r="S65" s="48"/>
      <c r="T65" s="167">
        <f>+S65-U65+U109</f>
        <v>0</v>
      </c>
      <c r="U65" s="48"/>
      <c r="V65" s="167">
        <f>+U65-W65+W109</f>
        <v>0</v>
      </c>
      <c r="W65" s="48"/>
      <c r="X65" s="167">
        <f>+W65-Y65+Y109</f>
        <v>0</v>
      </c>
      <c r="Y65" s="48"/>
      <c r="Z65" s="167">
        <f>+Y65-AA65+AA109</f>
        <v>0</v>
      </c>
      <c r="AA65" s="48"/>
      <c r="AB65" s="167">
        <f>+AA65-AC65+AC109</f>
        <v>0</v>
      </c>
      <c r="AC65" s="48"/>
      <c r="AD65" s="167">
        <f>+AC65-AE65+AE109</f>
        <v>0</v>
      </c>
      <c r="AE65" s="48"/>
      <c r="AF65" s="167">
        <f>+AE65-AG65+AG109</f>
        <v>0</v>
      </c>
      <c r="AG65" s="48"/>
      <c r="AH65" s="167">
        <f>+AG65-AI65+AI109</f>
        <v>0</v>
      </c>
      <c r="AI65" s="48"/>
      <c r="AJ65" s="167">
        <f>+AI65-AK65+AK109</f>
        <v>0</v>
      </c>
      <c r="AK65" s="48"/>
      <c r="AL65" s="167">
        <f>+AK65-AM65+AM109</f>
        <v>0</v>
      </c>
      <c r="AM65" s="48"/>
      <c r="AN65" s="167">
        <f>+AM65-AO65+AO109</f>
        <v>0</v>
      </c>
      <c r="AO65" s="48"/>
      <c r="AP65" s="167">
        <f>+AO65-AQ65+AQ109</f>
        <v>0</v>
      </c>
      <c r="AQ65" s="48"/>
      <c r="AR65" s="167">
        <f>+AQ65-AS65+AS109</f>
        <v>0</v>
      </c>
      <c r="AS65" s="48"/>
      <c r="AT65" s="167">
        <f>+AS65-AU65+AU109</f>
        <v>0</v>
      </c>
      <c r="AU65" s="48"/>
      <c r="AV65" s="167">
        <f>+AU65-AW65+AW109</f>
        <v>0</v>
      </c>
      <c r="AW65" s="48"/>
      <c r="AX65" s="167">
        <f>+AW65-AY65+AY109</f>
        <v>0</v>
      </c>
      <c r="AY65" s="48"/>
      <c r="AZ65" s="167">
        <f>+AY65-BA65+BA109</f>
        <v>0</v>
      </c>
      <c r="BA65" s="48"/>
      <c r="BB65" s="167">
        <f>+BA65-BC65+BC109</f>
        <v>0</v>
      </c>
      <c r="BC65" s="48"/>
      <c r="BD65" s="167">
        <f>+BC65-BE65+BE109</f>
        <v>0</v>
      </c>
      <c r="BE65" s="48"/>
      <c r="BF65" s="167">
        <f>+BE65-BG65+BG109</f>
        <v>0</v>
      </c>
      <c r="BG65" s="48"/>
      <c r="BH65" s="167">
        <f>+BG65-BI65+BI109</f>
        <v>0</v>
      </c>
      <c r="BI65" s="48"/>
      <c r="BJ65" s="167">
        <f>+BI65-BK65+BK109</f>
        <v>0</v>
      </c>
      <c r="BK65" s="48"/>
      <c r="BL65" s="167">
        <f>+BK65-BM65+BM109</f>
        <v>0</v>
      </c>
      <c r="BM65" s="48"/>
      <c r="BN65" s="50"/>
      <c r="BO65" s="170" t="e">
        <f>IF(COUNT(D65,F65,H65,J65,L65,N65,P65,R65,T65,V65,X65,Z65,AB65,AD65,AF65,AH65,AJ65,AL65,AN65,AP65,AR65,AT65,AV65,AX65,AZ65,BB65,BD65,BF65,BH65,BJ65,BL65)=0,"",SUM(D65,F65,H65,J65,L65,N65,P65,R65,T65,V65,X65,Z65,AB65,AD65,AF65,AH65,AJ65,AL65,AN65,AP65,AR65,AT65,AV65,AX65,AZ65,BB65,BD65,BF65,BH65,BJ65,BL65))</f>
        <v>#VALUE!</v>
      </c>
      <c r="BP65" s="167" t="e">
        <f>+BM65-BQ65+BQ109</f>
        <v>#VALUE!</v>
      </c>
      <c r="BQ65" s="178" t="str">
        <f>IF(BM65="","",BM65)</f>
        <v/>
      </c>
    </row>
    <row r="66" spans="1:69" x14ac:dyDescent="0.35">
      <c r="A66" s="53" t="s">
        <v>26</v>
      </c>
      <c r="B66" s="187" t="e">
        <f>C66-C110</f>
        <v>#VALUE!</v>
      </c>
      <c r="C66" s="174" t="str">
        <f>IF('June 2027 Log'!BK66="","",'June 2027 Log'!BK66)</f>
        <v/>
      </c>
      <c r="D66" s="189" t="e">
        <f>+C66-E66+E110</f>
        <v>#VALUE!</v>
      </c>
      <c r="E66" s="48"/>
      <c r="F66" s="167">
        <f>+E66-G66+G110</f>
        <v>0</v>
      </c>
      <c r="G66" s="48"/>
      <c r="H66" s="167">
        <f>+G66-I66+I110</f>
        <v>0</v>
      </c>
      <c r="I66" s="48"/>
      <c r="J66" s="167">
        <f>+I66-K66+K110</f>
        <v>0</v>
      </c>
      <c r="K66" s="48"/>
      <c r="L66" s="167">
        <f>+K66-M66+M110</f>
        <v>0</v>
      </c>
      <c r="M66" s="48"/>
      <c r="N66" s="167">
        <f>+M66-O66+O110</f>
        <v>0</v>
      </c>
      <c r="O66" s="48"/>
      <c r="P66" s="167">
        <f>+O66-Q66+Q110</f>
        <v>0</v>
      </c>
      <c r="Q66" s="48"/>
      <c r="R66" s="167">
        <f>+Q66-S66+S110</f>
        <v>0</v>
      </c>
      <c r="S66" s="48"/>
      <c r="T66" s="167">
        <f>+S66-U66+U110</f>
        <v>0</v>
      </c>
      <c r="U66" s="48"/>
      <c r="V66" s="167">
        <f>+U66-W66+W110</f>
        <v>0</v>
      </c>
      <c r="W66" s="48"/>
      <c r="X66" s="167">
        <f>+W66-Y66+Y110</f>
        <v>0</v>
      </c>
      <c r="Y66" s="48"/>
      <c r="Z66" s="167">
        <f>+Y66-AA66+AA110</f>
        <v>0</v>
      </c>
      <c r="AA66" s="48"/>
      <c r="AB66" s="167">
        <f>+AA66-AC66+AC110</f>
        <v>0</v>
      </c>
      <c r="AC66" s="48"/>
      <c r="AD66" s="167">
        <f>+AC66-AE66+AE110</f>
        <v>0</v>
      </c>
      <c r="AE66" s="48"/>
      <c r="AF66" s="167">
        <f>+AE66-AG66+AG110</f>
        <v>0</v>
      </c>
      <c r="AG66" s="48"/>
      <c r="AH66" s="167">
        <f>+AG66-AI66+AI110</f>
        <v>0</v>
      </c>
      <c r="AI66" s="48"/>
      <c r="AJ66" s="167">
        <f>+AI66-AK66+AK110</f>
        <v>0</v>
      </c>
      <c r="AK66" s="48"/>
      <c r="AL66" s="167">
        <f>+AK66-AM66+AM110</f>
        <v>0</v>
      </c>
      <c r="AM66" s="48"/>
      <c r="AN66" s="167">
        <f>+AM66-AO66+AO110</f>
        <v>0</v>
      </c>
      <c r="AO66" s="48"/>
      <c r="AP66" s="167">
        <f>+AO66-AQ66+AQ110</f>
        <v>0</v>
      </c>
      <c r="AQ66" s="48"/>
      <c r="AR66" s="167">
        <f>+AQ66-AS66+AS110</f>
        <v>0</v>
      </c>
      <c r="AS66" s="48"/>
      <c r="AT66" s="167">
        <f>+AS66-AU66+AU110</f>
        <v>0</v>
      </c>
      <c r="AU66" s="48"/>
      <c r="AV66" s="167">
        <f>+AU66-AW66+AW110</f>
        <v>0</v>
      </c>
      <c r="AW66" s="48"/>
      <c r="AX66" s="167">
        <f>+AW66-AY66+AY110</f>
        <v>0</v>
      </c>
      <c r="AY66" s="48"/>
      <c r="AZ66" s="167">
        <f>+AY66-BA66+BA110</f>
        <v>0</v>
      </c>
      <c r="BA66" s="48"/>
      <c r="BB66" s="167">
        <f>+BA66-BC66+BC110</f>
        <v>0</v>
      </c>
      <c r="BC66" s="48"/>
      <c r="BD66" s="167">
        <f>+BC66-BE66+BE110</f>
        <v>0</v>
      </c>
      <c r="BE66" s="48"/>
      <c r="BF66" s="167">
        <f>+BE66-BG66+BG110</f>
        <v>0</v>
      </c>
      <c r="BG66" s="48"/>
      <c r="BH66" s="167">
        <f>+BG66-BI66+BI110</f>
        <v>0</v>
      </c>
      <c r="BI66" s="48"/>
      <c r="BJ66" s="167">
        <f>+BI66-BK66+BK110</f>
        <v>0</v>
      </c>
      <c r="BK66" s="48"/>
      <c r="BL66" s="167">
        <f>+BK66-BM66+BM110</f>
        <v>0</v>
      </c>
      <c r="BM66" s="48"/>
      <c r="BN66" s="50"/>
      <c r="BO66" s="170" t="e">
        <f>IF(COUNT(D66,F66,H66,J66,L66,N66,P66,R66,T66,V66,X66,Z66,AB66,AD66,AF66,AH66,AJ66,AL66,AN66,AP66,AR66,AT66,AV66,AX66,AZ66,BB66,BD66,BF66,BH66,BJ66,BL66)=0,"",SUM(D66,F66,H66,J66,L66,N66,P66,R66,T66,V66,X66,Z66,AB66,AD66,AF66,AH66,AJ66,AL66,AN66,AP66,AR66,AT66,AV66,AX66,AZ66,BB66,BD66,BF66,BH66,BJ66,BL66))</f>
        <v>#VALUE!</v>
      </c>
      <c r="BP66" s="167" t="e">
        <f>+BM66-BQ66+BQ110</f>
        <v>#VALUE!</v>
      </c>
      <c r="BQ66" s="178" t="str">
        <f>IF(BM66="","",BM66)</f>
        <v/>
      </c>
    </row>
    <row r="67" spans="1:69" x14ac:dyDescent="0.35">
      <c r="A67" s="98"/>
      <c r="B67" s="90"/>
      <c r="C67" s="131"/>
      <c r="D67" s="189" t="e">
        <f>SUM(D62:D66)</f>
        <v>#VALUE!</v>
      </c>
      <c r="E67" s="166" t="e">
        <f>+E73-D73</f>
        <v>#VALUE!</v>
      </c>
      <c r="F67" s="167">
        <f>SUM(F62:F66)</f>
        <v>0</v>
      </c>
      <c r="G67" s="166">
        <f>+G73-F73</f>
        <v>0</v>
      </c>
      <c r="H67" s="167">
        <f>SUM(H62:H66)</f>
        <v>0</v>
      </c>
      <c r="I67" s="166">
        <f>+I73-H73</f>
        <v>0</v>
      </c>
      <c r="J67" s="167">
        <f>SUM(J62:J66)</f>
        <v>0</v>
      </c>
      <c r="K67" s="166">
        <f>+K73-J73</f>
        <v>0</v>
      </c>
      <c r="L67" s="167">
        <f>SUM(L62:L66)</f>
        <v>0</v>
      </c>
      <c r="M67" s="166">
        <f>+M73-L73</f>
        <v>0</v>
      </c>
      <c r="N67" s="167">
        <f>SUM(N62:N66)</f>
        <v>0</v>
      </c>
      <c r="O67" s="166">
        <f>+O73-N73</f>
        <v>0</v>
      </c>
      <c r="P67" s="167">
        <f>SUM(P62:P66)</f>
        <v>0</v>
      </c>
      <c r="Q67" s="166">
        <f>+Q73-P73</f>
        <v>0</v>
      </c>
      <c r="R67" s="167">
        <f>SUM(R62:R66)</f>
        <v>0</v>
      </c>
      <c r="S67" s="166">
        <f>+S73-R73</f>
        <v>0</v>
      </c>
      <c r="T67" s="167">
        <f>SUM(T62:T66)</f>
        <v>0</v>
      </c>
      <c r="U67" s="166">
        <f>+U73-T73</f>
        <v>0</v>
      </c>
      <c r="V67" s="167">
        <f>SUM(V62:V66)</f>
        <v>0</v>
      </c>
      <c r="W67" s="166">
        <f>+W73-V73</f>
        <v>0</v>
      </c>
      <c r="X67" s="167">
        <f>SUM(X62:X66)</f>
        <v>0</v>
      </c>
      <c r="Y67" s="166">
        <f>+Y73-X73</f>
        <v>0</v>
      </c>
      <c r="Z67" s="167">
        <f>SUM(Z62:Z66)</f>
        <v>0</v>
      </c>
      <c r="AA67" s="166">
        <f>+AA73-Z73</f>
        <v>0</v>
      </c>
      <c r="AB67" s="167">
        <f>SUM(AB62:AB66)</f>
        <v>0</v>
      </c>
      <c r="AC67" s="166">
        <f>+AC73-AB73</f>
        <v>0</v>
      </c>
      <c r="AD67" s="167">
        <f>SUM(AD62:AD66)</f>
        <v>0</v>
      </c>
      <c r="AE67" s="166">
        <f>+AE73-AD73</f>
        <v>0</v>
      </c>
      <c r="AF67" s="167">
        <f>SUM(AF62:AF66)</f>
        <v>0</v>
      </c>
      <c r="AG67" s="166">
        <f>+AG73-AF73</f>
        <v>0</v>
      </c>
      <c r="AH67" s="167">
        <f>SUM(AH62:AH66)</f>
        <v>0</v>
      </c>
      <c r="AI67" s="166">
        <f>+AI73-AH73</f>
        <v>0</v>
      </c>
      <c r="AJ67" s="167">
        <f>SUM(AJ62:AJ66)</f>
        <v>0</v>
      </c>
      <c r="AK67" s="166">
        <f>+AK73-AJ73</f>
        <v>0</v>
      </c>
      <c r="AL67" s="167">
        <f>SUM(AL62:AL66)</f>
        <v>0</v>
      </c>
      <c r="AM67" s="166">
        <f>+AM73-AL73</f>
        <v>0</v>
      </c>
      <c r="AN67" s="167">
        <f>SUM(AN62:AN66)</f>
        <v>0</v>
      </c>
      <c r="AO67" s="166">
        <f>+AO73-AN73</f>
        <v>0</v>
      </c>
      <c r="AP67" s="167">
        <f>SUM(AP62:AP66)</f>
        <v>0</v>
      </c>
      <c r="AQ67" s="166">
        <f>+AQ73-AP73</f>
        <v>0</v>
      </c>
      <c r="AR67" s="167">
        <f>SUM(AR62:AR66)</f>
        <v>0</v>
      </c>
      <c r="AS67" s="166">
        <f>+AS73-AR73</f>
        <v>0</v>
      </c>
      <c r="AT67" s="167">
        <f>SUM(AT62:AT66)</f>
        <v>0</v>
      </c>
      <c r="AU67" s="166">
        <f>+AU73-AT73</f>
        <v>0</v>
      </c>
      <c r="AV67" s="167">
        <f>SUM(AV62:AV66)</f>
        <v>0</v>
      </c>
      <c r="AW67" s="166">
        <f>+AW73-AV73</f>
        <v>0</v>
      </c>
      <c r="AX67" s="167">
        <f>SUM(AX62:AX66)</f>
        <v>0</v>
      </c>
      <c r="AY67" s="166">
        <f>+AY73-AX73</f>
        <v>0</v>
      </c>
      <c r="AZ67" s="167">
        <f>SUM(AZ62:AZ66)</f>
        <v>0</v>
      </c>
      <c r="BA67" s="166">
        <f>+BA73-AZ73</f>
        <v>0</v>
      </c>
      <c r="BB67" s="167">
        <f>SUM(BB62:BB66)</f>
        <v>0</v>
      </c>
      <c r="BC67" s="166">
        <f>+BC73-BB73</f>
        <v>0</v>
      </c>
      <c r="BD67" s="167">
        <f>SUM(BD62:BD66)</f>
        <v>0</v>
      </c>
      <c r="BE67" s="166">
        <f>+BE73-BD73</f>
        <v>0</v>
      </c>
      <c r="BF67" s="167">
        <f>SUM(BF62:BF66)</f>
        <v>0</v>
      </c>
      <c r="BG67" s="166">
        <f>+BG73-BF73</f>
        <v>0</v>
      </c>
      <c r="BH67" s="167">
        <f>SUM(BH62:BH66)</f>
        <v>0</v>
      </c>
      <c r="BI67" s="166">
        <f>+BI73-BH73</f>
        <v>0</v>
      </c>
      <c r="BJ67" s="167">
        <f>SUM(BJ62:BJ66)</f>
        <v>0</v>
      </c>
      <c r="BK67" s="166">
        <f>+BK73-BJ73</f>
        <v>0</v>
      </c>
      <c r="BL67" s="167">
        <f>SUM(BL62:BL66)</f>
        <v>0</v>
      </c>
      <c r="BM67" s="166">
        <f>+BM73-BL73</f>
        <v>0</v>
      </c>
      <c r="BN67" s="50"/>
      <c r="BO67" s="170" t="e">
        <f t="shared" ref="BO67:BO75" si="95">IF(COUNT(E67,G67,I67,K67,M67,O67,Q67,S67,U67,W67,Y67,AA67,AC67,AE67,AG67,AI67,AK67,AM67,AO67,AQ67,AS67,AU67,AW67,AY67,BA67,BC67,BE67,BG67,BI67,BK67,BM67)=0,"",SUM(E67,G67,I67,K67,M67,O67,Q67,S67,U67,W67,Y67,AA67,AC67,AE67,AG67,AI67,AK67,AM67,AO67,AQ67,AS67,AU67,AW67,AY67,BA67,BC67,BE67,BG67,BI67,BK67,BM67))</f>
        <v>#VALUE!</v>
      </c>
      <c r="BP67" s="167" t="e">
        <f>SUM(BP62:BP66)</f>
        <v>#VALUE!</v>
      </c>
      <c r="BQ67" s="52"/>
    </row>
    <row r="68" spans="1:69" x14ac:dyDescent="0.35">
      <c r="A68" s="132" t="s">
        <v>87</v>
      </c>
      <c r="B68" s="133"/>
      <c r="C68" s="131"/>
      <c r="D68" s="189">
        <f>D91+D94</f>
        <v>0</v>
      </c>
      <c r="E68" s="166" t="e">
        <f>+E77-C77+E80-C80</f>
        <v>#VALUE!</v>
      </c>
      <c r="F68" s="167">
        <f>F91+F94</f>
        <v>0</v>
      </c>
      <c r="G68" s="166">
        <f>+G77-E77+G80-E80</f>
        <v>0</v>
      </c>
      <c r="H68" s="167">
        <f>H91+H94</f>
        <v>0</v>
      </c>
      <c r="I68" s="166">
        <f>+I77-G77+I80-G80</f>
        <v>0</v>
      </c>
      <c r="J68" s="167">
        <f>J91+J94</f>
        <v>0</v>
      </c>
      <c r="K68" s="166">
        <f>+K77-I77+K80-I80</f>
        <v>0</v>
      </c>
      <c r="L68" s="167">
        <f>L91+L94</f>
        <v>0</v>
      </c>
      <c r="M68" s="166">
        <f>+M77-K77+M80-K80</f>
        <v>0</v>
      </c>
      <c r="N68" s="167">
        <f>N91+N94</f>
        <v>0</v>
      </c>
      <c r="O68" s="166">
        <f>+O77-M77+O80-M80</f>
        <v>0</v>
      </c>
      <c r="P68" s="167">
        <f>P91+P94</f>
        <v>0</v>
      </c>
      <c r="Q68" s="166">
        <f>+Q77-O77+Q80-O80</f>
        <v>0</v>
      </c>
      <c r="R68" s="167">
        <f>R91+R94</f>
        <v>0</v>
      </c>
      <c r="S68" s="166">
        <f>+S77-Q77+S80-Q80</f>
        <v>0</v>
      </c>
      <c r="T68" s="167">
        <f>T91+T94</f>
        <v>0</v>
      </c>
      <c r="U68" s="166">
        <f>+U77-S77+U80-S80</f>
        <v>0</v>
      </c>
      <c r="V68" s="167">
        <f>V91+V94</f>
        <v>0</v>
      </c>
      <c r="W68" s="166">
        <f>+W77-U77+W80-U80</f>
        <v>0</v>
      </c>
      <c r="X68" s="167">
        <f>X91+X94</f>
        <v>0</v>
      </c>
      <c r="Y68" s="166">
        <f>+Y77-W77+Y80-W80</f>
        <v>0</v>
      </c>
      <c r="Z68" s="167">
        <f>Z91+Z94</f>
        <v>0</v>
      </c>
      <c r="AA68" s="166">
        <f>+AA77-Y77+AA80-Y80</f>
        <v>0</v>
      </c>
      <c r="AB68" s="167">
        <f>AB91+AB94</f>
        <v>0</v>
      </c>
      <c r="AC68" s="166">
        <f>+AC77-AA77+AC80-AA80</f>
        <v>0</v>
      </c>
      <c r="AD68" s="167">
        <f>AD91+AD94</f>
        <v>0</v>
      </c>
      <c r="AE68" s="166">
        <f>+AE77-AC77+AE80-AC80</f>
        <v>0</v>
      </c>
      <c r="AF68" s="167">
        <f>AF91+AF94</f>
        <v>0</v>
      </c>
      <c r="AG68" s="166">
        <f>+AG77-AE77+AG80-AE80</f>
        <v>0</v>
      </c>
      <c r="AH68" s="167">
        <f>AH91+AH94</f>
        <v>0</v>
      </c>
      <c r="AI68" s="166">
        <f>+AI77-AG77+AI80-AG80</f>
        <v>0</v>
      </c>
      <c r="AJ68" s="167">
        <f>AJ91+AJ94</f>
        <v>0</v>
      </c>
      <c r="AK68" s="166">
        <f>+AK77-AI77+AK80-AI80</f>
        <v>0</v>
      </c>
      <c r="AL68" s="167">
        <f>AL91+AL94</f>
        <v>0</v>
      </c>
      <c r="AM68" s="166">
        <f>+AM77-AK77+AM80-AK80</f>
        <v>0</v>
      </c>
      <c r="AN68" s="167">
        <f>AN91+AN94</f>
        <v>0</v>
      </c>
      <c r="AO68" s="166">
        <f>+AO77-AM77+AO80-AM80</f>
        <v>0</v>
      </c>
      <c r="AP68" s="167">
        <f>AP91+AP94</f>
        <v>0</v>
      </c>
      <c r="AQ68" s="166">
        <f>+AQ77-AO77+AQ80-AO80</f>
        <v>0</v>
      </c>
      <c r="AR68" s="167">
        <f>AR91+AR94</f>
        <v>0</v>
      </c>
      <c r="AS68" s="166">
        <f>+AS77-AQ77+AS80-AQ80</f>
        <v>0</v>
      </c>
      <c r="AT68" s="167">
        <f>AT91+AT94</f>
        <v>0</v>
      </c>
      <c r="AU68" s="166">
        <f>+AU77-AS77+AU80-AS80</f>
        <v>0</v>
      </c>
      <c r="AV68" s="167">
        <f>AV91+AV94</f>
        <v>0</v>
      </c>
      <c r="AW68" s="166">
        <f>+AW77-AU77+AW80-AU80</f>
        <v>0</v>
      </c>
      <c r="AX68" s="167">
        <f>AX91+AX94</f>
        <v>0</v>
      </c>
      <c r="AY68" s="166">
        <f>+AY77-AW77+AY80-AW80</f>
        <v>0</v>
      </c>
      <c r="AZ68" s="167">
        <f>AZ91+AZ94</f>
        <v>0</v>
      </c>
      <c r="BA68" s="166">
        <f>+BA77-AY77+BA80-AY80</f>
        <v>0</v>
      </c>
      <c r="BB68" s="167">
        <f>BB91+BB94</f>
        <v>0</v>
      </c>
      <c r="BC68" s="166">
        <f>+BC77-BA77+BC80-BA80</f>
        <v>0</v>
      </c>
      <c r="BD68" s="167">
        <f>BD91+BD94</f>
        <v>0</v>
      </c>
      <c r="BE68" s="166">
        <f>+BE77-BC77+BE80-BC80</f>
        <v>0</v>
      </c>
      <c r="BF68" s="167">
        <f>BF91+BF94</f>
        <v>0</v>
      </c>
      <c r="BG68" s="166">
        <f>+BG77-BE77+BG80-BE80</f>
        <v>0</v>
      </c>
      <c r="BH68" s="167">
        <f>BH91+BH94</f>
        <v>0</v>
      </c>
      <c r="BI68" s="166">
        <f>+BI77-BG77+BI80-BG80</f>
        <v>0</v>
      </c>
      <c r="BJ68" s="167">
        <f>BJ91+BJ94</f>
        <v>0</v>
      </c>
      <c r="BK68" s="166">
        <f>+BK77-BI77+BK80-BI80</f>
        <v>0</v>
      </c>
      <c r="BL68" s="167">
        <f>BL91+BL94</f>
        <v>0</v>
      </c>
      <c r="BM68" s="166">
        <f>+BM77-BK77+BM80-BK80</f>
        <v>0</v>
      </c>
      <c r="BN68" s="50"/>
      <c r="BO68" s="170" t="e">
        <f t="shared" si="95"/>
        <v>#VALUE!</v>
      </c>
      <c r="BP68" s="167">
        <f>BP91+BP94</f>
        <v>0</v>
      </c>
      <c r="BQ68" s="52"/>
    </row>
    <row r="69" spans="1:69" x14ac:dyDescent="0.35">
      <c r="A69" s="44" t="s">
        <v>88</v>
      </c>
      <c r="B69" s="133"/>
      <c r="C69" s="131"/>
      <c r="D69" s="189">
        <f>D99+D102</f>
        <v>0</v>
      </c>
      <c r="E69" s="166" t="e">
        <f>+E85-C85+E88-C88</f>
        <v>#VALUE!</v>
      </c>
      <c r="F69" s="167">
        <f>F99+F102</f>
        <v>0</v>
      </c>
      <c r="G69" s="166">
        <f>+G85-E85+G88-E88</f>
        <v>0</v>
      </c>
      <c r="H69" s="167">
        <f>H99+H102</f>
        <v>0</v>
      </c>
      <c r="I69" s="166">
        <f>+I85-G85+I88-G88</f>
        <v>0</v>
      </c>
      <c r="J69" s="167">
        <f>J99+J102</f>
        <v>0</v>
      </c>
      <c r="K69" s="166">
        <f>+K85-I85+K88-I88</f>
        <v>0</v>
      </c>
      <c r="L69" s="167">
        <f>L99+L102</f>
        <v>0</v>
      </c>
      <c r="M69" s="166">
        <f>+M85-K85+M88-K88</f>
        <v>0</v>
      </c>
      <c r="N69" s="167">
        <f>N99+N102</f>
        <v>0</v>
      </c>
      <c r="O69" s="166">
        <f>+O85-M85+O88-M88</f>
        <v>0</v>
      </c>
      <c r="P69" s="167">
        <f>P99+P102</f>
        <v>0</v>
      </c>
      <c r="Q69" s="166">
        <f>+Q85-O85+Q88-O88</f>
        <v>0</v>
      </c>
      <c r="R69" s="167">
        <f>R99+R102</f>
        <v>0</v>
      </c>
      <c r="S69" s="166">
        <f>+S85-Q85+S88-Q88</f>
        <v>0</v>
      </c>
      <c r="T69" s="167">
        <f>T99+T102</f>
        <v>0</v>
      </c>
      <c r="U69" s="166">
        <f>+U85-S85+U88-S88</f>
        <v>0</v>
      </c>
      <c r="V69" s="167">
        <f>V99+V102</f>
        <v>0</v>
      </c>
      <c r="W69" s="166">
        <f>+W85-U85+W88-U88</f>
        <v>0</v>
      </c>
      <c r="X69" s="167">
        <f>X99+X102</f>
        <v>0</v>
      </c>
      <c r="Y69" s="166">
        <f>+Y85-W85+Y88-W88</f>
        <v>0</v>
      </c>
      <c r="Z69" s="167">
        <f>Z99+Z102</f>
        <v>0</v>
      </c>
      <c r="AA69" s="166">
        <f>+AA85-Y85+AA88-Y88</f>
        <v>0</v>
      </c>
      <c r="AB69" s="167">
        <f>AB99+AB102</f>
        <v>0</v>
      </c>
      <c r="AC69" s="166">
        <f>+AC85-AA85+AC88-AA88</f>
        <v>0</v>
      </c>
      <c r="AD69" s="167">
        <f>AD99+AD102</f>
        <v>0</v>
      </c>
      <c r="AE69" s="166">
        <f>+AE85-AC85+AE88-AC88</f>
        <v>0</v>
      </c>
      <c r="AF69" s="167">
        <f>AF99+AF102</f>
        <v>0</v>
      </c>
      <c r="AG69" s="166">
        <f>+AG85-AE85+AG88-AE88</f>
        <v>0</v>
      </c>
      <c r="AH69" s="167">
        <f>AH99+AH102</f>
        <v>0</v>
      </c>
      <c r="AI69" s="166">
        <f>+AI85-AG85+AI88-AG88</f>
        <v>0</v>
      </c>
      <c r="AJ69" s="167">
        <f>AJ99+AJ102</f>
        <v>0</v>
      </c>
      <c r="AK69" s="166">
        <f>+AK85-AI85+AK88-AI88</f>
        <v>0</v>
      </c>
      <c r="AL69" s="167">
        <f>AL99+AL102</f>
        <v>0</v>
      </c>
      <c r="AM69" s="166">
        <f>+AM85-AK85+AM88-AK88</f>
        <v>0</v>
      </c>
      <c r="AN69" s="167">
        <f>AN99+AN102</f>
        <v>0</v>
      </c>
      <c r="AO69" s="166">
        <f>+AO85-AM85+AO88-AM88</f>
        <v>0</v>
      </c>
      <c r="AP69" s="167">
        <f>AP99+AP102</f>
        <v>0</v>
      </c>
      <c r="AQ69" s="166">
        <f>+AQ85-AO85+AQ88-AO88</f>
        <v>0</v>
      </c>
      <c r="AR69" s="167">
        <f>AR99+AR102</f>
        <v>0</v>
      </c>
      <c r="AS69" s="166">
        <f>+AS85-AQ85+AS88-AQ88</f>
        <v>0</v>
      </c>
      <c r="AT69" s="167">
        <f>AT99+AT102</f>
        <v>0</v>
      </c>
      <c r="AU69" s="166">
        <f>+AU85-AS85+AU88-AS88</f>
        <v>0</v>
      </c>
      <c r="AV69" s="167">
        <f>AV99+AV102</f>
        <v>0</v>
      </c>
      <c r="AW69" s="166">
        <f>+AW85-AU85+AW88-AU88</f>
        <v>0</v>
      </c>
      <c r="AX69" s="167">
        <f>AX99+AX102</f>
        <v>0</v>
      </c>
      <c r="AY69" s="166">
        <f>+AY85-AW85+AY88-AW88</f>
        <v>0</v>
      </c>
      <c r="AZ69" s="167">
        <f>AZ99+AZ102</f>
        <v>0</v>
      </c>
      <c r="BA69" s="166">
        <f>+BA85-AY85+BA88-AY88</f>
        <v>0</v>
      </c>
      <c r="BB69" s="167">
        <f>BB99+BB102</f>
        <v>0</v>
      </c>
      <c r="BC69" s="166">
        <f>+BC85-BA85+BC88-BA88</f>
        <v>0</v>
      </c>
      <c r="BD69" s="167">
        <f>BD99+BD102</f>
        <v>0</v>
      </c>
      <c r="BE69" s="166">
        <f>+BE85-BC85+BE88-BC88</f>
        <v>0</v>
      </c>
      <c r="BF69" s="167">
        <f>BF99+BF102</f>
        <v>0</v>
      </c>
      <c r="BG69" s="166">
        <f>+BG85-BE85+BG88-BE88</f>
        <v>0</v>
      </c>
      <c r="BH69" s="167">
        <f>BH99+BH102</f>
        <v>0</v>
      </c>
      <c r="BI69" s="166">
        <f>+BI85-BG85+BI88-BG88</f>
        <v>0</v>
      </c>
      <c r="BJ69" s="167">
        <f>BJ99+BJ102</f>
        <v>0</v>
      </c>
      <c r="BK69" s="166">
        <f>+BK85-BI85+BK88-BI88</f>
        <v>0</v>
      </c>
      <c r="BL69" s="167">
        <f>BL99+BL102</f>
        <v>0</v>
      </c>
      <c r="BM69" s="166">
        <f>+BM85-BK85+BM88-BK88</f>
        <v>0</v>
      </c>
      <c r="BN69" s="50"/>
      <c r="BO69" s="170" t="e">
        <f t="shared" si="95"/>
        <v>#VALUE!</v>
      </c>
      <c r="BP69" s="167">
        <f>BP99+BP102</f>
        <v>0</v>
      </c>
      <c r="BQ69" s="52"/>
    </row>
    <row r="70" spans="1:69" x14ac:dyDescent="0.35">
      <c r="A70" s="134" t="s">
        <v>89</v>
      </c>
      <c r="B70" s="133"/>
      <c r="C70" s="131"/>
      <c r="D70" s="189">
        <f>D93+D96</f>
        <v>0</v>
      </c>
      <c r="E70" s="166" t="e">
        <f>+E79-C79+E82-C82</f>
        <v>#VALUE!</v>
      </c>
      <c r="F70" s="167">
        <f>F93+F96</f>
        <v>0</v>
      </c>
      <c r="G70" s="166">
        <f>+G79-E79+G82-E82</f>
        <v>0</v>
      </c>
      <c r="H70" s="167">
        <f>H93+H96</f>
        <v>0</v>
      </c>
      <c r="I70" s="166">
        <f>+I79-G79+I82-G82</f>
        <v>0</v>
      </c>
      <c r="J70" s="167">
        <f>J93+J96</f>
        <v>0</v>
      </c>
      <c r="K70" s="166">
        <f>+K79-I79+K82-I82</f>
        <v>0</v>
      </c>
      <c r="L70" s="167">
        <f>L93+L96</f>
        <v>0</v>
      </c>
      <c r="M70" s="166">
        <f>+M79-K79+M82-K82</f>
        <v>0</v>
      </c>
      <c r="N70" s="167">
        <f>N93+N96</f>
        <v>0</v>
      </c>
      <c r="O70" s="166">
        <f>+O79-M79+O82-M82</f>
        <v>0</v>
      </c>
      <c r="P70" s="167">
        <f>P93+P96</f>
        <v>0</v>
      </c>
      <c r="Q70" s="166">
        <f>+Q79-O79+Q82-O82</f>
        <v>0</v>
      </c>
      <c r="R70" s="167">
        <f>R93+R96</f>
        <v>0</v>
      </c>
      <c r="S70" s="166">
        <f>+S79-Q79+S82-Q82</f>
        <v>0</v>
      </c>
      <c r="T70" s="167">
        <f>T93+T96</f>
        <v>0</v>
      </c>
      <c r="U70" s="166">
        <f>+U79-S79+U82-S82</f>
        <v>0</v>
      </c>
      <c r="V70" s="167">
        <f>V93+V96</f>
        <v>0</v>
      </c>
      <c r="W70" s="166">
        <f>+W79-U79+W82-U82</f>
        <v>0</v>
      </c>
      <c r="X70" s="167">
        <f>X93+X96</f>
        <v>0</v>
      </c>
      <c r="Y70" s="166">
        <f>+Y79-W79+Y82-W82</f>
        <v>0</v>
      </c>
      <c r="Z70" s="167">
        <f>Z93+Z96</f>
        <v>0</v>
      </c>
      <c r="AA70" s="166">
        <f>+AA79-Y79+AA82-Y82</f>
        <v>0</v>
      </c>
      <c r="AB70" s="167">
        <f>AB93+AB96</f>
        <v>0</v>
      </c>
      <c r="AC70" s="166">
        <f>+AC79-AA79+AC82-AA82</f>
        <v>0</v>
      </c>
      <c r="AD70" s="167">
        <f>AD93+AD96</f>
        <v>0</v>
      </c>
      <c r="AE70" s="166">
        <f>+AE79-AC79+AE82-AC82</f>
        <v>0</v>
      </c>
      <c r="AF70" s="167">
        <f>AF93+AF96</f>
        <v>0</v>
      </c>
      <c r="AG70" s="166">
        <f>+AG79-AE79+AG82-AE82</f>
        <v>0</v>
      </c>
      <c r="AH70" s="167">
        <f>AH93+AH96</f>
        <v>0</v>
      </c>
      <c r="AI70" s="166">
        <f>+AI79-AG79+AI82-AG82</f>
        <v>0</v>
      </c>
      <c r="AJ70" s="167">
        <f>AJ93+AJ96</f>
        <v>0</v>
      </c>
      <c r="AK70" s="166">
        <f>+AK79-AI79+AK82-AI82</f>
        <v>0</v>
      </c>
      <c r="AL70" s="167">
        <f>AL93+AL96</f>
        <v>0</v>
      </c>
      <c r="AM70" s="166">
        <f>+AM79-AK79+AM82-AK82</f>
        <v>0</v>
      </c>
      <c r="AN70" s="167">
        <f>AN93+AN96</f>
        <v>0</v>
      </c>
      <c r="AO70" s="166">
        <f>+AO79-AM79+AO82-AM82</f>
        <v>0</v>
      </c>
      <c r="AP70" s="167">
        <f>AP93+AP96</f>
        <v>0</v>
      </c>
      <c r="AQ70" s="166">
        <f>+AQ79-AO79+AQ82-AO82</f>
        <v>0</v>
      </c>
      <c r="AR70" s="167">
        <f>AR93+AR96</f>
        <v>0</v>
      </c>
      <c r="AS70" s="166">
        <f>+AS79-AQ79+AS82-AQ82</f>
        <v>0</v>
      </c>
      <c r="AT70" s="167">
        <f>AT93+AT96</f>
        <v>0</v>
      </c>
      <c r="AU70" s="166">
        <f>+AU79-AS79+AU82-AS82</f>
        <v>0</v>
      </c>
      <c r="AV70" s="167">
        <f>AV93+AV96</f>
        <v>0</v>
      </c>
      <c r="AW70" s="166">
        <f>+AW79-AU79+AW82-AU82</f>
        <v>0</v>
      </c>
      <c r="AX70" s="167">
        <f>AX93+AX96</f>
        <v>0</v>
      </c>
      <c r="AY70" s="166">
        <f>+AY79-AW79+AY82-AW82</f>
        <v>0</v>
      </c>
      <c r="AZ70" s="167">
        <f>AZ93+AZ96</f>
        <v>0</v>
      </c>
      <c r="BA70" s="166">
        <f>+BA79-AY79+BA82-AY82</f>
        <v>0</v>
      </c>
      <c r="BB70" s="167">
        <f>BB93+BB96</f>
        <v>0</v>
      </c>
      <c r="BC70" s="166">
        <f>+BC79-BA79+BC82-BA82</f>
        <v>0</v>
      </c>
      <c r="BD70" s="167">
        <f>BD93+BD96</f>
        <v>0</v>
      </c>
      <c r="BE70" s="166">
        <f>+BE79-BC79+BE82-BC82</f>
        <v>0</v>
      </c>
      <c r="BF70" s="167">
        <f>BF93+BF96</f>
        <v>0</v>
      </c>
      <c r="BG70" s="166">
        <f>+BG79-BE79+BG82-BE82</f>
        <v>0</v>
      </c>
      <c r="BH70" s="167">
        <f>BH93+BH96</f>
        <v>0</v>
      </c>
      <c r="BI70" s="166">
        <f>+BI79-BG79+BI82-BG82</f>
        <v>0</v>
      </c>
      <c r="BJ70" s="167">
        <f>BJ93+BJ96</f>
        <v>0</v>
      </c>
      <c r="BK70" s="166">
        <f>+BK79-BI79+BK82-BI82</f>
        <v>0</v>
      </c>
      <c r="BL70" s="167">
        <f>BL93+BL96</f>
        <v>0</v>
      </c>
      <c r="BM70" s="166">
        <f>+BM79-BK79+BM82-BK82</f>
        <v>0</v>
      </c>
      <c r="BN70" s="50"/>
      <c r="BO70" s="170" t="e">
        <f t="shared" si="95"/>
        <v>#VALUE!</v>
      </c>
      <c r="BP70" s="167">
        <f>BP93+BP96</f>
        <v>0</v>
      </c>
      <c r="BQ70" s="52"/>
    </row>
    <row r="71" spans="1:69" x14ac:dyDescent="0.35">
      <c r="A71" s="135" t="s">
        <v>90</v>
      </c>
      <c r="B71" s="133"/>
      <c r="C71" s="131"/>
      <c r="D71" s="189">
        <f>+D97+D100</f>
        <v>0</v>
      </c>
      <c r="E71" s="166" t="e">
        <f>+E83-C83+E86-C86</f>
        <v>#VALUE!</v>
      </c>
      <c r="F71" s="167">
        <f>+F97+F100</f>
        <v>0</v>
      </c>
      <c r="G71" s="166">
        <f>+G83-E83+G86-E86</f>
        <v>0</v>
      </c>
      <c r="H71" s="167">
        <f>+H97+H100</f>
        <v>0</v>
      </c>
      <c r="I71" s="166">
        <f>+I83-G83+I86-G86</f>
        <v>0</v>
      </c>
      <c r="J71" s="167">
        <f>+J97+J100</f>
        <v>0</v>
      </c>
      <c r="K71" s="166">
        <f>+K83-I83+K86-I86</f>
        <v>0</v>
      </c>
      <c r="L71" s="167">
        <f>+L97+L100</f>
        <v>0</v>
      </c>
      <c r="M71" s="166">
        <f>+M83-K83+M86-K86</f>
        <v>0</v>
      </c>
      <c r="N71" s="167">
        <f>+N97+N100</f>
        <v>0</v>
      </c>
      <c r="O71" s="166">
        <f>+O83-M83+O86-M86</f>
        <v>0</v>
      </c>
      <c r="P71" s="167">
        <f>+P97+P100</f>
        <v>0</v>
      </c>
      <c r="Q71" s="166">
        <f>+Q83-O83+Q86-O86</f>
        <v>0</v>
      </c>
      <c r="R71" s="167">
        <f>+R97+R100</f>
        <v>0</v>
      </c>
      <c r="S71" s="166">
        <f>+S83-Q83+S86-Q86</f>
        <v>0</v>
      </c>
      <c r="T71" s="167">
        <f>+T97+T100</f>
        <v>0</v>
      </c>
      <c r="U71" s="166">
        <f>+U83-S83+U86-S86</f>
        <v>0</v>
      </c>
      <c r="V71" s="167">
        <f>+V97+V100</f>
        <v>0</v>
      </c>
      <c r="W71" s="166">
        <f>+W83-U83+W86-U86</f>
        <v>0</v>
      </c>
      <c r="X71" s="167">
        <f>+X97+X100</f>
        <v>0</v>
      </c>
      <c r="Y71" s="166">
        <f>+Y83-W83+Y86-W86</f>
        <v>0</v>
      </c>
      <c r="Z71" s="167">
        <f>+Z97+Z100</f>
        <v>0</v>
      </c>
      <c r="AA71" s="166">
        <f>+AA83-Y83+AA86-Y86</f>
        <v>0</v>
      </c>
      <c r="AB71" s="167">
        <f>+AB97+AB100</f>
        <v>0</v>
      </c>
      <c r="AC71" s="166">
        <f>+AC83-AA83+AC86-AA86</f>
        <v>0</v>
      </c>
      <c r="AD71" s="167">
        <f>+AD97+AD100</f>
        <v>0</v>
      </c>
      <c r="AE71" s="166">
        <f>+AE83-AC83+AE86-AC86</f>
        <v>0</v>
      </c>
      <c r="AF71" s="167">
        <f>+AF97+AF100</f>
        <v>0</v>
      </c>
      <c r="AG71" s="166">
        <f>+AG83-AE83+AG86-AE86</f>
        <v>0</v>
      </c>
      <c r="AH71" s="167">
        <f>+AH97+AH100</f>
        <v>0</v>
      </c>
      <c r="AI71" s="166">
        <f>+AI83-AG83+AI86-AG86</f>
        <v>0</v>
      </c>
      <c r="AJ71" s="167">
        <f>+AJ97+AJ100</f>
        <v>0</v>
      </c>
      <c r="AK71" s="166">
        <f>+AK83-AI83+AK86-AI86</f>
        <v>0</v>
      </c>
      <c r="AL71" s="167">
        <f>+AL97+AL100</f>
        <v>0</v>
      </c>
      <c r="AM71" s="166">
        <f>+AM83-AK83+AM86-AK86</f>
        <v>0</v>
      </c>
      <c r="AN71" s="167">
        <f>+AN97+AN100</f>
        <v>0</v>
      </c>
      <c r="AO71" s="166">
        <f>+AO83-AM83+AO86-AM86</f>
        <v>0</v>
      </c>
      <c r="AP71" s="167">
        <f>+AP97+AP100</f>
        <v>0</v>
      </c>
      <c r="AQ71" s="166">
        <f>+AQ83-AO83+AQ86-AO86</f>
        <v>0</v>
      </c>
      <c r="AR71" s="167">
        <f>+AR97+AR100</f>
        <v>0</v>
      </c>
      <c r="AS71" s="166">
        <f>+AS83-AQ83+AS86-AQ86</f>
        <v>0</v>
      </c>
      <c r="AT71" s="167">
        <f>+AT97+AT100</f>
        <v>0</v>
      </c>
      <c r="AU71" s="166">
        <f>+AU83-AS83+AU86-AS86</f>
        <v>0</v>
      </c>
      <c r="AV71" s="167">
        <f>+AV97+AV100</f>
        <v>0</v>
      </c>
      <c r="AW71" s="166">
        <f>+AW83-AU83+AW86-AU86</f>
        <v>0</v>
      </c>
      <c r="AX71" s="167">
        <f>+AX97+AX100</f>
        <v>0</v>
      </c>
      <c r="AY71" s="166">
        <f>+AY83-AW83+AY86-AW86</f>
        <v>0</v>
      </c>
      <c r="AZ71" s="167">
        <f>+AZ97+AZ100</f>
        <v>0</v>
      </c>
      <c r="BA71" s="166">
        <f>+BA83-AY83+BA86-AY86</f>
        <v>0</v>
      </c>
      <c r="BB71" s="167">
        <f>+BB97+BB100</f>
        <v>0</v>
      </c>
      <c r="BC71" s="166">
        <f>+BC83-BA83+BC86-BA86</f>
        <v>0</v>
      </c>
      <c r="BD71" s="167">
        <f>+BD97+BD100</f>
        <v>0</v>
      </c>
      <c r="BE71" s="166">
        <f>+BE83-BC83+BE86-BC86</f>
        <v>0</v>
      </c>
      <c r="BF71" s="167">
        <f>+BF97+BF100</f>
        <v>0</v>
      </c>
      <c r="BG71" s="166">
        <f>+BG83-BE83+BG86-BE86</f>
        <v>0</v>
      </c>
      <c r="BH71" s="167">
        <f>+BH97+BH100</f>
        <v>0</v>
      </c>
      <c r="BI71" s="166">
        <f>+BI83-BG83+BI86-BG86</f>
        <v>0</v>
      </c>
      <c r="BJ71" s="167">
        <f>+BJ97+BJ100</f>
        <v>0</v>
      </c>
      <c r="BK71" s="166">
        <f>+BK83-BI83+BK86-BI86</f>
        <v>0</v>
      </c>
      <c r="BL71" s="167">
        <f>+BL97+BL100</f>
        <v>0</v>
      </c>
      <c r="BM71" s="166">
        <f>+BM83-BK83+BM86-BK86</f>
        <v>0</v>
      </c>
      <c r="BN71" s="50"/>
      <c r="BO71" s="170" t="e">
        <f t="shared" si="95"/>
        <v>#VALUE!</v>
      </c>
      <c r="BP71" s="167">
        <f>+BP97+BP100</f>
        <v>0</v>
      </c>
      <c r="BQ71" s="52"/>
    </row>
    <row r="72" spans="1:69" x14ac:dyDescent="0.35">
      <c r="A72" s="136" t="s">
        <v>91</v>
      </c>
      <c r="B72" s="133"/>
      <c r="C72" s="131"/>
      <c r="D72" s="189">
        <f>+D92+D95+D98+D101</f>
        <v>0</v>
      </c>
      <c r="E72" s="166" t="e">
        <f>+E78-C78+E81-C81+E84-C84+E87-C87</f>
        <v>#VALUE!</v>
      </c>
      <c r="F72" s="167">
        <f>+F92+F95+F98+F101</f>
        <v>0</v>
      </c>
      <c r="G72" s="166">
        <f>+G78-E78+G81-E81+G84-E84+G87-E87</f>
        <v>0</v>
      </c>
      <c r="H72" s="167">
        <f>+H92+H95+H98+H101</f>
        <v>0</v>
      </c>
      <c r="I72" s="166">
        <f>+I78-G78+I81-G81+I84-G84+I87-G87</f>
        <v>0</v>
      </c>
      <c r="J72" s="167">
        <f>+J92+J95+J98+J101</f>
        <v>0</v>
      </c>
      <c r="K72" s="166">
        <f>+K78-I78+K81-I81+K84-I84+K87-I87</f>
        <v>0</v>
      </c>
      <c r="L72" s="167">
        <f>+L92+L95+L98+L101</f>
        <v>0</v>
      </c>
      <c r="M72" s="166">
        <f>+M78-K78+M81-K81+M84-K84+M87-K87</f>
        <v>0</v>
      </c>
      <c r="N72" s="167">
        <f>+N92+N95+N98+N101</f>
        <v>0</v>
      </c>
      <c r="O72" s="166">
        <f>+O78-M78+O81-M81+O84-M84+O87-M87</f>
        <v>0</v>
      </c>
      <c r="P72" s="167">
        <f>+P92+P95+P98+P101</f>
        <v>0</v>
      </c>
      <c r="Q72" s="166">
        <f>+Q78-O78+Q81-O81+Q84-O84+Q87-O87</f>
        <v>0</v>
      </c>
      <c r="R72" s="167">
        <f>+R92+R95+R98+R101</f>
        <v>0</v>
      </c>
      <c r="S72" s="166">
        <f>+S78-Q78+S81-Q81+S84-Q84+S87-Q87</f>
        <v>0</v>
      </c>
      <c r="T72" s="167">
        <f>+T92+T95+T98+T101</f>
        <v>0</v>
      </c>
      <c r="U72" s="166">
        <f>+U78-S78+U81-S81+U84-S84+U87-S87</f>
        <v>0</v>
      </c>
      <c r="V72" s="167">
        <f>+V92+V95+V98+V101</f>
        <v>0</v>
      </c>
      <c r="W72" s="166">
        <f>+W78-U78+W81-U81+W84-U84+W87-U87</f>
        <v>0</v>
      </c>
      <c r="X72" s="167">
        <f>+X92+X95+X98+X101</f>
        <v>0</v>
      </c>
      <c r="Y72" s="166">
        <f>+Y78-W78+Y81-W81+Y84-W84+Y87-W87</f>
        <v>0</v>
      </c>
      <c r="Z72" s="167">
        <f>+Z92+Z95+Z98+Z101</f>
        <v>0</v>
      </c>
      <c r="AA72" s="166">
        <f>+AA78-Y78+AA81-Y81+AA84-Y84+AA87-Y87</f>
        <v>0</v>
      </c>
      <c r="AB72" s="167">
        <f>+AB92+AB95+AB98+AB101</f>
        <v>0</v>
      </c>
      <c r="AC72" s="166">
        <f>+AC78-AA78+AC81-AA81+AC84-AA84+AC87-AA87</f>
        <v>0</v>
      </c>
      <c r="AD72" s="167">
        <f>+AD92+AD95+AD98+AD101</f>
        <v>0</v>
      </c>
      <c r="AE72" s="166">
        <f>+AE78-AC78+AE81-AC81+AE84-AC84+AE87-AC87</f>
        <v>0</v>
      </c>
      <c r="AF72" s="167">
        <f>+AF92+AF95+AF98+AF101</f>
        <v>0</v>
      </c>
      <c r="AG72" s="166">
        <f>+AG78-AE78+AG81-AE81+AG84-AE84+AG87-AE87</f>
        <v>0</v>
      </c>
      <c r="AH72" s="167">
        <f>+AH92+AH95+AH98+AH101</f>
        <v>0</v>
      </c>
      <c r="AI72" s="166">
        <f>+AI78-AG78+AI81-AG81+AI84-AG84+AI87-AG87</f>
        <v>0</v>
      </c>
      <c r="AJ72" s="167">
        <f>+AJ92+AJ95+AJ98+AJ101</f>
        <v>0</v>
      </c>
      <c r="AK72" s="166">
        <f>+AK78-AI78+AK81-AI81+AK84-AI84+AK87-AI87</f>
        <v>0</v>
      </c>
      <c r="AL72" s="167">
        <f>+AL92+AL95+AL98+AL101</f>
        <v>0</v>
      </c>
      <c r="AM72" s="166">
        <f>+AM78-AK78+AM81-AK81+AM84-AK84+AM87-AK87</f>
        <v>0</v>
      </c>
      <c r="AN72" s="167">
        <f>+AN92+AN95+AN98+AN101</f>
        <v>0</v>
      </c>
      <c r="AO72" s="166">
        <f>+AO78-AM78+AO81-AM81+AO84-AM84+AO87-AM87</f>
        <v>0</v>
      </c>
      <c r="AP72" s="167">
        <f>+AP92+AP95+AP98+AP101</f>
        <v>0</v>
      </c>
      <c r="AQ72" s="166">
        <f>+AQ78-AO78+AQ81-AO81+AQ84-AO84+AQ87-AO87</f>
        <v>0</v>
      </c>
      <c r="AR72" s="167">
        <f>+AR92+AR95+AR98+AR101</f>
        <v>0</v>
      </c>
      <c r="AS72" s="166">
        <f>+AS78-AQ78+AS81-AQ81+AS84-AQ84+AS87-AQ87</f>
        <v>0</v>
      </c>
      <c r="AT72" s="167">
        <f>+AT92+AT95+AT98+AT101</f>
        <v>0</v>
      </c>
      <c r="AU72" s="166">
        <f>+AU78-AS78+AU81-AS81+AU84-AS84+AU87-AS87</f>
        <v>0</v>
      </c>
      <c r="AV72" s="167">
        <f>+AV92+AV95+AV98+AV101</f>
        <v>0</v>
      </c>
      <c r="AW72" s="166">
        <f>+AW78-AU78+AW81-AU81+AW84-AU84+AW87-AU87</f>
        <v>0</v>
      </c>
      <c r="AX72" s="167">
        <f>+AX92+AX95+AX98+AX101</f>
        <v>0</v>
      </c>
      <c r="AY72" s="166">
        <f>+AY78-AW78+AY81-AW81+AY84-AW84+AY87-AW87</f>
        <v>0</v>
      </c>
      <c r="AZ72" s="167">
        <f>+AZ92+AZ95+AZ98+AZ101</f>
        <v>0</v>
      </c>
      <c r="BA72" s="166">
        <f>+BA78-AY78+BA81-AY81+BA84-AY84+BA87-AY87</f>
        <v>0</v>
      </c>
      <c r="BB72" s="167">
        <f>+BB92+BB95+BB98+BB101</f>
        <v>0</v>
      </c>
      <c r="BC72" s="166">
        <f>+BC78-BA78+BC81-BA81+BC84-BA84+BC87-BA87</f>
        <v>0</v>
      </c>
      <c r="BD72" s="167">
        <f>+BD92+BD95+BD98+BD101</f>
        <v>0</v>
      </c>
      <c r="BE72" s="166">
        <f>+BE78-BC78+BE81-BC81+BE84-BC84+BE87-BC87</f>
        <v>0</v>
      </c>
      <c r="BF72" s="167">
        <f>+BF92+BF95+BF98+BF101</f>
        <v>0</v>
      </c>
      <c r="BG72" s="166">
        <f>+BG78-BE78+BG81-BE81+BG84-BE84+BG87-BE87</f>
        <v>0</v>
      </c>
      <c r="BH72" s="167">
        <f>+BH92+BH95+BH98+BH101</f>
        <v>0</v>
      </c>
      <c r="BI72" s="166">
        <f>+BI78-BG78+BI81-BG81+BI84-BG84+BI87-BG87</f>
        <v>0</v>
      </c>
      <c r="BJ72" s="167">
        <f>+BJ92+BJ95+BJ98+BJ101</f>
        <v>0</v>
      </c>
      <c r="BK72" s="166">
        <f>+BK78-BI78+BK81-BI81+BK84-BI84+BK87-BI87</f>
        <v>0</v>
      </c>
      <c r="BL72" s="167">
        <f>+BL92+BL95+BL98+BL101</f>
        <v>0</v>
      </c>
      <c r="BM72" s="166">
        <f>+BM78-BK78+BM81-BK81+BM84-BK84+BM87-BK87</f>
        <v>0</v>
      </c>
      <c r="BN72" s="50"/>
      <c r="BO72" s="170" t="e">
        <f t="shared" si="95"/>
        <v>#VALUE!</v>
      </c>
      <c r="BP72" s="167">
        <f>+BP92+BP95+BP98+BP101</f>
        <v>0</v>
      </c>
      <c r="BQ72" s="52"/>
    </row>
    <row r="73" spans="1:69" x14ac:dyDescent="0.35">
      <c r="A73" s="137"/>
      <c r="B73" s="138"/>
      <c r="C73" s="139"/>
      <c r="D73" s="189">
        <f t="shared" ref="D73:BM73" si="96">SUM(D68:D72)</f>
        <v>0</v>
      </c>
      <c r="E73" s="177" t="e">
        <f t="shared" si="96"/>
        <v>#VALUE!</v>
      </c>
      <c r="F73" s="167">
        <f t="shared" si="96"/>
        <v>0</v>
      </c>
      <c r="G73" s="177">
        <f t="shared" si="96"/>
        <v>0</v>
      </c>
      <c r="H73" s="167">
        <f t="shared" si="96"/>
        <v>0</v>
      </c>
      <c r="I73" s="177">
        <f t="shared" si="96"/>
        <v>0</v>
      </c>
      <c r="J73" s="167">
        <f t="shared" si="96"/>
        <v>0</v>
      </c>
      <c r="K73" s="177">
        <f t="shared" si="96"/>
        <v>0</v>
      </c>
      <c r="L73" s="167">
        <f t="shared" si="96"/>
        <v>0</v>
      </c>
      <c r="M73" s="177">
        <f t="shared" si="96"/>
        <v>0</v>
      </c>
      <c r="N73" s="167">
        <f t="shared" si="96"/>
        <v>0</v>
      </c>
      <c r="O73" s="177">
        <f t="shared" si="96"/>
        <v>0</v>
      </c>
      <c r="P73" s="167">
        <f t="shared" si="96"/>
        <v>0</v>
      </c>
      <c r="Q73" s="177">
        <f t="shared" si="96"/>
        <v>0</v>
      </c>
      <c r="R73" s="167">
        <f t="shared" si="96"/>
        <v>0</v>
      </c>
      <c r="S73" s="177">
        <f t="shared" si="96"/>
        <v>0</v>
      </c>
      <c r="T73" s="167">
        <f t="shared" si="96"/>
        <v>0</v>
      </c>
      <c r="U73" s="177">
        <f t="shared" si="96"/>
        <v>0</v>
      </c>
      <c r="V73" s="167">
        <f t="shared" si="96"/>
        <v>0</v>
      </c>
      <c r="W73" s="177">
        <f t="shared" si="96"/>
        <v>0</v>
      </c>
      <c r="X73" s="167">
        <f t="shared" si="96"/>
        <v>0</v>
      </c>
      <c r="Y73" s="177">
        <f t="shared" si="96"/>
        <v>0</v>
      </c>
      <c r="Z73" s="167">
        <f t="shared" si="96"/>
        <v>0</v>
      </c>
      <c r="AA73" s="177">
        <f t="shared" si="96"/>
        <v>0</v>
      </c>
      <c r="AB73" s="167">
        <f t="shared" si="96"/>
        <v>0</v>
      </c>
      <c r="AC73" s="177">
        <f t="shared" si="96"/>
        <v>0</v>
      </c>
      <c r="AD73" s="167">
        <f t="shared" si="96"/>
        <v>0</v>
      </c>
      <c r="AE73" s="177">
        <f t="shared" si="96"/>
        <v>0</v>
      </c>
      <c r="AF73" s="167">
        <f t="shared" si="96"/>
        <v>0</v>
      </c>
      <c r="AG73" s="177">
        <f t="shared" si="96"/>
        <v>0</v>
      </c>
      <c r="AH73" s="167">
        <f t="shared" si="96"/>
        <v>0</v>
      </c>
      <c r="AI73" s="177">
        <f t="shared" si="96"/>
        <v>0</v>
      </c>
      <c r="AJ73" s="167">
        <f t="shared" si="96"/>
        <v>0</v>
      </c>
      <c r="AK73" s="177">
        <f t="shared" si="96"/>
        <v>0</v>
      </c>
      <c r="AL73" s="167">
        <f t="shared" si="96"/>
        <v>0</v>
      </c>
      <c r="AM73" s="177">
        <f t="shared" si="96"/>
        <v>0</v>
      </c>
      <c r="AN73" s="167">
        <f t="shared" si="96"/>
        <v>0</v>
      </c>
      <c r="AO73" s="177">
        <f t="shared" si="96"/>
        <v>0</v>
      </c>
      <c r="AP73" s="167">
        <f t="shared" si="96"/>
        <v>0</v>
      </c>
      <c r="AQ73" s="177">
        <f t="shared" si="96"/>
        <v>0</v>
      </c>
      <c r="AR73" s="167">
        <f t="shared" si="96"/>
        <v>0</v>
      </c>
      <c r="AS73" s="177">
        <f t="shared" si="96"/>
        <v>0</v>
      </c>
      <c r="AT73" s="167">
        <f t="shared" si="96"/>
        <v>0</v>
      </c>
      <c r="AU73" s="177">
        <f t="shared" si="96"/>
        <v>0</v>
      </c>
      <c r="AV73" s="167">
        <f t="shared" si="96"/>
        <v>0</v>
      </c>
      <c r="AW73" s="177">
        <f t="shared" si="96"/>
        <v>0</v>
      </c>
      <c r="AX73" s="167">
        <f t="shared" si="96"/>
        <v>0</v>
      </c>
      <c r="AY73" s="177">
        <f t="shared" si="96"/>
        <v>0</v>
      </c>
      <c r="AZ73" s="167">
        <f t="shared" si="96"/>
        <v>0</v>
      </c>
      <c r="BA73" s="177">
        <f t="shared" si="96"/>
        <v>0</v>
      </c>
      <c r="BB73" s="167">
        <f t="shared" si="96"/>
        <v>0</v>
      </c>
      <c r="BC73" s="177">
        <f t="shared" si="96"/>
        <v>0</v>
      </c>
      <c r="BD73" s="167">
        <f t="shared" si="96"/>
        <v>0</v>
      </c>
      <c r="BE73" s="177">
        <f t="shared" si="96"/>
        <v>0</v>
      </c>
      <c r="BF73" s="167">
        <f t="shared" si="96"/>
        <v>0</v>
      </c>
      <c r="BG73" s="177">
        <f t="shared" si="96"/>
        <v>0</v>
      </c>
      <c r="BH73" s="167">
        <f t="shared" si="96"/>
        <v>0</v>
      </c>
      <c r="BI73" s="177">
        <f>SUM(BI68:BI72)</f>
        <v>0</v>
      </c>
      <c r="BJ73" s="167">
        <f t="shared" si="96"/>
        <v>0</v>
      </c>
      <c r="BK73" s="177">
        <f t="shared" si="96"/>
        <v>0</v>
      </c>
      <c r="BL73" s="167">
        <f t="shared" si="96"/>
        <v>0</v>
      </c>
      <c r="BM73" s="177">
        <f t="shared" si="96"/>
        <v>0</v>
      </c>
      <c r="BN73" s="92"/>
      <c r="BO73" s="170" t="e">
        <f t="shared" si="95"/>
        <v>#VALUE!</v>
      </c>
      <c r="BP73" s="167">
        <f t="shared" ref="BP73" si="97">SUM(BP68:BP72)</f>
        <v>0</v>
      </c>
      <c r="BQ73" s="93"/>
    </row>
    <row r="74" spans="1:69" x14ac:dyDescent="0.35">
      <c r="A74" s="53" t="s">
        <v>30</v>
      </c>
      <c r="B74" s="138"/>
      <c r="C74" s="210" t="str">
        <f>IF('June 2027 Log'!BK74="","",'June 2027 Log'!BK74)</f>
        <v/>
      </c>
      <c r="D74" s="47"/>
      <c r="E74" s="48"/>
      <c r="F74" s="49"/>
      <c r="G74" s="48"/>
      <c r="H74" s="49"/>
      <c r="I74" s="48"/>
      <c r="J74" s="49"/>
      <c r="K74" s="48"/>
      <c r="L74" s="49"/>
      <c r="M74" s="48"/>
      <c r="N74" s="49"/>
      <c r="O74" s="48"/>
      <c r="P74" s="49"/>
      <c r="Q74" s="48"/>
      <c r="R74" s="49"/>
      <c r="S74" s="48"/>
      <c r="T74" s="49"/>
      <c r="U74" s="48"/>
      <c r="V74" s="49"/>
      <c r="W74" s="48"/>
      <c r="X74" s="49"/>
      <c r="Y74" s="48"/>
      <c r="Z74" s="49"/>
      <c r="AA74" s="48"/>
      <c r="AB74" s="49"/>
      <c r="AC74" s="48"/>
      <c r="AD74" s="49"/>
      <c r="AE74" s="48"/>
      <c r="AF74" s="49"/>
      <c r="AG74" s="48"/>
      <c r="AH74" s="49"/>
      <c r="AI74" s="48"/>
      <c r="AJ74" s="49"/>
      <c r="AK74" s="48"/>
      <c r="AL74" s="49"/>
      <c r="AM74" s="48"/>
      <c r="AN74" s="49"/>
      <c r="AO74" s="48"/>
      <c r="AP74" s="49"/>
      <c r="AQ74" s="48"/>
      <c r="AR74" s="49"/>
      <c r="AS74" s="48"/>
      <c r="AT74" s="49"/>
      <c r="AU74" s="48"/>
      <c r="AV74" s="49"/>
      <c r="AW74" s="48"/>
      <c r="AX74" s="49"/>
      <c r="AY74" s="48"/>
      <c r="AZ74" s="49"/>
      <c r="BA74" s="48"/>
      <c r="BB74" s="49"/>
      <c r="BC74" s="48"/>
      <c r="BD74" s="49"/>
      <c r="BE74" s="48"/>
      <c r="BF74" s="49"/>
      <c r="BG74" s="48"/>
      <c r="BH74" s="49"/>
      <c r="BI74" s="48"/>
      <c r="BJ74" s="49"/>
      <c r="BK74" s="48"/>
      <c r="BL74" s="49"/>
      <c r="BM74" s="48"/>
      <c r="BN74" s="50"/>
      <c r="BO74" s="170" t="str">
        <f t="shared" si="95"/>
        <v/>
      </c>
      <c r="BP74" s="49"/>
      <c r="BQ74" s="178" t="str">
        <f>IF(BM74="","",BM74)</f>
        <v/>
      </c>
    </row>
    <row r="75" spans="1:69" x14ac:dyDescent="0.35">
      <c r="A75" s="98" t="s">
        <v>31</v>
      </c>
      <c r="B75" s="138"/>
      <c r="C75" s="211">
        <f>IF('June 2027 Log'!BK75="","",'June 2027 Log'!BK75)</f>
        <v>0</v>
      </c>
      <c r="D75" s="47"/>
      <c r="E75" s="177">
        <f>+E57-E74</f>
        <v>0</v>
      </c>
      <c r="F75" s="49"/>
      <c r="G75" s="177">
        <f>+G57-G74</f>
        <v>0</v>
      </c>
      <c r="H75" s="49"/>
      <c r="I75" s="177">
        <f>+I57-I74</f>
        <v>0</v>
      </c>
      <c r="J75" s="49"/>
      <c r="K75" s="177">
        <f>+K57-K74</f>
        <v>0</v>
      </c>
      <c r="L75" s="49"/>
      <c r="M75" s="177">
        <f>+M57-M74</f>
        <v>0</v>
      </c>
      <c r="N75" s="49"/>
      <c r="O75" s="177">
        <f>+O57-O74</f>
        <v>0</v>
      </c>
      <c r="P75" s="49"/>
      <c r="Q75" s="177">
        <f>+Q57-Q74</f>
        <v>0</v>
      </c>
      <c r="R75" s="49"/>
      <c r="S75" s="177">
        <f>+S57-S74</f>
        <v>0</v>
      </c>
      <c r="T75" s="49"/>
      <c r="U75" s="177">
        <f>+U57-U74</f>
        <v>0</v>
      </c>
      <c r="V75" s="49"/>
      <c r="W75" s="177">
        <f>+W57-W74</f>
        <v>0</v>
      </c>
      <c r="X75" s="49"/>
      <c r="Y75" s="177">
        <f>+Y57-Y74</f>
        <v>0</v>
      </c>
      <c r="Z75" s="49"/>
      <c r="AA75" s="177">
        <f>+AA57-AA74</f>
        <v>0</v>
      </c>
      <c r="AB75" s="49"/>
      <c r="AC75" s="177">
        <f>+AC57-AC74</f>
        <v>0</v>
      </c>
      <c r="AD75" s="49"/>
      <c r="AE75" s="177">
        <f>+AE57-AE74</f>
        <v>0</v>
      </c>
      <c r="AF75" s="49"/>
      <c r="AG75" s="177">
        <f>+AG57-AG74</f>
        <v>0</v>
      </c>
      <c r="AH75" s="49"/>
      <c r="AI75" s="177">
        <f>+AI57-AI74</f>
        <v>0</v>
      </c>
      <c r="AJ75" s="49"/>
      <c r="AK75" s="177">
        <f>+AK57-AK74</f>
        <v>0</v>
      </c>
      <c r="AL75" s="49"/>
      <c r="AM75" s="177">
        <f>+AM57-AM74</f>
        <v>0</v>
      </c>
      <c r="AN75" s="49"/>
      <c r="AO75" s="177">
        <f>+AO57-AO74</f>
        <v>0</v>
      </c>
      <c r="AP75" s="49"/>
      <c r="AQ75" s="177">
        <f>+AQ57-AQ74</f>
        <v>0</v>
      </c>
      <c r="AR75" s="49"/>
      <c r="AS75" s="177">
        <f>+AS57-AS74</f>
        <v>0</v>
      </c>
      <c r="AT75" s="49"/>
      <c r="AU75" s="177">
        <f>+AU57-AU74</f>
        <v>0</v>
      </c>
      <c r="AV75" s="49"/>
      <c r="AW75" s="177">
        <f>+AW57-AW74</f>
        <v>0</v>
      </c>
      <c r="AX75" s="49"/>
      <c r="AY75" s="177">
        <f>+AY57-AY74</f>
        <v>0</v>
      </c>
      <c r="AZ75" s="49"/>
      <c r="BA75" s="177">
        <f>+BA57-BA74</f>
        <v>0</v>
      </c>
      <c r="BB75" s="49"/>
      <c r="BC75" s="177">
        <f>+BC57-BC74</f>
        <v>0</v>
      </c>
      <c r="BD75" s="49"/>
      <c r="BE75" s="177">
        <f>+BE57-BE74</f>
        <v>0</v>
      </c>
      <c r="BF75" s="49"/>
      <c r="BG75" s="177">
        <f>+BG57-BG74</f>
        <v>0</v>
      </c>
      <c r="BH75" s="49"/>
      <c r="BI75" s="177">
        <f>+BI57-BI74</f>
        <v>0</v>
      </c>
      <c r="BJ75" s="49"/>
      <c r="BK75" s="177">
        <f>+BK57-BK74</f>
        <v>0</v>
      </c>
      <c r="BL75" s="49"/>
      <c r="BM75" s="177">
        <f>+BM57-BM74</f>
        <v>0</v>
      </c>
      <c r="BN75" s="92"/>
      <c r="BO75" s="170">
        <f t="shared" si="95"/>
        <v>0</v>
      </c>
      <c r="BP75" s="49"/>
      <c r="BQ75" s="179">
        <f>IF(BM75="","",BM75)</f>
        <v>0</v>
      </c>
    </row>
    <row r="76" spans="1:69" ht="28.9" customHeight="1" x14ac:dyDescent="0.35">
      <c r="A76" s="74" t="s">
        <v>92</v>
      </c>
      <c r="B76" s="75"/>
      <c r="C76" s="141"/>
      <c r="D76" s="102"/>
      <c r="E76" s="142"/>
      <c r="F76" s="104"/>
      <c r="G76" s="142"/>
      <c r="H76" s="104"/>
      <c r="I76" s="142"/>
      <c r="J76" s="104"/>
      <c r="K76" s="142"/>
      <c r="L76" s="104"/>
      <c r="M76" s="142"/>
      <c r="N76" s="104"/>
      <c r="O76" s="142"/>
      <c r="P76" s="104"/>
      <c r="Q76" s="142"/>
      <c r="R76" s="104"/>
      <c r="S76" s="142"/>
      <c r="T76" s="104"/>
      <c r="U76" s="142"/>
      <c r="V76" s="104"/>
      <c r="W76" s="142"/>
      <c r="X76" s="104"/>
      <c r="Y76" s="142"/>
      <c r="Z76" s="104"/>
      <c r="AA76" s="142"/>
      <c r="AB76" s="104"/>
      <c r="AC76" s="142"/>
      <c r="AD76" s="104"/>
      <c r="AE76" s="142"/>
      <c r="AF76" s="104"/>
      <c r="AG76" s="142"/>
      <c r="AH76" s="104"/>
      <c r="AI76" s="142"/>
      <c r="AJ76" s="104"/>
      <c r="AK76" s="142"/>
      <c r="AL76" s="104"/>
      <c r="AM76" s="142"/>
      <c r="AN76" s="104"/>
      <c r="AO76" s="142"/>
      <c r="AP76" s="104"/>
      <c r="AQ76" s="142"/>
      <c r="AR76" s="104"/>
      <c r="AS76" s="142"/>
      <c r="AT76" s="104"/>
      <c r="AU76" s="142"/>
      <c r="AV76" s="104"/>
      <c r="AW76" s="142"/>
      <c r="AX76" s="104"/>
      <c r="AY76" s="142"/>
      <c r="AZ76" s="104"/>
      <c r="BA76" s="142"/>
      <c r="BB76" s="104"/>
      <c r="BC76" s="142"/>
      <c r="BD76" s="104"/>
      <c r="BE76" s="142"/>
      <c r="BF76" s="104"/>
      <c r="BG76" s="142"/>
      <c r="BH76" s="104"/>
      <c r="BI76" s="142"/>
      <c r="BJ76" s="104"/>
      <c r="BK76" s="142"/>
      <c r="BL76" s="104"/>
      <c r="BM76" s="142"/>
      <c r="BN76" s="105"/>
      <c r="BO76" s="106"/>
      <c r="BP76" s="104"/>
      <c r="BQ76" s="107"/>
    </row>
    <row r="77" spans="1:69" x14ac:dyDescent="0.35">
      <c r="A77" s="132" t="s">
        <v>75</v>
      </c>
      <c r="B77" s="54" t="s">
        <v>65</v>
      </c>
      <c r="C77" s="174" t="str">
        <f>IF('June 2027 Log'!BK77="","",'June 2027 Log'!BK77)</f>
        <v/>
      </c>
      <c r="D77" s="189" t="e">
        <f t="shared" ref="D77:D104" si="98">+E77-C77</f>
        <v>#VALUE!</v>
      </c>
      <c r="E77" s="86"/>
      <c r="F77" s="167">
        <f t="shared" ref="F77:F104" si="99">+G77-E77</f>
        <v>0</v>
      </c>
      <c r="G77" s="86"/>
      <c r="H77" s="167">
        <f t="shared" ref="H77:H104" si="100">+I77-G77</f>
        <v>0</v>
      </c>
      <c r="I77" s="86"/>
      <c r="J77" s="167">
        <f t="shared" ref="J77:J104" si="101">+K77-I77</f>
        <v>0</v>
      </c>
      <c r="K77" s="86"/>
      <c r="L77" s="167">
        <f t="shared" ref="L77:L89" si="102">+M77-K77</f>
        <v>0</v>
      </c>
      <c r="M77" s="86"/>
      <c r="N77" s="167">
        <f t="shared" ref="N77:N89" si="103">+O77-M77</f>
        <v>0</v>
      </c>
      <c r="O77" s="86"/>
      <c r="P77" s="167">
        <f t="shared" ref="P77:P89" si="104">+Q77-O77</f>
        <v>0</v>
      </c>
      <c r="Q77" s="86"/>
      <c r="R77" s="167">
        <f t="shared" ref="R77:R89" si="105">+S77-Q77</f>
        <v>0</v>
      </c>
      <c r="S77" s="86"/>
      <c r="T77" s="167">
        <f t="shared" ref="T77:T89" si="106">+U77-S77</f>
        <v>0</v>
      </c>
      <c r="U77" s="86"/>
      <c r="V77" s="167">
        <f t="shared" ref="V77:V89" si="107">+W77-U77</f>
        <v>0</v>
      </c>
      <c r="W77" s="86"/>
      <c r="X77" s="167">
        <f t="shared" ref="X77:X89" si="108">+Y77-W77</f>
        <v>0</v>
      </c>
      <c r="Y77" s="86"/>
      <c r="Z77" s="167">
        <f t="shared" ref="Z77:Z89" si="109">+AA77-Y77</f>
        <v>0</v>
      </c>
      <c r="AA77" s="86"/>
      <c r="AB77" s="167">
        <f t="shared" ref="AB77:AB89" si="110">+AC77-AA77</f>
        <v>0</v>
      </c>
      <c r="AC77" s="86"/>
      <c r="AD77" s="167">
        <f t="shared" ref="AD77:AD89" si="111">+AE77-AC77</f>
        <v>0</v>
      </c>
      <c r="AE77" s="86"/>
      <c r="AF77" s="167">
        <f t="shared" ref="AF77:AF89" si="112">+AG77-AE77</f>
        <v>0</v>
      </c>
      <c r="AG77" s="86"/>
      <c r="AH77" s="167">
        <f t="shared" ref="AH77:AH89" si="113">+AI77-AG77</f>
        <v>0</v>
      </c>
      <c r="AI77" s="86"/>
      <c r="AJ77" s="167">
        <f t="shared" ref="AJ77:AJ89" si="114">+AK77-AI77</f>
        <v>0</v>
      </c>
      <c r="AK77" s="86"/>
      <c r="AL77" s="167">
        <f t="shared" ref="AL77:AL89" si="115">+AM77-AK77</f>
        <v>0</v>
      </c>
      <c r="AM77" s="86"/>
      <c r="AN77" s="167">
        <f t="shared" ref="AN77:AN89" si="116">+AO77-AM77</f>
        <v>0</v>
      </c>
      <c r="AO77" s="86"/>
      <c r="AP77" s="167">
        <f t="shared" ref="AP77:AP89" si="117">+AQ77-AO77</f>
        <v>0</v>
      </c>
      <c r="AQ77" s="86"/>
      <c r="AR77" s="167">
        <f t="shared" ref="AR77:AR89" si="118">+AS77-AQ77</f>
        <v>0</v>
      </c>
      <c r="AS77" s="86"/>
      <c r="AT77" s="167">
        <f t="shared" ref="AT77:AT89" si="119">+AU77-AS77</f>
        <v>0</v>
      </c>
      <c r="AU77" s="86"/>
      <c r="AV77" s="167">
        <f t="shared" ref="AV77:AV89" si="120">+AW77-AU77</f>
        <v>0</v>
      </c>
      <c r="AW77" s="86"/>
      <c r="AX77" s="167">
        <f t="shared" ref="AX77:AX89" si="121">+AY77-AW77</f>
        <v>0</v>
      </c>
      <c r="AY77" s="86"/>
      <c r="AZ77" s="167">
        <f t="shared" ref="AZ77:AZ89" si="122">+BA77-AY77</f>
        <v>0</v>
      </c>
      <c r="BA77" s="86"/>
      <c r="BB77" s="167">
        <f t="shared" ref="BB77:BB89" si="123">+BC77-BA77</f>
        <v>0</v>
      </c>
      <c r="BC77" s="86"/>
      <c r="BD77" s="167">
        <f t="shared" ref="BD77:BD89" si="124">+BE77-BC77</f>
        <v>0</v>
      </c>
      <c r="BE77" s="86"/>
      <c r="BF77" s="167">
        <f t="shared" ref="BF77:BF89" si="125">+BG77-BE77</f>
        <v>0</v>
      </c>
      <c r="BG77" s="86"/>
      <c r="BH77" s="167">
        <f t="shared" ref="BH77:BH89" si="126">+BI77-BG77</f>
        <v>0</v>
      </c>
      <c r="BI77" s="86"/>
      <c r="BJ77" s="167">
        <f t="shared" ref="BJ77:BJ89" si="127">+BK77-BI77</f>
        <v>0</v>
      </c>
      <c r="BK77" s="86"/>
      <c r="BL77" s="167">
        <f t="shared" ref="BL77:BL89" si="128">+BM77-BK77</f>
        <v>0</v>
      </c>
      <c r="BM77" s="86"/>
      <c r="BN77" s="50"/>
      <c r="BO77" s="170" t="e">
        <f t="shared" ref="BO77:BO88" si="129">IF(COUNT(D77,F77,H77,J77,L77,N77,P77,R77,T77,V77,X77,Z77,AB77,AD77,AF77,AH77,AJ77,AL77,AN77,AP77,AR77,AT77,AV77,AX77,AZ77,BB77,BD77,BF77,BH77,BJ77,BL77)=0,"",SUM(D77,F77,H77,J77,L77,N77,P77,R77,T77,V77,X77,Z77,AB77,AD77,AF77,AH77,AJ77,AL77,AN77,AP77,AR77,AT77,AV77,AX77,AZ77,BB77,BD77,BF77,BH77,BJ77,BL77))</f>
        <v>#VALUE!</v>
      </c>
      <c r="BP77" s="193" t="e">
        <f>+BQ77-BM77</f>
        <v>#VALUE!</v>
      </c>
      <c r="BQ77" s="212" t="str">
        <f t="shared" ref="BQ77:BQ88" si="130">IF(BM77="","",BM77)</f>
        <v/>
      </c>
    </row>
    <row r="78" spans="1:69" x14ac:dyDescent="0.35">
      <c r="A78" s="136" t="s">
        <v>76</v>
      </c>
      <c r="B78" s="54" t="s">
        <v>66</v>
      </c>
      <c r="C78" s="174" t="str">
        <f>IF('June 2027 Log'!BK78="","",'June 2027 Log'!BK78)</f>
        <v/>
      </c>
      <c r="D78" s="189" t="e">
        <f t="shared" si="98"/>
        <v>#VALUE!</v>
      </c>
      <c r="E78" s="86"/>
      <c r="F78" s="167">
        <f t="shared" si="99"/>
        <v>0</v>
      </c>
      <c r="G78" s="86"/>
      <c r="H78" s="167">
        <f t="shared" si="100"/>
        <v>0</v>
      </c>
      <c r="I78" s="86"/>
      <c r="J78" s="167">
        <f t="shared" si="101"/>
        <v>0</v>
      </c>
      <c r="K78" s="86"/>
      <c r="L78" s="167">
        <f t="shared" si="102"/>
        <v>0</v>
      </c>
      <c r="M78" s="86"/>
      <c r="N78" s="167">
        <f t="shared" si="103"/>
        <v>0</v>
      </c>
      <c r="O78" s="86"/>
      <c r="P78" s="167">
        <f t="shared" si="104"/>
        <v>0</v>
      </c>
      <c r="Q78" s="86"/>
      <c r="R78" s="167">
        <f t="shared" si="105"/>
        <v>0</v>
      </c>
      <c r="S78" s="86"/>
      <c r="T78" s="167">
        <f t="shared" si="106"/>
        <v>0</v>
      </c>
      <c r="U78" s="86"/>
      <c r="V78" s="167">
        <f t="shared" si="107"/>
        <v>0</v>
      </c>
      <c r="W78" s="86"/>
      <c r="X78" s="167">
        <f t="shared" si="108"/>
        <v>0</v>
      </c>
      <c r="Y78" s="86"/>
      <c r="Z78" s="167">
        <f t="shared" si="109"/>
        <v>0</v>
      </c>
      <c r="AA78" s="86"/>
      <c r="AB78" s="167">
        <f t="shared" si="110"/>
        <v>0</v>
      </c>
      <c r="AC78" s="86"/>
      <c r="AD78" s="167">
        <f t="shared" si="111"/>
        <v>0</v>
      </c>
      <c r="AE78" s="86"/>
      <c r="AF78" s="167">
        <f t="shared" si="112"/>
        <v>0</v>
      </c>
      <c r="AG78" s="86"/>
      <c r="AH78" s="167">
        <f t="shared" si="113"/>
        <v>0</v>
      </c>
      <c r="AI78" s="86"/>
      <c r="AJ78" s="167">
        <f t="shared" si="114"/>
        <v>0</v>
      </c>
      <c r="AK78" s="86"/>
      <c r="AL78" s="167">
        <f t="shared" si="115"/>
        <v>0</v>
      </c>
      <c r="AM78" s="86"/>
      <c r="AN78" s="167">
        <f t="shared" si="116"/>
        <v>0</v>
      </c>
      <c r="AO78" s="86"/>
      <c r="AP78" s="167">
        <f t="shared" si="117"/>
        <v>0</v>
      </c>
      <c r="AQ78" s="86"/>
      <c r="AR78" s="167">
        <f t="shared" si="118"/>
        <v>0</v>
      </c>
      <c r="AS78" s="86"/>
      <c r="AT78" s="167">
        <f t="shared" si="119"/>
        <v>0</v>
      </c>
      <c r="AU78" s="86"/>
      <c r="AV78" s="167">
        <f t="shared" si="120"/>
        <v>0</v>
      </c>
      <c r="AW78" s="86"/>
      <c r="AX78" s="167">
        <f t="shared" si="121"/>
        <v>0</v>
      </c>
      <c r="AY78" s="86"/>
      <c r="AZ78" s="167">
        <f t="shared" si="122"/>
        <v>0</v>
      </c>
      <c r="BA78" s="86"/>
      <c r="BB78" s="167">
        <f t="shared" si="123"/>
        <v>0</v>
      </c>
      <c r="BC78" s="86"/>
      <c r="BD78" s="167">
        <f t="shared" si="124"/>
        <v>0</v>
      </c>
      <c r="BE78" s="86"/>
      <c r="BF78" s="167">
        <f t="shared" si="125"/>
        <v>0</v>
      </c>
      <c r="BG78" s="86"/>
      <c r="BH78" s="167">
        <f t="shared" si="126"/>
        <v>0</v>
      </c>
      <c r="BI78" s="86"/>
      <c r="BJ78" s="167">
        <f t="shared" si="127"/>
        <v>0</v>
      </c>
      <c r="BK78" s="86"/>
      <c r="BL78" s="167">
        <f t="shared" si="128"/>
        <v>0</v>
      </c>
      <c r="BM78" s="86"/>
      <c r="BN78" s="50"/>
      <c r="BO78" s="170" t="e">
        <f t="shared" si="129"/>
        <v>#VALUE!</v>
      </c>
      <c r="BP78" s="167" t="e">
        <f t="shared" ref="BP78:BP89" si="131">+BQ78-BM78</f>
        <v>#VALUE!</v>
      </c>
      <c r="BQ78" s="178" t="str">
        <f t="shared" si="130"/>
        <v/>
      </c>
    </row>
    <row r="79" spans="1:69" x14ac:dyDescent="0.35">
      <c r="A79" s="134" t="s">
        <v>77</v>
      </c>
      <c r="B79" s="54" t="s">
        <v>67</v>
      </c>
      <c r="C79" s="174" t="str">
        <f>IF('June 2027 Log'!BK79="","",'June 2027 Log'!BK79)</f>
        <v/>
      </c>
      <c r="D79" s="189" t="e">
        <f t="shared" si="98"/>
        <v>#VALUE!</v>
      </c>
      <c r="E79" s="86"/>
      <c r="F79" s="167">
        <f t="shared" si="99"/>
        <v>0</v>
      </c>
      <c r="G79" s="86"/>
      <c r="H79" s="167">
        <f t="shared" si="100"/>
        <v>0</v>
      </c>
      <c r="I79" s="86"/>
      <c r="J79" s="167">
        <f t="shared" si="101"/>
        <v>0</v>
      </c>
      <c r="K79" s="86"/>
      <c r="L79" s="167">
        <f t="shared" si="102"/>
        <v>0</v>
      </c>
      <c r="M79" s="86"/>
      <c r="N79" s="167">
        <f t="shared" si="103"/>
        <v>0</v>
      </c>
      <c r="O79" s="86"/>
      <c r="P79" s="167">
        <f t="shared" si="104"/>
        <v>0</v>
      </c>
      <c r="Q79" s="86"/>
      <c r="R79" s="167">
        <f t="shared" si="105"/>
        <v>0</v>
      </c>
      <c r="S79" s="86"/>
      <c r="T79" s="167">
        <f t="shared" si="106"/>
        <v>0</v>
      </c>
      <c r="U79" s="86"/>
      <c r="V79" s="167">
        <f t="shared" si="107"/>
        <v>0</v>
      </c>
      <c r="W79" s="86"/>
      <c r="X79" s="167">
        <f t="shared" si="108"/>
        <v>0</v>
      </c>
      <c r="Y79" s="86"/>
      <c r="Z79" s="167">
        <f t="shared" si="109"/>
        <v>0</v>
      </c>
      <c r="AA79" s="86"/>
      <c r="AB79" s="167">
        <f t="shared" si="110"/>
        <v>0</v>
      </c>
      <c r="AC79" s="86"/>
      <c r="AD79" s="167">
        <f t="shared" si="111"/>
        <v>0</v>
      </c>
      <c r="AE79" s="86"/>
      <c r="AF79" s="167">
        <f t="shared" si="112"/>
        <v>0</v>
      </c>
      <c r="AG79" s="86"/>
      <c r="AH79" s="167">
        <f t="shared" si="113"/>
        <v>0</v>
      </c>
      <c r="AI79" s="86"/>
      <c r="AJ79" s="167">
        <f t="shared" si="114"/>
        <v>0</v>
      </c>
      <c r="AK79" s="86"/>
      <c r="AL79" s="167">
        <f t="shared" si="115"/>
        <v>0</v>
      </c>
      <c r="AM79" s="86"/>
      <c r="AN79" s="167">
        <f t="shared" si="116"/>
        <v>0</v>
      </c>
      <c r="AO79" s="86"/>
      <c r="AP79" s="167">
        <f t="shared" si="117"/>
        <v>0</v>
      </c>
      <c r="AQ79" s="86"/>
      <c r="AR79" s="167">
        <f t="shared" si="118"/>
        <v>0</v>
      </c>
      <c r="AS79" s="86"/>
      <c r="AT79" s="167">
        <f t="shared" si="119"/>
        <v>0</v>
      </c>
      <c r="AU79" s="86"/>
      <c r="AV79" s="167">
        <f t="shared" si="120"/>
        <v>0</v>
      </c>
      <c r="AW79" s="86"/>
      <c r="AX79" s="167">
        <f t="shared" si="121"/>
        <v>0</v>
      </c>
      <c r="AY79" s="86"/>
      <c r="AZ79" s="167">
        <f t="shared" si="122"/>
        <v>0</v>
      </c>
      <c r="BA79" s="86"/>
      <c r="BB79" s="167">
        <f t="shared" si="123"/>
        <v>0</v>
      </c>
      <c r="BC79" s="86"/>
      <c r="BD79" s="167">
        <f t="shared" si="124"/>
        <v>0</v>
      </c>
      <c r="BE79" s="86"/>
      <c r="BF79" s="167">
        <f t="shared" si="125"/>
        <v>0</v>
      </c>
      <c r="BG79" s="86"/>
      <c r="BH79" s="167">
        <f t="shared" si="126"/>
        <v>0</v>
      </c>
      <c r="BI79" s="86"/>
      <c r="BJ79" s="167">
        <f t="shared" si="127"/>
        <v>0</v>
      </c>
      <c r="BK79" s="86"/>
      <c r="BL79" s="167">
        <f t="shared" si="128"/>
        <v>0</v>
      </c>
      <c r="BM79" s="86"/>
      <c r="BN79" s="50"/>
      <c r="BO79" s="170" t="e">
        <f t="shared" si="129"/>
        <v>#VALUE!</v>
      </c>
      <c r="BP79" s="167" t="e">
        <f t="shared" si="131"/>
        <v>#VALUE!</v>
      </c>
      <c r="BQ79" s="178" t="str">
        <f t="shared" si="130"/>
        <v/>
      </c>
    </row>
    <row r="80" spans="1:69" x14ac:dyDescent="0.35">
      <c r="A80" s="132" t="s">
        <v>78</v>
      </c>
      <c r="B80" s="54" t="s">
        <v>65</v>
      </c>
      <c r="C80" s="174" t="str">
        <f>IF('June 2027 Log'!BK80="","",'June 2027 Log'!BK80)</f>
        <v/>
      </c>
      <c r="D80" s="189" t="e">
        <f t="shared" si="98"/>
        <v>#VALUE!</v>
      </c>
      <c r="E80" s="86"/>
      <c r="F80" s="167">
        <f t="shared" si="99"/>
        <v>0</v>
      </c>
      <c r="G80" s="86"/>
      <c r="H80" s="167">
        <f t="shared" si="100"/>
        <v>0</v>
      </c>
      <c r="I80" s="86"/>
      <c r="J80" s="167">
        <f t="shared" si="101"/>
        <v>0</v>
      </c>
      <c r="K80" s="86"/>
      <c r="L80" s="167">
        <f t="shared" si="102"/>
        <v>0</v>
      </c>
      <c r="M80" s="86"/>
      <c r="N80" s="167">
        <f t="shared" si="103"/>
        <v>0</v>
      </c>
      <c r="O80" s="86"/>
      <c r="P80" s="167">
        <f t="shared" si="104"/>
        <v>0</v>
      </c>
      <c r="Q80" s="86"/>
      <c r="R80" s="167">
        <f t="shared" si="105"/>
        <v>0</v>
      </c>
      <c r="S80" s="86"/>
      <c r="T80" s="167">
        <f t="shared" si="106"/>
        <v>0</v>
      </c>
      <c r="U80" s="86"/>
      <c r="V80" s="167">
        <f t="shared" si="107"/>
        <v>0</v>
      </c>
      <c r="W80" s="86"/>
      <c r="X80" s="167">
        <f t="shared" si="108"/>
        <v>0</v>
      </c>
      <c r="Y80" s="86"/>
      <c r="Z80" s="167">
        <f t="shared" si="109"/>
        <v>0</v>
      </c>
      <c r="AA80" s="86"/>
      <c r="AB80" s="167">
        <f t="shared" si="110"/>
        <v>0</v>
      </c>
      <c r="AC80" s="86"/>
      <c r="AD80" s="167">
        <f t="shared" si="111"/>
        <v>0</v>
      </c>
      <c r="AE80" s="86"/>
      <c r="AF80" s="167">
        <f t="shared" si="112"/>
        <v>0</v>
      </c>
      <c r="AG80" s="86"/>
      <c r="AH80" s="167">
        <f t="shared" si="113"/>
        <v>0</v>
      </c>
      <c r="AI80" s="86"/>
      <c r="AJ80" s="167">
        <f t="shared" si="114"/>
        <v>0</v>
      </c>
      <c r="AK80" s="86"/>
      <c r="AL80" s="167">
        <f t="shared" si="115"/>
        <v>0</v>
      </c>
      <c r="AM80" s="86"/>
      <c r="AN80" s="167">
        <f t="shared" si="116"/>
        <v>0</v>
      </c>
      <c r="AO80" s="86"/>
      <c r="AP80" s="167">
        <f t="shared" si="117"/>
        <v>0</v>
      </c>
      <c r="AQ80" s="86"/>
      <c r="AR80" s="167">
        <f t="shared" si="118"/>
        <v>0</v>
      </c>
      <c r="AS80" s="86"/>
      <c r="AT80" s="167">
        <f t="shared" si="119"/>
        <v>0</v>
      </c>
      <c r="AU80" s="86"/>
      <c r="AV80" s="167">
        <f t="shared" si="120"/>
        <v>0</v>
      </c>
      <c r="AW80" s="86"/>
      <c r="AX80" s="167">
        <f t="shared" si="121"/>
        <v>0</v>
      </c>
      <c r="AY80" s="86"/>
      <c r="AZ80" s="167">
        <f t="shared" si="122"/>
        <v>0</v>
      </c>
      <c r="BA80" s="86"/>
      <c r="BB80" s="167">
        <f t="shared" si="123"/>
        <v>0</v>
      </c>
      <c r="BC80" s="86"/>
      <c r="BD80" s="167">
        <f t="shared" si="124"/>
        <v>0</v>
      </c>
      <c r="BE80" s="86"/>
      <c r="BF80" s="167">
        <f t="shared" si="125"/>
        <v>0</v>
      </c>
      <c r="BG80" s="86"/>
      <c r="BH80" s="167">
        <f t="shared" si="126"/>
        <v>0</v>
      </c>
      <c r="BI80" s="86"/>
      <c r="BJ80" s="167">
        <f t="shared" si="127"/>
        <v>0</v>
      </c>
      <c r="BK80" s="86"/>
      <c r="BL80" s="167">
        <f t="shared" si="128"/>
        <v>0</v>
      </c>
      <c r="BM80" s="86"/>
      <c r="BN80" s="50"/>
      <c r="BO80" s="170" t="e">
        <f t="shared" si="129"/>
        <v>#VALUE!</v>
      </c>
      <c r="BP80" s="167" t="e">
        <f t="shared" si="131"/>
        <v>#VALUE!</v>
      </c>
      <c r="BQ80" s="178" t="str">
        <f t="shared" si="130"/>
        <v/>
      </c>
    </row>
    <row r="81" spans="1:69" x14ac:dyDescent="0.35">
      <c r="A81" s="136" t="s">
        <v>79</v>
      </c>
      <c r="B81" s="54" t="s">
        <v>66</v>
      </c>
      <c r="C81" s="174" t="str">
        <f>IF('June 2027 Log'!BK81="","",'June 2027 Log'!BK81)</f>
        <v/>
      </c>
      <c r="D81" s="189" t="e">
        <f t="shared" si="98"/>
        <v>#VALUE!</v>
      </c>
      <c r="E81" s="86"/>
      <c r="F81" s="167">
        <f t="shared" si="99"/>
        <v>0</v>
      </c>
      <c r="G81" s="86"/>
      <c r="H81" s="167">
        <f t="shared" si="100"/>
        <v>0</v>
      </c>
      <c r="I81" s="86"/>
      <c r="J81" s="167">
        <f t="shared" si="101"/>
        <v>0</v>
      </c>
      <c r="K81" s="86"/>
      <c r="L81" s="167">
        <f t="shared" si="102"/>
        <v>0</v>
      </c>
      <c r="M81" s="86"/>
      <c r="N81" s="167">
        <f t="shared" si="103"/>
        <v>0</v>
      </c>
      <c r="O81" s="86"/>
      <c r="P81" s="167">
        <f t="shared" si="104"/>
        <v>0</v>
      </c>
      <c r="Q81" s="86"/>
      <c r="R81" s="167">
        <f t="shared" si="105"/>
        <v>0</v>
      </c>
      <c r="S81" s="86"/>
      <c r="T81" s="167">
        <f t="shared" si="106"/>
        <v>0</v>
      </c>
      <c r="U81" s="86"/>
      <c r="V81" s="167">
        <f t="shared" si="107"/>
        <v>0</v>
      </c>
      <c r="W81" s="86"/>
      <c r="X81" s="167">
        <f t="shared" si="108"/>
        <v>0</v>
      </c>
      <c r="Y81" s="86"/>
      <c r="Z81" s="167">
        <f t="shared" si="109"/>
        <v>0</v>
      </c>
      <c r="AA81" s="86"/>
      <c r="AB81" s="167">
        <f t="shared" si="110"/>
        <v>0</v>
      </c>
      <c r="AC81" s="86"/>
      <c r="AD81" s="167">
        <f t="shared" si="111"/>
        <v>0</v>
      </c>
      <c r="AE81" s="86"/>
      <c r="AF81" s="167">
        <f t="shared" si="112"/>
        <v>0</v>
      </c>
      <c r="AG81" s="86"/>
      <c r="AH81" s="167">
        <f t="shared" si="113"/>
        <v>0</v>
      </c>
      <c r="AI81" s="86"/>
      <c r="AJ81" s="167">
        <f t="shared" si="114"/>
        <v>0</v>
      </c>
      <c r="AK81" s="86"/>
      <c r="AL81" s="167">
        <f t="shared" si="115"/>
        <v>0</v>
      </c>
      <c r="AM81" s="86"/>
      <c r="AN81" s="167">
        <f t="shared" si="116"/>
        <v>0</v>
      </c>
      <c r="AO81" s="86"/>
      <c r="AP81" s="167">
        <f t="shared" si="117"/>
        <v>0</v>
      </c>
      <c r="AQ81" s="86"/>
      <c r="AR81" s="167">
        <f t="shared" si="118"/>
        <v>0</v>
      </c>
      <c r="AS81" s="86"/>
      <c r="AT81" s="167">
        <f t="shared" si="119"/>
        <v>0</v>
      </c>
      <c r="AU81" s="86"/>
      <c r="AV81" s="167">
        <f t="shared" si="120"/>
        <v>0</v>
      </c>
      <c r="AW81" s="86"/>
      <c r="AX81" s="167">
        <f t="shared" si="121"/>
        <v>0</v>
      </c>
      <c r="AY81" s="86"/>
      <c r="AZ81" s="167">
        <f t="shared" si="122"/>
        <v>0</v>
      </c>
      <c r="BA81" s="86"/>
      <c r="BB81" s="167">
        <f t="shared" si="123"/>
        <v>0</v>
      </c>
      <c r="BC81" s="86"/>
      <c r="BD81" s="167">
        <f t="shared" si="124"/>
        <v>0</v>
      </c>
      <c r="BE81" s="86"/>
      <c r="BF81" s="167">
        <f t="shared" si="125"/>
        <v>0</v>
      </c>
      <c r="BG81" s="86"/>
      <c r="BH81" s="167">
        <f t="shared" si="126"/>
        <v>0</v>
      </c>
      <c r="BI81" s="86"/>
      <c r="BJ81" s="167">
        <f t="shared" si="127"/>
        <v>0</v>
      </c>
      <c r="BK81" s="86"/>
      <c r="BL81" s="167">
        <f t="shared" si="128"/>
        <v>0</v>
      </c>
      <c r="BM81" s="86"/>
      <c r="BN81" s="50"/>
      <c r="BO81" s="170" t="e">
        <f t="shared" si="129"/>
        <v>#VALUE!</v>
      </c>
      <c r="BP81" s="167" t="e">
        <f t="shared" si="131"/>
        <v>#VALUE!</v>
      </c>
      <c r="BQ81" s="178" t="str">
        <f t="shared" si="130"/>
        <v/>
      </c>
    </row>
    <row r="82" spans="1:69" x14ac:dyDescent="0.35">
      <c r="A82" s="134" t="s">
        <v>80</v>
      </c>
      <c r="B82" s="54" t="s">
        <v>67</v>
      </c>
      <c r="C82" s="174" t="str">
        <f>IF('June 2027 Log'!BK82="","",'June 2027 Log'!BK82)</f>
        <v/>
      </c>
      <c r="D82" s="189" t="e">
        <f t="shared" si="98"/>
        <v>#VALUE!</v>
      </c>
      <c r="E82" s="86"/>
      <c r="F82" s="167">
        <f t="shared" si="99"/>
        <v>0</v>
      </c>
      <c r="G82" s="86"/>
      <c r="H82" s="167">
        <f t="shared" si="100"/>
        <v>0</v>
      </c>
      <c r="I82" s="86"/>
      <c r="J82" s="167">
        <f t="shared" si="101"/>
        <v>0</v>
      </c>
      <c r="K82" s="86"/>
      <c r="L82" s="167">
        <f t="shared" si="102"/>
        <v>0</v>
      </c>
      <c r="M82" s="86"/>
      <c r="N82" s="167">
        <f t="shared" si="103"/>
        <v>0</v>
      </c>
      <c r="O82" s="86"/>
      <c r="P82" s="167">
        <f t="shared" si="104"/>
        <v>0</v>
      </c>
      <c r="Q82" s="86"/>
      <c r="R82" s="167">
        <f t="shared" si="105"/>
        <v>0</v>
      </c>
      <c r="S82" s="86"/>
      <c r="T82" s="167">
        <f t="shared" si="106"/>
        <v>0</v>
      </c>
      <c r="U82" s="86"/>
      <c r="V82" s="167">
        <f t="shared" si="107"/>
        <v>0</v>
      </c>
      <c r="W82" s="86"/>
      <c r="X82" s="167">
        <f t="shared" si="108"/>
        <v>0</v>
      </c>
      <c r="Y82" s="86"/>
      <c r="Z82" s="167">
        <f t="shared" si="109"/>
        <v>0</v>
      </c>
      <c r="AA82" s="86"/>
      <c r="AB82" s="167">
        <f t="shared" si="110"/>
        <v>0</v>
      </c>
      <c r="AC82" s="86"/>
      <c r="AD82" s="167">
        <f t="shared" si="111"/>
        <v>0</v>
      </c>
      <c r="AE82" s="86"/>
      <c r="AF82" s="167">
        <f t="shared" si="112"/>
        <v>0</v>
      </c>
      <c r="AG82" s="86"/>
      <c r="AH82" s="167">
        <f t="shared" si="113"/>
        <v>0</v>
      </c>
      <c r="AI82" s="86"/>
      <c r="AJ82" s="167">
        <f t="shared" si="114"/>
        <v>0</v>
      </c>
      <c r="AK82" s="86"/>
      <c r="AL82" s="167">
        <f t="shared" si="115"/>
        <v>0</v>
      </c>
      <c r="AM82" s="86"/>
      <c r="AN82" s="167">
        <f t="shared" si="116"/>
        <v>0</v>
      </c>
      <c r="AO82" s="86"/>
      <c r="AP82" s="167">
        <f t="shared" si="117"/>
        <v>0</v>
      </c>
      <c r="AQ82" s="86"/>
      <c r="AR82" s="167">
        <f t="shared" si="118"/>
        <v>0</v>
      </c>
      <c r="AS82" s="86"/>
      <c r="AT82" s="167">
        <f t="shared" si="119"/>
        <v>0</v>
      </c>
      <c r="AU82" s="86"/>
      <c r="AV82" s="167">
        <f t="shared" si="120"/>
        <v>0</v>
      </c>
      <c r="AW82" s="86"/>
      <c r="AX82" s="167">
        <f t="shared" si="121"/>
        <v>0</v>
      </c>
      <c r="AY82" s="86"/>
      <c r="AZ82" s="167">
        <f t="shared" si="122"/>
        <v>0</v>
      </c>
      <c r="BA82" s="86"/>
      <c r="BB82" s="167">
        <f t="shared" si="123"/>
        <v>0</v>
      </c>
      <c r="BC82" s="86"/>
      <c r="BD82" s="167">
        <f t="shared" si="124"/>
        <v>0</v>
      </c>
      <c r="BE82" s="86"/>
      <c r="BF82" s="167">
        <f t="shared" si="125"/>
        <v>0</v>
      </c>
      <c r="BG82" s="86"/>
      <c r="BH82" s="167">
        <f t="shared" si="126"/>
        <v>0</v>
      </c>
      <c r="BI82" s="86"/>
      <c r="BJ82" s="167">
        <f t="shared" si="127"/>
        <v>0</v>
      </c>
      <c r="BK82" s="86"/>
      <c r="BL82" s="167">
        <f t="shared" si="128"/>
        <v>0</v>
      </c>
      <c r="BM82" s="86"/>
      <c r="BN82" s="50"/>
      <c r="BO82" s="170" t="e">
        <f t="shared" si="129"/>
        <v>#VALUE!</v>
      </c>
      <c r="BP82" s="167" t="e">
        <f t="shared" si="131"/>
        <v>#VALUE!</v>
      </c>
      <c r="BQ82" s="178" t="str">
        <f t="shared" si="130"/>
        <v/>
      </c>
    </row>
    <row r="83" spans="1:69" x14ac:dyDescent="0.35">
      <c r="A83" s="135" t="s">
        <v>81</v>
      </c>
      <c r="B83" s="54" t="s">
        <v>67</v>
      </c>
      <c r="C83" s="174" t="str">
        <f>IF('June 2027 Log'!BK83="","",'June 2027 Log'!BK83)</f>
        <v/>
      </c>
      <c r="D83" s="189" t="e">
        <f t="shared" si="98"/>
        <v>#VALUE!</v>
      </c>
      <c r="E83" s="86"/>
      <c r="F83" s="167">
        <f t="shared" si="99"/>
        <v>0</v>
      </c>
      <c r="G83" s="86"/>
      <c r="H83" s="167">
        <f t="shared" si="100"/>
        <v>0</v>
      </c>
      <c r="I83" s="86"/>
      <c r="J83" s="167">
        <f t="shared" si="101"/>
        <v>0</v>
      </c>
      <c r="K83" s="86"/>
      <c r="L83" s="167">
        <f t="shared" si="102"/>
        <v>0</v>
      </c>
      <c r="M83" s="86"/>
      <c r="N83" s="167">
        <f t="shared" si="103"/>
        <v>0</v>
      </c>
      <c r="O83" s="86"/>
      <c r="P83" s="167">
        <f t="shared" si="104"/>
        <v>0</v>
      </c>
      <c r="Q83" s="86"/>
      <c r="R83" s="167">
        <f t="shared" si="105"/>
        <v>0</v>
      </c>
      <c r="S83" s="86"/>
      <c r="T83" s="167">
        <f t="shared" si="106"/>
        <v>0</v>
      </c>
      <c r="U83" s="86"/>
      <c r="V83" s="167">
        <f t="shared" si="107"/>
        <v>0</v>
      </c>
      <c r="W83" s="86"/>
      <c r="X83" s="167">
        <f t="shared" si="108"/>
        <v>0</v>
      </c>
      <c r="Y83" s="86"/>
      <c r="Z83" s="167">
        <f t="shared" si="109"/>
        <v>0</v>
      </c>
      <c r="AA83" s="86"/>
      <c r="AB83" s="167">
        <f t="shared" si="110"/>
        <v>0</v>
      </c>
      <c r="AC83" s="86"/>
      <c r="AD83" s="167">
        <f t="shared" si="111"/>
        <v>0</v>
      </c>
      <c r="AE83" s="86"/>
      <c r="AF83" s="167">
        <f t="shared" si="112"/>
        <v>0</v>
      </c>
      <c r="AG83" s="86"/>
      <c r="AH83" s="167">
        <f t="shared" si="113"/>
        <v>0</v>
      </c>
      <c r="AI83" s="86"/>
      <c r="AJ83" s="167">
        <f t="shared" si="114"/>
        <v>0</v>
      </c>
      <c r="AK83" s="86"/>
      <c r="AL83" s="167">
        <f t="shared" si="115"/>
        <v>0</v>
      </c>
      <c r="AM83" s="86"/>
      <c r="AN83" s="167">
        <f t="shared" si="116"/>
        <v>0</v>
      </c>
      <c r="AO83" s="86"/>
      <c r="AP83" s="167">
        <f t="shared" si="117"/>
        <v>0</v>
      </c>
      <c r="AQ83" s="86"/>
      <c r="AR83" s="167">
        <f t="shared" si="118"/>
        <v>0</v>
      </c>
      <c r="AS83" s="86"/>
      <c r="AT83" s="167">
        <f t="shared" si="119"/>
        <v>0</v>
      </c>
      <c r="AU83" s="86"/>
      <c r="AV83" s="167">
        <f t="shared" si="120"/>
        <v>0</v>
      </c>
      <c r="AW83" s="86"/>
      <c r="AX83" s="167">
        <f t="shared" si="121"/>
        <v>0</v>
      </c>
      <c r="AY83" s="86"/>
      <c r="AZ83" s="167">
        <f t="shared" si="122"/>
        <v>0</v>
      </c>
      <c r="BA83" s="86"/>
      <c r="BB83" s="167">
        <f t="shared" si="123"/>
        <v>0</v>
      </c>
      <c r="BC83" s="86"/>
      <c r="BD83" s="167">
        <f t="shared" si="124"/>
        <v>0</v>
      </c>
      <c r="BE83" s="86"/>
      <c r="BF83" s="167">
        <f t="shared" si="125"/>
        <v>0</v>
      </c>
      <c r="BG83" s="86"/>
      <c r="BH83" s="167">
        <f t="shared" si="126"/>
        <v>0</v>
      </c>
      <c r="BI83" s="86"/>
      <c r="BJ83" s="167">
        <f t="shared" si="127"/>
        <v>0</v>
      </c>
      <c r="BK83" s="86"/>
      <c r="BL83" s="167">
        <f t="shared" si="128"/>
        <v>0</v>
      </c>
      <c r="BM83" s="86"/>
      <c r="BN83" s="50"/>
      <c r="BO83" s="170" t="e">
        <f t="shared" si="129"/>
        <v>#VALUE!</v>
      </c>
      <c r="BP83" s="167" t="e">
        <f t="shared" si="131"/>
        <v>#VALUE!</v>
      </c>
      <c r="BQ83" s="178" t="str">
        <f t="shared" si="130"/>
        <v/>
      </c>
    </row>
    <row r="84" spans="1:69" x14ac:dyDescent="0.35">
      <c r="A84" s="136" t="s">
        <v>82</v>
      </c>
      <c r="B84" s="54" t="s">
        <v>66</v>
      </c>
      <c r="C84" s="174" t="str">
        <f>IF('June 2027 Log'!BK84="","",'June 2027 Log'!BK84)</f>
        <v/>
      </c>
      <c r="D84" s="189" t="e">
        <f t="shared" si="98"/>
        <v>#VALUE!</v>
      </c>
      <c r="E84" s="86"/>
      <c r="F84" s="167">
        <f t="shared" si="99"/>
        <v>0</v>
      </c>
      <c r="G84" s="86"/>
      <c r="H84" s="167">
        <f t="shared" si="100"/>
        <v>0</v>
      </c>
      <c r="I84" s="86"/>
      <c r="J84" s="167">
        <f t="shared" si="101"/>
        <v>0</v>
      </c>
      <c r="K84" s="86"/>
      <c r="L84" s="167">
        <f t="shared" si="102"/>
        <v>0</v>
      </c>
      <c r="M84" s="86"/>
      <c r="N84" s="167">
        <f t="shared" si="103"/>
        <v>0</v>
      </c>
      <c r="O84" s="86"/>
      <c r="P84" s="167">
        <f t="shared" si="104"/>
        <v>0</v>
      </c>
      <c r="Q84" s="86"/>
      <c r="R84" s="167">
        <f t="shared" si="105"/>
        <v>0</v>
      </c>
      <c r="S84" s="86"/>
      <c r="T84" s="167">
        <f t="shared" si="106"/>
        <v>0</v>
      </c>
      <c r="U84" s="86"/>
      <c r="V84" s="167">
        <f t="shared" si="107"/>
        <v>0</v>
      </c>
      <c r="W84" s="86"/>
      <c r="X84" s="167">
        <f t="shared" si="108"/>
        <v>0</v>
      </c>
      <c r="Y84" s="86"/>
      <c r="Z84" s="167">
        <f t="shared" si="109"/>
        <v>0</v>
      </c>
      <c r="AA84" s="86"/>
      <c r="AB84" s="167">
        <f t="shared" si="110"/>
        <v>0</v>
      </c>
      <c r="AC84" s="86"/>
      <c r="AD84" s="167">
        <f t="shared" si="111"/>
        <v>0</v>
      </c>
      <c r="AE84" s="86"/>
      <c r="AF84" s="167">
        <f t="shared" si="112"/>
        <v>0</v>
      </c>
      <c r="AG84" s="86"/>
      <c r="AH84" s="167">
        <f t="shared" si="113"/>
        <v>0</v>
      </c>
      <c r="AI84" s="86"/>
      <c r="AJ84" s="167">
        <f t="shared" si="114"/>
        <v>0</v>
      </c>
      <c r="AK84" s="86"/>
      <c r="AL84" s="167">
        <f t="shared" si="115"/>
        <v>0</v>
      </c>
      <c r="AM84" s="86"/>
      <c r="AN84" s="167">
        <f t="shared" si="116"/>
        <v>0</v>
      </c>
      <c r="AO84" s="86"/>
      <c r="AP84" s="167">
        <f t="shared" si="117"/>
        <v>0</v>
      </c>
      <c r="AQ84" s="86"/>
      <c r="AR84" s="167">
        <f t="shared" si="118"/>
        <v>0</v>
      </c>
      <c r="AS84" s="86"/>
      <c r="AT84" s="167">
        <f t="shared" si="119"/>
        <v>0</v>
      </c>
      <c r="AU84" s="86"/>
      <c r="AV84" s="167">
        <f t="shared" si="120"/>
        <v>0</v>
      </c>
      <c r="AW84" s="86"/>
      <c r="AX84" s="167">
        <f t="shared" si="121"/>
        <v>0</v>
      </c>
      <c r="AY84" s="86"/>
      <c r="AZ84" s="167">
        <f t="shared" si="122"/>
        <v>0</v>
      </c>
      <c r="BA84" s="86"/>
      <c r="BB84" s="167">
        <f t="shared" si="123"/>
        <v>0</v>
      </c>
      <c r="BC84" s="86"/>
      <c r="BD84" s="167">
        <f t="shared" si="124"/>
        <v>0</v>
      </c>
      <c r="BE84" s="86"/>
      <c r="BF84" s="167">
        <f t="shared" si="125"/>
        <v>0</v>
      </c>
      <c r="BG84" s="86"/>
      <c r="BH84" s="167">
        <f t="shared" si="126"/>
        <v>0</v>
      </c>
      <c r="BI84" s="86"/>
      <c r="BJ84" s="167">
        <f t="shared" si="127"/>
        <v>0</v>
      </c>
      <c r="BK84" s="86"/>
      <c r="BL84" s="167">
        <f t="shared" si="128"/>
        <v>0</v>
      </c>
      <c r="BM84" s="86"/>
      <c r="BN84" s="50"/>
      <c r="BO84" s="170" t="e">
        <f t="shared" si="129"/>
        <v>#VALUE!</v>
      </c>
      <c r="BP84" s="167" t="e">
        <f t="shared" si="131"/>
        <v>#VALUE!</v>
      </c>
      <c r="BQ84" s="178" t="str">
        <f t="shared" si="130"/>
        <v/>
      </c>
    </row>
    <row r="85" spans="1:69" x14ac:dyDescent="0.35">
      <c r="A85" s="44" t="s">
        <v>83</v>
      </c>
      <c r="B85" s="54" t="s">
        <v>65</v>
      </c>
      <c r="C85" s="174" t="str">
        <f>IF('June 2027 Log'!BK85="","",'June 2027 Log'!BK85)</f>
        <v/>
      </c>
      <c r="D85" s="189" t="e">
        <f t="shared" si="98"/>
        <v>#VALUE!</v>
      </c>
      <c r="E85" s="86"/>
      <c r="F85" s="167">
        <f t="shared" si="99"/>
        <v>0</v>
      </c>
      <c r="G85" s="86"/>
      <c r="H85" s="167">
        <f t="shared" si="100"/>
        <v>0</v>
      </c>
      <c r="I85" s="86"/>
      <c r="J85" s="167">
        <f t="shared" si="101"/>
        <v>0</v>
      </c>
      <c r="K85" s="86"/>
      <c r="L85" s="167">
        <f t="shared" si="102"/>
        <v>0</v>
      </c>
      <c r="M85" s="86"/>
      <c r="N85" s="167">
        <f t="shared" si="103"/>
        <v>0</v>
      </c>
      <c r="O85" s="86"/>
      <c r="P85" s="167">
        <f t="shared" si="104"/>
        <v>0</v>
      </c>
      <c r="Q85" s="86"/>
      <c r="R85" s="167">
        <f t="shared" si="105"/>
        <v>0</v>
      </c>
      <c r="S85" s="86"/>
      <c r="T85" s="167">
        <f t="shared" si="106"/>
        <v>0</v>
      </c>
      <c r="U85" s="86"/>
      <c r="V85" s="167">
        <f t="shared" si="107"/>
        <v>0</v>
      </c>
      <c r="W85" s="86"/>
      <c r="X85" s="167">
        <f t="shared" si="108"/>
        <v>0</v>
      </c>
      <c r="Y85" s="86"/>
      <c r="Z85" s="167">
        <f t="shared" si="109"/>
        <v>0</v>
      </c>
      <c r="AA85" s="86"/>
      <c r="AB85" s="167">
        <f t="shared" si="110"/>
        <v>0</v>
      </c>
      <c r="AC85" s="86"/>
      <c r="AD85" s="167">
        <f t="shared" si="111"/>
        <v>0</v>
      </c>
      <c r="AE85" s="86"/>
      <c r="AF85" s="167">
        <f t="shared" si="112"/>
        <v>0</v>
      </c>
      <c r="AG85" s="86"/>
      <c r="AH85" s="167">
        <f t="shared" si="113"/>
        <v>0</v>
      </c>
      <c r="AI85" s="86"/>
      <c r="AJ85" s="167">
        <f t="shared" si="114"/>
        <v>0</v>
      </c>
      <c r="AK85" s="86"/>
      <c r="AL85" s="167">
        <f t="shared" si="115"/>
        <v>0</v>
      </c>
      <c r="AM85" s="86"/>
      <c r="AN85" s="167">
        <f t="shared" si="116"/>
        <v>0</v>
      </c>
      <c r="AO85" s="86"/>
      <c r="AP85" s="167">
        <f t="shared" si="117"/>
        <v>0</v>
      </c>
      <c r="AQ85" s="86"/>
      <c r="AR85" s="167">
        <f t="shared" si="118"/>
        <v>0</v>
      </c>
      <c r="AS85" s="86"/>
      <c r="AT85" s="167">
        <f t="shared" si="119"/>
        <v>0</v>
      </c>
      <c r="AU85" s="86"/>
      <c r="AV85" s="167">
        <f t="shared" si="120"/>
        <v>0</v>
      </c>
      <c r="AW85" s="86"/>
      <c r="AX85" s="167">
        <f t="shared" si="121"/>
        <v>0</v>
      </c>
      <c r="AY85" s="86"/>
      <c r="AZ85" s="167">
        <f t="shared" si="122"/>
        <v>0</v>
      </c>
      <c r="BA85" s="86"/>
      <c r="BB85" s="167">
        <f t="shared" si="123"/>
        <v>0</v>
      </c>
      <c r="BC85" s="86"/>
      <c r="BD85" s="167">
        <f t="shared" si="124"/>
        <v>0</v>
      </c>
      <c r="BE85" s="86"/>
      <c r="BF85" s="167">
        <f t="shared" si="125"/>
        <v>0</v>
      </c>
      <c r="BG85" s="86"/>
      <c r="BH85" s="167">
        <f t="shared" si="126"/>
        <v>0</v>
      </c>
      <c r="BI85" s="86"/>
      <c r="BJ85" s="167">
        <f t="shared" si="127"/>
        <v>0</v>
      </c>
      <c r="BK85" s="86"/>
      <c r="BL85" s="167">
        <f t="shared" si="128"/>
        <v>0</v>
      </c>
      <c r="BM85" s="86"/>
      <c r="BN85" s="50"/>
      <c r="BO85" s="170" t="e">
        <f t="shared" si="129"/>
        <v>#VALUE!</v>
      </c>
      <c r="BP85" s="167" t="e">
        <f t="shared" si="131"/>
        <v>#VALUE!</v>
      </c>
      <c r="BQ85" s="178" t="str">
        <f t="shared" si="130"/>
        <v/>
      </c>
    </row>
    <row r="86" spans="1:69" x14ac:dyDescent="0.35">
      <c r="A86" s="135" t="s">
        <v>84</v>
      </c>
      <c r="B86" s="54" t="s">
        <v>67</v>
      </c>
      <c r="C86" s="174" t="str">
        <f>IF('June 2027 Log'!BK86="","",'June 2027 Log'!BK86)</f>
        <v/>
      </c>
      <c r="D86" s="189" t="e">
        <f t="shared" si="98"/>
        <v>#VALUE!</v>
      </c>
      <c r="E86" s="86"/>
      <c r="F86" s="167">
        <f t="shared" si="99"/>
        <v>0</v>
      </c>
      <c r="G86" s="86"/>
      <c r="H86" s="167">
        <f t="shared" si="100"/>
        <v>0</v>
      </c>
      <c r="I86" s="86"/>
      <c r="J86" s="167">
        <f t="shared" si="101"/>
        <v>0</v>
      </c>
      <c r="K86" s="86"/>
      <c r="L86" s="167">
        <f t="shared" si="102"/>
        <v>0</v>
      </c>
      <c r="M86" s="86"/>
      <c r="N86" s="167">
        <f t="shared" si="103"/>
        <v>0</v>
      </c>
      <c r="O86" s="86"/>
      <c r="P86" s="167">
        <f t="shared" si="104"/>
        <v>0</v>
      </c>
      <c r="Q86" s="86"/>
      <c r="R86" s="167">
        <f t="shared" si="105"/>
        <v>0</v>
      </c>
      <c r="S86" s="86"/>
      <c r="T86" s="167">
        <f t="shared" si="106"/>
        <v>0</v>
      </c>
      <c r="U86" s="86"/>
      <c r="V86" s="167">
        <f t="shared" si="107"/>
        <v>0</v>
      </c>
      <c r="W86" s="86"/>
      <c r="X86" s="167">
        <f t="shared" si="108"/>
        <v>0</v>
      </c>
      <c r="Y86" s="86"/>
      <c r="Z86" s="167">
        <f t="shared" si="109"/>
        <v>0</v>
      </c>
      <c r="AA86" s="86"/>
      <c r="AB86" s="167">
        <f t="shared" si="110"/>
        <v>0</v>
      </c>
      <c r="AC86" s="86"/>
      <c r="AD86" s="167">
        <f t="shared" si="111"/>
        <v>0</v>
      </c>
      <c r="AE86" s="86"/>
      <c r="AF86" s="167">
        <f t="shared" si="112"/>
        <v>0</v>
      </c>
      <c r="AG86" s="86"/>
      <c r="AH86" s="167">
        <f t="shared" si="113"/>
        <v>0</v>
      </c>
      <c r="AI86" s="86"/>
      <c r="AJ86" s="167">
        <f t="shared" si="114"/>
        <v>0</v>
      </c>
      <c r="AK86" s="86"/>
      <c r="AL86" s="167">
        <f t="shared" si="115"/>
        <v>0</v>
      </c>
      <c r="AM86" s="86"/>
      <c r="AN86" s="167">
        <f t="shared" si="116"/>
        <v>0</v>
      </c>
      <c r="AO86" s="86"/>
      <c r="AP86" s="167">
        <f t="shared" si="117"/>
        <v>0</v>
      </c>
      <c r="AQ86" s="86"/>
      <c r="AR86" s="167">
        <f t="shared" si="118"/>
        <v>0</v>
      </c>
      <c r="AS86" s="86"/>
      <c r="AT86" s="167">
        <f t="shared" si="119"/>
        <v>0</v>
      </c>
      <c r="AU86" s="86"/>
      <c r="AV86" s="167">
        <f t="shared" si="120"/>
        <v>0</v>
      </c>
      <c r="AW86" s="86"/>
      <c r="AX86" s="167">
        <f t="shared" si="121"/>
        <v>0</v>
      </c>
      <c r="AY86" s="86"/>
      <c r="AZ86" s="167">
        <f t="shared" si="122"/>
        <v>0</v>
      </c>
      <c r="BA86" s="86"/>
      <c r="BB86" s="167">
        <f t="shared" si="123"/>
        <v>0</v>
      </c>
      <c r="BC86" s="86"/>
      <c r="BD86" s="167">
        <f t="shared" si="124"/>
        <v>0</v>
      </c>
      <c r="BE86" s="86"/>
      <c r="BF86" s="167">
        <f t="shared" si="125"/>
        <v>0</v>
      </c>
      <c r="BG86" s="86"/>
      <c r="BH86" s="167">
        <f t="shared" si="126"/>
        <v>0</v>
      </c>
      <c r="BI86" s="86"/>
      <c r="BJ86" s="167">
        <f t="shared" si="127"/>
        <v>0</v>
      </c>
      <c r="BK86" s="86"/>
      <c r="BL86" s="167">
        <f t="shared" si="128"/>
        <v>0</v>
      </c>
      <c r="BM86" s="86"/>
      <c r="BN86" s="50"/>
      <c r="BO86" s="170" t="e">
        <f t="shared" si="129"/>
        <v>#VALUE!</v>
      </c>
      <c r="BP86" s="167" t="e">
        <f t="shared" si="131"/>
        <v>#VALUE!</v>
      </c>
      <c r="BQ86" s="178" t="str">
        <f t="shared" si="130"/>
        <v/>
      </c>
    </row>
    <row r="87" spans="1:69" x14ac:dyDescent="0.35">
      <c r="A87" s="136" t="s">
        <v>85</v>
      </c>
      <c r="B87" s="54" t="s">
        <v>66</v>
      </c>
      <c r="C87" s="174" t="str">
        <f>IF('June 2027 Log'!BK87="","",'June 2027 Log'!BK87)</f>
        <v/>
      </c>
      <c r="D87" s="189" t="e">
        <f t="shared" si="98"/>
        <v>#VALUE!</v>
      </c>
      <c r="E87" s="86"/>
      <c r="F87" s="167">
        <f t="shared" si="99"/>
        <v>0</v>
      </c>
      <c r="G87" s="86"/>
      <c r="H87" s="167">
        <f t="shared" si="100"/>
        <v>0</v>
      </c>
      <c r="I87" s="86"/>
      <c r="J87" s="167">
        <f t="shared" si="101"/>
        <v>0</v>
      </c>
      <c r="K87" s="86"/>
      <c r="L87" s="167">
        <f t="shared" si="102"/>
        <v>0</v>
      </c>
      <c r="M87" s="86"/>
      <c r="N87" s="167">
        <f t="shared" si="103"/>
        <v>0</v>
      </c>
      <c r="O87" s="86"/>
      <c r="P87" s="167">
        <f t="shared" si="104"/>
        <v>0</v>
      </c>
      <c r="Q87" s="86"/>
      <c r="R87" s="167">
        <f t="shared" si="105"/>
        <v>0</v>
      </c>
      <c r="S87" s="86"/>
      <c r="T87" s="167">
        <f t="shared" si="106"/>
        <v>0</v>
      </c>
      <c r="U87" s="86"/>
      <c r="V87" s="167">
        <f t="shared" si="107"/>
        <v>0</v>
      </c>
      <c r="W87" s="86"/>
      <c r="X87" s="167">
        <f t="shared" si="108"/>
        <v>0</v>
      </c>
      <c r="Y87" s="86"/>
      <c r="Z87" s="167">
        <f t="shared" si="109"/>
        <v>0</v>
      </c>
      <c r="AA87" s="86"/>
      <c r="AB87" s="167">
        <f t="shared" si="110"/>
        <v>0</v>
      </c>
      <c r="AC87" s="86"/>
      <c r="AD87" s="167">
        <f t="shared" si="111"/>
        <v>0</v>
      </c>
      <c r="AE87" s="86"/>
      <c r="AF87" s="167">
        <f t="shared" si="112"/>
        <v>0</v>
      </c>
      <c r="AG87" s="86"/>
      <c r="AH87" s="167">
        <f t="shared" si="113"/>
        <v>0</v>
      </c>
      <c r="AI87" s="86"/>
      <c r="AJ87" s="167">
        <f t="shared" si="114"/>
        <v>0</v>
      </c>
      <c r="AK87" s="86"/>
      <c r="AL87" s="167">
        <f t="shared" si="115"/>
        <v>0</v>
      </c>
      <c r="AM87" s="86"/>
      <c r="AN87" s="167">
        <f t="shared" si="116"/>
        <v>0</v>
      </c>
      <c r="AO87" s="86"/>
      <c r="AP87" s="167">
        <f t="shared" si="117"/>
        <v>0</v>
      </c>
      <c r="AQ87" s="86"/>
      <c r="AR87" s="167">
        <f t="shared" si="118"/>
        <v>0</v>
      </c>
      <c r="AS87" s="86"/>
      <c r="AT87" s="167">
        <f t="shared" si="119"/>
        <v>0</v>
      </c>
      <c r="AU87" s="86"/>
      <c r="AV87" s="167">
        <f t="shared" si="120"/>
        <v>0</v>
      </c>
      <c r="AW87" s="86"/>
      <c r="AX87" s="167">
        <f t="shared" si="121"/>
        <v>0</v>
      </c>
      <c r="AY87" s="86"/>
      <c r="AZ87" s="167">
        <f t="shared" si="122"/>
        <v>0</v>
      </c>
      <c r="BA87" s="86"/>
      <c r="BB87" s="167">
        <f t="shared" si="123"/>
        <v>0</v>
      </c>
      <c r="BC87" s="86"/>
      <c r="BD87" s="167">
        <f t="shared" si="124"/>
        <v>0</v>
      </c>
      <c r="BE87" s="86"/>
      <c r="BF87" s="167">
        <f t="shared" si="125"/>
        <v>0</v>
      </c>
      <c r="BG87" s="86"/>
      <c r="BH87" s="167">
        <f t="shared" si="126"/>
        <v>0</v>
      </c>
      <c r="BI87" s="86"/>
      <c r="BJ87" s="167">
        <f t="shared" si="127"/>
        <v>0</v>
      </c>
      <c r="BK87" s="86"/>
      <c r="BL87" s="167">
        <f t="shared" si="128"/>
        <v>0</v>
      </c>
      <c r="BM87" s="86"/>
      <c r="BN87" s="50"/>
      <c r="BO87" s="170" t="e">
        <f t="shared" si="129"/>
        <v>#VALUE!</v>
      </c>
      <c r="BP87" s="167" t="e">
        <f t="shared" si="131"/>
        <v>#VALUE!</v>
      </c>
      <c r="BQ87" s="178" t="str">
        <f t="shared" si="130"/>
        <v/>
      </c>
    </row>
    <row r="88" spans="1:69" x14ac:dyDescent="0.35">
      <c r="A88" s="44" t="s">
        <v>86</v>
      </c>
      <c r="B88" s="54" t="s">
        <v>65</v>
      </c>
      <c r="C88" s="174" t="str">
        <f>IF('June 2027 Log'!BK88="","",'June 2027 Log'!BK88)</f>
        <v/>
      </c>
      <c r="D88" s="189" t="e">
        <f t="shared" si="98"/>
        <v>#VALUE!</v>
      </c>
      <c r="E88" s="86"/>
      <c r="F88" s="167">
        <f t="shared" si="99"/>
        <v>0</v>
      </c>
      <c r="G88" s="86"/>
      <c r="H88" s="167">
        <f t="shared" si="100"/>
        <v>0</v>
      </c>
      <c r="I88" s="86"/>
      <c r="J88" s="167">
        <f t="shared" si="101"/>
        <v>0</v>
      </c>
      <c r="K88" s="86"/>
      <c r="L88" s="167">
        <f t="shared" si="102"/>
        <v>0</v>
      </c>
      <c r="M88" s="86"/>
      <c r="N88" s="167">
        <f t="shared" si="103"/>
        <v>0</v>
      </c>
      <c r="O88" s="86"/>
      <c r="P88" s="167">
        <f t="shared" si="104"/>
        <v>0</v>
      </c>
      <c r="Q88" s="86"/>
      <c r="R88" s="167">
        <f t="shared" si="105"/>
        <v>0</v>
      </c>
      <c r="S88" s="86"/>
      <c r="T88" s="167">
        <f t="shared" si="106"/>
        <v>0</v>
      </c>
      <c r="U88" s="86"/>
      <c r="V88" s="167">
        <f t="shared" si="107"/>
        <v>0</v>
      </c>
      <c r="W88" s="86"/>
      <c r="X88" s="167">
        <f t="shared" si="108"/>
        <v>0</v>
      </c>
      <c r="Y88" s="86"/>
      <c r="Z88" s="167">
        <f t="shared" si="109"/>
        <v>0</v>
      </c>
      <c r="AA88" s="86"/>
      <c r="AB88" s="167">
        <f t="shared" si="110"/>
        <v>0</v>
      </c>
      <c r="AC88" s="86"/>
      <c r="AD88" s="167">
        <f t="shared" si="111"/>
        <v>0</v>
      </c>
      <c r="AE88" s="86"/>
      <c r="AF88" s="167">
        <f t="shared" si="112"/>
        <v>0</v>
      </c>
      <c r="AG88" s="86"/>
      <c r="AH88" s="167">
        <f t="shared" si="113"/>
        <v>0</v>
      </c>
      <c r="AI88" s="86"/>
      <c r="AJ88" s="167">
        <f t="shared" si="114"/>
        <v>0</v>
      </c>
      <c r="AK88" s="86"/>
      <c r="AL88" s="167">
        <f t="shared" si="115"/>
        <v>0</v>
      </c>
      <c r="AM88" s="86"/>
      <c r="AN88" s="167">
        <f t="shared" si="116"/>
        <v>0</v>
      </c>
      <c r="AO88" s="86"/>
      <c r="AP88" s="167">
        <f t="shared" si="117"/>
        <v>0</v>
      </c>
      <c r="AQ88" s="86"/>
      <c r="AR88" s="167">
        <f t="shared" si="118"/>
        <v>0</v>
      </c>
      <c r="AS88" s="86"/>
      <c r="AT88" s="167">
        <f t="shared" si="119"/>
        <v>0</v>
      </c>
      <c r="AU88" s="86"/>
      <c r="AV88" s="167">
        <f t="shared" si="120"/>
        <v>0</v>
      </c>
      <c r="AW88" s="86"/>
      <c r="AX88" s="167">
        <f t="shared" si="121"/>
        <v>0</v>
      </c>
      <c r="AY88" s="86"/>
      <c r="AZ88" s="167">
        <f t="shared" si="122"/>
        <v>0</v>
      </c>
      <c r="BA88" s="86"/>
      <c r="BB88" s="167">
        <f t="shared" si="123"/>
        <v>0</v>
      </c>
      <c r="BC88" s="86"/>
      <c r="BD88" s="167">
        <f t="shared" si="124"/>
        <v>0</v>
      </c>
      <c r="BE88" s="86"/>
      <c r="BF88" s="167">
        <f t="shared" si="125"/>
        <v>0</v>
      </c>
      <c r="BG88" s="86"/>
      <c r="BH88" s="167">
        <f t="shared" si="126"/>
        <v>0</v>
      </c>
      <c r="BI88" s="86"/>
      <c r="BJ88" s="167">
        <f t="shared" si="127"/>
        <v>0</v>
      </c>
      <c r="BK88" s="86"/>
      <c r="BL88" s="167">
        <f t="shared" si="128"/>
        <v>0</v>
      </c>
      <c r="BM88" s="86"/>
      <c r="BN88" s="50"/>
      <c r="BO88" s="170" t="e">
        <f t="shared" si="129"/>
        <v>#VALUE!</v>
      </c>
      <c r="BP88" s="167" t="e">
        <f t="shared" si="131"/>
        <v>#VALUE!</v>
      </c>
      <c r="BQ88" s="178" t="str">
        <f t="shared" si="130"/>
        <v/>
      </c>
    </row>
    <row r="89" spans="1:69" x14ac:dyDescent="0.35">
      <c r="A89" s="53"/>
      <c r="B89" s="54"/>
      <c r="C89" s="144"/>
      <c r="D89" s="192">
        <f t="shared" si="98"/>
        <v>0</v>
      </c>
      <c r="E89" s="145"/>
      <c r="F89" s="173">
        <f t="shared" si="99"/>
        <v>0</v>
      </c>
      <c r="G89" s="145"/>
      <c r="H89" s="173">
        <f t="shared" si="100"/>
        <v>0</v>
      </c>
      <c r="I89" s="145"/>
      <c r="J89" s="173">
        <f t="shared" si="101"/>
        <v>0</v>
      </c>
      <c r="K89" s="145"/>
      <c r="L89" s="173">
        <f t="shared" si="102"/>
        <v>0</v>
      </c>
      <c r="M89" s="145"/>
      <c r="N89" s="173">
        <f t="shared" si="103"/>
        <v>0</v>
      </c>
      <c r="O89" s="145"/>
      <c r="P89" s="173">
        <f t="shared" si="104"/>
        <v>0</v>
      </c>
      <c r="Q89" s="145"/>
      <c r="R89" s="173">
        <f t="shared" si="105"/>
        <v>0</v>
      </c>
      <c r="S89" s="145"/>
      <c r="T89" s="173">
        <f t="shared" si="106"/>
        <v>0</v>
      </c>
      <c r="U89" s="145"/>
      <c r="V89" s="173">
        <f t="shared" si="107"/>
        <v>0</v>
      </c>
      <c r="W89" s="145"/>
      <c r="X89" s="173">
        <f t="shared" si="108"/>
        <v>0</v>
      </c>
      <c r="Y89" s="145"/>
      <c r="Z89" s="173">
        <f t="shared" si="109"/>
        <v>0</v>
      </c>
      <c r="AA89" s="145"/>
      <c r="AB89" s="173">
        <f t="shared" si="110"/>
        <v>0</v>
      </c>
      <c r="AC89" s="145"/>
      <c r="AD89" s="173">
        <f t="shared" si="111"/>
        <v>0</v>
      </c>
      <c r="AE89" s="145"/>
      <c r="AF89" s="173">
        <f t="shared" si="112"/>
        <v>0</v>
      </c>
      <c r="AG89" s="145"/>
      <c r="AH89" s="173">
        <f t="shared" si="113"/>
        <v>0</v>
      </c>
      <c r="AI89" s="145"/>
      <c r="AJ89" s="173">
        <f t="shared" si="114"/>
        <v>0</v>
      </c>
      <c r="AK89" s="145"/>
      <c r="AL89" s="173">
        <f t="shared" si="115"/>
        <v>0</v>
      </c>
      <c r="AM89" s="145"/>
      <c r="AN89" s="173">
        <f t="shared" si="116"/>
        <v>0</v>
      </c>
      <c r="AO89" s="145"/>
      <c r="AP89" s="173">
        <f t="shared" si="117"/>
        <v>0</v>
      </c>
      <c r="AQ89" s="145"/>
      <c r="AR89" s="173">
        <f t="shared" si="118"/>
        <v>0</v>
      </c>
      <c r="AS89" s="145"/>
      <c r="AT89" s="173">
        <f t="shared" si="119"/>
        <v>0</v>
      </c>
      <c r="AU89" s="145"/>
      <c r="AV89" s="173">
        <f t="shared" si="120"/>
        <v>0</v>
      </c>
      <c r="AW89" s="145"/>
      <c r="AX89" s="173">
        <f t="shared" si="121"/>
        <v>0</v>
      </c>
      <c r="AY89" s="145"/>
      <c r="AZ89" s="173">
        <f t="shared" si="122"/>
        <v>0</v>
      </c>
      <c r="BA89" s="145"/>
      <c r="BB89" s="173">
        <f t="shared" si="123"/>
        <v>0</v>
      </c>
      <c r="BC89" s="145"/>
      <c r="BD89" s="173">
        <f t="shared" si="124"/>
        <v>0</v>
      </c>
      <c r="BE89" s="145"/>
      <c r="BF89" s="173">
        <f t="shared" si="125"/>
        <v>0</v>
      </c>
      <c r="BG89" s="145"/>
      <c r="BH89" s="173">
        <f t="shared" si="126"/>
        <v>0</v>
      </c>
      <c r="BI89" s="145"/>
      <c r="BJ89" s="173">
        <f t="shared" si="127"/>
        <v>0</v>
      </c>
      <c r="BK89" s="145"/>
      <c r="BL89" s="173">
        <f t="shared" si="128"/>
        <v>0</v>
      </c>
      <c r="BM89" s="145"/>
      <c r="BN89" s="50"/>
      <c r="BO89" s="51"/>
      <c r="BP89" s="173">
        <f t="shared" si="131"/>
        <v>0</v>
      </c>
      <c r="BQ89" s="88"/>
    </row>
    <row r="90" spans="1:69" x14ac:dyDescent="0.35">
      <c r="A90" s="74" t="s">
        <v>93</v>
      </c>
      <c r="B90" s="75"/>
      <c r="C90" s="141"/>
      <c r="D90" s="102"/>
      <c r="E90" s="142"/>
      <c r="F90" s="104"/>
      <c r="G90" s="142"/>
      <c r="H90" s="104"/>
      <c r="I90" s="142"/>
      <c r="J90" s="104"/>
      <c r="K90" s="142"/>
      <c r="L90" s="104"/>
      <c r="M90" s="142"/>
      <c r="N90" s="104"/>
      <c r="O90" s="142"/>
      <c r="P90" s="104"/>
      <c r="Q90" s="142"/>
      <c r="R90" s="104"/>
      <c r="S90" s="142"/>
      <c r="T90" s="104"/>
      <c r="U90" s="142"/>
      <c r="V90" s="104"/>
      <c r="W90" s="142"/>
      <c r="X90" s="104"/>
      <c r="Y90" s="142"/>
      <c r="Z90" s="104"/>
      <c r="AA90" s="142"/>
      <c r="AB90" s="104"/>
      <c r="AC90" s="142"/>
      <c r="AD90" s="104"/>
      <c r="AE90" s="142"/>
      <c r="AF90" s="104"/>
      <c r="AG90" s="142"/>
      <c r="AH90" s="104"/>
      <c r="AI90" s="142"/>
      <c r="AJ90" s="104"/>
      <c r="AK90" s="142"/>
      <c r="AL90" s="104"/>
      <c r="AM90" s="142"/>
      <c r="AN90" s="104"/>
      <c r="AO90" s="142"/>
      <c r="AP90" s="104"/>
      <c r="AQ90" s="142"/>
      <c r="AR90" s="104"/>
      <c r="AS90" s="142"/>
      <c r="AT90" s="104"/>
      <c r="AU90" s="142"/>
      <c r="AV90" s="104"/>
      <c r="AW90" s="142"/>
      <c r="AX90" s="104"/>
      <c r="AY90" s="142"/>
      <c r="AZ90" s="104"/>
      <c r="BA90" s="142"/>
      <c r="BB90" s="104"/>
      <c r="BC90" s="142"/>
      <c r="BD90" s="104"/>
      <c r="BE90" s="142"/>
      <c r="BF90" s="104"/>
      <c r="BG90" s="142"/>
      <c r="BH90" s="104"/>
      <c r="BI90" s="142"/>
      <c r="BJ90" s="104"/>
      <c r="BK90" s="142"/>
      <c r="BL90" s="104"/>
      <c r="BM90" s="142"/>
      <c r="BN90" s="105"/>
      <c r="BO90" s="106"/>
      <c r="BP90" s="104"/>
      <c r="BQ90" s="107"/>
    </row>
    <row r="91" spans="1:69" x14ac:dyDescent="0.35">
      <c r="A91" s="132" t="s">
        <v>75</v>
      </c>
      <c r="B91" s="54" t="s">
        <v>65</v>
      </c>
      <c r="C91" s="144"/>
      <c r="D91" s="146"/>
      <c r="E91" s="166" t="e">
        <f>+D91-D77</f>
        <v>#VALUE!</v>
      </c>
      <c r="F91" s="147"/>
      <c r="G91" s="166">
        <f>+F91-F77</f>
        <v>0</v>
      </c>
      <c r="H91" s="147"/>
      <c r="I91" s="166">
        <f>+H91-H77</f>
        <v>0</v>
      </c>
      <c r="J91" s="147"/>
      <c r="K91" s="166">
        <f>+J91-J77</f>
        <v>0</v>
      </c>
      <c r="L91" s="147"/>
      <c r="M91" s="166">
        <f>+L91-L77</f>
        <v>0</v>
      </c>
      <c r="N91" s="147"/>
      <c r="O91" s="166">
        <f>+N91-N77</f>
        <v>0</v>
      </c>
      <c r="P91" s="147"/>
      <c r="Q91" s="166">
        <f>+P91-P77</f>
        <v>0</v>
      </c>
      <c r="R91" s="147"/>
      <c r="S91" s="166">
        <f>+R91-R77</f>
        <v>0</v>
      </c>
      <c r="T91" s="147"/>
      <c r="U91" s="166">
        <f>+T91-T77</f>
        <v>0</v>
      </c>
      <c r="V91" s="147"/>
      <c r="W91" s="166">
        <f>+V91-V77</f>
        <v>0</v>
      </c>
      <c r="X91" s="147"/>
      <c r="Y91" s="166">
        <f>+X91-X77</f>
        <v>0</v>
      </c>
      <c r="Z91" s="147"/>
      <c r="AA91" s="166">
        <f>+Z91-Z77</f>
        <v>0</v>
      </c>
      <c r="AB91" s="147"/>
      <c r="AC91" s="166">
        <f>+AB91-AB77</f>
        <v>0</v>
      </c>
      <c r="AD91" s="147"/>
      <c r="AE91" s="166">
        <f>+AD91-AD77</f>
        <v>0</v>
      </c>
      <c r="AF91" s="147"/>
      <c r="AG91" s="166">
        <f>+AF91-AF77</f>
        <v>0</v>
      </c>
      <c r="AH91" s="147"/>
      <c r="AI91" s="166">
        <f>+AH91-AH77</f>
        <v>0</v>
      </c>
      <c r="AJ91" s="147"/>
      <c r="AK91" s="166">
        <f>+AJ91-AJ77</f>
        <v>0</v>
      </c>
      <c r="AL91" s="147"/>
      <c r="AM91" s="166">
        <f>+AL91-AL77</f>
        <v>0</v>
      </c>
      <c r="AN91" s="147"/>
      <c r="AO91" s="166">
        <f>+AN91-AN77</f>
        <v>0</v>
      </c>
      <c r="AP91" s="147"/>
      <c r="AQ91" s="166">
        <f>+AP91-AP77</f>
        <v>0</v>
      </c>
      <c r="AR91" s="147"/>
      <c r="AS91" s="166">
        <f>+AR91-AR77</f>
        <v>0</v>
      </c>
      <c r="AT91" s="147"/>
      <c r="AU91" s="166">
        <f>+AT91-AT77</f>
        <v>0</v>
      </c>
      <c r="AV91" s="147"/>
      <c r="AW91" s="166">
        <f>+AV91-AV77</f>
        <v>0</v>
      </c>
      <c r="AX91" s="147"/>
      <c r="AY91" s="166">
        <f>+AX91-AX77</f>
        <v>0</v>
      </c>
      <c r="AZ91" s="147"/>
      <c r="BA91" s="166">
        <f>+AZ91-AZ77</f>
        <v>0</v>
      </c>
      <c r="BB91" s="147"/>
      <c r="BC91" s="166">
        <f>+BB91-BB77</f>
        <v>0</v>
      </c>
      <c r="BD91" s="147"/>
      <c r="BE91" s="166">
        <f>+BD91-BD77</f>
        <v>0</v>
      </c>
      <c r="BF91" s="147"/>
      <c r="BG91" s="166">
        <f>+BF91-BF77</f>
        <v>0</v>
      </c>
      <c r="BH91" s="147"/>
      <c r="BI91" s="166">
        <f>+BH91-BH77</f>
        <v>0</v>
      </c>
      <c r="BJ91" s="147"/>
      <c r="BK91" s="166">
        <f>+BJ91-BJ77</f>
        <v>0</v>
      </c>
      <c r="BL91" s="147"/>
      <c r="BM91" s="166">
        <f>+BL91-BL77</f>
        <v>0</v>
      </c>
      <c r="BN91" s="50"/>
      <c r="BO91" s="170" t="e">
        <f t="shared" ref="BO91:BO103" si="132">IF(COUNT(E91,G91,I91,K91,M91,O91,Q91,S91,U91,W91,Y91,AA91,AC91,AE91,AG91,AI91,AK91,AM91,AO91,AQ91,AS91,AU91,AW91,AY91,BA91,BC91,BE91,BG91,BI91,BK91,BM91)=0,"",SUM(E91,G91,I91,K91,M91,O91,Q91,S91,U91,W91,Y91,AA91,AC91,AE91,AG91,AI91,AK91,AM91,AO91,AQ91,AS91,AU91,AW91,AY91,BA91,BC91,BE91,BG91,BI91,BK91,BM91))</f>
        <v>#VALUE!</v>
      </c>
      <c r="BP91" s="87"/>
      <c r="BQ91" s="52"/>
    </row>
    <row r="92" spans="1:69" x14ac:dyDescent="0.35">
      <c r="A92" s="136"/>
      <c r="B92" s="54" t="s">
        <v>66</v>
      </c>
      <c r="C92" s="144"/>
      <c r="D92" s="146"/>
      <c r="E92" s="166" t="e">
        <f t="shared" ref="E92:K102" si="133">+D92-D78</f>
        <v>#VALUE!</v>
      </c>
      <c r="F92" s="147"/>
      <c r="G92" s="166">
        <f t="shared" si="133"/>
        <v>0</v>
      </c>
      <c r="H92" s="147"/>
      <c r="I92" s="166">
        <f t="shared" si="133"/>
        <v>0</v>
      </c>
      <c r="J92" s="147"/>
      <c r="K92" s="166">
        <f t="shared" si="133"/>
        <v>0</v>
      </c>
      <c r="L92" s="147"/>
      <c r="M92" s="166">
        <f t="shared" ref="M92:M102" si="134">+L92-L78</f>
        <v>0</v>
      </c>
      <c r="N92" s="147"/>
      <c r="O92" s="166">
        <f t="shared" ref="O92:O102" si="135">+N92-N78</f>
        <v>0</v>
      </c>
      <c r="P92" s="147"/>
      <c r="Q92" s="166">
        <f t="shared" ref="Q92:Q102" si="136">+P92-P78</f>
        <v>0</v>
      </c>
      <c r="R92" s="147"/>
      <c r="S92" s="166">
        <f t="shared" ref="S92:S102" si="137">+R92-R78</f>
        <v>0</v>
      </c>
      <c r="T92" s="147"/>
      <c r="U92" s="166">
        <f t="shared" ref="U92:U102" si="138">+T92-T78</f>
        <v>0</v>
      </c>
      <c r="V92" s="147"/>
      <c r="W92" s="166">
        <f t="shared" ref="W92:W102" si="139">+V92-V78</f>
        <v>0</v>
      </c>
      <c r="X92" s="147"/>
      <c r="Y92" s="166">
        <f t="shared" ref="Y92:Y102" si="140">+X92-X78</f>
        <v>0</v>
      </c>
      <c r="Z92" s="147"/>
      <c r="AA92" s="166">
        <f t="shared" ref="AA92:AA102" si="141">+Z92-Z78</f>
        <v>0</v>
      </c>
      <c r="AB92" s="147"/>
      <c r="AC92" s="166">
        <f t="shared" ref="AC92:AC102" si="142">+AB92-AB78</f>
        <v>0</v>
      </c>
      <c r="AD92" s="147"/>
      <c r="AE92" s="166">
        <f t="shared" ref="AE92:AE102" si="143">+AD92-AD78</f>
        <v>0</v>
      </c>
      <c r="AF92" s="147"/>
      <c r="AG92" s="166">
        <f t="shared" ref="AG92:AG102" si="144">+AF92-AF78</f>
        <v>0</v>
      </c>
      <c r="AH92" s="147"/>
      <c r="AI92" s="166">
        <f t="shared" ref="AI92:AI102" si="145">+AH92-AH78</f>
        <v>0</v>
      </c>
      <c r="AJ92" s="147"/>
      <c r="AK92" s="166">
        <f t="shared" ref="AK92:AK102" si="146">+AJ92-AJ78</f>
        <v>0</v>
      </c>
      <c r="AL92" s="147"/>
      <c r="AM92" s="166">
        <f t="shared" ref="AM92:AM102" si="147">+AL92-AL78</f>
        <v>0</v>
      </c>
      <c r="AN92" s="147"/>
      <c r="AO92" s="166">
        <f t="shared" ref="AO92:AO102" si="148">+AN92-AN78</f>
        <v>0</v>
      </c>
      <c r="AP92" s="147"/>
      <c r="AQ92" s="166">
        <f t="shared" ref="AQ92:AQ102" si="149">+AP92-AP78</f>
        <v>0</v>
      </c>
      <c r="AR92" s="147"/>
      <c r="AS92" s="166">
        <f t="shared" ref="AS92:AS102" si="150">+AR92-AR78</f>
        <v>0</v>
      </c>
      <c r="AT92" s="147"/>
      <c r="AU92" s="166">
        <f t="shared" ref="AU92:AU102" si="151">+AT92-AT78</f>
        <v>0</v>
      </c>
      <c r="AV92" s="147"/>
      <c r="AW92" s="166">
        <f t="shared" ref="AW92:AW102" si="152">+AV92-AV78</f>
        <v>0</v>
      </c>
      <c r="AX92" s="147"/>
      <c r="AY92" s="166">
        <f t="shared" ref="AY92:AY102" si="153">+AX92-AX78</f>
        <v>0</v>
      </c>
      <c r="AZ92" s="147"/>
      <c r="BA92" s="166">
        <f t="shared" ref="BA92:BA102" si="154">+AZ92-AZ78</f>
        <v>0</v>
      </c>
      <c r="BB92" s="147"/>
      <c r="BC92" s="166">
        <f t="shared" ref="BC92:BC102" si="155">+BB92-BB78</f>
        <v>0</v>
      </c>
      <c r="BD92" s="147"/>
      <c r="BE92" s="166">
        <f t="shared" ref="BE92:BE102" si="156">+BD92-BD78</f>
        <v>0</v>
      </c>
      <c r="BF92" s="147"/>
      <c r="BG92" s="166">
        <f t="shared" ref="BG92:BG102" si="157">+BF92-BF78</f>
        <v>0</v>
      </c>
      <c r="BH92" s="147"/>
      <c r="BI92" s="166">
        <f t="shared" ref="BI92:BI102" si="158">+BH92-BH78</f>
        <v>0</v>
      </c>
      <c r="BJ92" s="147"/>
      <c r="BK92" s="166">
        <f t="shared" ref="BK92:BK102" si="159">+BJ92-BJ78</f>
        <v>0</v>
      </c>
      <c r="BL92" s="147"/>
      <c r="BM92" s="166">
        <f t="shared" ref="BM92:BM102" si="160">+BL92-BL78</f>
        <v>0</v>
      </c>
      <c r="BN92" s="50"/>
      <c r="BO92" s="170" t="e">
        <f t="shared" si="132"/>
        <v>#VALUE!</v>
      </c>
      <c r="BP92" s="87"/>
      <c r="BQ92" s="52"/>
    </row>
    <row r="93" spans="1:69" x14ac:dyDescent="0.35">
      <c r="A93" s="134" t="s">
        <v>77</v>
      </c>
      <c r="B93" s="54" t="s">
        <v>67</v>
      </c>
      <c r="C93" s="144"/>
      <c r="D93" s="146"/>
      <c r="E93" s="166" t="e">
        <f t="shared" si="133"/>
        <v>#VALUE!</v>
      </c>
      <c r="F93" s="147"/>
      <c r="G93" s="166">
        <f t="shared" si="133"/>
        <v>0</v>
      </c>
      <c r="H93" s="147"/>
      <c r="I93" s="166">
        <f t="shared" si="133"/>
        <v>0</v>
      </c>
      <c r="J93" s="147"/>
      <c r="K93" s="166">
        <f t="shared" si="133"/>
        <v>0</v>
      </c>
      <c r="L93" s="147"/>
      <c r="M93" s="166">
        <f t="shared" si="134"/>
        <v>0</v>
      </c>
      <c r="N93" s="147"/>
      <c r="O93" s="166">
        <f t="shared" si="135"/>
        <v>0</v>
      </c>
      <c r="P93" s="147"/>
      <c r="Q93" s="166">
        <f t="shared" si="136"/>
        <v>0</v>
      </c>
      <c r="R93" s="147"/>
      <c r="S93" s="166">
        <f t="shared" si="137"/>
        <v>0</v>
      </c>
      <c r="T93" s="147"/>
      <c r="U93" s="166">
        <f t="shared" si="138"/>
        <v>0</v>
      </c>
      <c r="V93" s="147"/>
      <c r="W93" s="166">
        <f t="shared" si="139"/>
        <v>0</v>
      </c>
      <c r="X93" s="147"/>
      <c r="Y93" s="166">
        <f t="shared" si="140"/>
        <v>0</v>
      </c>
      <c r="Z93" s="147"/>
      <c r="AA93" s="166">
        <f t="shared" si="141"/>
        <v>0</v>
      </c>
      <c r="AB93" s="147"/>
      <c r="AC93" s="166">
        <f t="shared" si="142"/>
        <v>0</v>
      </c>
      <c r="AD93" s="147"/>
      <c r="AE93" s="166">
        <f t="shared" si="143"/>
        <v>0</v>
      </c>
      <c r="AF93" s="147"/>
      <c r="AG93" s="166">
        <f t="shared" si="144"/>
        <v>0</v>
      </c>
      <c r="AH93" s="147"/>
      <c r="AI93" s="166">
        <f t="shared" si="145"/>
        <v>0</v>
      </c>
      <c r="AJ93" s="147"/>
      <c r="AK93" s="166">
        <f t="shared" si="146"/>
        <v>0</v>
      </c>
      <c r="AL93" s="147"/>
      <c r="AM93" s="166">
        <f t="shared" si="147"/>
        <v>0</v>
      </c>
      <c r="AN93" s="147"/>
      <c r="AO93" s="48"/>
      <c r="AP93" s="147"/>
      <c r="AQ93" s="166">
        <f t="shared" si="149"/>
        <v>0</v>
      </c>
      <c r="AR93" s="147"/>
      <c r="AS93" s="166">
        <f t="shared" si="150"/>
        <v>0</v>
      </c>
      <c r="AT93" s="147"/>
      <c r="AU93" s="166">
        <f t="shared" si="151"/>
        <v>0</v>
      </c>
      <c r="AV93" s="147"/>
      <c r="AW93" s="166">
        <f t="shared" si="152"/>
        <v>0</v>
      </c>
      <c r="AX93" s="147"/>
      <c r="AY93" s="166">
        <f t="shared" si="153"/>
        <v>0</v>
      </c>
      <c r="AZ93" s="147"/>
      <c r="BA93" s="166">
        <f t="shared" si="154"/>
        <v>0</v>
      </c>
      <c r="BB93" s="147"/>
      <c r="BC93" s="166">
        <f t="shared" si="155"/>
        <v>0</v>
      </c>
      <c r="BD93" s="147"/>
      <c r="BE93" s="166">
        <f t="shared" si="156"/>
        <v>0</v>
      </c>
      <c r="BF93" s="147"/>
      <c r="BG93" s="166">
        <f t="shared" si="157"/>
        <v>0</v>
      </c>
      <c r="BH93" s="147"/>
      <c r="BI93" s="166">
        <f t="shared" si="158"/>
        <v>0</v>
      </c>
      <c r="BJ93" s="147"/>
      <c r="BK93" s="166">
        <f t="shared" si="159"/>
        <v>0</v>
      </c>
      <c r="BL93" s="147"/>
      <c r="BM93" s="166">
        <f t="shared" si="160"/>
        <v>0</v>
      </c>
      <c r="BN93" s="50"/>
      <c r="BO93" s="170" t="e">
        <f t="shared" si="132"/>
        <v>#VALUE!</v>
      </c>
      <c r="BP93" s="87"/>
      <c r="BQ93" s="52"/>
    </row>
    <row r="94" spans="1:69" x14ac:dyDescent="0.35">
      <c r="A94" s="132" t="s">
        <v>78</v>
      </c>
      <c r="B94" s="54" t="s">
        <v>65</v>
      </c>
      <c r="C94" s="144"/>
      <c r="D94" s="146"/>
      <c r="E94" s="166" t="e">
        <f t="shared" si="133"/>
        <v>#VALUE!</v>
      </c>
      <c r="F94" s="147"/>
      <c r="G94" s="166">
        <f t="shared" si="133"/>
        <v>0</v>
      </c>
      <c r="H94" s="147"/>
      <c r="I94" s="166">
        <f t="shared" si="133"/>
        <v>0</v>
      </c>
      <c r="J94" s="147"/>
      <c r="K94" s="166">
        <f t="shared" si="133"/>
        <v>0</v>
      </c>
      <c r="L94" s="147"/>
      <c r="M94" s="166">
        <f t="shared" si="134"/>
        <v>0</v>
      </c>
      <c r="N94" s="147"/>
      <c r="O94" s="166">
        <f t="shared" si="135"/>
        <v>0</v>
      </c>
      <c r="P94" s="147"/>
      <c r="Q94" s="166">
        <f t="shared" si="136"/>
        <v>0</v>
      </c>
      <c r="R94" s="147"/>
      <c r="S94" s="166">
        <f t="shared" si="137"/>
        <v>0</v>
      </c>
      <c r="T94" s="147"/>
      <c r="U94" s="166">
        <f t="shared" si="138"/>
        <v>0</v>
      </c>
      <c r="V94" s="147"/>
      <c r="W94" s="166">
        <f t="shared" si="139"/>
        <v>0</v>
      </c>
      <c r="X94" s="147"/>
      <c r="Y94" s="166">
        <f t="shared" si="140"/>
        <v>0</v>
      </c>
      <c r="Z94" s="147"/>
      <c r="AA94" s="166">
        <f t="shared" si="141"/>
        <v>0</v>
      </c>
      <c r="AB94" s="147"/>
      <c r="AC94" s="166">
        <f t="shared" si="142"/>
        <v>0</v>
      </c>
      <c r="AD94" s="147"/>
      <c r="AE94" s="166">
        <f t="shared" si="143"/>
        <v>0</v>
      </c>
      <c r="AF94" s="147"/>
      <c r="AG94" s="166">
        <f t="shared" si="144"/>
        <v>0</v>
      </c>
      <c r="AH94" s="147"/>
      <c r="AI94" s="166">
        <f t="shared" si="145"/>
        <v>0</v>
      </c>
      <c r="AJ94" s="147"/>
      <c r="AK94" s="166">
        <f t="shared" si="146"/>
        <v>0</v>
      </c>
      <c r="AL94" s="147"/>
      <c r="AM94" s="166">
        <f t="shared" si="147"/>
        <v>0</v>
      </c>
      <c r="AN94" s="147"/>
      <c r="AO94" s="166">
        <f t="shared" si="148"/>
        <v>0</v>
      </c>
      <c r="AP94" s="147"/>
      <c r="AQ94" s="166">
        <f t="shared" si="149"/>
        <v>0</v>
      </c>
      <c r="AR94" s="147"/>
      <c r="AS94" s="166">
        <f t="shared" si="150"/>
        <v>0</v>
      </c>
      <c r="AT94" s="147"/>
      <c r="AU94" s="166">
        <f t="shared" si="151"/>
        <v>0</v>
      </c>
      <c r="AV94" s="147"/>
      <c r="AW94" s="166">
        <f t="shared" si="152"/>
        <v>0</v>
      </c>
      <c r="AX94" s="147"/>
      <c r="AY94" s="166">
        <f t="shared" si="153"/>
        <v>0</v>
      </c>
      <c r="AZ94" s="147"/>
      <c r="BA94" s="166">
        <f t="shared" si="154"/>
        <v>0</v>
      </c>
      <c r="BB94" s="147"/>
      <c r="BC94" s="166">
        <f t="shared" si="155"/>
        <v>0</v>
      </c>
      <c r="BD94" s="147"/>
      <c r="BE94" s="166">
        <f t="shared" si="156"/>
        <v>0</v>
      </c>
      <c r="BF94" s="147"/>
      <c r="BG94" s="166">
        <f t="shared" si="157"/>
        <v>0</v>
      </c>
      <c r="BH94" s="147"/>
      <c r="BI94" s="166">
        <f t="shared" si="158"/>
        <v>0</v>
      </c>
      <c r="BJ94" s="147"/>
      <c r="BK94" s="166">
        <f t="shared" si="159"/>
        <v>0</v>
      </c>
      <c r="BL94" s="147"/>
      <c r="BM94" s="166">
        <f t="shared" si="160"/>
        <v>0</v>
      </c>
      <c r="BN94" s="50"/>
      <c r="BO94" s="170" t="e">
        <f t="shared" si="132"/>
        <v>#VALUE!</v>
      </c>
      <c r="BP94" s="87"/>
      <c r="BQ94" s="52"/>
    </row>
    <row r="95" spans="1:69" x14ac:dyDescent="0.35">
      <c r="A95" s="136"/>
      <c r="B95" s="54" t="s">
        <v>66</v>
      </c>
      <c r="C95" s="144"/>
      <c r="D95" s="146"/>
      <c r="E95" s="166" t="e">
        <f t="shared" si="133"/>
        <v>#VALUE!</v>
      </c>
      <c r="F95" s="147"/>
      <c r="G95" s="166">
        <f t="shared" si="133"/>
        <v>0</v>
      </c>
      <c r="H95" s="147"/>
      <c r="I95" s="166">
        <f t="shared" si="133"/>
        <v>0</v>
      </c>
      <c r="J95" s="147"/>
      <c r="K95" s="166">
        <f t="shared" si="133"/>
        <v>0</v>
      </c>
      <c r="L95" s="147"/>
      <c r="M95" s="166">
        <f t="shared" si="134"/>
        <v>0</v>
      </c>
      <c r="N95" s="147"/>
      <c r="O95" s="166">
        <f t="shared" si="135"/>
        <v>0</v>
      </c>
      <c r="P95" s="147"/>
      <c r="Q95" s="166">
        <f t="shared" si="136"/>
        <v>0</v>
      </c>
      <c r="R95" s="147"/>
      <c r="S95" s="166">
        <f t="shared" si="137"/>
        <v>0</v>
      </c>
      <c r="T95" s="147"/>
      <c r="U95" s="166">
        <f t="shared" si="138"/>
        <v>0</v>
      </c>
      <c r="V95" s="147"/>
      <c r="W95" s="166">
        <f t="shared" si="139"/>
        <v>0</v>
      </c>
      <c r="X95" s="147"/>
      <c r="Y95" s="166">
        <f t="shared" si="140"/>
        <v>0</v>
      </c>
      <c r="Z95" s="147"/>
      <c r="AA95" s="166">
        <f t="shared" si="141"/>
        <v>0</v>
      </c>
      <c r="AB95" s="147"/>
      <c r="AC95" s="166">
        <f t="shared" si="142"/>
        <v>0</v>
      </c>
      <c r="AD95" s="147"/>
      <c r="AE95" s="166">
        <f t="shared" si="143"/>
        <v>0</v>
      </c>
      <c r="AF95" s="147"/>
      <c r="AG95" s="166">
        <f t="shared" si="144"/>
        <v>0</v>
      </c>
      <c r="AH95" s="147"/>
      <c r="AI95" s="166">
        <f t="shared" si="145"/>
        <v>0</v>
      </c>
      <c r="AJ95" s="147"/>
      <c r="AK95" s="166">
        <f t="shared" si="146"/>
        <v>0</v>
      </c>
      <c r="AL95" s="147"/>
      <c r="AM95" s="166">
        <f t="shared" si="147"/>
        <v>0</v>
      </c>
      <c r="AN95" s="147"/>
      <c r="AO95" s="166">
        <f t="shared" si="148"/>
        <v>0</v>
      </c>
      <c r="AP95" s="147"/>
      <c r="AQ95" s="166">
        <f t="shared" si="149"/>
        <v>0</v>
      </c>
      <c r="AR95" s="147"/>
      <c r="AS95" s="166">
        <f t="shared" si="150"/>
        <v>0</v>
      </c>
      <c r="AT95" s="147"/>
      <c r="AU95" s="166">
        <f t="shared" si="151"/>
        <v>0</v>
      </c>
      <c r="AV95" s="147"/>
      <c r="AW95" s="166">
        <f t="shared" si="152"/>
        <v>0</v>
      </c>
      <c r="AX95" s="147"/>
      <c r="AY95" s="166">
        <f t="shared" si="153"/>
        <v>0</v>
      </c>
      <c r="AZ95" s="147"/>
      <c r="BA95" s="166">
        <f t="shared" si="154"/>
        <v>0</v>
      </c>
      <c r="BB95" s="147"/>
      <c r="BC95" s="166">
        <f t="shared" si="155"/>
        <v>0</v>
      </c>
      <c r="BD95" s="147"/>
      <c r="BE95" s="166">
        <f t="shared" si="156"/>
        <v>0</v>
      </c>
      <c r="BF95" s="147"/>
      <c r="BG95" s="166">
        <f t="shared" si="157"/>
        <v>0</v>
      </c>
      <c r="BH95" s="147"/>
      <c r="BI95" s="166">
        <f t="shared" si="158"/>
        <v>0</v>
      </c>
      <c r="BJ95" s="147"/>
      <c r="BK95" s="166">
        <f t="shared" si="159"/>
        <v>0</v>
      </c>
      <c r="BL95" s="147"/>
      <c r="BM95" s="166">
        <f t="shared" si="160"/>
        <v>0</v>
      </c>
      <c r="BN95" s="50"/>
      <c r="BO95" s="170" t="e">
        <f t="shared" si="132"/>
        <v>#VALUE!</v>
      </c>
      <c r="BP95" s="87"/>
      <c r="BQ95" s="52"/>
    </row>
    <row r="96" spans="1:69" x14ac:dyDescent="0.35">
      <c r="A96" s="134" t="s">
        <v>80</v>
      </c>
      <c r="B96" s="54" t="s">
        <v>67</v>
      </c>
      <c r="C96" s="144"/>
      <c r="D96" s="146"/>
      <c r="E96" s="166" t="e">
        <f t="shared" si="133"/>
        <v>#VALUE!</v>
      </c>
      <c r="F96" s="147"/>
      <c r="G96" s="166">
        <f t="shared" si="133"/>
        <v>0</v>
      </c>
      <c r="H96" s="147"/>
      <c r="I96" s="166">
        <f t="shared" si="133"/>
        <v>0</v>
      </c>
      <c r="J96" s="147"/>
      <c r="K96" s="166">
        <f t="shared" si="133"/>
        <v>0</v>
      </c>
      <c r="L96" s="147"/>
      <c r="M96" s="166">
        <f t="shared" si="134"/>
        <v>0</v>
      </c>
      <c r="N96" s="147"/>
      <c r="O96" s="166">
        <f t="shared" si="135"/>
        <v>0</v>
      </c>
      <c r="P96" s="147"/>
      <c r="Q96" s="166">
        <f t="shared" si="136"/>
        <v>0</v>
      </c>
      <c r="R96" s="147"/>
      <c r="S96" s="166">
        <f t="shared" si="137"/>
        <v>0</v>
      </c>
      <c r="T96" s="147"/>
      <c r="U96" s="166">
        <f t="shared" si="138"/>
        <v>0</v>
      </c>
      <c r="V96" s="147"/>
      <c r="W96" s="166">
        <f t="shared" si="139"/>
        <v>0</v>
      </c>
      <c r="X96" s="147"/>
      <c r="Y96" s="166">
        <f t="shared" si="140"/>
        <v>0</v>
      </c>
      <c r="Z96" s="147"/>
      <c r="AA96" s="166">
        <f t="shared" si="141"/>
        <v>0</v>
      </c>
      <c r="AB96" s="147"/>
      <c r="AC96" s="166">
        <f t="shared" si="142"/>
        <v>0</v>
      </c>
      <c r="AD96" s="147"/>
      <c r="AE96" s="166">
        <f t="shared" si="143"/>
        <v>0</v>
      </c>
      <c r="AF96" s="147"/>
      <c r="AG96" s="166">
        <f t="shared" si="144"/>
        <v>0</v>
      </c>
      <c r="AH96" s="147"/>
      <c r="AI96" s="166">
        <f t="shared" si="145"/>
        <v>0</v>
      </c>
      <c r="AJ96" s="147"/>
      <c r="AK96" s="166">
        <f t="shared" si="146"/>
        <v>0</v>
      </c>
      <c r="AL96" s="147"/>
      <c r="AM96" s="166">
        <f t="shared" si="147"/>
        <v>0</v>
      </c>
      <c r="AN96" s="147"/>
      <c r="AO96" s="166">
        <f t="shared" si="148"/>
        <v>0</v>
      </c>
      <c r="AP96" s="147"/>
      <c r="AQ96" s="166">
        <f t="shared" si="149"/>
        <v>0</v>
      </c>
      <c r="AR96" s="147"/>
      <c r="AS96" s="166">
        <f t="shared" si="150"/>
        <v>0</v>
      </c>
      <c r="AT96" s="147"/>
      <c r="AU96" s="166">
        <f t="shared" si="151"/>
        <v>0</v>
      </c>
      <c r="AV96" s="147"/>
      <c r="AW96" s="166">
        <f t="shared" si="152"/>
        <v>0</v>
      </c>
      <c r="AX96" s="147"/>
      <c r="AY96" s="166">
        <f t="shared" si="153"/>
        <v>0</v>
      </c>
      <c r="AZ96" s="147"/>
      <c r="BA96" s="166">
        <f t="shared" si="154"/>
        <v>0</v>
      </c>
      <c r="BB96" s="147"/>
      <c r="BC96" s="166">
        <f t="shared" si="155"/>
        <v>0</v>
      </c>
      <c r="BD96" s="147"/>
      <c r="BE96" s="166">
        <f t="shared" si="156"/>
        <v>0</v>
      </c>
      <c r="BF96" s="147"/>
      <c r="BG96" s="166">
        <f t="shared" si="157"/>
        <v>0</v>
      </c>
      <c r="BH96" s="147"/>
      <c r="BI96" s="166">
        <f t="shared" si="158"/>
        <v>0</v>
      </c>
      <c r="BJ96" s="147"/>
      <c r="BK96" s="166">
        <f t="shared" si="159"/>
        <v>0</v>
      </c>
      <c r="BL96" s="147"/>
      <c r="BM96" s="166">
        <f t="shared" si="160"/>
        <v>0</v>
      </c>
      <c r="BN96" s="50"/>
      <c r="BO96" s="170" t="e">
        <f t="shared" si="132"/>
        <v>#VALUE!</v>
      </c>
      <c r="BP96" s="87"/>
      <c r="BQ96" s="52"/>
    </row>
    <row r="97" spans="1:76" x14ac:dyDescent="0.35">
      <c r="A97" s="135"/>
      <c r="B97" s="54" t="s">
        <v>67</v>
      </c>
      <c r="C97" s="144"/>
      <c r="D97" s="146"/>
      <c r="E97" s="166" t="e">
        <f t="shared" si="133"/>
        <v>#VALUE!</v>
      </c>
      <c r="F97" s="147"/>
      <c r="G97" s="166">
        <f t="shared" si="133"/>
        <v>0</v>
      </c>
      <c r="H97" s="147"/>
      <c r="I97" s="166">
        <f t="shared" si="133"/>
        <v>0</v>
      </c>
      <c r="J97" s="147"/>
      <c r="K97" s="166">
        <f t="shared" si="133"/>
        <v>0</v>
      </c>
      <c r="L97" s="147"/>
      <c r="M97" s="166">
        <f t="shared" si="134"/>
        <v>0</v>
      </c>
      <c r="N97" s="147"/>
      <c r="O97" s="166">
        <f t="shared" si="135"/>
        <v>0</v>
      </c>
      <c r="P97" s="147"/>
      <c r="Q97" s="166">
        <f t="shared" si="136"/>
        <v>0</v>
      </c>
      <c r="R97" s="147"/>
      <c r="S97" s="166">
        <f t="shared" si="137"/>
        <v>0</v>
      </c>
      <c r="T97" s="147"/>
      <c r="U97" s="166">
        <f t="shared" si="138"/>
        <v>0</v>
      </c>
      <c r="V97" s="147"/>
      <c r="W97" s="166">
        <f t="shared" si="139"/>
        <v>0</v>
      </c>
      <c r="X97" s="147"/>
      <c r="Y97" s="166">
        <f t="shared" si="140"/>
        <v>0</v>
      </c>
      <c r="Z97" s="147"/>
      <c r="AA97" s="166">
        <f t="shared" si="141"/>
        <v>0</v>
      </c>
      <c r="AB97" s="147"/>
      <c r="AC97" s="166">
        <f t="shared" si="142"/>
        <v>0</v>
      </c>
      <c r="AD97" s="147"/>
      <c r="AE97" s="166">
        <f t="shared" si="143"/>
        <v>0</v>
      </c>
      <c r="AF97" s="147"/>
      <c r="AG97" s="166">
        <f t="shared" si="144"/>
        <v>0</v>
      </c>
      <c r="AH97" s="147"/>
      <c r="AI97" s="166">
        <f t="shared" si="145"/>
        <v>0</v>
      </c>
      <c r="AJ97" s="147"/>
      <c r="AK97" s="166">
        <f t="shared" si="146"/>
        <v>0</v>
      </c>
      <c r="AL97" s="147"/>
      <c r="AM97" s="166">
        <f t="shared" si="147"/>
        <v>0</v>
      </c>
      <c r="AN97" s="147"/>
      <c r="AO97" s="166">
        <f t="shared" si="148"/>
        <v>0</v>
      </c>
      <c r="AP97" s="147"/>
      <c r="AQ97" s="166">
        <f t="shared" si="149"/>
        <v>0</v>
      </c>
      <c r="AR97" s="147"/>
      <c r="AS97" s="166">
        <f t="shared" si="150"/>
        <v>0</v>
      </c>
      <c r="AT97" s="147"/>
      <c r="AU97" s="166">
        <f t="shared" si="151"/>
        <v>0</v>
      </c>
      <c r="AV97" s="147"/>
      <c r="AW97" s="166">
        <f t="shared" si="152"/>
        <v>0</v>
      </c>
      <c r="AX97" s="147"/>
      <c r="AY97" s="166">
        <f t="shared" si="153"/>
        <v>0</v>
      </c>
      <c r="AZ97" s="147"/>
      <c r="BA97" s="166">
        <f t="shared" si="154"/>
        <v>0</v>
      </c>
      <c r="BB97" s="147"/>
      <c r="BC97" s="166">
        <f t="shared" si="155"/>
        <v>0</v>
      </c>
      <c r="BD97" s="147"/>
      <c r="BE97" s="166">
        <f t="shared" si="156"/>
        <v>0</v>
      </c>
      <c r="BF97" s="147"/>
      <c r="BG97" s="166">
        <f t="shared" si="157"/>
        <v>0</v>
      </c>
      <c r="BH97" s="147"/>
      <c r="BI97" s="166">
        <f t="shared" si="158"/>
        <v>0</v>
      </c>
      <c r="BJ97" s="147"/>
      <c r="BK97" s="166">
        <f t="shared" si="159"/>
        <v>0</v>
      </c>
      <c r="BL97" s="147"/>
      <c r="BM97" s="166">
        <f t="shared" si="160"/>
        <v>0</v>
      </c>
      <c r="BN97" s="50"/>
      <c r="BO97" s="170" t="e">
        <f t="shared" si="132"/>
        <v>#VALUE!</v>
      </c>
      <c r="BP97" s="87"/>
      <c r="BQ97" s="52"/>
    </row>
    <row r="98" spans="1:76" x14ac:dyDescent="0.35">
      <c r="A98" s="136" t="s">
        <v>82</v>
      </c>
      <c r="B98" s="54" t="s">
        <v>66</v>
      </c>
      <c r="C98" s="144"/>
      <c r="D98" s="146"/>
      <c r="E98" s="166" t="e">
        <f t="shared" si="133"/>
        <v>#VALUE!</v>
      </c>
      <c r="F98" s="147"/>
      <c r="G98" s="166">
        <f t="shared" si="133"/>
        <v>0</v>
      </c>
      <c r="H98" s="147"/>
      <c r="I98" s="166">
        <f t="shared" si="133"/>
        <v>0</v>
      </c>
      <c r="J98" s="147"/>
      <c r="K98" s="166">
        <f t="shared" si="133"/>
        <v>0</v>
      </c>
      <c r="L98" s="147"/>
      <c r="M98" s="166">
        <f t="shared" si="134"/>
        <v>0</v>
      </c>
      <c r="N98" s="147"/>
      <c r="O98" s="166">
        <f t="shared" si="135"/>
        <v>0</v>
      </c>
      <c r="P98" s="147"/>
      <c r="Q98" s="166">
        <f t="shared" si="136"/>
        <v>0</v>
      </c>
      <c r="R98" s="147"/>
      <c r="S98" s="166">
        <f t="shared" si="137"/>
        <v>0</v>
      </c>
      <c r="T98" s="147"/>
      <c r="U98" s="166">
        <f t="shared" si="138"/>
        <v>0</v>
      </c>
      <c r="V98" s="147"/>
      <c r="W98" s="166">
        <f t="shared" si="139"/>
        <v>0</v>
      </c>
      <c r="X98" s="147"/>
      <c r="Y98" s="166">
        <f t="shared" si="140"/>
        <v>0</v>
      </c>
      <c r="Z98" s="147"/>
      <c r="AA98" s="166">
        <f t="shared" si="141"/>
        <v>0</v>
      </c>
      <c r="AB98" s="147"/>
      <c r="AC98" s="166">
        <f t="shared" si="142"/>
        <v>0</v>
      </c>
      <c r="AD98" s="147"/>
      <c r="AE98" s="166">
        <f t="shared" si="143"/>
        <v>0</v>
      </c>
      <c r="AF98" s="147"/>
      <c r="AG98" s="166">
        <f t="shared" si="144"/>
        <v>0</v>
      </c>
      <c r="AH98" s="147"/>
      <c r="AI98" s="166">
        <f t="shared" si="145"/>
        <v>0</v>
      </c>
      <c r="AJ98" s="147"/>
      <c r="AK98" s="166">
        <f t="shared" si="146"/>
        <v>0</v>
      </c>
      <c r="AL98" s="147"/>
      <c r="AM98" s="166">
        <f t="shared" si="147"/>
        <v>0</v>
      </c>
      <c r="AN98" s="147"/>
      <c r="AO98" s="166">
        <f t="shared" si="148"/>
        <v>0</v>
      </c>
      <c r="AP98" s="147"/>
      <c r="AQ98" s="166">
        <f t="shared" si="149"/>
        <v>0</v>
      </c>
      <c r="AR98" s="147"/>
      <c r="AS98" s="166">
        <f t="shared" si="150"/>
        <v>0</v>
      </c>
      <c r="AT98" s="147"/>
      <c r="AU98" s="166">
        <f t="shared" si="151"/>
        <v>0</v>
      </c>
      <c r="AV98" s="147"/>
      <c r="AW98" s="166">
        <f t="shared" si="152"/>
        <v>0</v>
      </c>
      <c r="AX98" s="147"/>
      <c r="AY98" s="166">
        <f t="shared" si="153"/>
        <v>0</v>
      </c>
      <c r="AZ98" s="147"/>
      <c r="BA98" s="166">
        <f t="shared" si="154"/>
        <v>0</v>
      </c>
      <c r="BB98" s="147"/>
      <c r="BC98" s="166">
        <f t="shared" si="155"/>
        <v>0</v>
      </c>
      <c r="BD98" s="147"/>
      <c r="BE98" s="166">
        <f t="shared" si="156"/>
        <v>0</v>
      </c>
      <c r="BF98" s="147"/>
      <c r="BG98" s="166">
        <f t="shared" si="157"/>
        <v>0</v>
      </c>
      <c r="BH98" s="147"/>
      <c r="BI98" s="166">
        <f t="shared" si="158"/>
        <v>0</v>
      </c>
      <c r="BJ98" s="147"/>
      <c r="BK98" s="166">
        <f t="shared" si="159"/>
        <v>0</v>
      </c>
      <c r="BL98" s="147"/>
      <c r="BM98" s="166">
        <f t="shared" si="160"/>
        <v>0</v>
      </c>
      <c r="BN98" s="50"/>
      <c r="BO98" s="170" t="e">
        <f t="shared" si="132"/>
        <v>#VALUE!</v>
      </c>
      <c r="BP98" s="87"/>
      <c r="BQ98" s="52"/>
    </row>
    <row r="99" spans="1:76" x14ac:dyDescent="0.35">
      <c r="A99" s="44"/>
      <c r="B99" s="54" t="s">
        <v>65</v>
      </c>
      <c r="C99" s="144"/>
      <c r="D99" s="146"/>
      <c r="E99" s="166" t="e">
        <f t="shared" si="133"/>
        <v>#VALUE!</v>
      </c>
      <c r="F99" s="147"/>
      <c r="G99" s="166">
        <f t="shared" si="133"/>
        <v>0</v>
      </c>
      <c r="H99" s="147"/>
      <c r="I99" s="166">
        <f t="shared" si="133"/>
        <v>0</v>
      </c>
      <c r="J99" s="147"/>
      <c r="K99" s="166">
        <f t="shared" si="133"/>
        <v>0</v>
      </c>
      <c r="L99" s="147"/>
      <c r="M99" s="166">
        <f t="shared" si="134"/>
        <v>0</v>
      </c>
      <c r="N99" s="147"/>
      <c r="O99" s="166">
        <f t="shared" si="135"/>
        <v>0</v>
      </c>
      <c r="P99" s="147"/>
      <c r="Q99" s="166">
        <f t="shared" si="136"/>
        <v>0</v>
      </c>
      <c r="R99" s="147"/>
      <c r="S99" s="166">
        <f t="shared" si="137"/>
        <v>0</v>
      </c>
      <c r="T99" s="147"/>
      <c r="U99" s="166">
        <f t="shared" si="138"/>
        <v>0</v>
      </c>
      <c r="V99" s="147"/>
      <c r="W99" s="166">
        <f t="shared" si="139"/>
        <v>0</v>
      </c>
      <c r="X99" s="147"/>
      <c r="Y99" s="166">
        <f t="shared" si="140"/>
        <v>0</v>
      </c>
      <c r="Z99" s="147"/>
      <c r="AA99" s="166">
        <f t="shared" si="141"/>
        <v>0</v>
      </c>
      <c r="AB99" s="147"/>
      <c r="AC99" s="166">
        <f t="shared" si="142"/>
        <v>0</v>
      </c>
      <c r="AD99" s="147"/>
      <c r="AE99" s="166">
        <f t="shared" si="143"/>
        <v>0</v>
      </c>
      <c r="AF99" s="147"/>
      <c r="AG99" s="166">
        <f t="shared" si="144"/>
        <v>0</v>
      </c>
      <c r="AH99" s="147"/>
      <c r="AI99" s="166">
        <f t="shared" si="145"/>
        <v>0</v>
      </c>
      <c r="AJ99" s="147"/>
      <c r="AK99" s="166">
        <f t="shared" si="146"/>
        <v>0</v>
      </c>
      <c r="AL99" s="147"/>
      <c r="AM99" s="166">
        <f t="shared" si="147"/>
        <v>0</v>
      </c>
      <c r="AN99" s="147"/>
      <c r="AO99" s="166">
        <f t="shared" si="148"/>
        <v>0</v>
      </c>
      <c r="AP99" s="147"/>
      <c r="AQ99" s="166">
        <f t="shared" si="149"/>
        <v>0</v>
      </c>
      <c r="AR99" s="147"/>
      <c r="AS99" s="166">
        <f t="shared" si="150"/>
        <v>0</v>
      </c>
      <c r="AT99" s="147"/>
      <c r="AU99" s="166">
        <f t="shared" si="151"/>
        <v>0</v>
      </c>
      <c r="AV99" s="147"/>
      <c r="AW99" s="166">
        <f t="shared" si="152"/>
        <v>0</v>
      </c>
      <c r="AX99" s="147"/>
      <c r="AY99" s="166">
        <f t="shared" si="153"/>
        <v>0</v>
      </c>
      <c r="AZ99" s="147"/>
      <c r="BA99" s="166">
        <f t="shared" si="154"/>
        <v>0</v>
      </c>
      <c r="BB99" s="147"/>
      <c r="BC99" s="166">
        <f t="shared" si="155"/>
        <v>0</v>
      </c>
      <c r="BD99" s="147"/>
      <c r="BE99" s="166">
        <f t="shared" si="156"/>
        <v>0</v>
      </c>
      <c r="BF99" s="147"/>
      <c r="BG99" s="166">
        <f t="shared" si="157"/>
        <v>0</v>
      </c>
      <c r="BH99" s="147"/>
      <c r="BI99" s="166">
        <f t="shared" si="158"/>
        <v>0</v>
      </c>
      <c r="BJ99" s="147"/>
      <c r="BK99" s="166">
        <f t="shared" si="159"/>
        <v>0</v>
      </c>
      <c r="BL99" s="147"/>
      <c r="BM99" s="166">
        <f t="shared" si="160"/>
        <v>0</v>
      </c>
      <c r="BN99" s="50"/>
      <c r="BO99" s="170" t="e">
        <f t="shared" si="132"/>
        <v>#VALUE!</v>
      </c>
      <c r="BP99" s="87"/>
      <c r="BQ99" s="52"/>
    </row>
    <row r="100" spans="1:76" x14ac:dyDescent="0.35">
      <c r="A100" s="135" t="s">
        <v>84</v>
      </c>
      <c r="B100" s="54" t="s">
        <v>67</v>
      </c>
      <c r="C100" s="144"/>
      <c r="D100" s="146"/>
      <c r="E100" s="166" t="e">
        <f t="shared" si="133"/>
        <v>#VALUE!</v>
      </c>
      <c r="F100" s="147"/>
      <c r="G100" s="166">
        <f t="shared" si="133"/>
        <v>0</v>
      </c>
      <c r="H100" s="147"/>
      <c r="I100" s="166">
        <f t="shared" si="133"/>
        <v>0</v>
      </c>
      <c r="J100" s="147"/>
      <c r="K100" s="166">
        <f t="shared" si="133"/>
        <v>0</v>
      </c>
      <c r="L100" s="147"/>
      <c r="M100" s="166">
        <f t="shared" si="134"/>
        <v>0</v>
      </c>
      <c r="N100" s="147"/>
      <c r="O100" s="166">
        <f t="shared" si="135"/>
        <v>0</v>
      </c>
      <c r="P100" s="147"/>
      <c r="Q100" s="166">
        <f t="shared" si="136"/>
        <v>0</v>
      </c>
      <c r="R100" s="147"/>
      <c r="S100" s="166">
        <f t="shared" si="137"/>
        <v>0</v>
      </c>
      <c r="T100" s="147"/>
      <c r="U100" s="166">
        <f t="shared" si="138"/>
        <v>0</v>
      </c>
      <c r="V100" s="147"/>
      <c r="W100" s="166">
        <f t="shared" si="139"/>
        <v>0</v>
      </c>
      <c r="X100" s="147"/>
      <c r="Y100" s="166">
        <f t="shared" si="140"/>
        <v>0</v>
      </c>
      <c r="Z100" s="147"/>
      <c r="AA100" s="166">
        <f t="shared" si="141"/>
        <v>0</v>
      </c>
      <c r="AB100" s="147"/>
      <c r="AC100" s="166">
        <f t="shared" si="142"/>
        <v>0</v>
      </c>
      <c r="AD100" s="147"/>
      <c r="AE100" s="166">
        <f t="shared" si="143"/>
        <v>0</v>
      </c>
      <c r="AF100" s="147"/>
      <c r="AG100" s="166">
        <f t="shared" si="144"/>
        <v>0</v>
      </c>
      <c r="AH100" s="147"/>
      <c r="AI100" s="166">
        <f t="shared" si="145"/>
        <v>0</v>
      </c>
      <c r="AJ100" s="147"/>
      <c r="AK100" s="166">
        <f t="shared" si="146"/>
        <v>0</v>
      </c>
      <c r="AL100" s="147"/>
      <c r="AM100" s="166">
        <f t="shared" si="147"/>
        <v>0</v>
      </c>
      <c r="AN100" s="147"/>
      <c r="AO100" s="166">
        <f t="shared" si="148"/>
        <v>0</v>
      </c>
      <c r="AP100" s="147"/>
      <c r="AQ100" s="166">
        <f t="shared" si="149"/>
        <v>0</v>
      </c>
      <c r="AR100" s="147"/>
      <c r="AS100" s="166">
        <f t="shared" si="150"/>
        <v>0</v>
      </c>
      <c r="AT100" s="147"/>
      <c r="AU100" s="166">
        <f t="shared" si="151"/>
        <v>0</v>
      </c>
      <c r="AV100" s="147"/>
      <c r="AW100" s="166">
        <f t="shared" si="152"/>
        <v>0</v>
      </c>
      <c r="AX100" s="147"/>
      <c r="AY100" s="166">
        <f t="shared" si="153"/>
        <v>0</v>
      </c>
      <c r="AZ100" s="147"/>
      <c r="BA100" s="166">
        <f t="shared" si="154"/>
        <v>0</v>
      </c>
      <c r="BB100" s="147"/>
      <c r="BC100" s="166">
        <f t="shared" si="155"/>
        <v>0</v>
      </c>
      <c r="BD100" s="147"/>
      <c r="BE100" s="166">
        <f t="shared" si="156"/>
        <v>0</v>
      </c>
      <c r="BF100" s="147"/>
      <c r="BG100" s="166">
        <f t="shared" si="157"/>
        <v>0</v>
      </c>
      <c r="BH100" s="147"/>
      <c r="BI100" s="166">
        <f t="shared" si="158"/>
        <v>0</v>
      </c>
      <c r="BJ100" s="147"/>
      <c r="BK100" s="166">
        <f t="shared" si="159"/>
        <v>0</v>
      </c>
      <c r="BL100" s="147"/>
      <c r="BM100" s="166">
        <f t="shared" si="160"/>
        <v>0</v>
      </c>
      <c r="BN100" s="50"/>
      <c r="BO100" s="170" t="e">
        <f t="shared" si="132"/>
        <v>#VALUE!</v>
      </c>
      <c r="BP100" s="87"/>
      <c r="BQ100" s="52"/>
    </row>
    <row r="101" spans="1:76" x14ac:dyDescent="0.35">
      <c r="A101" s="136" t="s">
        <v>85</v>
      </c>
      <c r="B101" s="54" t="s">
        <v>66</v>
      </c>
      <c r="C101" s="144"/>
      <c r="D101" s="146"/>
      <c r="E101" s="166" t="e">
        <f t="shared" si="133"/>
        <v>#VALUE!</v>
      </c>
      <c r="F101" s="147"/>
      <c r="G101" s="166">
        <f t="shared" si="133"/>
        <v>0</v>
      </c>
      <c r="H101" s="147"/>
      <c r="I101" s="166">
        <f t="shared" si="133"/>
        <v>0</v>
      </c>
      <c r="J101" s="147"/>
      <c r="K101" s="166">
        <f t="shared" si="133"/>
        <v>0</v>
      </c>
      <c r="L101" s="147"/>
      <c r="M101" s="166">
        <f t="shared" si="134"/>
        <v>0</v>
      </c>
      <c r="N101" s="147"/>
      <c r="O101" s="166">
        <f t="shared" si="135"/>
        <v>0</v>
      </c>
      <c r="P101" s="147"/>
      <c r="Q101" s="166">
        <f t="shared" si="136"/>
        <v>0</v>
      </c>
      <c r="R101" s="147"/>
      <c r="S101" s="166">
        <f t="shared" si="137"/>
        <v>0</v>
      </c>
      <c r="T101" s="147"/>
      <c r="U101" s="166">
        <f t="shared" si="138"/>
        <v>0</v>
      </c>
      <c r="V101" s="147"/>
      <c r="W101" s="166">
        <f t="shared" si="139"/>
        <v>0</v>
      </c>
      <c r="X101" s="147"/>
      <c r="Y101" s="166">
        <f t="shared" si="140"/>
        <v>0</v>
      </c>
      <c r="Z101" s="147"/>
      <c r="AA101" s="166">
        <f t="shared" si="141"/>
        <v>0</v>
      </c>
      <c r="AB101" s="147"/>
      <c r="AC101" s="166">
        <f t="shared" si="142"/>
        <v>0</v>
      </c>
      <c r="AD101" s="147"/>
      <c r="AE101" s="166">
        <f t="shared" si="143"/>
        <v>0</v>
      </c>
      <c r="AF101" s="147"/>
      <c r="AG101" s="166">
        <f t="shared" si="144"/>
        <v>0</v>
      </c>
      <c r="AH101" s="147"/>
      <c r="AI101" s="166">
        <f t="shared" si="145"/>
        <v>0</v>
      </c>
      <c r="AJ101" s="147"/>
      <c r="AK101" s="166">
        <f t="shared" si="146"/>
        <v>0</v>
      </c>
      <c r="AL101" s="147"/>
      <c r="AM101" s="166">
        <f t="shared" si="147"/>
        <v>0</v>
      </c>
      <c r="AN101" s="147"/>
      <c r="AO101" s="166">
        <f t="shared" si="148"/>
        <v>0</v>
      </c>
      <c r="AP101" s="147"/>
      <c r="AQ101" s="166">
        <f t="shared" si="149"/>
        <v>0</v>
      </c>
      <c r="AR101" s="147"/>
      <c r="AS101" s="166">
        <f t="shared" si="150"/>
        <v>0</v>
      </c>
      <c r="AT101" s="147"/>
      <c r="AU101" s="166">
        <f t="shared" si="151"/>
        <v>0</v>
      </c>
      <c r="AV101" s="147"/>
      <c r="AW101" s="166">
        <f t="shared" si="152"/>
        <v>0</v>
      </c>
      <c r="AX101" s="147"/>
      <c r="AY101" s="166">
        <f t="shared" si="153"/>
        <v>0</v>
      </c>
      <c r="AZ101" s="147"/>
      <c r="BA101" s="166">
        <f t="shared" si="154"/>
        <v>0</v>
      </c>
      <c r="BB101" s="147"/>
      <c r="BC101" s="166">
        <f t="shared" si="155"/>
        <v>0</v>
      </c>
      <c r="BD101" s="147"/>
      <c r="BE101" s="166">
        <f t="shared" si="156"/>
        <v>0</v>
      </c>
      <c r="BF101" s="147"/>
      <c r="BG101" s="166">
        <f t="shared" si="157"/>
        <v>0</v>
      </c>
      <c r="BH101" s="147"/>
      <c r="BI101" s="166">
        <f t="shared" si="158"/>
        <v>0</v>
      </c>
      <c r="BJ101" s="147"/>
      <c r="BK101" s="166">
        <f t="shared" si="159"/>
        <v>0</v>
      </c>
      <c r="BL101" s="147"/>
      <c r="BM101" s="166">
        <f t="shared" si="160"/>
        <v>0</v>
      </c>
      <c r="BN101" s="50"/>
      <c r="BO101" s="170" t="e">
        <f t="shared" si="132"/>
        <v>#VALUE!</v>
      </c>
      <c r="BP101" s="87"/>
      <c r="BQ101" s="52"/>
    </row>
    <row r="102" spans="1:76" x14ac:dyDescent="0.35">
      <c r="A102" s="44" t="s">
        <v>86</v>
      </c>
      <c r="B102" s="54" t="s">
        <v>65</v>
      </c>
      <c r="C102" s="144"/>
      <c r="D102" s="146"/>
      <c r="E102" s="166" t="e">
        <f t="shared" si="133"/>
        <v>#VALUE!</v>
      </c>
      <c r="F102" s="147"/>
      <c r="G102" s="166">
        <f t="shared" si="133"/>
        <v>0</v>
      </c>
      <c r="H102" s="147"/>
      <c r="I102" s="166">
        <f t="shared" si="133"/>
        <v>0</v>
      </c>
      <c r="J102" s="147"/>
      <c r="K102" s="166">
        <f t="shared" si="133"/>
        <v>0</v>
      </c>
      <c r="L102" s="147"/>
      <c r="M102" s="166">
        <f t="shared" si="134"/>
        <v>0</v>
      </c>
      <c r="N102" s="147"/>
      <c r="O102" s="166">
        <f t="shared" si="135"/>
        <v>0</v>
      </c>
      <c r="P102" s="147"/>
      <c r="Q102" s="166">
        <f t="shared" si="136"/>
        <v>0</v>
      </c>
      <c r="R102" s="147"/>
      <c r="S102" s="166">
        <f t="shared" si="137"/>
        <v>0</v>
      </c>
      <c r="T102" s="147"/>
      <c r="U102" s="166">
        <f t="shared" si="138"/>
        <v>0</v>
      </c>
      <c r="V102" s="147"/>
      <c r="W102" s="166">
        <f t="shared" si="139"/>
        <v>0</v>
      </c>
      <c r="X102" s="147"/>
      <c r="Y102" s="166">
        <f t="shared" si="140"/>
        <v>0</v>
      </c>
      <c r="Z102" s="147"/>
      <c r="AA102" s="166">
        <f t="shared" si="141"/>
        <v>0</v>
      </c>
      <c r="AB102" s="147"/>
      <c r="AC102" s="166">
        <f t="shared" si="142"/>
        <v>0</v>
      </c>
      <c r="AD102" s="147"/>
      <c r="AE102" s="166">
        <f t="shared" si="143"/>
        <v>0</v>
      </c>
      <c r="AF102" s="147"/>
      <c r="AG102" s="166">
        <f t="shared" si="144"/>
        <v>0</v>
      </c>
      <c r="AH102" s="147"/>
      <c r="AI102" s="166">
        <f t="shared" si="145"/>
        <v>0</v>
      </c>
      <c r="AJ102" s="147"/>
      <c r="AK102" s="166">
        <f t="shared" si="146"/>
        <v>0</v>
      </c>
      <c r="AL102" s="147"/>
      <c r="AM102" s="166">
        <f t="shared" si="147"/>
        <v>0</v>
      </c>
      <c r="AN102" s="147"/>
      <c r="AO102" s="166">
        <f t="shared" si="148"/>
        <v>0</v>
      </c>
      <c r="AP102" s="147"/>
      <c r="AQ102" s="166">
        <f t="shared" si="149"/>
        <v>0</v>
      </c>
      <c r="AR102" s="147"/>
      <c r="AS102" s="166">
        <f t="shared" si="150"/>
        <v>0</v>
      </c>
      <c r="AT102" s="147"/>
      <c r="AU102" s="166">
        <f t="shared" si="151"/>
        <v>0</v>
      </c>
      <c r="AV102" s="147"/>
      <c r="AW102" s="166">
        <f t="shared" si="152"/>
        <v>0</v>
      </c>
      <c r="AX102" s="147"/>
      <c r="AY102" s="166">
        <f t="shared" si="153"/>
        <v>0</v>
      </c>
      <c r="AZ102" s="147"/>
      <c r="BA102" s="166">
        <f t="shared" si="154"/>
        <v>0</v>
      </c>
      <c r="BB102" s="147"/>
      <c r="BC102" s="166">
        <f t="shared" si="155"/>
        <v>0</v>
      </c>
      <c r="BD102" s="147"/>
      <c r="BE102" s="166">
        <f t="shared" si="156"/>
        <v>0</v>
      </c>
      <c r="BF102" s="147"/>
      <c r="BG102" s="166">
        <f t="shared" si="157"/>
        <v>0</v>
      </c>
      <c r="BH102" s="147"/>
      <c r="BI102" s="166">
        <f t="shared" si="158"/>
        <v>0</v>
      </c>
      <c r="BJ102" s="147"/>
      <c r="BK102" s="166">
        <f t="shared" si="159"/>
        <v>0</v>
      </c>
      <c r="BL102" s="147"/>
      <c r="BM102" s="166">
        <f t="shared" si="160"/>
        <v>0</v>
      </c>
      <c r="BN102" s="50"/>
      <c r="BO102" s="170" t="e">
        <f t="shared" si="132"/>
        <v>#VALUE!</v>
      </c>
      <c r="BP102" s="87"/>
      <c r="BQ102" s="52"/>
    </row>
    <row r="103" spans="1:76" x14ac:dyDescent="0.35">
      <c r="A103" s="53"/>
      <c r="B103" s="54"/>
      <c r="C103" s="144"/>
      <c r="D103" s="189">
        <f>SUM(D91:D102)</f>
        <v>0</v>
      </c>
      <c r="E103" s="166" t="e">
        <f t="shared" ref="E103:BP103" si="161">SUM(E91:E102)</f>
        <v>#VALUE!</v>
      </c>
      <c r="F103" s="167">
        <f t="shared" si="161"/>
        <v>0</v>
      </c>
      <c r="G103" s="166">
        <f t="shared" si="161"/>
        <v>0</v>
      </c>
      <c r="H103" s="167">
        <f t="shared" si="161"/>
        <v>0</v>
      </c>
      <c r="I103" s="166">
        <f t="shared" si="161"/>
        <v>0</v>
      </c>
      <c r="J103" s="167">
        <f t="shared" si="161"/>
        <v>0</v>
      </c>
      <c r="K103" s="166">
        <f t="shared" si="161"/>
        <v>0</v>
      </c>
      <c r="L103" s="167">
        <f t="shared" si="161"/>
        <v>0</v>
      </c>
      <c r="M103" s="166">
        <f t="shared" si="161"/>
        <v>0</v>
      </c>
      <c r="N103" s="167">
        <f t="shared" si="161"/>
        <v>0</v>
      </c>
      <c r="O103" s="166">
        <f t="shared" si="161"/>
        <v>0</v>
      </c>
      <c r="P103" s="167">
        <f t="shared" si="161"/>
        <v>0</v>
      </c>
      <c r="Q103" s="166">
        <f t="shared" si="161"/>
        <v>0</v>
      </c>
      <c r="R103" s="167">
        <f t="shared" si="161"/>
        <v>0</v>
      </c>
      <c r="S103" s="166">
        <f t="shared" si="161"/>
        <v>0</v>
      </c>
      <c r="T103" s="167">
        <f t="shared" si="161"/>
        <v>0</v>
      </c>
      <c r="U103" s="166">
        <f t="shared" si="161"/>
        <v>0</v>
      </c>
      <c r="V103" s="167">
        <f t="shared" si="161"/>
        <v>0</v>
      </c>
      <c r="W103" s="166">
        <f t="shared" si="161"/>
        <v>0</v>
      </c>
      <c r="X103" s="167">
        <f t="shared" si="161"/>
        <v>0</v>
      </c>
      <c r="Y103" s="166">
        <f t="shared" si="161"/>
        <v>0</v>
      </c>
      <c r="Z103" s="167">
        <f t="shared" si="161"/>
        <v>0</v>
      </c>
      <c r="AA103" s="166">
        <f t="shared" si="161"/>
        <v>0</v>
      </c>
      <c r="AB103" s="167">
        <f t="shared" si="161"/>
        <v>0</v>
      </c>
      <c r="AC103" s="166">
        <f t="shared" si="161"/>
        <v>0</v>
      </c>
      <c r="AD103" s="167">
        <f t="shared" si="161"/>
        <v>0</v>
      </c>
      <c r="AE103" s="166">
        <f t="shared" si="161"/>
        <v>0</v>
      </c>
      <c r="AF103" s="167">
        <f t="shared" si="161"/>
        <v>0</v>
      </c>
      <c r="AG103" s="166">
        <f t="shared" si="161"/>
        <v>0</v>
      </c>
      <c r="AH103" s="167">
        <f t="shared" si="161"/>
        <v>0</v>
      </c>
      <c r="AI103" s="166">
        <f t="shared" si="161"/>
        <v>0</v>
      </c>
      <c r="AJ103" s="167">
        <f t="shared" si="161"/>
        <v>0</v>
      </c>
      <c r="AK103" s="166">
        <f t="shared" si="161"/>
        <v>0</v>
      </c>
      <c r="AL103" s="167">
        <f t="shared" si="161"/>
        <v>0</v>
      </c>
      <c r="AM103" s="166">
        <f t="shared" si="161"/>
        <v>0</v>
      </c>
      <c r="AN103" s="167">
        <f t="shared" si="161"/>
        <v>0</v>
      </c>
      <c r="AO103" s="166">
        <f t="shared" si="161"/>
        <v>0</v>
      </c>
      <c r="AP103" s="167">
        <f t="shared" si="161"/>
        <v>0</v>
      </c>
      <c r="AQ103" s="194">
        <f t="shared" si="161"/>
        <v>0</v>
      </c>
      <c r="AR103" s="167">
        <f t="shared" si="161"/>
        <v>0</v>
      </c>
      <c r="AS103" s="166">
        <f t="shared" si="161"/>
        <v>0</v>
      </c>
      <c r="AT103" s="167">
        <f t="shared" si="161"/>
        <v>0</v>
      </c>
      <c r="AU103" s="166">
        <f t="shared" si="161"/>
        <v>0</v>
      </c>
      <c r="AV103" s="167">
        <f t="shared" si="161"/>
        <v>0</v>
      </c>
      <c r="AW103" s="166">
        <f t="shared" si="161"/>
        <v>0</v>
      </c>
      <c r="AX103" s="167">
        <f t="shared" si="161"/>
        <v>0</v>
      </c>
      <c r="AY103" s="166">
        <f t="shared" si="161"/>
        <v>0</v>
      </c>
      <c r="AZ103" s="167">
        <f t="shared" si="161"/>
        <v>0</v>
      </c>
      <c r="BA103" s="166">
        <f t="shared" si="161"/>
        <v>0</v>
      </c>
      <c r="BB103" s="167">
        <f t="shared" si="161"/>
        <v>0</v>
      </c>
      <c r="BC103" s="166">
        <f t="shared" si="161"/>
        <v>0</v>
      </c>
      <c r="BD103" s="167">
        <f t="shared" si="161"/>
        <v>0</v>
      </c>
      <c r="BE103" s="166">
        <f t="shared" si="161"/>
        <v>0</v>
      </c>
      <c r="BF103" s="167">
        <f t="shared" si="161"/>
        <v>0</v>
      </c>
      <c r="BG103" s="166">
        <f t="shared" si="161"/>
        <v>0</v>
      </c>
      <c r="BH103" s="167">
        <f t="shared" si="161"/>
        <v>0</v>
      </c>
      <c r="BI103" s="166">
        <f t="shared" si="161"/>
        <v>0</v>
      </c>
      <c r="BJ103" s="167">
        <f t="shared" si="161"/>
        <v>0</v>
      </c>
      <c r="BK103" s="166">
        <f t="shared" si="161"/>
        <v>0</v>
      </c>
      <c r="BL103" s="167">
        <f t="shared" si="161"/>
        <v>0</v>
      </c>
      <c r="BM103" s="166">
        <f t="shared" si="161"/>
        <v>0</v>
      </c>
      <c r="BN103" s="50"/>
      <c r="BO103" s="170" t="e">
        <f t="shared" si="132"/>
        <v>#VALUE!</v>
      </c>
      <c r="BP103" s="173">
        <f t="shared" si="161"/>
        <v>0</v>
      </c>
      <c r="BQ103" s="52"/>
    </row>
    <row r="104" spans="1:76" x14ac:dyDescent="0.35">
      <c r="A104" s="53"/>
      <c r="B104" s="54"/>
      <c r="C104" s="144"/>
      <c r="D104" s="189">
        <f t="shared" si="98"/>
        <v>0</v>
      </c>
      <c r="E104" s="48"/>
      <c r="F104" s="167">
        <f t="shared" si="99"/>
        <v>0</v>
      </c>
      <c r="G104" s="48"/>
      <c r="H104" s="167">
        <f t="shared" si="100"/>
        <v>0</v>
      </c>
      <c r="I104" s="48"/>
      <c r="J104" s="167">
        <f t="shared" si="101"/>
        <v>0</v>
      </c>
      <c r="K104" s="48"/>
      <c r="L104" s="167">
        <f t="shared" ref="L104" si="162">+M104-K104</f>
        <v>0</v>
      </c>
      <c r="M104" s="48"/>
      <c r="N104" s="167">
        <f t="shared" ref="N104" si="163">+O104-M104</f>
        <v>0</v>
      </c>
      <c r="O104" s="48"/>
      <c r="P104" s="167">
        <f t="shared" ref="P104" si="164">+Q104-O104</f>
        <v>0</v>
      </c>
      <c r="Q104" s="48"/>
      <c r="R104" s="167">
        <f t="shared" ref="R104" si="165">+S104-Q104</f>
        <v>0</v>
      </c>
      <c r="S104" s="48"/>
      <c r="T104" s="167">
        <f t="shared" ref="T104" si="166">+U104-S104</f>
        <v>0</v>
      </c>
      <c r="U104" s="48"/>
      <c r="V104" s="167">
        <f t="shared" ref="V104" si="167">+W104-U104</f>
        <v>0</v>
      </c>
      <c r="W104" s="48"/>
      <c r="X104" s="167">
        <f t="shared" ref="X104" si="168">+Y104-W104</f>
        <v>0</v>
      </c>
      <c r="Y104" s="48"/>
      <c r="Z104" s="167">
        <f t="shared" ref="Z104" si="169">+AA104-Y104</f>
        <v>0</v>
      </c>
      <c r="AA104" s="48"/>
      <c r="AB104" s="167">
        <f t="shared" ref="AB104" si="170">+AC104-AA104</f>
        <v>0</v>
      </c>
      <c r="AC104" s="48"/>
      <c r="AD104" s="167">
        <f t="shared" ref="AD104" si="171">+AE104-AC104</f>
        <v>0</v>
      </c>
      <c r="AE104" s="48"/>
      <c r="AF104" s="167">
        <f t="shared" ref="AF104" si="172">+AG104-AE104</f>
        <v>0</v>
      </c>
      <c r="AG104" s="48"/>
      <c r="AH104" s="167">
        <f t="shared" ref="AH104" si="173">+AI104-AG104</f>
        <v>0</v>
      </c>
      <c r="AI104" s="48"/>
      <c r="AJ104" s="167">
        <f t="shared" ref="AJ104" si="174">+AK104-AI104</f>
        <v>0</v>
      </c>
      <c r="AK104" s="48"/>
      <c r="AL104" s="167">
        <f t="shared" ref="AL104" si="175">+AM104-AK104</f>
        <v>0</v>
      </c>
      <c r="AM104" s="48"/>
      <c r="AN104" s="167">
        <f t="shared" ref="AN104" si="176">+AO104-AM104</f>
        <v>0</v>
      </c>
      <c r="AO104" s="48"/>
      <c r="AP104" s="167">
        <f t="shared" ref="AP104" si="177">+AQ104-AO104</f>
        <v>0</v>
      </c>
      <c r="AQ104" s="48"/>
      <c r="AR104" s="167">
        <f t="shared" ref="AR104" si="178">+AS104-AQ104</f>
        <v>0</v>
      </c>
      <c r="AS104" s="48"/>
      <c r="AT104" s="167">
        <f t="shared" ref="AT104" si="179">+AU104-AS104</f>
        <v>0</v>
      </c>
      <c r="AU104" s="48"/>
      <c r="AV104" s="167">
        <f t="shared" ref="AV104" si="180">+AW104-AU104</f>
        <v>0</v>
      </c>
      <c r="AW104" s="48"/>
      <c r="AX104" s="167">
        <f t="shared" ref="AX104" si="181">+AY104-AW104</f>
        <v>0</v>
      </c>
      <c r="AY104" s="48"/>
      <c r="AZ104" s="167">
        <f t="shared" ref="AZ104" si="182">+BA104-AY104</f>
        <v>0</v>
      </c>
      <c r="BA104" s="48"/>
      <c r="BB104" s="167">
        <f t="shared" ref="BB104" si="183">+BC104-BA104</f>
        <v>0</v>
      </c>
      <c r="BC104" s="48"/>
      <c r="BD104" s="167">
        <f t="shared" ref="BD104" si="184">+BE104-BC104</f>
        <v>0</v>
      </c>
      <c r="BE104" s="48"/>
      <c r="BF104" s="167">
        <f t="shared" ref="BF104" si="185">+BG104-BE104</f>
        <v>0</v>
      </c>
      <c r="BG104" s="48"/>
      <c r="BH104" s="167">
        <f t="shared" ref="BH104" si="186">+BI104-BG104</f>
        <v>0</v>
      </c>
      <c r="BI104" s="48"/>
      <c r="BJ104" s="167">
        <f t="shared" ref="BJ104" si="187">+BK104-BI104</f>
        <v>0</v>
      </c>
      <c r="BK104" s="48"/>
      <c r="BL104" s="167">
        <f t="shared" ref="BL104" si="188">+BM104-BK104</f>
        <v>0</v>
      </c>
      <c r="BM104" s="48"/>
      <c r="BN104" s="50"/>
      <c r="BO104" s="51"/>
      <c r="BP104" s="173">
        <f t="shared" ref="BP104" si="189">+BQ104-BM104</f>
        <v>0</v>
      </c>
      <c r="BQ104" s="52"/>
    </row>
    <row r="105" spans="1:76" x14ac:dyDescent="0.35">
      <c r="A105" s="74"/>
      <c r="B105" s="75"/>
      <c r="C105" s="76"/>
      <c r="D105" s="77"/>
      <c r="E105" s="148"/>
      <c r="F105" s="79"/>
      <c r="G105" s="148"/>
      <c r="H105" s="79"/>
      <c r="I105" s="148"/>
      <c r="J105" s="79"/>
      <c r="K105" s="148"/>
      <c r="L105" s="79"/>
      <c r="M105" s="148"/>
      <c r="N105" s="79"/>
      <c r="O105" s="148"/>
      <c r="P105" s="79"/>
      <c r="Q105" s="148"/>
      <c r="R105" s="79"/>
      <c r="S105" s="148"/>
      <c r="T105" s="79"/>
      <c r="U105" s="148"/>
      <c r="V105" s="79"/>
      <c r="W105" s="148"/>
      <c r="X105" s="79"/>
      <c r="Y105" s="148"/>
      <c r="Z105" s="79"/>
      <c r="AA105" s="148"/>
      <c r="AB105" s="79"/>
      <c r="AC105" s="148"/>
      <c r="AD105" s="79"/>
      <c r="AE105" s="148"/>
      <c r="AF105" s="79"/>
      <c r="AG105" s="148"/>
      <c r="AH105" s="79"/>
      <c r="AI105" s="148"/>
      <c r="AJ105" s="79"/>
      <c r="AK105" s="148"/>
      <c r="AL105" s="79"/>
      <c r="AM105" s="148"/>
      <c r="AN105" s="79"/>
      <c r="AO105" s="148"/>
      <c r="AP105" s="79"/>
      <c r="AQ105" s="148"/>
      <c r="AR105" s="79"/>
      <c r="AS105" s="148"/>
      <c r="AT105" s="79"/>
      <c r="AU105" s="148"/>
      <c r="AV105" s="79"/>
      <c r="AW105" s="148"/>
      <c r="AX105" s="79"/>
      <c r="AY105" s="148"/>
      <c r="AZ105" s="79"/>
      <c r="BA105" s="148"/>
      <c r="BB105" s="79"/>
      <c r="BC105" s="148"/>
      <c r="BD105" s="79"/>
      <c r="BE105" s="148"/>
      <c r="BF105" s="79"/>
      <c r="BG105" s="148"/>
      <c r="BH105" s="79"/>
      <c r="BI105" s="148"/>
      <c r="BJ105" s="79"/>
      <c r="BK105" s="148"/>
      <c r="BL105" s="79"/>
      <c r="BM105" s="148"/>
      <c r="BN105" s="80"/>
      <c r="BO105" s="81"/>
      <c r="BP105" s="79"/>
      <c r="BQ105" s="82"/>
    </row>
    <row r="106" spans="1:76" x14ac:dyDescent="0.35">
      <c r="A106" s="53" t="s">
        <v>32</v>
      </c>
      <c r="B106" s="54"/>
      <c r="C106" s="67"/>
      <c r="D106" s="68"/>
      <c r="E106" s="69"/>
      <c r="F106" s="70"/>
      <c r="G106" s="69"/>
      <c r="H106" s="70"/>
      <c r="I106" s="69"/>
      <c r="J106" s="70"/>
      <c r="K106" s="69"/>
      <c r="L106" s="70"/>
      <c r="M106" s="69"/>
      <c r="N106" s="70"/>
      <c r="O106" s="69"/>
      <c r="P106" s="70"/>
      <c r="Q106" s="69"/>
      <c r="R106" s="70"/>
      <c r="S106" s="69"/>
      <c r="T106" s="70"/>
      <c r="U106" s="69"/>
      <c r="V106" s="70"/>
      <c r="W106" s="69"/>
      <c r="X106" s="70"/>
      <c r="Y106" s="69"/>
      <c r="Z106" s="70"/>
      <c r="AA106" s="69"/>
      <c r="AB106" s="70"/>
      <c r="AC106" s="69"/>
      <c r="AD106" s="70"/>
      <c r="AE106" s="69"/>
      <c r="AF106" s="70"/>
      <c r="AG106" s="69"/>
      <c r="AH106" s="70"/>
      <c r="AI106" s="69"/>
      <c r="AJ106" s="70"/>
      <c r="AK106" s="69"/>
      <c r="AL106" s="70"/>
      <c r="AM106" s="69"/>
      <c r="AN106" s="70"/>
      <c r="AO106" s="69"/>
      <c r="AP106" s="70"/>
      <c r="AQ106" s="69"/>
      <c r="AR106" s="70"/>
      <c r="AS106" s="69"/>
      <c r="AT106" s="70"/>
      <c r="AU106" s="69"/>
      <c r="AV106" s="70"/>
      <c r="AW106" s="69"/>
      <c r="AX106" s="70"/>
      <c r="AY106" s="69"/>
      <c r="AZ106" s="70"/>
      <c r="BA106" s="69"/>
      <c r="BB106" s="70"/>
      <c r="BC106" s="69"/>
      <c r="BD106" s="70"/>
      <c r="BE106" s="69"/>
      <c r="BF106" s="70"/>
      <c r="BG106" s="69"/>
      <c r="BH106" s="70"/>
      <c r="BI106" s="69"/>
      <c r="BJ106" s="70"/>
      <c r="BK106" s="69"/>
      <c r="BL106" s="70"/>
      <c r="BM106" s="69"/>
      <c r="BN106" s="71"/>
      <c r="BO106" s="182" t="str">
        <f t="shared" ref="BO106:BO120" si="190">IF(COUNT(E106,G106,I106,K106,M106,O106,Q106,S106,U106,W106,Y106,AA106,AC106,AE106,AG106,AI106,AK106,AM106,AO106,AQ106,AS106,AU106,AW106,AY106,BA106,BC106,BE106,BG106,BI106,BK106,BM106)=0,"",SUM(E106,G106,I106,K106,M106,O106,Q106,S106,U106,W106,Y106,AA106,AC106,AE106,AG106,AI106,AK106,AM106,AO106,AQ106,AS106,AU106,AW106,AY106,BA106,BC106,BE106,BG106,BI106,BK106,BM106))</f>
        <v/>
      </c>
      <c r="BP106" s="70"/>
      <c r="BQ106" s="73"/>
    </row>
    <row r="107" spans="1:76" x14ac:dyDescent="0.35">
      <c r="A107" s="53" t="s">
        <v>33</v>
      </c>
      <c r="B107" s="54"/>
      <c r="C107" s="67"/>
      <c r="D107" s="68"/>
      <c r="E107" s="69"/>
      <c r="F107" s="70"/>
      <c r="G107" s="69"/>
      <c r="H107" s="70"/>
      <c r="I107" s="69"/>
      <c r="J107" s="70"/>
      <c r="K107" s="69"/>
      <c r="L107" s="70"/>
      <c r="M107" s="69"/>
      <c r="N107" s="70"/>
      <c r="O107" s="69"/>
      <c r="P107" s="70"/>
      <c r="Q107" s="69"/>
      <c r="R107" s="70"/>
      <c r="S107" s="69"/>
      <c r="T107" s="70"/>
      <c r="U107" s="69"/>
      <c r="V107" s="70"/>
      <c r="W107" s="69"/>
      <c r="X107" s="70"/>
      <c r="Y107" s="69"/>
      <c r="Z107" s="70"/>
      <c r="AA107" s="69"/>
      <c r="AB107" s="70"/>
      <c r="AC107" s="69"/>
      <c r="AD107" s="70"/>
      <c r="AE107" s="69"/>
      <c r="AF107" s="70"/>
      <c r="AG107" s="69"/>
      <c r="AH107" s="70"/>
      <c r="AI107" s="69"/>
      <c r="AJ107" s="70"/>
      <c r="AK107" s="69"/>
      <c r="AL107" s="70"/>
      <c r="AM107" s="69"/>
      <c r="AN107" s="70"/>
      <c r="AO107" s="69"/>
      <c r="AP107" s="70"/>
      <c r="AQ107" s="69"/>
      <c r="AR107" s="70"/>
      <c r="AS107" s="69"/>
      <c r="AT107" s="70"/>
      <c r="AU107" s="69"/>
      <c r="AV107" s="70"/>
      <c r="AW107" s="69"/>
      <c r="AX107" s="70"/>
      <c r="AY107" s="69"/>
      <c r="AZ107" s="70"/>
      <c r="BA107" s="69"/>
      <c r="BB107" s="70"/>
      <c r="BC107" s="69"/>
      <c r="BD107" s="70"/>
      <c r="BE107" s="69"/>
      <c r="BF107" s="70"/>
      <c r="BG107" s="69"/>
      <c r="BH107" s="70"/>
      <c r="BI107" s="69"/>
      <c r="BJ107" s="70"/>
      <c r="BK107" s="69"/>
      <c r="BL107" s="70"/>
      <c r="BM107" s="69"/>
      <c r="BN107" s="71"/>
      <c r="BO107" s="182" t="str">
        <f t="shared" si="190"/>
        <v/>
      </c>
      <c r="BP107" s="70"/>
      <c r="BQ107" s="73"/>
    </row>
    <row r="108" spans="1:76" x14ac:dyDescent="0.35">
      <c r="A108" s="53" t="s">
        <v>33</v>
      </c>
      <c r="B108" s="54"/>
      <c r="C108" s="67"/>
      <c r="D108" s="68"/>
      <c r="E108" s="69"/>
      <c r="F108" s="70"/>
      <c r="G108" s="69"/>
      <c r="H108" s="70"/>
      <c r="I108" s="69"/>
      <c r="J108" s="70"/>
      <c r="K108" s="69"/>
      <c r="L108" s="70"/>
      <c r="M108" s="69"/>
      <c r="N108" s="70"/>
      <c r="O108" s="69"/>
      <c r="P108" s="70"/>
      <c r="Q108" s="69"/>
      <c r="R108" s="70"/>
      <c r="S108" s="69"/>
      <c r="T108" s="70"/>
      <c r="U108" s="69"/>
      <c r="V108" s="70"/>
      <c r="W108" s="69"/>
      <c r="X108" s="70"/>
      <c r="Y108" s="69"/>
      <c r="Z108" s="70"/>
      <c r="AA108" s="69"/>
      <c r="AB108" s="70"/>
      <c r="AC108" s="69"/>
      <c r="AD108" s="70"/>
      <c r="AE108" s="69"/>
      <c r="AF108" s="70"/>
      <c r="AG108" s="69"/>
      <c r="AH108" s="70"/>
      <c r="AI108" s="69"/>
      <c r="AJ108" s="70"/>
      <c r="AK108" s="69"/>
      <c r="AL108" s="70"/>
      <c r="AM108" s="69"/>
      <c r="AN108" s="70"/>
      <c r="AO108" s="69"/>
      <c r="AP108" s="70"/>
      <c r="AQ108" s="69"/>
      <c r="AR108" s="70"/>
      <c r="AS108" s="69"/>
      <c r="AT108" s="70"/>
      <c r="AU108" s="69"/>
      <c r="AV108" s="70"/>
      <c r="AW108" s="69"/>
      <c r="AX108" s="70"/>
      <c r="AY108" s="69"/>
      <c r="AZ108" s="70"/>
      <c r="BA108" s="69"/>
      <c r="BB108" s="70"/>
      <c r="BC108" s="69"/>
      <c r="BD108" s="70"/>
      <c r="BE108" s="69"/>
      <c r="BF108" s="70"/>
      <c r="BG108" s="69"/>
      <c r="BH108" s="70"/>
      <c r="BI108" s="69"/>
      <c r="BJ108" s="70"/>
      <c r="BK108" s="69"/>
      <c r="BL108" s="70"/>
      <c r="BM108" s="69"/>
      <c r="BN108" s="71"/>
      <c r="BO108" s="182" t="str">
        <f t="shared" si="190"/>
        <v/>
      </c>
      <c r="BP108" s="70"/>
      <c r="BQ108" s="73"/>
    </row>
    <row r="109" spans="1:76" x14ac:dyDescent="0.35">
      <c r="A109" s="53" t="s">
        <v>34</v>
      </c>
      <c r="B109" s="54"/>
      <c r="C109" s="67"/>
      <c r="D109" s="68"/>
      <c r="E109" s="69"/>
      <c r="F109" s="70"/>
      <c r="G109" s="69"/>
      <c r="H109" s="70"/>
      <c r="I109" s="69"/>
      <c r="J109" s="70"/>
      <c r="K109" s="69"/>
      <c r="L109" s="70"/>
      <c r="M109" s="69"/>
      <c r="N109" s="70"/>
      <c r="O109" s="69"/>
      <c r="P109" s="70"/>
      <c r="Q109" s="69"/>
      <c r="R109" s="70"/>
      <c r="S109" s="69"/>
      <c r="T109" s="70"/>
      <c r="U109" s="69"/>
      <c r="V109" s="70"/>
      <c r="W109" s="69"/>
      <c r="X109" s="70"/>
      <c r="Y109" s="69"/>
      <c r="Z109" s="70"/>
      <c r="AA109" s="69"/>
      <c r="AB109" s="70"/>
      <c r="AC109" s="69"/>
      <c r="AD109" s="70"/>
      <c r="AE109" s="69"/>
      <c r="AF109" s="70"/>
      <c r="AG109" s="69"/>
      <c r="AH109" s="70"/>
      <c r="AI109" s="69"/>
      <c r="AJ109" s="70"/>
      <c r="AK109" s="69"/>
      <c r="AL109" s="70"/>
      <c r="AM109" s="69"/>
      <c r="AN109" s="70"/>
      <c r="AO109" s="69"/>
      <c r="AP109" s="70"/>
      <c r="AQ109" s="69"/>
      <c r="AR109" s="70"/>
      <c r="AS109" s="69"/>
      <c r="AT109" s="70"/>
      <c r="AU109" s="69"/>
      <c r="AV109" s="70"/>
      <c r="AW109" s="69"/>
      <c r="AX109" s="70"/>
      <c r="AY109" s="69"/>
      <c r="AZ109" s="70"/>
      <c r="BA109" s="69"/>
      <c r="BB109" s="70"/>
      <c r="BC109" s="69"/>
      <c r="BD109" s="70"/>
      <c r="BE109" s="69"/>
      <c r="BF109" s="70"/>
      <c r="BG109" s="69"/>
      <c r="BH109" s="70"/>
      <c r="BI109" s="69"/>
      <c r="BJ109" s="70"/>
      <c r="BK109" s="69"/>
      <c r="BL109" s="70"/>
      <c r="BM109" s="69"/>
      <c r="BN109" s="71"/>
      <c r="BO109" s="182" t="str">
        <f t="shared" si="190"/>
        <v/>
      </c>
      <c r="BP109" s="70"/>
      <c r="BQ109" s="73"/>
    </row>
    <row r="110" spans="1:76" x14ac:dyDescent="0.35">
      <c r="A110" s="53" t="s">
        <v>34</v>
      </c>
      <c r="B110" s="54"/>
      <c r="C110" s="67"/>
      <c r="D110" s="68"/>
      <c r="E110" s="69"/>
      <c r="F110" s="70"/>
      <c r="G110" s="69"/>
      <c r="H110" s="70"/>
      <c r="I110" s="69"/>
      <c r="J110" s="70"/>
      <c r="K110" s="69"/>
      <c r="L110" s="70"/>
      <c r="M110" s="69"/>
      <c r="N110" s="70"/>
      <c r="O110" s="69"/>
      <c r="P110" s="70"/>
      <c r="Q110" s="69"/>
      <c r="R110" s="70"/>
      <c r="S110" s="69"/>
      <c r="T110" s="70"/>
      <c r="U110" s="69"/>
      <c r="V110" s="70"/>
      <c r="W110" s="69"/>
      <c r="X110" s="70"/>
      <c r="Y110" s="69"/>
      <c r="Z110" s="70"/>
      <c r="AA110" s="69"/>
      <c r="AB110" s="70"/>
      <c r="AC110" s="69"/>
      <c r="AD110" s="70"/>
      <c r="AE110" s="69"/>
      <c r="AF110" s="70"/>
      <c r="AG110" s="69"/>
      <c r="AH110" s="70"/>
      <c r="AI110" s="69"/>
      <c r="AJ110" s="70"/>
      <c r="AK110" s="69"/>
      <c r="AL110" s="70"/>
      <c r="AM110" s="69"/>
      <c r="AN110" s="70"/>
      <c r="AO110" s="69"/>
      <c r="AP110" s="70"/>
      <c r="AQ110" s="69"/>
      <c r="AR110" s="70"/>
      <c r="AS110" s="69"/>
      <c r="AT110" s="70"/>
      <c r="AU110" s="69"/>
      <c r="AV110" s="70"/>
      <c r="AW110" s="69"/>
      <c r="AX110" s="70"/>
      <c r="AY110" s="69"/>
      <c r="AZ110" s="70"/>
      <c r="BA110" s="69"/>
      <c r="BB110" s="70"/>
      <c r="BC110" s="69"/>
      <c r="BD110" s="70"/>
      <c r="BE110" s="69"/>
      <c r="BF110" s="70"/>
      <c r="BG110" s="69"/>
      <c r="BH110" s="70"/>
      <c r="BI110" s="69"/>
      <c r="BJ110" s="70"/>
      <c r="BK110" s="69"/>
      <c r="BL110" s="70"/>
      <c r="BM110" s="69"/>
      <c r="BN110" s="71"/>
      <c r="BO110" s="182" t="str">
        <f t="shared" si="190"/>
        <v/>
      </c>
      <c r="BP110" s="70"/>
      <c r="BQ110" s="73"/>
    </row>
    <row r="111" spans="1:76" s="6" customFormat="1" x14ac:dyDescent="0.35">
      <c r="A111" s="149" t="s">
        <v>71</v>
      </c>
      <c r="B111" s="150"/>
      <c r="C111" s="67"/>
      <c r="D111" s="151"/>
      <c r="E111" s="69"/>
      <c r="F111" s="152"/>
      <c r="G111" s="69"/>
      <c r="H111" s="152"/>
      <c r="I111" s="69"/>
      <c r="J111" s="152"/>
      <c r="K111" s="69"/>
      <c r="L111" s="152"/>
      <c r="M111" s="69"/>
      <c r="N111" s="152"/>
      <c r="O111" s="69"/>
      <c r="P111" s="152"/>
      <c r="Q111" s="69"/>
      <c r="R111" s="152"/>
      <c r="S111" s="69"/>
      <c r="T111" s="152"/>
      <c r="U111" s="69"/>
      <c r="V111" s="152"/>
      <c r="W111" s="69"/>
      <c r="X111" s="152"/>
      <c r="Y111" s="69"/>
      <c r="Z111" s="152"/>
      <c r="AA111" s="69"/>
      <c r="AB111" s="152"/>
      <c r="AC111" s="69"/>
      <c r="AD111" s="152"/>
      <c r="AE111" s="69"/>
      <c r="AF111" s="152"/>
      <c r="AG111" s="69"/>
      <c r="AH111" s="152"/>
      <c r="AI111" s="69"/>
      <c r="AJ111" s="152"/>
      <c r="AK111" s="69"/>
      <c r="AL111" s="152"/>
      <c r="AM111" s="69"/>
      <c r="AN111" s="152"/>
      <c r="AO111" s="69"/>
      <c r="AP111" s="152"/>
      <c r="AQ111" s="69"/>
      <c r="AR111" s="152"/>
      <c r="AS111" s="69"/>
      <c r="AT111" s="152"/>
      <c r="AU111" s="69"/>
      <c r="AV111" s="152"/>
      <c r="AW111" s="69"/>
      <c r="AX111" s="152"/>
      <c r="AY111" s="69"/>
      <c r="AZ111" s="152"/>
      <c r="BA111" s="69"/>
      <c r="BB111" s="152"/>
      <c r="BC111" s="69"/>
      <c r="BD111" s="152"/>
      <c r="BE111" s="69"/>
      <c r="BF111" s="152"/>
      <c r="BG111" s="69"/>
      <c r="BH111" s="152"/>
      <c r="BI111" s="69"/>
      <c r="BJ111" s="152"/>
      <c r="BK111" s="69"/>
      <c r="BL111" s="152"/>
      <c r="BM111" s="69"/>
      <c r="BN111" s="71"/>
      <c r="BO111" s="182" t="str">
        <f t="shared" si="190"/>
        <v/>
      </c>
      <c r="BP111" s="152"/>
      <c r="BQ111" s="73"/>
      <c r="BR111"/>
      <c r="BS111"/>
      <c r="BT111"/>
      <c r="BU111"/>
      <c r="BV111"/>
      <c r="BW111"/>
      <c r="BX111"/>
    </row>
    <row r="112" spans="1:76" x14ac:dyDescent="0.35">
      <c r="A112" s="53" t="s">
        <v>72</v>
      </c>
      <c r="B112" s="54"/>
      <c r="C112" s="67"/>
      <c r="D112" s="68"/>
      <c r="E112" s="69"/>
      <c r="F112" s="70"/>
      <c r="G112" s="69"/>
      <c r="H112" s="70"/>
      <c r="I112" s="69"/>
      <c r="J112" s="70"/>
      <c r="K112" s="69"/>
      <c r="L112" s="70"/>
      <c r="M112" s="69"/>
      <c r="N112" s="70"/>
      <c r="O112" s="69"/>
      <c r="P112" s="70"/>
      <c r="Q112" s="69"/>
      <c r="R112" s="70"/>
      <c r="S112" s="69"/>
      <c r="T112" s="70"/>
      <c r="U112" s="69"/>
      <c r="V112" s="70"/>
      <c r="W112" s="69"/>
      <c r="X112" s="70"/>
      <c r="Y112" s="69"/>
      <c r="Z112" s="70"/>
      <c r="AA112" s="69"/>
      <c r="AB112" s="70"/>
      <c r="AC112" s="69"/>
      <c r="AD112" s="70"/>
      <c r="AE112" s="69"/>
      <c r="AF112" s="70"/>
      <c r="AG112" s="69"/>
      <c r="AH112" s="70"/>
      <c r="AI112" s="69"/>
      <c r="AJ112" s="70"/>
      <c r="AK112" s="69"/>
      <c r="AL112" s="70"/>
      <c r="AM112" s="69"/>
      <c r="AN112" s="70"/>
      <c r="AO112" s="69"/>
      <c r="AP112" s="70"/>
      <c r="AQ112" s="69"/>
      <c r="AR112" s="70"/>
      <c r="AS112" s="69"/>
      <c r="AT112" s="70"/>
      <c r="AU112" s="69"/>
      <c r="AV112" s="70"/>
      <c r="AW112" s="69"/>
      <c r="AX112" s="70"/>
      <c r="AY112" s="69"/>
      <c r="AZ112" s="70"/>
      <c r="BA112" s="69"/>
      <c r="BB112" s="70"/>
      <c r="BC112" s="69"/>
      <c r="BD112" s="70"/>
      <c r="BE112" s="69"/>
      <c r="BF112" s="70"/>
      <c r="BG112" s="69"/>
      <c r="BH112" s="70"/>
      <c r="BI112" s="69"/>
      <c r="BJ112" s="70"/>
      <c r="BK112" s="69"/>
      <c r="BL112" s="70"/>
      <c r="BM112" s="69"/>
      <c r="BN112" s="71"/>
      <c r="BO112" s="182" t="str">
        <f t="shared" si="190"/>
        <v/>
      </c>
      <c r="BP112" s="70"/>
      <c r="BQ112" s="73"/>
    </row>
    <row r="113" spans="1:69" x14ac:dyDescent="0.35">
      <c r="A113" s="53" t="s">
        <v>73</v>
      </c>
      <c r="B113" s="54"/>
      <c r="C113" s="67"/>
      <c r="D113" s="68"/>
      <c r="E113" s="69"/>
      <c r="F113" s="70"/>
      <c r="G113" s="69"/>
      <c r="H113" s="70"/>
      <c r="I113" s="69"/>
      <c r="J113" s="70"/>
      <c r="K113" s="69"/>
      <c r="L113" s="70"/>
      <c r="M113" s="69"/>
      <c r="N113" s="70"/>
      <c r="O113" s="69"/>
      <c r="P113" s="70"/>
      <c r="Q113" s="69"/>
      <c r="R113" s="70"/>
      <c r="S113" s="69"/>
      <c r="T113" s="70"/>
      <c r="U113" s="69"/>
      <c r="V113" s="70"/>
      <c r="W113" s="69"/>
      <c r="X113" s="70"/>
      <c r="Y113" s="69"/>
      <c r="Z113" s="70"/>
      <c r="AA113" s="69"/>
      <c r="AB113" s="70"/>
      <c r="AC113" s="69"/>
      <c r="AD113" s="70"/>
      <c r="AE113" s="69"/>
      <c r="AF113" s="70"/>
      <c r="AG113" s="69"/>
      <c r="AH113" s="70"/>
      <c r="AI113" s="69"/>
      <c r="AJ113" s="70"/>
      <c r="AK113" s="69"/>
      <c r="AL113" s="70"/>
      <c r="AM113" s="69"/>
      <c r="AN113" s="70"/>
      <c r="AO113" s="69"/>
      <c r="AP113" s="70"/>
      <c r="AQ113" s="69"/>
      <c r="AR113" s="70"/>
      <c r="AS113" s="69"/>
      <c r="AT113" s="70"/>
      <c r="AU113" s="69"/>
      <c r="AV113" s="70"/>
      <c r="AW113" s="69"/>
      <c r="AX113" s="70"/>
      <c r="AY113" s="69"/>
      <c r="AZ113" s="70"/>
      <c r="BA113" s="69"/>
      <c r="BB113" s="70"/>
      <c r="BC113" s="69"/>
      <c r="BD113" s="70"/>
      <c r="BE113" s="69"/>
      <c r="BF113" s="70"/>
      <c r="BG113" s="69"/>
      <c r="BH113" s="70"/>
      <c r="BI113" s="69"/>
      <c r="BJ113" s="70"/>
      <c r="BK113" s="69"/>
      <c r="BL113" s="70"/>
      <c r="BM113" s="69"/>
      <c r="BN113" s="71"/>
      <c r="BO113" s="182" t="str">
        <f t="shared" si="190"/>
        <v/>
      </c>
      <c r="BP113" s="70"/>
      <c r="BQ113" s="73"/>
    </row>
    <row r="114" spans="1:69" x14ac:dyDescent="0.35">
      <c r="A114" s="53" t="s">
        <v>70</v>
      </c>
      <c r="B114" s="54"/>
      <c r="C114" s="67"/>
      <c r="D114" s="68"/>
      <c r="E114" s="69"/>
      <c r="F114" s="70"/>
      <c r="G114" s="69"/>
      <c r="H114" s="70"/>
      <c r="I114" s="69"/>
      <c r="J114" s="70"/>
      <c r="K114" s="69"/>
      <c r="L114" s="70"/>
      <c r="M114" s="69"/>
      <c r="N114" s="70"/>
      <c r="O114" s="69"/>
      <c r="P114" s="70"/>
      <c r="Q114" s="69"/>
      <c r="R114" s="70"/>
      <c r="S114" s="69"/>
      <c r="T114" s="70"/>
      <c r="U114" s="69"/>
      <c r="V114" s="70"/>
      <c r="W114" s="69"/>
      <c r="X114" s="70"/>
      <c r="Y114" s="69"/>
      <c r="Z114" s="70"/>
      <c r="AA114" s="69"/>
      <c r="AB114" s="70"/>
      <c r="AC114" s="69"/>
      <c r="AD114" s="70"/>
      <c r="AE114" s="69"/>
      <c r="AF114" s="70"/>
      <c r="AG114" s="69"/>
      <c r="AH114" s="70"/>
      <c r="AI114" s="69"/>
      <c r="AJ114" s="70"/>
      <c r="AK114" s="69"/>
      <c r="AL114" s="70"/>
      <c r="AM114" s="69"/>
      <c r="AN114" s="70"/>
      <c r="AO114" s="69"/>
      <c r="AP114" s="70"/>
      <c r="AQ114" s="69"/>
      <c r="AR114" s="70"/>
      <c r="AS114" s="69"/>
      <c r="AT114" s="70"/>
      <c r="AU114" s="69"/>
      <c r="AV114" s="70"/>
      <c r="AW114" s="69"/>
      <c r="AX114" s="70"/>
      <c r="AY114" s="69"/>
      <c r="AZ114" s="70"/>
      <c r="BA114" s="69"/>
      <c r="BB114" s="70"/>
      <c r="BC114" s="69"/>
      <c r="BD114" s="70"/>
      <c r="BE114" s="69"/>
      <c r="BF114" s="70"/>
      <c r="BG114" s="69"/>
      <c r="BH114" s="70"/>
      <c r="BI114" s="69"/>
      <c r="BJ114" s="70"/>
      <c r="BK114" s="69"/>
      <c r="BL114" s="70"/>
      <c r="BM114" s="69"/>
      <c r="BN114" s="71"/>
      <c r="BO114" s="182" t="str">
        <f t="shared" si="190"/>
        <v/>
      </c>
      <c r="BP114" s="70"/>
      <c r="BQ114" s="73"/>
    </row>
    <row r="115" spans="1:69" x14ac:dyDescent="0.35">
      <c r="A115" s="53" t="s">
        <v>27</v>
      </c>
      <c r="B115" s="54"/>
      <c r="C115" s="67"/>
      <c r="D115" s="68"/>
      <c r="E115" s="69"/>
      <c r="F115" s="70"/>
      <c r="G115" s="69"/>
      <c r="H115" s="70"/>
      <c r="I115" s="69"/>
      <c r="J115" s="70"/>
      <c r="K115" s="69"/>
      <c r="L115" s="70"/>
      <c r="M115" s="69"/>
      <c r="N115" s="70"/>
      <c r="O115" s="69"/>
      <c r="P115" s="70"/>
      <c r="Q115" s="69"/>
      <c r="R115" s="70"/>
      <c r="S115" s="69"/>
      <c r="T115" s="70"/>
      <c r="U115" s="69"/>
      <c r="V115" s="70"/>
      <c r="W115" s="69"/>
      <c r="X115" s="70"/>
      <c r="Y115" s="69"/>
      <c r="Z115" s="70"/>
      <c r="AA115" s="69"/>
      <c r="AB115" s="70"/>
      <c r="AC115" s="69"/>
      <c r="AD115" s="70"/>
      <c r="AE115" s="69"/>
      <c r="AF115" s="70"/>
      <c r="AG115" s="69"/>
      <c r="AH115" s="70"/>
      <c r="AI115" s="69"/>
      <c r="AJ115" s="70"/>
      <c r="AK115" s="69"/>
      <c r="AL115" s="70"/>
      <c r="AM115" s="69"/>
      <c r="AN115" s="70"/>
      <c r="AO115" s="69"/>
      <c r="AP115" s="70"/>
      <c r="AQ115" s="69"/>
      <c r="AR115" s="70"/>
      <c r="AS115" s="69"/>
      <c r="AT115" s="70"/>
      <c r="AU115" s="69"/>
      <c r="AV115" s="70"/>
      <c r="AW115" s="69"/>
      <c r="AX115" s="70"/>
      <c r="AY115" s="69"/>
      <c r="AZ115" s="70"/>
      <c r="BA115" s="69"/>
      <c r="BB115" s="70"/>
      <c r="BC115" s="69"/>
      <c r="BD115" s="70"/>
      <c r="BE115" s="69"/>
      <c r="BF115" s="70"/>
      <c r="BG115" s="69"/>
      <c r="BH115" s="70"/>
      <c r="BI115" s="69"/>
      <c r="BJ115" s="70"/>
      <c r="BK115" s="69"/>
      <c r="BL115" s="70"/>
      <c r="BM115" s="69"/>
      <c r="BN115" s="71"/>
      <c r="BO115" s="182" t="str">
        <f t="shared" si="190"/>
        <v/>
      </c>
      <c r="BP115" s="70"/>
      <c r="BQ115" s="73"/>
    </row>
    <row r="116" spans="1:69" x14ac:dyDescent="0.35">
      <c r="A116" s="53" t="s">
        <v>28</v>
      </c>
      <c r="B116" s="54"/>
      <c r="C116" s="67"/>
      <c r="D116" s="68"/>
      <c r="E116" s="69"/>
      <c r="F116" s="70"/>
      <c r="G116" s="69"/>
      <c r="H116" s="70"/>
      <c r="I116" s="69"/>
      <c r="J116" s="70"/>
      <c r="K116" s="69"/>
      <c r="L116" s="70"/>
      <c r="M116" s="69"/>
      <c r="N116" s="70"/>
      <c r="O116" s="69"/>
      <c r="P116" s="70"/>
      <c r="Q116" s="69"/>
      <c r="R116" s="70"/>
      <c r="S116" s="69"/>
      <c r="T116" s="70"/>
      <c r="U116" s="69"/>
      <c r="V116" s="70"/>
      <c r="W116" s="69"/>
      <c r="X116" s="70"/>
      <c r="Y116" s="69"/>
      <c r="Z116" s="70"/>
      <c r="AA116" s="69"/>
      <c r="AB116" s="70"/>
      <c r="AC116" s="69"/>
      <c r="AD116" s="70"/>
      <c r="AE116" s="69"/>
      <c r="AF116" s="70"/>
      <c r="AG116" s="69"/>
      <c r="AH116" s="70"/>
      <c r="AI116" s="69"/>
      <c r="AJ116" s="70"/>
      <c r="AK116" s="69"/>
      <c r="AL116" s="70"/>
      <c r="AM116" s="69"/>
      <c r="AN116" s="70"/>
      <c r="AO116" s="69"/>
      <c r="AP116" s="70"/>
      <c r="AQ116" s="69"/>
      <c r="AR116" s="70"/>
      <c r="AS116" s="69"/>
      <c r="AT116" s="70"/>
      <c r="AU116" s="69"/>
      <c r="AV116" s="70"/>
      <c r="AW116" s="69"/>
      <c r="AX116" s="70"/>
      <c r="AY116" s="69"/>
      <c r="AZ116" s="70"/>
      <c r="BA116" s="69"/>
      <c r="BB116" s="70"/>
      <c r="BC116" s="69"/>
      <c r="BD116" s="70"/>
      <c r="BE116" s="69"/>
      <c r="BF116" s="70"/>
      <c r="BG116" s="69"/>
      <c r="BH116" s="70"/>
      <c r="BI116" s="69"/>
      <c r="BJ116" s="70"/>
      <c r="BK116" s="69"/>
      <c r="BL116" s="70"/>
      <c r="BM116" s="69"/>
      <c r="BN116" s="71"/>
      <c r="BO116" s="182" t="str">
        <f t="shared" si="190"/>
        <v/>
      </c>
      <c r="BP116" s="70"/>
      <c r="BQ116" s="73"/>
    </row>
    <row r="117" spans="1:69" x14ac:dyDescent="0.35">
      <c r="A117" s="53" t="s">
        <v>29</v>
      </c>
      <c r="B117" s="54"/>
      <c r="C117" s="67"/>
      <c r="D117" s="68"/>
      <c r="E117" s="69"/>
      <c r="F117" s="70"/>
      <c r="G117" s="69"/>
      <c r="H117" s="70"/>
      <c r="I117" s="69"/>
      <c r="J117" s="70"/>
      <c r="K117" s="69"/>
      <c r="L117" s="70"/>
      <c r="M117" s="69"/>
      <c r="N117" s="70"/>
      <c r="O117" s="69"/>
      <c r="P117" s="70"/>
      <c r="Q117" s="69"/>
      <c r="R117" s="70"/>
      <c r="S117" s="69"/>
      <c r="T117" s="70"/>
      <c r="U117" s="69"/>
      <c r="V117" s="70"/>
      <c r="W117" s="69"/>
      <c r="X117" s="70"/>
      <c r="Y117" s="69"/>
      <c r="Z117" s="70"/>
      <c r="AA117" s="69"/>
      <c r="AB117" s="70"/>
      <c r="AC117" s="69"/>
      <c r="AD117" s="70"/>
      <c r="AE117" s="69"/>
      <c r="AF117" s="70"/>
      <c r="AG117" s="69"/>
      <c r="AH117" s="70"/>
      <c r="AI117" s="69"/>
      <c r="AJ117" s="70"/>
      <c r="AK117" s="69"/>
      <c r="AL117" s="70"/>
      <c r="AM117" s="69"/>
      <c r="AN117" s="70"/>
      <c r="AO117" s="69"/>
      <c r="AP117" s="70"/>
      <c r="AQ117" s="69"/>
      <c r="AR117" s="70"/>
      <c r="AS117" s="69"/>
      <c r="AT117" s="70"/>
      <c r="AU117" s="69"/>
      <c r="AV117" s="70"/>
      <c r="AW117" s="69"/>
      <c r="AX117" s="70"/>
      <c r="AY117" s="69"/>
      <c r="AZ117" s="70"/>
      <c r="BA117" s="69"/>
      <c r="BB117" s="70"/>
      <c r="BC117" s="69"/>
      <c r="BD117" s="70"/>
      <c r="BE117" s="69"/>
      <c r="BF117" s="70"/>
      <c r="BG117" s="69"/>
      <c r="BH117" s="70"/>
      <c r="BI117" s="69"/>
      <c r="BJ117" s="70"/>
      <c r="BK117" s="69"/>
      <c r="BL117" s="70"/>
      <c r="BM117" s="69"/>
      <c r="BN117" s="71"/>
      <c r="BO117" s="182" t="str">
        <f t="shared" si="190"/>
        <v/>
      </c>
      <c r="BP117" s="70"/>
      <c r="BQ117" s="73"/>
    </row>
    <row r="118" spans="1:69" x14ac:dyDescent="0.35">
      <c r="A118" s="74"/>
      <c r="B118" s="75"/>
      <c r="C118" s="153"/>
      <c r="D118" s="77"/>
      <c r="E118" s="78"/>
      <c r="F118" s="79"/>
      <c r="G118" s="78"/>
      <c r="H118" s="79"/>
      <c r="I118" s="78"/>
      <c r="J118" s="79"/>
      <c r="K118" s="78"/>
      <c r="L118" s="79"/>
      <c r="M118" s="78"/>
      <c r="N118" s="79"/>
      <c r="O118" s="78"/>
      <c r="P118" s="79"/>
      <c r="Q118" s="78"/>
      <c r="R118" s="79"/>
      <c r="S118" s="78"/>
      <c r="T118" s="79"/>
      <c r="U118" s="78"/>
      <c r="V118" s="79"/>
      <c r="W118" s="78"/>
      <c r="X118" s="79"/>
      <c r="Y118" s="78"/>
      <c r="Z118" s="79"/>
      <c r="AA118" s="78"/>
      <c r="AB118" s="79"/>
      <c r="AC118" s="78"/>
      <c r="AD118" s="79"/>
      <c r="AE118" s="78"/>
      <c r="AF118" s="79"/>
      <c r="AG118" s="78"/>
      <c r="AH118" s="79"/>
      <c r="AI118" s="78"/>
      <c r="AJ118" s="79"/>
      <c r="AK118" s="78"/>
      <c r="AL118" s="79"/>
      <c r="AM118" s="78"/>
      <c r="AN118" s="79"/>
      <c r="AO118" s="78"/>
      <c r="AP118" s="79"/>
      <c r="AQ118" s="78"/>
      <c r="AR118" s="79"/>
      <c r="AS118" s="78"/>
      <c r="AT118" s="79"/>
      <c r="AU118" s="78"/>
      <c r="AV118" s="79"/>
      <c r="AW118" s="78"/>
      <c r="AX118" s="79"/>
      <c r="AY118" s="78"/>
      <c r="AZ118" s="79"/>
      <c r="BA118" s="78"/>
      <c r="BB118" s="79"/>
      <c r="BC118" s="78"/>
      <c r="BD118" s="79"/>
      <c r="BE118" s="78"/>
      <c r="BF118" s="79"/>
      <c r="BG118" s="78"/>
      <c r="BH118" s="79"/>
      <c r="BI118" s="78"/>
      <c r="BJ118" s="79"/>
      <c r="BK118" s="78"/>
      <c r="BL118" s="79"/>
      <c r="BM118" s="78"/>
      <c r="BN118" s="80"/>
      <c r="BO118" s="195" t="str">
        <f t="shared" si="190"/>
        <v/>
      </c>
      <c r="BP118" s="79"/>
      <c r="BQ118" s="82"/>
    </row>
    <row r="119" spans="1:69" x14ac:dyDescent="0.35">
      <c r="A119" s="53" t="s">
        <v>55</v>
      </c>
      <c r="B119" s="54"/>
      <c r="C119" s="67"/>
      <c r="D119" s="68"/>
      <c r="E119" s="69"/>
      <c r="F119" s="70"/>
      <c r="G119" s="69"/>
      <c r="H119" s="70"/>
      <c r="I119" s="69"/>
      <c r="J119" s="70"/>
      <c r="K119" s="69"/>
      <c r="L119" s="70"/>
      <c r="M119" s="69"/>
      <c r="N119" s="70"/>
      <c r="O119" s="69"/>
      <c r="P119" s="70"/>
      <c r="Q119" s="69"/>
      <c r="R119" s="70"/>
      <c r="S119" s="69"/>
      <c r="T119" s="70"/>
      <c r="U119" s="69"/>
      <c r="V119" s="70"/>
      <c r="W119" s="69"/>
      <c r="X119" s="70"/>
      <c r="Y119" s="69"/>
      <c r="Z119" s="70"/>
      <c r="AA119" s="69"/>
      <c r="AB119" s="70"/>
      <c r="AC119" s="69"/>
      <c r="AD119" s="70"/>
      <c r="AE119" s="69"/>
      <c r="AF119" s="70"/>
      <c r="AG119" s="69"/>
      <c r="AH119" s="70"/>
      <c r="AI119" s="69"/>
      <c r="AJ119" s="70"/>
      <c r="AK119" s="69"/>
      <c r="AL119" s="70"/>
      <c r="AM119" s="69"/>
      <c r="AN119" s="70"/>
      <c r="AO119" s="69"/>
      <c r="AP119" s="70"/>
      <c r="AQ119" s="69"/>
      <c r="AR119" s="70"/>
      <c r="AS119" s="69"/>
      <c r="AT119" s="70"/>
      <c r="AU119" s="69"/>
      <c r="AV119" s="70"/>
      <c r="AW119" s="69"/>
      <c r="AX119" s="70"/>
      <c r="AY119" s="69"/>
      <c r="AZ119" s="70"/>
      <c r="BA119" s="69"/>
      <c r="BB119" s="70"/>
      <c r="BC119" s="69"/>
      <c r="BD119" s="70"/>
      <c r="BE119" s="69"/>
      <c r="BF119" s="70"/>
      <c r="BG119" s="69"/>
      <c r="BH119" s="70"/>
      <c r="BI119" s="69"/>
      <c r="BJ119" s="70"/>
      <c r="BK119" s="69"/>
      <c r="BL119" s="70"/>
      <c r="BM119" s="69"/>
      <c r="BN119" s="71"/>
      <c r="BO119" s="182" t="str">
        <f t="shared" si="190"/>
        <v/>
      </c>
      <c r="BP119" s="70"/>
      <c r="BQ119" s="73"/>
    </row>
    <row r="120" spans="1:69" ht="15" thickBot="1" x14ac:dyDescent="0.4">
      <c r="A120" s="154" t="s">
        <v>56</v>
      </c>
      <c r="B120" s="155"/>
      <c r="C120" s="156"/>
      <c r="D120" s="157"/>
      <c r="E120" s="158"/>
      <c r="F120" s="159"/>
      <c r="G120" s="158"/>
      <c r="H120" s="159"/>
      <c r="I120" s="158"/>
      <c r="J120" s="159"/>
      <c r="K120" s="158"/>
      <c r="L120" s="159"/>
      <c r="M120" s="158"/>
      <c r="N120" s="159"/>
      <c r="O120" s="158"/>
      <c r="P120" s="159"/>
      <c r="Q120" s="158"/>
      <c r="R120" s="159"/>
      <c r="S120" s="158"/>
      <c r="T120" s="159"/>
      <c r="U120" s="158"/>
      <c r="V120" s="159"/>
      <c r="W120" s="158"/>
      <c r="X120" s="159"/>
      <c r="Y120" s="158"/>
      <c r="Z120" s="159"/>
      <c r="AA120" s="158"/>
      <c r="AB120" s="159"/>
      <c r="AC120" s="158"/>
      <c r="AD120" s="159"/>
      <c r="AE120" s="158"/>
      <c r="AF120" s="159"/>
      <c r="AG120" s="158"/>
      <c r="AH120" s="159"/>
      <c r="AI120" s="158"/>
      <c r="AJ120" s="159"/>
      <c r="AK120" s="158"/>
      <c r="AL120" s="159"/>
      <c r="AM120" s="158"/>
      <c r="AN120" s="159"/>
      <c r="AO120" s="158"/>
      <c r="AP120" s="159"/>
      <c r="AQ120" s="158"/>
      <c r="AR120" s="159"/>
      <c r="AS120" s="158"/>
      <c r="AT120" s="159"/>
      <c r="AU120" s="158"/>
      <c r="AV120" s="159"/>
      <c r="AW120" s="158"/>
      <c r="AX120" s="159"/>
      <c r="AY120" s="158"/>
      <c r="AZ120" s="159"/>
      <c r="BA120" s="158"/>
      <c r="BB120" s="159"/>
      <c r="BC120" s="158"/>
      <c r="BD120" s="159"/>
      <c r="BE120" s="158"/>
      <c r="BF120" s="159"/>
      <c r="BG120" s="158"/>
      <c r="BH120" s="159"/>
      <c r="BI120" s="158"/>
      <c r="BJ120" s="159"/>
      <c r="BK120" s="158"/>
      <c r="BL120" s="159"/>
      <c r="BM120" s="158"/>
      <c r="BN120" s="160"/>
      <c r="BO120" s="196" t="str">
        <f t="shared" si="190"/>
        <v/>
      </c>
      <c r="BP120" s="159"/>
      <c r="BQ120" s="161"/>
    </row>
    <row r="121" spans="1:69" x14ac:dyDescent="0.35">
      <c r="AT121"/>
      <c r="AU121"/>
      <c r="AW121"/>
      <c r="BA121"/>
    </row>
    <row r="122" spans="1:69" x14ac:dyDescent="0.35">
      <c r="AT122"/>
      <c r="AU122"/>
      <c r="AW122"/>
      <c r="BA122"/>
    </row>
    <row r="123" spans="1:69" x14ac:dyDescent="0.35">
      <c r="AT123"/>
      <c r="AU123"/>
      <c r="AW123"/>
      <c r="BA123"/>
    </row>
    <row r="124" spans="1:69" x14ac:dyDescent="0.35">
      <c r="AT124"/>
      <c r="AU124"/>
      <c r="AW124"/>
      <c r="BA124"/>
    </row>
    <row r="125" spans="1:69" x14ac:dyDescent="0.35">
      <c r="AT125"/>
      <c r="AU125"/>
      <c r="AW125"/>
      <c r="BA125"/>
    </row>
    <row r="126" spans="1:69" x14ac:dyDescent="0.35">
      <c r="AT126"/>
      <c r="AU126"/>
      <c r="AW126"/>
      <c r="BA126"/>
    </row>
    <row r="127" spans="1:69" x14ac:dyDescent="0.35">
      <c r="AT127"/>
      <c r="AU127"/>
      <c r="AW127"/>
      <c r="BA127"/>
    </row>
    <row r="128" spans="1:69" x14ac:dyDescent="0.35">
      <c r="AT128"/>
      <c r="AU128"/>
      <c r="AW128"/>
      <c r="BA128"/>
    </row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</sheetData>
  <sheetProtection sheet="1" objects="1" scenarios="1"/>
  <mergeCells count="100">
    <mergeCell ref="AD5:AE5"/>
    <mergeCell ref="A1:BQ1"/>
    <mergeCell ref="A2:BQ2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BB5:BC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P5:BQ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BD5:BE5"/>
    <mergeCell ref="BF5:BG5"/>
    <mergeCell ref="BH5:BI5"/>
    <mergeCell ref="BJ5:BK5"/>
    <mergeCell ref="BL5:BM5"/>
    <mergeCell ref="BN5:BO5"/>
    <mergeCell ref="AR6:AS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BP6:BQ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Z12:AA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AX12:AY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BL12:BM12"/>
    <mergeCell ref="BP12:BQ12"/>
    <mergeCell ref="AZ12:BA12"/>
    <mergeCell ref="BB12:BC12"/>
    <mergeCell ref="BD12:BE12"/>
    <mergeCell ref="BF12:BG12"/>
    <mergeCell ref="BH12:BI12"/>
    <mergeCell ref="BJ12:BK12"/>
  </mergeCells>
  <conditionalFormatting sqref="D77:BL88">
    <cfRule type="cellIs" dxfId="19" priority="9" operator="lessThan">
      <formula>0</formula>
    </cfRule>
  </conditionalFormatting>
  <conditionalFormatting sqref="D7:BM11 BP7:BQ104 BO7:BO120">
    <cfRule type="cellIs" dxfId="18" priority="1" operator="lessThan">
      <formula>0</formula>
    </cfRule>
  </conditionalFormatting>
  <conditionalFormatting sqref="D22:BM22">
    <cfRule type="cellIs" dxfId="17" priority="2" operator="lessThan">
      <formula>0</formula>
    </cfRule>
  </conditionalFormatting>
  <conditionalFormatting sqref="D30:BM31">
    <cfRule type="cellIs" dxfId="16" priority="3" operator="lessThan">
      <formula>0</formula>
    </cfRule>
  </conditionalFormatting>
  <conditionalFormatting sqref="D42:BM42">
    <cfRule type="cellIs" dxfId="15" priority="4" operator="lessThan">
      <formula>0</formula>
    </cfRule>
  </conditionalFormatting>
  <conditionalFormatting sqref="D49:BM50">
    <cfRule type="cellIs" dxfId="14" priority="5" operator="lessThan">
      <formula>0</formula>
    </cfRule>
  </conditionalFormatting>
  <conditionalFormatting sqref="D54:BM54">
    <cfRule type="cellIs" dxfId="13" priority="6" operator="lessThan">
      <formula>0</formula>
    </cfRule>
  </conditionalFormatting>
  <conditionalFormatting sqref="D57:BM59">
    <cfRule type="cellIs" dxfId="12" priority="7" operator="lessThan">
      <formula>0</formula>
    </cfRule>
  </conditionalFormatting>
  <conditionalFormatting sqref="D61:BM75">
    <cfRule type="cellIs" dxfId="11" priority="8" operator="lessThan">
      <formula>0</formula>
    </cfRule>
  </conditionalFormatting>
  <conditionalFormatting sqref="E91:BM104">
    <cfRule type="cellIs" dxfId="10" priority="10" operator="lessThan">
      <formula>0</formula>
    </cfRule>
  </conditionalFormatting>
  <pageMargins left="0.25" right="0.25" top="0.75" bottom="0.75" header="0.3" footer="0.3"/>
  <pageSetup scale="1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E510-4264-4A0B-83EC-2F8B56764D5E}">
  <sheetPr>
    <pageSetUpPr fitToPage="1"/>
  </sheetPr>
  <dimension ref="A1:BX134"/>
  <sheetViews>
    <sheetView zoomScaleNormal="100" workbookViewId="0">
      <pane xSplit="1" ySplit="12" topLeftCell="D13" activePane="bottomRight" state="frozen"/>
      <selection pane="topRight" activeCell="B1" sqref="B1"/>
      <selection pane="bottomLeft" activeCell="A9" sqref="A9"/>
      <selection pane="bottomRight" activeCell="I21" sqref="I21"/>
    </sheetView>
  </sheetViews>
  <sheetFormatPr defaultRowHeight="14.5" x14ac:dyDescent="0.35"/>
  <cols>
    <col min="1" max="1" width="28.54296875" customWidth="1"/>
    <col min="2" max="2" width="15.26953125" customWidth="1"/>
    <col min="3" max="3" width="18.1796875" customWidth="1"/>
    <col min="4" max="45" width="11.81640625" customWidth="1"/>
    <col min="46" max="47" width="11.81640625" style="3" customWidth="1"/>
    <col min="48" max="48" width="11.81640625" customWidth="1"/>
    <col min="49" max="49" width="11.81640625" style="3" customWidth="1"/>
    <col min="50" max="52" width="11.81640625" customWidth="1"/>
    <col min="53" max="53" width="11.81640625" style="3" customWidth="1"/>
    <col min="54" max="65" width="11.81640625" customWidth="1"/>
    <col min="66" max="69" width="15.54296875" customWidth="1"/>
    <col min="70" max="70" width="12.7265625" customWidth="1"/>
    <col min="71" max="71" width="11.1796875" bestFit="1" customWidth="1"/>
    <col min="72" max="72" width="14.81640625" customWidth="1"/>
    <col min="73" max="73" width="8.81640625" customWidth="1"/>
    <col min="74" max="74" width="11.26953125" customWidth="1"/>
    <col min="75" max="75" width="9.26953125" bestFit="1" customWidth="1"/>
    <col min="76" max="76" width="13.453125" customWidth="1"/>
  </cols>
  <sheetData>
    <row r="1" spans="1:76" ht="48" customHeight="1" x14ac:dyDescent="0.35">
      <c r="A1" s="241" t="str">
        <f>"TEXAN FILLING STATION — "&amp;UPPER(TEXT(B3,"MMMM YYYY"))&amp;" DAILY CONTROL"</f>
        <v>TEXAN FILLING STATION — AUGUST 2027 DAILY CONTROL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  <c r="BL1" s="233"/>
      <c r="BM1" s="233"/>
      <c r="BN1" s="233"/>
      <c r="BO1" s="233"/>
      <c r="BP1" s="233"/>
      <c r="BQ1" s="233"/>
    </row>
    <row r="2" spans="1:76" ht="24" customHeight="1" x14ac:dyDescent="0.35">
      <c r="A2" s="234" t="s">
        <v>108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  <c r="BP2" s="234"/>
      <c r="BQ2" s="234"/>
    </row>
    <row r="3" spans="1:76" x14ac:dyDescent="0.35">
      <c r="A3" s="26" t="s">
        <v>109</v>
      </c>
      <c r="B3" s="27">
        <v>46600</v>
      </c>
      <c r="C3" s="28" t="s">
        <v>110</v>
      </c>
      <c r="D3" s="28" t="s">
        <v>111</v>
      </c>
      <c r="E3" s="29" t="s">
        <v>112</v>
      </c>
      <c r="F3" s="30" t="s">
        <v>113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2"/>
      <c r="AU3" s="32"/>
      <c r="AV3" s="31"/>
      <c r="AW3" s="32"/>
      <c r="AX3" s="31"/>
      <c r="AY3" s="31"/>
      <c r="AZ3" s="31"/>
      <c r="BA3" s="32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</row>
    <row r="4" spans="1:76" ht="15" thickBot="1" x14ac:dyDescent="0.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2"/>
      <c r="AU4" s="32"/>
      <c r="AV4" s="31"/>
      <c r="AW4" s="32"/>
      <c r="AX4" s="31"/>
      <c r="AY4" s="31"/>
      <c r="AZ4" s="31"/>
      <c r="BA4" s="32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</row>
    <row r="5" spans="1:76" ht="16.149999999999999" customHeight="1" x14ac:dyDescent="0.35">
      <c r="A5" s="164">
        <f>68*0.1</f>
        <v>6.8000000000000007</v>
      </c>
      <c r="B5" s="33"/>
      <c r="C5" s="34" t="s">
        <v>116</v>
      </c>
      <c r="D5" s="235" t="str">
        <f>IF(D6="","",UPPER(TEXT(D6,"dddd")))</f>
        <v>SUNDAY</v>
      </c>
      <c r="E5" s="229"/>
      <c r="F5" s="228" t="str">
        <f>IF(F6="","",UPPER(TEXT(F6,"dddd")))</f>
        <v>MONDAY</v>
      </c>
      <c r="G5" s="229"/>
      <c r="H5" s="228" t="str">
        <f>IF(H6="","",UPPER(TEXT(H6,"dddd")))</f>
        <v>TUESDAY</v>
      </c>
      <c r="I5" s="229"/>
      <c r="J5" s="228" t="str">
        <f>IF(J6="","",UPPER(TEXT(J6,"dddd")))</f>
        <v>WEDNESDAY</v>
      </c>
      <c r="K5" s="229"/>
      <c r="L5" s="228" t="str">
        <f>IF(L6="","",UPPER(TEXT(L6,"dddd")))</f>
        <v>THURSDAY</v>
      </c>
      <c r="M5" s="229"/>
      <c r="N5" s="228" t="str">
        <f>IF(N6="","",UPPER(TEXT(N6,"dddd")))</f>
        <v>FRIDAY</v>
      </c>
      <c r="O5" s="229"/>
      <c r="P5" s="228" t="str">
        <f>IF(P6="","",UPPER(TEXT(P6,"dddd")))</f>
        <v>SATURDAY</v>
      </c>
      <c r="Q5" s="229"/>
      <c r="R5" s="228" t="str">
        <f>IF(R6="","",UPPER(TEXT(R6,"dddd")))</f>
        <v>SUNDAY</v>
      </c>
      <c r="S5" s="229"/>
      <c r="T5" s="228" t="str">
        <f>IF(T6="","",UPPER(TEXT(T6,"dddd")))</f>
        <v>MONDAY</v>
      </c>
      <c r="U5" s="229"/>
      <c r="V5" s="228" t="str">
        <f>IF(V6="","",UPPER(TEXT(V6,"dddd")))</f>
        <v>TUESDAY</v>
      </c>
      <c r="W5" s="229"/>
      <c r="X5" s="228" t="str">
        <f>IF(X6="","",UPPER(TEXT(X6,"dddd")))</f>
        <v>WEDNESDAY</v>
      </c>
      <c r="Y5" s="229"/>
      <c r="Z5" s="228" t="str">
        <f>IF(Z6="","",UPPER(TEXT(Z6,"dddd")))</f>
        <v>THURSDAY</v>
      </c>
      <c r="AA5" s="229"/>
      <c r="AB5" s="228" t="str">
        <f>IF(AB6="","",UPPER(TEXT(AB6,"dddd")))</f>
        <v>FRIDAY</v>
      </c>
      <c r="AC5" s="229"/>
      <c r="AD5" s="228" t="str">
        <f>IF(AD6="","",UPPER(TEXT(AD6,"dddd")))</f>
        <v>SATURDAY</v>
      </c>
      <c r="AE5" s="229"/>
      <c r="AF5" s="228" t="str">
        <f>IF(AF6="","",UPPER(TEXT(AF6,"dddd")))</f>
        <v>SUNDAY</v>
      </c>
      <c r="AG5" s="229"/>
      <c r="AH5" s="228" t="str">
        <f>IF(AH6="","",UPPER(TEXT(AH6,"dddd")))</f>
        <v>MONDAY</v>
      </c>
      <c r="AI5" s="229"/>
      <c r="AJ5" s="228" t="str">
        <f>IF(AJ6="","",UPPER(TEXT(AJ6,"dddd")))</f>
        <v>TUESDAY</v>
      </c>
      <c r="AK5" s="229"/>
      <c r="AL5" s="228" t="str">
        <f>IF(AL6="","",UPPER(TEXT(AL6,"dddd")))</f>
        <v>WEDNESDAY</v>
      </c>
      <c r="AM5" s="229"/>
      <c r="AN5" s="228" t="str">
        <f>IF(AN6="","",UPPER(TEXT(AN6,"dddd")))</f>
        <v>THURSDAY</v>
      </c>
      <c r="AO5" s="229"/>
      <c r="AP5" s="228" t="str">
        <f>IF(AP6="","",UPPER(TEXT(AP6,"dddd")))</f>
        <v>FRIDAY</v>
      </c>
      <c r="AQ5" s="229"/>
      <c r="AR5" s="228" t="str">
        <f>IF(AR6="","",UPPER(TEXT(AR6,"dddd")))</f>
        <v>SATURDAY</v>
      </c>
      <c r="AS5" s="229"/>
      <c r="AT5" s="228" t="str">
        <f>IF(AT6="","",UPPER(TEXT(AT6,"dddd")))</f>
        <v>SUNDAY</v>
      </c>
      <c r="AU5" s="229"/>
      <c r="AV5" s="228" t="str">
        <f>IF(AV6="","",UPPER(TEXT(AV6,"dddd")))</f>
        <v>MONDAY</v>
      </c>
      <c r="AW5" s="229"/>
      <c r="AX5" s="228" t="str">
        <f>IF(AX6="","",UPPER(TEXT(AX6,"dddd")))</f>
        <v>TUESDAY</v>
      </c>
      <c r="AY5" s="229"/>
      <c r="AZ5" s="228" t="str">
        <f>IF(AZ6="","",UPPER(TEXT(AZ6,"dddd")))</f>
        <v>WEDNESDAY</v>
      </c>
      <c r="BA5" s="229"/>
      <c r="BB5" s="228" t="str">
        <f>IF(BB6="","",UPPER(TEXT(BB6,"dddd")))</f>
        <v>THURSDAY</v>
      </c>
      <c r="BC5" s="229"/>
      <c r="BD5" s="228" t="str">
        <f>IF(BD6="","",UPPER(TEXT(BD6,"dddd")))</f>
        <v>FRIDAY</v>
      </c>
      <c r="BE5" s="229"/>
      <c r="BF5" s="228" t="str">
        <f>IF(BF6="","",UPPER(TEXT(BF6,"dddd")))</f>
        <v>SATURDAY</v>
      </c>
      <c r="BG5" s="229"/>
      <c r="BH5" s="228" t="str">
        <f>IF(BH6="","",UPPER(TEXT(BH6,"dddd")))</f>
        <v>SUNDAY</v>
      </c>
      <c r="BI5" s="229"/>
      <c r="BJ5" s="228" t="str">
        <f>IF(BJ6="","",UPPER(TEXT(BJ6,"dddd")))</f>
        <v>MONDAY</v>
      </c>
      <c r="BK5" s="229"/>
      <c r="BL5" s="228" t="str">
        <f>IF(BL6="","",UPPER(TEXT(BL6,"dddd")))</f>
        <v>TUESDAY</v>
      </c>
      <c r="BM5" s="229"/>
      <c r="BN5" s="230" t="s">
        <v>114</v>
      </c>
      <c r="BO5" s="231"/>
      <c r="BP5" s="225" t="s">
        <v>118</v>
      </c>
      <c r="BQ5" s="226"/>
    </row>
    <row r="6" spans="1:76" x14ac:dyDescent="0.35">
      <c r="A6" s="35"/>
      <c r="B6" s="36"/>
      <c r="C6" s="37" t="s">
        <v>117</v>
      </c>
      <c r="D6" s="227">
        <f>IF($B$3="","",IF(MONTH($B$3+0)=MONTH($B$3),$B$3+0,""))</f>
        <v>46600</v>
      </c>
      <c r="E6" s="222"/>
      <c r="F6" s="220">
        <f>IF($B$3="","",IF(MONTH($B$3+1)=MONTH($B$3),$B$3+1,""))</f>
        <v>46601</v>
      </c>
      <c r="G6" s="222"/>
      <c r="H6" s="220">
        <f>IF($B$3="","",IF(MONTH($B$3+2)=MONTH($B$3),$B$3+2,""))</f>
        <v>46602</v>
      </c>
      <c r="I6" s="222"/>
      <c r="J6" s="220">
        <f>IF($B$3="","",IF(MONTH($B$3+3)=MONTH($B$3),$B$3+3,""))</f>
        <v>46603</v>
      </c>
      <c r="K6" s="222"/>
      <c r="L6" s="220">
        <f>IF($B$3="","",IF(MONTH($B$3+4)=MONTH($B$3),$B$3+4,""))</f>
        <v>46604</v>
      </c>
      <c r="M6" s="222"/>
      <c r="N6" s="220">
        <f>IF($B$3="","",IF(MONTH($B$3+5)=MONTH($B$3),$B$3+5,""))</f>
        <v>46605</v>
      </c>
      <c r="O6" s="222"/>
      <c r="P6" s="220">
        <f>IF($B$3="","",IF(MONTH($B$3+6)=MONTH($B$3),$B$3+6,""))</f>
        <v>46606</v>
      </c>
      <c r="Q6" s="222"/>
      <c r="R6" s="220">
        <f>IF($B$3="","",IF(MONTH($B$3+7)=MONTH($B$3),$B$3+7,""))</f>
        <v>46607</v>
      </c>
      <c r="S6" s="222"/>
      <c r="T6" s="220">
        <f>IF($B$3="","",IF(MONTH($B$3+8)=MONTH($B$3),$B$3+8,""))</f>
        <v>46608</v>
      </c>
      <c r="U6" s="222"/>
      <c r="V6" s="220">
        <f>IF($B$3="","",IF(MONTH($B$3+9)=MONTH($B$3),$B$3+9,""))</f>
        <v>46609</v>
      </c>
      <c r="W6" s="222"/>
      <c r="X6" s="220">
        <f>IF($B$3="","",IF(MONTH($B$3+10)=MONTH($B$3),$B$3+10,""))</f>
        <v>46610</v>
      </c>
      <c r="Y6" s="222"/>
      <c r="Z6" s="220">
        <f>IF($B$3="","",IF(MONTH($B$3+11)=MONTH($B$3),$B$3+11,""))</f>
        <v>46611</v>
      </c>
      <c r="AA6" s="222"/>
      <c r="AB6" s="220">
        <f>IF($B$3="","",IF(MONTH($B$3+12)=MONTH($B$3),$B$3+12,""))</f>
        <v>46612</v>
      </c>
      <c r="AC6" s="222"/>
      <c r="AD6" s="220">
        <f>IF($B$3="","",IF(MONTH($B$3+13)=MONTH($B$3),$B$3+13,""))</f>
        <v>46613</v>
      </c>
      <c r="AE6" s="222"/>
      <c r="AF6" s="220">
        <f>IF($B$3="","",IF(MONTH($B$3+14)=MONTH($B$3),$B$3+14,""))</f>
        <v>46614</v>
      </c>
      <c r="AG6" s="222"/>
      <c r="AH6" s="220">
        <f>IF($B$3="","",IF(MONTH($B$3+15)=MONTH($B$3),$B$3+15,""))</f>
        <v>46615</v>
      </c>
      <c r="AI6" s="222"/>
      <c r="AJ6" s="220">
        <f>IF($B$3="","",IF(MONTH($B$3+16)=MONTH($B$3),$B$3+16,""))</f>
        <v>46616</v>
      </c>
      <c r="AK6" s="222"/>
      <c r="AL6" s="220">
        <f>IF($B$3="","",IF(MONTH($B$3+17)=MONTH($B$3),$B$3+17,""))</f>
        <v>46617</v>
      </c>
      <c r="AM6" s="222"/>
      <c r="AN6" s="220">
        <f>IF($B$3="","",IF(MONTH($B$3+18)=MONTH($B$3),$B$3+18,""))</f>
        <v>46618</v>
      </c>
      <c r="AO6" s="222"/>
      <c r="AP6" s="220">
        <f>IF($B$3="","",IF(MONTH($B$3+19)=MONTH($B$3),$B$3+19,""))</f>
        <v>46619</v>
      </c>
      <c r="AQ6" s="222"/>
      <c r="AR6" s="220">
        <f>IF($B$3="","",IF(MONTH($B$3+20)=MONTH($B$3),$B$3+20,""))</f>
        <v>46620</v>
      </c>
      <c r="AS6" s="222"/>
      <c r="AT6" s="220">
        <f>IF($B$3="","",IF(MONTH($B$3+21)=MONTH($B$3),$B$3+21,""))</f>
        <v>46621</v>
      </c>
      <c r="AU6" s="222"/>
      <c r="AV6" s="220">
        <f>IF($B$3="","",IF(MONTH($B$3+22)=MONTH($B$3),$B$3+22,""))</f>
        <v>46622</v>
      </c>
      <c r="AW6" s="222"/>
      <c r="AX6" s="220">
        <f>IF($B$3="","",IF(MONTH($B$3+23)=MONTH($B$3),$B$3+23,""))</f>
        <v>46623</v>
      </c>
      <c r="AY6" s="222"/>
      <c r="AZ6" s="220">
        <f>IF($B$3="","",IF(MONTH($B$3+24)=MONTH($B$3),$B$3+24,""))</f>
        <v>46624</v>
      </c>
      <c r="BA6" s="222"/>
      <c r="BB6" s="220">
        <f>IF($B$3="","",IF(MONTH($B$3+25)=MONTH($B$3),$B$3+25,""))</f>
        <v>46625</v>
      </c>
      <c r="BC6" s="222"/>
      <c r="BD6" s="220">
        <f>IF($B$3="","",IF(MONTH($B$3+26)=MONTH($B$3),$B$3+26,""))</f>
        <v>46626</v>
      </c>
      <c r="BE6" s="222"/>
      <c r="BF6" s="220">
        <f>IF($B$3="","",IF(MONTH($B$3+27)=MONTH($B$3),$B$3+27,""))</f>
        <v>46627</v>
      </c>
      <c r="BG6" s="222"/>
      <c r="BH6" s="220">
        <f>IF($B$3="","",IF(MONTH($B$3+28)=MONTH($B$3),$B$3+28,""))</f>
        <v>46628</v>
      </c>
      <c r="BI6" s="222"/>
      <c r="BJ6" s="220">
        <f>IF($B$3="","",IF(MONTH($B$3+29)=MONTH($B$3),$B$3+29,""))</f>
        <v>46629</v>
      </c>
      <c r="BK6" s="222"/>
      <c r="BL6" s="220">
        <f>IF($B$3="","",IF(MONTH($B$3+30)=MONTH($B$3),$B$3+30,""))</f>
        <v>46630</v>
      </c>
      <c r="BM6" s="222"/>
      <c r="BN6" s="223" t="s">
        <v>115</v>
      </c>
      <c r="BO6" s="224"/>
      <c r="BP6" s="220">
        <f>IF($B$3="","",EOMONTH($B$3,0)+1)</f>
        <v>46631</v>
      </c>
      <c r="BQ6" s="221"/>
    </row>
    <row r="7" spans="1:76" x14ac:dyDescent="0.35">
      <c r="A7" s="38" t="s">
        <v>20</v>
      </c>
      <c r="B7" s="39"/>
      <c r="C7" s="40"/>
      <c r="D7" s="41"/>
      <c r="E7" s="165">
        <f>E59</f>
        <v>0</v>
      </c>
      <c r="F7" s="42"/>
      <c r="G7" s="165">
        <f>G59</f>
        <v>0</v>
      </c>
      <c r="H7" s="42"/>
      <c r="I7" s="165">
        <f>I59</f>
        <v>0</v>
      </c>
      <c r="J7" s="42"/>
      <c r="K7" s="165">
        <f>K59</f>
        <v>0</v>
      </c>
      <c r="L7" s="42"/>
      <c r="M7" s="165">
        <f>M59</f>
        <v>0</v>
      </c>
      <c r="N7" s="42"/>
      <c r="O7" s="165">
        <f>O59</f>
        <v>0</v>
      </c>
      <c r="P7" s="42"/>
      <c r="Q7" s="165">
        <f>Q59</f>
        <v>0</v>
      </c>
      <c r="R7" s="42"/>
      <c r="S7" s="165">
        <f>S59</f>
        <v>0</v>
      </c>
      <c r="T7" s="42"/>
      <c r="U7" s="165">
        <f>U59</f>
        <v>0</v>
      </c>
      <c r="V7" s="42"/>
      <c r="W7" s="165">
        <f>W59</f>
        <v>0</v>
      </c>
      <c r="X7" s="42"/>
      <c r="Y7" s="165">
        <f>Y59</f>
        <v>0</v>
      </c>
      <c r="Z7" s="42"/>
      <c r="AA7" s="165">
        <f>AA59</f>
        <v>0</v>
      </c>
      <c r="AB7" s="42"/>
      <c r="AC7" s="165">
        <f>AC59</f>
        <v>0</v>
      </c>
      <c r="AD7" s="42"/>
      <c r="AE7" s="165">
        <f>AE59</f>
        <v>0</v>
      </c>
      <c r="AF7" s="42"/>
      <c r="AG7" s="165">
        <f>AG59</f>
        <v>0</v>
      </c>
      <c r="AH7" s="42"/>
      <c r="AI7" s="165">
        <f>AI59</f>
        <v>0</v>
      </c>
      <c r="AJ7" s="42"/>
      <c r="AK7" s="165">
        <f>AK59</f>
        <v>0</v>
      </c>
      <c r="AL7" s="42"/>
      <c r="AM7" s="165">
        <f>AM59</f>
        <v>0</v>
      </c>
      <c r="AN7" s="42"/>
      <c r="AO7" s="165">
        <f>AO59</f>
        <v>0</v>
      </c>
      <c r="AP7" s="42"/>
      <c r="AQ7" s="165">
        <f>AQ59</f>
        <v>0</v>
      </c>
      <c r="AR7" s="42"/>
      <c r="AS7" s="165">
        <f>AS59</f>
        <v>0</v>
      </c>
      <c r="AT7" s="42"/>
      <c r="AU7" s="165">
        <f>AU59</f>
        <v>0</v>
      </c>
      <c r="AV7" s="42"/>
      <c r="AW7" s="165">
        <f>AW59</f>
        <v>0</v>
      </c>
      <c r="AX7" s="42"/>
      <c r="AY7" s="165">
        <f>AY59</f>
        <v>0</v>
      </c>
      <c r="AZ7" s="42"/>
      <c r="BA7" s="165">
        <f>BA59</f>
        <v>0</v>
      </c>
      <c r="BB7" s="42"/>
      <c r="BC7" s="165">
        <f>BC59</f>
        <v>0</v>
      </c>
      <c r="BD7" s="42"/>
      <c r="BE7" s="165">
        <f>BE59</f>
        <v>0</v>
      </c>
      <c r="BF7" s="42"/>
      <c r="BG7" s="165">
        <f>BG59</f>
        <v>0</v>
      </c>
      <c r="BH7" s="42"/>
      <c r="BI7" s="165">
        <f>BI59</f>
        <v>0</v>
      </c>
      <c r="BJ7" s="42"/>
      <c r="BK7" s="165">
        <f>BK59</f>
        <v>0</v>
      </c>
      <c r="BL7" s="42"/>
      <c r="BM7" s="165">
        <f>BM59</f>
        <v>0</v>
      </c>
      <c r="BN7" s="43"/>
      <c r="BO7" s="169">
        <f>IF(COUNT(E7,G7,I7,K7,M7,O7,Q7,S7,U7,W7,Y7,AA7,AC7,AE7,AG7,AI7,AK7,AM7,AO7,AQ7,AS7,AU7,AW7,AY7,BA7,BC7,BE7,BG7,BI7,BK7,BM7)=0,"",SUM(E7,G7,I7,K7,M7,O7,Q7,S7,U7,W7,Y7,AA7,AC7,AE7,AG7,AI7,AK7,AM7,AO7,AQ7,AS7,AU7,AW7,AY7,BA7,BC7,BE7,BG7,BI7,BK7,BM7))</f>
        <v>0</v>
      </c>
      <c r="BP7" s="42"/>
      <c r="BQ7" s="171">
        <f>BQ59</f>
        <v>0</v>
      </c>
    </row>
    <row r="8" spans="1:76" x14ac:dyDescent="0.35">
      <c r="A8" s="38" t="s">
        <v>49</v>
      </c>
      <c r="B8" s="39"/>
      <c r="C8" s="40"/>
      <c r="D8" s="41"/>
      <c r="E8" s="165">
        <f>E58</f>
        <v>0</v>
      </c>
      <c r="F8" s="42"/>
      <c r="G8" s="165">
        <f>G58</f>
        <v>0</v>
      </c>
      <c r="H8" s="42"/>
      <c r="I8" s="165">
        <f>I58</f>
        <v>0</v>
      </c>
      <c r="J8" s="42"/>
      <c r="K8" s="165">
        <f>K58</f>
        <v>0</v>
      </c>
      <c r="L8" s="42"/>
      <c r="M8" s="165">
        <f>M58</f>
        <v>0</v>
      </c>
      <c r="N8" s="42"/>
      <c r="O8" s="165">
        <f>O58</f>
        <v>0</v>
      </c>
      <c r="P8" s="42"/>
      <c r="Q8" s="165">
        <f>Q58</f>
        <v>0</v>
      </c>
      <c r="R8" s="42"/>
      <c r="S8" s="165">
        <f>S58</f>
        <v>0</v>
      </c>
      <c r="T8" s="42"/>
      <c r="U8" s="165">
        <f>U58</f>
        <v>0</v>
      </c>
      <c r="V8" s="42"/>
      <c r="W8" s="165">
        <f>W58</f>
        <v>0</v>
      </c>
      <c r="X8" s="42"/>
      <c r="Y8" s="165">
        <f>Y58</f>
        <v>0</v>
      </c>
      <c r="Z8" s="42"/>
      <c r="AA8" s="165">
        <f>AA58</f>
        <v>0</v>
      </c>
      <c r="AB8" s="42"/>
      <c r="AC8" s="165">
        <f>AC58</f>
        <v>0</v>
      </c>
      <c r="AD8" s="42"/>
      <c r="AE8" s="165">
        <f>AE58</f>
        <v>0</v>
      </c>
      <c r="AF8" s="42"/>
      <c r="AG8" s="165">
        <f>AG58</f>
        <v>0</v>
      </c>
      <c r="AH8" s="42"/>
      <c r="AI8" s="165">
        <f>AI58</f>
        <v>0</v>
      </c>
      <c r="AJ8" s="42"/>
      <c r="AK8" s="165">
        <f>AK58</f>
        <v>0</v>
      </c>
      <c r="AL8" s="42"/>
      <c r="AM8" s="165">
        <f>AM58</f>
        <v>0</v>
      </c>
      <c r="AN8" s="42"/>
      <c r="AO8" s="165">
        <f>AO58</f>
        <v>0</v>
      </c>
      <c r="AP8" s="42"/>
      <c r="AQ8" s="165">
        <f>AQ58</f>
        <v>0</v>
      </c>
      <c r="AR8" s="42"/>
      <c r="AS8" s="165">
        <f>AS58</f>
        <v>0</v>
      </c>
      <c r="AT8" s="42"/>
      <c r="AU8" s="168">
        <f>AU58</f>
        <v>0</v>
      </c>
      <c r="AV8" s="42"/>
      <c r="AW8" s="165">
        <f>AW58</f>
        <v>0</v>
      </c>
      <c r="AX8" s="42"/>
      <c r="AY8" s="165">
        <f>AY58</f>
        <v>0</v>
      </c>
      <c r="AZ8" s="42"/>
      <c r="BA8" s="165">
        <f>BA58</f>
        <v>0</v>
      </c>
      <c r="BB8" s="42"/>
      <c r="BC8" s="165">
        <f>BC58</f>
        <v>0</v>
      </c>
      <c r="BD8" s="42"/>
      <c r="BE8" s="165">
        <f>BE58</f>
        <v>0</v>
      </c>
      <c r="BF8" s="42"/>
      <c r="BG8" s="165">
        <f>BG58</f>
        <v>0</v>
      </c>
      <c r="BH8" s="42"/>
      <c r="BI8" s="165">
        <f>BI58</f>
        <v>0</v>
      </c>
      <c r="BJ8" s="42"/>
      <c r="BK8" s="165">
        <f>BK58</f>
        <v>0</v>
      </c>
      <c r="BL8" s="42"/>
      <c r="BM8" s="165">
        <f>BM58</f>
        <v>0</v>
      </c>
      <c r="BN8" s="43"/>
      <c r="BO8" s="169">
        <f>IF(COUNT(E8,G8,I8,K8,M8,O8,Q8,S8,U8,W8,Y8,AA8,AC8,AE8,AG8,AI8,AK8,AM8,AO8,AQ8,AS8,AU8,AW8,AY8,BA8,BC8,BE8,BG8,BI8,BK8,BM8)=0,"",SUM(E8,G8,I8,K8,M8,O8,Q8,S8,U8,W8,Y8,AA8,AC8,AE8,AG8,AI8,AK8,AM8,AO8,AQ8,AS8,AU8,AW8,AY8,BA8,BC8,BE8,BG8,BI8,BK8,BM8))</f>
        <v>0</v>
      </c>
      <c r="BP8" s="42"/>
      <c r="BQ8" s="171">
        <f>BQ58</f>
        <v>0</v>
      </c>
    </row>
    <row r="9" spans="1:76" x14ac:dyDescent="0.35">
      <c r="A9" s="38" t="s">
        <v>50</v>
      </c>
      <c r="B9" s="39"/>
      <c r="C9" s="40"/>
      <c r="D9" s="41"/>
      <c r="E9" s="165" t="e">
        <f>E61</f>
        <v>#VALUE!</v>
      </c>
      <c r="F9" s="42"/>
      <c r="G9" s="165">
        <f>G61</f>
        <v>0</v>
      </c>
      <c r="H9" s="42"/>
      <c r="I9" s="165">
        <f>I61</f>
        <v>0</v>
      </c>
      <c r="J9" s="42"/>
      <c r="K9" s="165">
        <f>K61</f>
        <v>0</v>
      </c>
      <c r="L9" s="42"/>
      <c r="M9" s="165">
        <f>M61</f>
        <v>0</v>
      </c>
      <c r="N9" s="42"/>
      <c r="O9" s="165">
        <f>O61</f>
        <v>0</v>
      </c>
      <c r="P9" s="42"/>
      <c r="Q9" s="165">
        <f>Q61</f>
        <v>0</v>
      </c>
      <c r="R9" s="42"/>
      <c r="S9" s="165">
        <f>S61</f>
        <v>0</v>
      </c>
      <c r="T9" s="42"/>
      <c r="U9" s="165">
        <f>U61</f>
        <v>0</v>
      </c>
      <c r="V9" s="42"/>
      <c r="W9" s="165">
        <f>W61</f>
        <v>0</v>
      </c>
      <c r="X9" s="42"/>
      <c r="Y9" s="165">
        <f>Y61</f>
        <v>0</v>
      </c>
      <c r="Z9" s="42"/>
      <c r="AA9" s="165">
        <f>AA61</f>
        <v>0</v>
      </c>
      <c r="AB9" s="42"/>
      <c r="AC9" s="165">
        <f>AC61</f>
        <v>0</v>
      </c>
      <c r="AD9" s="42"/>
      <c r="AE9" s="165">
        <f>AE61</f>
        <v>0</v>
      </c>
      <c r="AF9" s="42"/>
      <c r="AG9" s="165">
        <f>AG61</f>
        <v>0</v>
      </c>
      <c r="AH9" s="42"/>
      <c r="AI9" s="165">
        <f>AI61</f>
        <v>0</v>
      </c>
      <c r="AJ9" s="42"/>
      <c r="AK9" s="165">
        <f>AK61</f>
        <v>0</v>
      </c>
      <c r="AL9" s="42"/>
      <c r="AM9" s="165">
        <f>AM61</f>
        <v>0</v>
      </c>
      <c r="AN9" s="42"/>
      <c r="AO9" s="165">
        <f>AO61</f>
        <v>0</v>
      </c>
      <c r="AP9" s="42"/>
      <c r="AQ9" s="165">
        <f>AQ61</f>
        <v>0</v>
      </c>
      <c r="AR9" s="42"/>
      <c r="AS9" s="165">
        <f>AS61</f>
        <v>0</v>
      </c>
      <c r="AT9" s="42"/>
      <c r="AU9" s="165">
        <f>AU61</f>
        <v>0</v>
      </c>
      <c r="AV9" s="42"/>
      <c r="AW9" s="165">
        <f>AW61</f>
        <v>0</v>
      </c>
      <c r="AX9" s="42"/>
      <c r="AY9" s="165">
        <f>AY61</f>
        <v>0</v>
      </c>
      <c r="AZ9" s="42"/>
      <c r="BA9" s="165">
        <f>BA61</f>
        <v>0</v>
      </c>
      <c r="BB9" s="42"/>
      <c r="BC9" s="165">
        <f>BC61</f>
        <v>0</v>
      </c>
      <c r="BD9" s="42"/>
      <c r="BE9" s="165">
        <f>BE61</f>
        <v>0</v>
      </c>
      <c r="BF9" s="42"/>
      <c r="BG9" s="165">
        <f>BG61</f>
        <v>0</v>
      </c>
      <c r="BH9" s="42"/>
      <c r="BI9" s="165">
        <f>BI61</f>
        <v>0</v>
      </c>
      <c r="BJ9" s="42"/>
      <c r="BK9" s="165">
        <f>BK61</f>
        <v>0</v>
      </c>
      <c r="BL9" s="42"/>
      <c r="BM9" s="165">
        <f>BM61</f>
        <v>0</v>
      </c>
      <c r="BN9" s="43"/>
      <c r="BO9" s="169" t="e">
        <f>IF(COUNT(E9,G9,I9,K9,M9,O9,Q9,S9,U9,W9,Y9,AA9,AC9,AE9,AG9,AI9,AK9,AM9,AO9,AQ9,AS9,AU9,AW9,AY9,BA9,BC9,BE9,BG9,BI9,BK9,BM9)=0,"",SUM(E9,G9,I9,K9,M9,O9,Q9,S9,U9,W9,Y9,AA9,AC9,AE9,AG9,AI9,AK9,AM9,AO9,AQ9,AS9,AU9,AW9,AY9,BA9,BC9,BE9,BG9,BI9,BK9,BM9))</f>
        <v>#VALUE!</v>
      </c>
      <c r="BP9" s="42"/>
      <c r="BQ9" s="171">
        <f>BQ61</f>
        <v>0</v>
      </c>
    </row>
    <row r="10" spans="1:76" s="2" customFormat="1" x14ac:dyDescent="0.35">
      <c r="A10" s="44" t="s">
        <v>47</v>
      </c>
      <c r="B10" s="45"/>
      <c r="C10" s="46">
        <v>1413.73</v>
      </c>
      <c r="D10" s="47"/>
      <c r="E10" s="166" t="e">
        <f>E73</f>
        <v>#VALUE!</v>
      </c>
      <c r="F10" s="49"/>
      <c r="G10" s="166">
        <f t="shared" ref="G10:BQ10" si="0">G73</f>
        <v>0</v>
      </c>
      <c r="H10" s="49"/>
      <c r="I10" s="166">
        <f t="shared" si="0"/>
        <v>0</v>
      </c>
      <c r="J10" s="49"/>
      <c r="K10" s="166">
        <f t="shared" si="0"/>
        <v>0</v>
      </c>
      <c r="L10" s="49"/>
      <c r="M10" s="166">
        <f t="shared" si="0"/>
        <v>0</v>
      </c>
      <c r="N10" s="49"/>
      <c r="O10" s="166">
        <f t="shared" si="0"/>
        <v>0</v>
      </c>
      <c r="P10" s="49"/>
      <c r="Q10" s="166">
        <f t="shared" si="0"/>
        <v>0</v>
      </c>
      <c r="R10" s="49"/>
      <c r="S10" s="166">
        <f t="shared" si="0"/>
        <v>0</v>
      </c>
      <c r="T10" s="49"/>
      <c r="U10" s="166">
        <f t="shared" si="0"/>
        <v>0</v>
      </c>
      <c r="V10" s="49"/>
      <c r="W10" s="166">
        <f t="shared" si="0"/>
        <v>0</v>
      </c>
      <c r="X10" s="49"/>
      <c r="Y10" s="166">
        <f t="shared" si="0"/>
        <v>0</v>
      </c>
      <c r="Z10" s="49"/>
      <c r="AA10" s="166">
        <f t="shared" si="0"/>
        <v>0</v>
      </c>
      <c r="AB10" s="49"/>
      <c r="AC10" s="166">
        <f t="shared" si="0"/>
        <v>0</v>
      </c>
      <c r="AD10" s="49"/>
      <c r="AE10" s="166">
        <f t="shared" si="0"/>
        <v>0</v>
      </c>
      <c r="AF10" s="49"/>
      <c r="AG10" s="166">
        <f t="shared" si="0"/>
        <v>0</v>
      </c>
      <c r="AH10" s="49"/>
      <c r="AI10" s="166">
        <f t="shared" si="0"/>
        <v>0</v>
      </c>
      <c r="AJ10" s="49"/>
      <c r="AK10" s="166">
        <f t="shared" si="0"/>
        <v>0</v>
      </c>
      <c r="AL10" s="49"/>
      <c r="AM10" s="166">
        <f t="shared" si="0"/>
        <v>0</v>
      </c>
      <c r="AN10" s="49"/>
      <c r="AO10" s="166">
        <f t="shared" si="0"/>
        <v>0</v>
      </c>
      <c r="AP10" s="49"/>
      <c r="AQ10" s="166">
        <f t="shared" si="0"/>
        <v>0</v>
      </c>
      <c r="AR10" s="49"/>
      <c r="AS10" s="166">
        <f t="shared" si="0"/>
        <v>0</v>
      </c>
      <c r="AT10" s="49"/>
      <c r="AU10" s="166">
        <f t="shared" si="0"/>
        <v>0</v>
      </c>
      <c r="AV10" s="49"/>
      <c r="AW10" s="166">
        <f t="shared" si="0"/>
        <v>0</v>
      </c>
      <c r="AX10" s="49"/>
      <c r="AY10" s="166">
        <f t="shared" si="0"/>
        <v>0</v>
      </c>
      <c r="AZ10" s="49"/>
      <c r="BA10" s="166">
        <f t="shared" si="0"/>
        <v>0</v>
      </c>
      <c r="BB10" s="49"/>
      <c r="BC10" s="166">
        <f t="shared" si="0"/>
        <v>0</v>
      </c>
      <c r="BD10" s="49"/>
      <c r="BE10" s="166">
        <f t="shared" si="0"/>
        <v>0</v>
      </c>
      <c r="BF10" s="49"/>
      <c r="BG10" s="166">
        <f t="shared" si="0"/>
        <v>0</v>
      </c>
      <c r="BH10" s="49"/>
      <c r="BI10" s="166">
        <f t="shared" si="0"/>
        <v>0</v>
      </c>
      <c r="BJ10" s="49"/>
      <c r="BK10" s="166">
        <f t="shared" si="0"/>
        <v>0</v>
      </c>
      <c r="BL10" s="49"/>
      <c r="BM10" s="166">
        <f t="shared" si="0"/>
        <v>0</v>
      </c>
      <c r="BN10" s="50"/>
      <c r="BO10" s="170" t="e">
        <f>IF(COUNT(E10,G10,I10,K10,M10,O10,Q10,S10,U10,W10,Y10,AA10,AC10,AE10,AG10,AI10,AK10,AM10,AO10,AQ10,AS10,AU10,AW10,AY10,BA10,BC10,BE10,BG10,BI10,BK10,BM10)=0,"",SUM(E10,G10,I10,K10,M10,O10,Q10,S10,U10,W10,Y10,AA10,AC10,AE10,AG10,AI10,AK10,AM10,AO10,AQ10,AS10,AU10,AW10,AY10,BA10,BC10,BE10,BG10,BI10,BK10,BM10))</f>
        <v>#VALUE!</v>
      </c>
      <c r="BP10" s="49"/>
      <c r="BQ10" s="172">
        <f t="shared" si="0"/>
        <v>0</v>
      </c>
      <c r="BR10"/>
      <c r="BS10"/>
      <c r="BT10"/>
      <c r="BU10"/>
      <c r="BV10"/>
      <c r="BW10"/>
      <c r="BX10"/>
    </row>
    <row r="11" spans="1:76" s="2" customFormat="1" x14ac:dyDescent="0.35">
      <c r="A11" s="44" t="s">
        <v>48</v>
      </c>
      <c r="B11" s="45"/>
      <c r="C11" s="46">
        <v>5252.8</v>
      </c>
      <c r="D11" s="47"/>
      <c r="E11" s="166">
        <f>E75+E56</f>
        <v>0</v>
      </c>
      <c r="F11" s="49"/>
      <c r="G11" s="166">
        <f>G75+G56</f>
        <v>0</v>
      </c>
      <c r="H11" s="49"/>
      <c r="I11" s="166">
        <f>I75+I56</f>
        <v>0</v>
      </c>
      <c r="J11" s="49"/>
      <c r="K11" s="166">
        <f>K75+K56</f>
        <v>0</v>
      </c>
      <c r="L11" s="49"/>
      <c r="M11" s="166">
        <f>M75+M56</f>
        <v>0</v>
      </c>
      <c r="N11" s="49"/>
      <c r="O11" s="166">
        <f>O75+O56</f>
        <v>0</v>
      </c>
      <c r="P11" s="49"/>
      <c r="Q11" s="166">
        <f>Q75+Q56</f>
        <v>0</v>
      </c>
      <c r="R11" s="49"/>
      <c r="S11" s="166">
        <f>S75+S56</f>
        <v>0</v>
      </c>
      <c r="T11" s="49"/>
      <c r="U11" s="166">
        <f>U75+U56</f>
        <v>0</v>
      </c>
      <c r="V11" s="49"/>
      <c r="W11" s="166">
        <f>W75+W56</f>
        <v>0</v>
      </c>
      <c r="X11" s="167">
        <f t="shared" ref="X11:AL11" si="1">X75</f>
        <v>0</v>
      </c>
      <c r="Y11" s="166">
        <f>Y75+Y56</f>
        <v>0</v>
      </c>
      <c r="Z11" s="167">
        <f t="shared" si="1"/>
        <v>0</v>
      </c>
      <c r="AA11" s="166">
        <f>AA75+AA56</f>
        <v>0</v>
      </c>
      <c r="AB11" s="167">
        <f t="shared" si="1"/>
        <v>0</v>
      </c>
      <c r="AC11" s="166">
        <f>AC75+AC56</f>
        <v>0</v>
      </c>
      <c r="AD11" s="167">
        <f t="shared" si="1"/>
        <v>0</v>
      </c>
      <c r="AE11" s="166">
        <f>AE75+AE56</f>
        <v>0</v>
      </c>
      <c r="AF11" s="167">
        <f t="shared" si="1"/>
        <v>0</v>
      </c>
      <c r="AG11" s="166">
        <f>AG75+AG56</f>
        <v>0</v>
      </c>
      <c r="AH11" s="167">
        <f t="shared" si="1"/>
        <v>0</v>
      </c>
      <c r="AI11" s="166">
        <f>AI75+AI56</f>
        <v>0</v>
      </c>
      <c r="AJ11" s="167">
        <f t="shared" si="1"/>
        <v>0</v>
      </c>
      <c r="AK11" s="166">
        <f>AK75+AK56</f>
        <v>0</v>
      </c>
      <c r="AL11" s="167">
        <f t="shared" si="1"/>
        <v>0</v>
      </c>
      <c r="AM11" s="166">
        <f>AM75+AM56</f>
        <v>0</v>
      </c>
      <c r="AN11" s="49"/>
      <c r="AO11" s="166">
        <f>AO75+AO56</f>
        <v>0</v>
      </c>
      <c r="AP11" s="49"/>
      <c r="AQ11" s="166">
        <f>AQ75+AQ56</f>
        <v>0</v>
      </c>
      <c r="AR11" s="49"/>
      <c r="AS11" s="166">
        <f>AS75+AS56</f>
        <v>0</v>
      </c>
      <c r="AT11" s="49"/>
      <c r="AU11" s="166">
        <f>AU75+AU56</f>
        <v>0</v>
      </c>
      <c r="AV11" s="49"/>
      <c r="AW11" s="166">
        <f>AW75+AW56</f>
        <v>0</v>
      </c>
      <c r="AX11" s="49"/>
      <c r="AY11" s="166">
        <f>AY75+AY56</f>
        <v>0</v>
      </c>
      <c r="AZ11" s="49"/>
      <c r="BA11" s="166">
        <f>BA75+BA56</f>
        <v>0</v>
      </c>
      <c r="BB11" s="49"/>
      <c r="BC11" s="166">
        <f>BC75+BC56</f>
        <v>0</v>
      </c>
      <c r="BD11" s="49"/>
      <c r="BE11" s="166">
        <f>BE75+BE56</f>
        <v>0</v>
      </c>
      <c r="BF11" s="49"/>
      <c r="BG11" s="166">
        <f>BG75+BG56</f>
        <v>0</v>
      </c>
      <c r="BH11" s="49"/>
      <c r="BI11" s="166">
        <f>BI75+BI56</f>
        <v>0</v>
      </c>
      <c r="BJ11" s="49"/>
      <c r="BK11" s="166">
        <f>BK75+BK56</f>
        <v>0</v>
      </c>
      <c r="BL11" s="49"/>
      <c r="BM11" s="166">
        <f>BM75+BM56</f>
        <v>0</v>
      </c>
      <c r="BN11" s="50"/>
      <c r="BO11" s="170">
        <f>IF(COUNT(E11,G11,I11,K11,M11,O11,Q11,S11,U11,W11,Y11,AA11,AC11,AE11,AG11,AI11,AK11,AM11,AO11,AQ11,AS11,AU11,AW11,AY11,BA11,BC11,BE11,BG11,BI11,BK11,BM11)=0,"",SUM(E11,G11,I11,K11,M11,O11,Q11,S11,U11,W11,Y11,AA11,AC11,AE11,AG11,AI11,AK11,AM11,AO11,AQ11,AS11,AU11,AW11,AY11,BA11,BC11,BE11,BG11,BI11,BK11,BM11))</f>
        <v>0</v>
      </c>
      <c r="BP11" s="49"/>
      <c r="BQ11" s="172" t="e">
        <f>BQ75+BQ56</f>
        <v>#VALUE!</v>
      </c>
      <c r="BR11"/>
      <c r="BS11"/>
      <c r="BT11"/>
      <c r="BU11"/>
      <c r="BV11"/>
      <c r="BW11"/>
      <c r="BX11"/>
    </row>
    <row r="12" spans="1:76" ht="13.5" customHeight="1" x14ac:dyDescent="0.35">
      <c r="A12" s="53"/>
      <c r="B12" s="54"/>
      <c r="C12" s="55"/>
      <c r="D12" s="219"/>
      <c r="E12" s="217"/>
      <c r="F12" s="216"/>
      <c r="G12" s="217"/>
      <c r="H12" s="216"/>
      <c r="I12" s="217"/>
      <c r="J12" s="216"/>
      <c r="K12" s="217"/>
      <c r="L12" s="216"/>
      <c r="M12" s="217"/>
      <c r="N12" s="216"/>
      <c r="O12" s="217"/>
      <c r="P12" s="216"/>
      <c r="Q12" s="217"/>
      <c r="R12" s="216"/>
      <c r="S12" s="217"/>
      <c r="T12" s="216"/>
      <c r="U12" s="217"/>
      <c r="V12" s="216"/>
      <c r="W12" s="217"/>
      <c r="X12" s="216"/>
      <c r="Y12" s="217"/>
      <c r="Z12" s="216"/>
      <c r="AA12" s="217"/>
      <c r="AB12" s="216"/>
      <c r="AC12" s="217"/>
      <c r="AD12" s="216"/>
      <c r="AE12" s="217"/>
      <c r="AF12" s="216"/>
      <c r="AG12" s="217"/>
      <c r="AH12" s="216"/>
      <c r="AI12" s="217"/>
      <c r="AJ12" s="216"/>
      <c r="AK12" s="217"/>
      <c r="AL12" s="216"/>
      <c r="AM12" s="217"/>
      <c r="AN12" s="216"/>
      <c r="AO12" s="217"/>
      <c r="AP12" s="216"/>
      <c r="AQ12" s="217"/>
      <c r="AR12" s="216"/>
      <c r="AS12" s="217"/>
      <c r="AT12" s="216"/>
      <c r="AU12" s="217"/>
      <c r="AV12" s="216"/>
      <c r="AW12" s="217"/>
      <c r="AX12" s="216"/>
      <c r="AY12" s="217"/>
      <c r="AZ12" s="216"/>
      <c r="BA12" s="217"/>
      <c r="BB12" s="216"/>
      <c r="BC12" s="217"/>
      <c r="BD12" s="216"/>
      <c r="BE12" s="217"/>
      <c r="BF12" s="216"/>
      <c r="BG12" s="217"/>
      <c r="BH12" s="216"/>
      <c r="BI12" s="217"/>
      <c r="BJ12" s="216"/>
      <c r="BK12" s="217"/>
      <c r="BL12" s="216"/>
      <c r="BM12" s="217"/>
      <c r="BN12" s="56"/>
      <c r="BO12" s="57"/>
      <c r="BP12" s="216"/>
      <c r="BQ12" s="218"/>
    </row>
    <row r="13" spans="1:76" x14ac:dyDescent="0.35">
      <c r="A13" s="58" t="s">
        <v>39</v>
      </c>
      <c r="B13" s="59"/>
      <c r="C13" s="205" t="str">
        <f>IF('July 2027 Log'!BM13="","",'July 2027 Log'!BM13)</f>
        <v/>
      </c>
      <c r="D13" s="61" t="s">
        <v>52</v>
      </c>
      <c r="E13" s="62"/>
      <c r="F13" s="63" t="s">
        <v>52</v>
      </c>
      <c r="G13" s="62"/>
      <c r="H13" s="63" t="s">
        <v>52</v>
      </c>
      <c r="I13" s="62"/>
      <c r="J13" s="63" t="s">
        <v>52</v>
      </c>
      <c r="K13" s="62"/>
      <c r="L13" s="63" t="s">
        <v>52</v>
      </c>
      <c r="M13" s="62"/>
      <c r="N13" s="63" t="s">
        <v>52</v>
      </c>
      <c r="O13" s="62"/>
      <c r="P13" s="63" t="s">
        <v>52</v>
      </c>
      <c r="Q13" s="62"/>
      <c r="R13" s="63" t="s">
        <v>52</v>
      </c>
      <c r="S13" s="62"/>
      <c r="T13" s="63" t="s">
        <v>52</v>
      </c>
      <c r="U13" s="62"/>
      <c r="V13" s="63" t="s">
        <v>52</v>
      </c>
      <c r="W13" s="62"/>
      <c r="X13" s="63" t="s">
        <v>52</v>
      </c>
      <c r="Y13" s="62"/>
      <c r="Z13" s="63" t="s">
        <v>52</v>
      </c>
      <c r="AA13" s="62"/>
      <c r="AB13" s="63" t="s">
        <v>52</v>
      </c>
      <c r="AC13" s="62"/>
      <c r="AD13" s="63" t="s">
        <v>52</v>
      </c>
      <c r="AE13" s="62"/>
      <c r="AF13" s="63" t="s">
        <v>52</v>
      </c>
      <c r="AG13" s="62"/>
      <c r="AH13" s="63" t="s">
        <v>52</v>
      </c>
      <c r="AI13" s="62"/>
      <c r="AJ13" s="63" t="s">
        <v>52</v>
      </c>
      <c r="AK13" s="62"/>
      <c r="AL13" s="63" t="s">
        <v>52</v>
      </c>
      <c r="AM13" s="62"/>
      <c r="AN13" s="63" t="s">
        <v>52</v>
      </c>
      <c r="AO13" s="62"/>
      <c r="AP13" s="63" t="s">
        <v>52</v>
      </c>
      <c r="AQ13" s="62"/>
      <c r="AR13" s="63" t="s">
        <v>52</v>
      </c>
      <c r="AS13" s="62"/>
      <c r="AT13" s="63" t="s">
        <v>52</v>
      </c>
      <c r="AU13" s="62"/>
      <c r="AV13" s="63" t="s">
        <v>52</v>
      </c>
      <c r="AW13" s="62"/>
      <c r="AX13" s="63" t="s">
        <v>52</v>
      </c>
      <c r="AY13" s="62"/>
      <c r="AZ13" s="63" t="s">
        <v>52</v>
      </c>
      <c r="BA13" s="62"/>
      <c r="BB13" s="63" t="s">
        <v>52</v>
      </c>
      <c r="BC13" s="62"/>
      <c r="BD13" s="63" t="s">
        <v>52</v>
      </c>
      <c r="BE13" s="62"/>
      <c r="BF13" s="63" t="s">
        <v>52</v>
      </c>
      <c r="BG13" s="62"/>
      <c r="BH13" s="63" t="s">
        <v>52</v>
      </c>
      <c r="BI13" s="62"/>
      <c r="BJ13" s="63" t="s">
        <v>52</v>
      </c>
      <c r="BK13" s="62"/>
      <c r="BL13" s="63" t="s">
        <v>52</v>
      </c>
      <c r="BM13" s="62"/>
      <c r="BN13" s="64"/>
      <c r="BO13" s="65"/>
      <c r="BP13" s="63" t="s">
        <v>52</v>
      </c>
      <c r="BQ13" s="207" t="str">
        <f>IF(BM13="","",BM13)</f>
        <v/>
      </c>
    </row>
    <row r="14" spans="1:76" x14ac:dyDescent="0.35">
      <c r="A14" s="53" t="s">
        <v>40</v>
      </c>
      <c r="B14" s="59"/>
      <c r="C14" s="206" t="str">
        <f>IF('July 2027 Log'!BM14="","",'July 2027 Log'!BM14)</f>
        <v/>
      </c>
      <c r="D14" s="68" t="s">
        <v>40</v>
      </c>
      <c r="E14" s="69"/>
      <c r="F14" s="70" t="s">
        <v>40</v>
      </c>
      <c r="G14" s="69"/>
      <c r="H14" s="70" t="s">
        <v>40</v>
      </c>
      <c r="I14" s="69"/>
      <c r="J14" s="70" t="s">
        <v>40</v>
      </c>
      <c r="K14" s="69"/>
      <c r="L14" s="70" t="s">
        <v>40</v>
      </c>
      <c r="M14" s="69"/>
      <c r="N14" s="70" t="s">
        <v>40</v>
      </c>
      <c r="O14" s="69"/>
      <c r="P14" s="70" t="s">
        <v>40</v>
      </c>
      <c r="Q14" s="69"/>
      <c r="R14" s="70" t="s">
        <v>40</v>
      </c>
      <c r="S14" s="69"/>
      <c r="T14" s="70" t="s">
        <v>40</v>
      </c>
      <c r="U14" s="69"/>
      <c r="V14" s="70" t="s">
        <v>40</v>
      </c>
      <c r="W14" s="69"/>
      <c r="X14" s="70" t="s">
        <v>40</v>
      </c>
      <c r="Y14" s="69"/>
      <c r="Z14" s="70" t="s">
        <v>40</v>
      </c>
      <c r="AA14" s="69"/>
      <c r="AB14" s="70" t="s">
        <v>40</v>
      </c>
      <c r="AC14" s="69"/>
      <c r="AD14" s="70" t="s">
        <v>40</v>
      </c>
      <c r="AE14" s="69"/>
      <c r="AF14" s="70" t="s">
        <v>40</v>
      </c>
      <c r="AG14" s="69"/>
      <c r="AH14" s="70" t="s">
        <v>40</v>
      </c>
      <c r="AI14" s="69"/>
      <c r="AJ14" s="70" t="s">
        <v>40</v>
      </c>
      <c r="AK14" s="69"/>
      <c r="AL14" s="70" t="s">
        <v>40</v>
      </c>
      <c r="AM14" s="69"/>
      <c r="AN14" s="70" t="s">
        <v>40</v>
      </c>
      <c r="AO14" s="69"/>
      <c r="AP14" s="70" t="s">
        <v>40</v>
      </c>
      <c r="AQ14" s="69"/>
      <c r="AR14" s="70" t="s">
        <v>40</v>
      </c>
      <c r="AS14" s="69"/>
      <c r="AT14" s="70" t="s">
        <v>40</v>
      </c>
      <c r="AU14" s="69"/>
      <c r="AV14" s="70" t="s">
        <v>40</v>
      </c>
      <c r="AW14" s="69"/>
      <c r="AX14" s="70" t="s">
        <v>40</v>
      </c>
      <c r="AY14" s="69"/>
      <c r="AZ14" s="70" t="s">
        <v>40</v>
      </c>
      <c r="BA14" s="69"/>
      <c r="BB14" s="70" t="s">
        <v>40</v>
      </c>
      <c r="BC14" s="69"/>
      <c r="BD14" s="70" t="s">
        <v>40</v>
      </c>
      <c r="BE14" s="69"/>
      <c r="BF14" s="70" t="s">
        <v>40</v>
      </c>
      <c r="BG14" s="69"/>
      <c r="BH14" s="70" t="s">
        <v>40</v>
      </c>
      <c r="BI14" s="69"/>
      <c r="BJ14" s="70" t="s">
        <v>40</v>
      </c>
      <c r="BK14" s="69"/>
      <c r="BL14" s="70" t="s">
        <v>40</v>
      </c>
      <c r="BM14" s="69"/>
      <c r="BN14" s="71"/>
      <c r="BO14" s="72"/>
      <c r="BP14" s="70" t="s">
        <v>40</v>
      </c>
      <c r="BQ14" s="208" t="str">
        <f>IF(BM14="","",BM14)</f>
        <v/>
      </c>
    </row>
    <row r="15" spans="1:76" x14ac:dyDescent="0.35">
      <c r="A15" s="53" t="s">
        <v>38</v>
      </c>
      <c r="B15" s="54"/>
      <c r="C15" s="206" t="str">
        <f>IF('July 2027 Log'!BM15="","",'July 2027 Log'!BM15)</f>
        <v/>
      </c>
      <c r="D15" s="68" t="s">
        <v>53</v>
      </c>
      <c r="E15" s="69"/>
      <c r="F15" s="70" t="s">
        <v>53</v>
      </c>
      <c r="G15" s="69"/>
      <c r="H15" s="70" t="s">
        <v>53</v>
      </c>
      <c r="I15" s="69"/>
      <c r="J15" s="70" t="s">
        <v>53</v>
      </c>
      <c r="K15" s="69"/>
      <c r="L15" s="70" t="s">
        <v>53</v>
      </c>
      <c r="M15" s="69"/>
      <c r="N15" s="70" t="s">
        <v>53</v>
      </c>
      <c r="O15" s="69"/>
      <c r="P15" s="70" t="s">
        <v>53</v>
      </c>
      <c r="Q15" s="69"/>
      <c r="R15" s="70" t="s">
        <v>53</v>
      </c>
      <c r="S15" s="69"/>
      <c r="T15" s="70" t="s">
        <v>53</v>
      </c>
      <c r="U15" s="69"/>
      <c r="V15" s="70" t="s">
        <v>53</v>
      </c>
      <c r="W15" s="69"/>
      <c r="X15" s="70" t="s">
        <v>53</v>
      </c>
      <c r="Y15" s="69"/>
      <c r="Z15" s="70" t="s">
        <v>53</v>
      </c>
      <c r="AA15" s="69"/>
      <c r="AB15" s="70" t="s">
        <v>53</v>
      </c>
      <c r="AC15" s="69"/>
      <c r="AD15" s="70" t="s">
        <v>53</v>
      </c>
      <c r="AE15" s="69"/>
      <c r="AF15" s="70" t="s">
        <v>53</v>
      </c>
      <c r="AG15" s="69"/>
      <c r="AH15" s="70" t="s">
        <v>53</v>
      </c>
      <c r="AI15" s="69"/>
      <c r="AJ15" s="70" t="s">
        <v>53</v>
      </c>
      <c r="AK15" s="69"/>
      <c r="AL15" s="70" t="s">
        <v>53</v>
      </c>
      <c r="AM15" s="69"/>
      <c r="AN15" s="70" t="s">
        <v>53</v>
      </c>
      <c r="AO15" s="69"/>
      <c r="AP15" s="70" t="s">
        <v>53</v>
      </c>
      <c r="AQ15" s="69"/>
      <c r="AR15" s="70" t="s">
        <v>53</v>
      </c>
      <c r="AS15" s="69"/>
      <c r="AT15" s="70" t="s">
        <v>53</v>
      </c>
      <c r="AU15" s="69"/>
      <c r="AV15" s="70" t="s">
        <v>53</v>
      </c>
      <c r="AW15" s="69"/>
      <c r="AX15" s="70" t="s">
        <v>53</v>
      </c>
      <c r="AY15" s="69"/>
      <c r="AZ15" s="70" t="s">
        <v>53</v>
      </c>
      <c r="BA15" s="69"/>
      <c r="BB15" s="70" t="s">
        <v>53</v>
      </c>
      <c r="BC15" s="69"/>
      <c r="BD15" s="70" t="s">
        <v>53</v>
      </c>
      <c r="BE15" s="69"/>
      <c r="BF15" s="70" t="s">
        <v>53</v>
      </c>
      <c r="BG15" s="69"/>
      <c r="BH15" s="70" t="s">
        <v>53</v>
      </c>
      <c r="BI15" s="69"/>
      <c r="BJ15" s="70" t="s">
        <v>53</v>
      </c>
      <c r="BK15" s="69"/>
      <c r="BL15" s="70" t="s">
        <v>53</v>
      </c>
      <c r="BM15" s="69"/>
      <c r="BN15" s="71"/>
      <c r="BO15" s="72"/>
      <c r="BP15" s="70" t="s">
        <v>53</v>
      </c>
      <c r="BQ15" s="208" t="str">
        <f>IF(BM15="","",BM15)</f>
        <v/>
      </c>
    </row>
    <row r="16" spans="1:76" x14ac:dyDescent="0.35">
      <c r="A16" s="74" t="s">
        <v>51</v>
      </c>
      <c r="B16" s="75"/>
      <c r="C16" s="76"/>
      <c r="D16" s="77"/>
      <c r="E16" s="78"/>
      <c r="F16" s="79"/>
      <c r="G16" s="78"/>
      <c r="H16" s="79"/>
      <c r="I16" s="78"/>
      <c r="J16" s="79"/>
      <c r="K16" s="78"/>
      <c r="L16" s="79"/>
      <c r="M16" s="78"/>
      <c r="N16" s="79"/>
      <c r="O16" s="78"/>
      <c r="P16" s="79"/>
      <c r="Q16" s="78"/>
      <c r="R16" s="79"/>
      <c r="S16" s="78"/>
      <c r="T16" s="79"/>
      <c r="U16" s="78"/>
      <c r="V16" s="79"/>
      <c r="W16" s="78"/>
      <c r="X16" s="79"/>
      <c r="Y16" s="78"/>
      <c r="Z16" s="79"/>
      <c r="AA16" s="78"/>
      <c r="AB16" s="79"/>
      <c r="AC16" s="78"/>
      <c r="AD16" s="79"/>
      <c r="AE16" s="78"/>
      <c r="AF16" s="79"/>
      <c r="AG16" s="78"/>
      <c r="AH16" s="79"/>
      <c r="AI16" s="78"/>
      <c r="AJ16" s="79"/>
      <c r="AK16" s="78"/>
      <c r="AL16" s="79"/>
      <c r="AM16" s="78"/>
      <c r="AN16" s="79"/>
      <c r="AO16" s="78"/>
      <c r="AP16" s="79"/>
      <c r="AQ16" s="78"/>
      <c r="AR16" s="79"/>
      <c r="AS16" s="78"/>
      <c r="AT16" s="79"/>
      <c r="AU16" s="78"/>
      <c r="AV16" s="79"/>
      <c r="AW16" s="78"/>
      <c r="AX16" s="79"/>
      <c r="AY16" s="78"/>
      <c r="AZ16" s="79"/>
      <c r="BA16" s="78"/>
      <c r="BB16" s="79"/>
      <c r="BC16" s="78"/>
      <c r="BD16" s="79"/>
      <c r="BE16" s="78"/>
      <c r="BF16" s="79"/>
      <c r="BG16" s="78"/>
      <c r="BH16" s="79"/>
      <c r="BI16" s="78"/>
      <c r="BJ16" s="79"/>
      <c r="BK16" s="78"/>
      <c r="BL16" s="79"/>
      <c r="BM16" s="78"/>
      <c r="BN16" s="80"/>
      <c r="BO16" s="81"/>
      <c r="BP16" s="79"/>
      <c r="BQ16" s="82"/>
    </row>
    <row r="17" spans="1:76" x14ac:dyDescent="0.35">
      <c r="A17" s="53" t="s">
        <v>45</v>
      </c>
      <c r="B17" s="54"/>
      <c r="C17" s="206" t="str">
        <f>IF('July 2027 Log'!BM17="","",'July 2027 Log'!BM17)</f>
        <v/>
      </c>
      <c r="D17" s="68"/>
      <c r="E17" s="69"/>
      <c r="F17" s="70"/>
      <c r="G17" s="69"/>
      <c r="H17" s="70"/>
      <c r="I17" s="69"/>
      <c r="J17" s="70"/>
      <c r="K17" s="69"/>
      <c r="L17" s="70"/>
      <c r="M17" s="69"/>
      <c r="N17" s="70"/>
      <c r="O17" s="69"/>
      <c r="P17" s="70"/>
      <c r="Q17" s="69"/>
      <c r="R17" s="70"/>
      <c r="S17" s="69"/>
      <c r="T17" s="70"/>
      <c r="U17" s="69"/>
      <c r="V17" s="70"/>
      <c r="W17" s="69"/>
      <c r="X17" s="70"/>
      <c r="Y17" s="69"/>
      <c r="Z17" s="70"/>
      <c r="AA17" s="69"/>
      <c r="AB17" s="70"/>
      <c r="AC17" s="69"/>
      <c r="AD17" s="70"/>
      <c r="AE17" s="69"/>
      <c r="AF17" s="70"/>
      <c r="AG17" s="69"/>
      <c r="AH17" s="70"/>
      <c r="AI17" s="69"/>
      <c r="AJ17" s="70"/>
      <c r="AK17" s="69"/>
      <c r="AL17" s="70"/>
      <c r="AM17" s="69"/>
      <c r="AN17" s="70"/>
      <c r="AO17" s="69"/>
      <c r="AP17" s="70"/>
      <c r="AQ17" s="69"/>
      <c r="AR17" s="70"/>
      <c r="AS17" s="69"/>
      <c r="AT17" s="70"/>
      <c r="AU17" s="69"/>
      <c r="AV17" s="70"/>
      <c r="AW17" s="69"/>
      <c r="AX17" s="70"/>
      <c r="AY17" s="69"/>
      <c r="AZ17" s="70"/>
      <c r="BA17" s="69"/>
      <c r="BB17" s="70"/>
      <c r="BC17" s="69"/>
      <c r="BD17" s="70"/>
      <c r="BE17" s="69"/>
      <c r="BF17" s="70"/>
      <c r="BG17" s="69"/>
      <c r="BH17" s="70"/>
      <c r="BI17" s="69"/>
      <c r="BJ17" s="70"/>
      <c r="BK17" s="69"/>
      <c r="BL17" s="70"/>
      <c r="BM17" s="69"/>
      <c r="BN17" s="71"/>
      <c r="BO17" s="182" t="str">
        <f t="shared" ref="BO17:BO59" si="2">IF(COUNT(E17,G17,I17,K17,M17,O17,Q17,S17,U17,W17,Y17,AA17,AC17,AE17,AG17,AI17,AK17,AM17,AO17,AQ17,AS17,AU17,AW17,AY17,BA17,BC17,BE17,BG17,BI17,BK17,BM17)=0,"",SUM(E17,G17,I17,K17,M17,O17,Q17,S17,U17,W17,Y17,AA17,AC17,AE17,AG17,AI17,AK17,AM17,AO17,AQ17,AS17,AU17,AW17,AY17,BA17,BC17,BE17,BG17,BI17,BK17,BM17))</f>
        <v/>
      </c>
      <c r="BP17" s="70"/>
      <c r="BQ17" s="208" t="str">
        <f>IF(BM17="","",BM17)</f>
        <v/>
      </c>
    </row>
    <row r="18" spans="1:76" x14ac:dyDescent="0.35">
      <c r="A18" s="53" t="s">
        <v>46</v>
      </c>
      <c r="B18" s="54"/>
      <c r="C18" s="67"/>
      <c r="D18" s="68"/>
      <c r="E18" s="69"/>
      <c r="F18" s="70"/>
      <c r="G18" s="69"/>
      <c r="H18" s="70"/>
      <c r="I18" s="69"/>
      <c r="J18" s="70"/>
      <c r="K18" s="69"/>
      <c r="L18" s="70"/>
      <c r="M18" s="69"/>
      <c r="N18" s="70"/>
      <c r="O18" s="69"/>
      <c r="P18" s="70"/>
      <c r="Q18" s="69"/>
      <c r="R18" s="70"/>
      <c r="S18" s="69"/>
      <c r="T18" s="70"/>
      <c r="U18" s="69"/>
      <c r="V18" s="70"/>
      <c r="W18" s="69"/>
      <c r="X18" s="70"/>
      <c r="Y18" s="69"/>
      <c r="Z18" s="70"/>
      <c r="AA18" s="69"/>
      <c r="AB18" s="70"/>
      <c r="AC18" s="69"/>
      <c r="AD18" s="70"/>
      <c r="AE18" s="69"/>
      <c r="AF18" s="70"/>
      <c r="AG18" s="69"/>
      <c r="AH18" s="70"/>
      <c r="AI18" s="69"/>
      <c r="AJ18" s="70"/>
      <c r="AK18" s="69"/>
      <c r="AL18" s="70"/>
      <c r="AM18" s="69"/>
      <c r="AN18" s="70"/>
      <c r="AO18" s="69"/>
      <c r="AP18" s="70"/>
      <c r="AQ18" s="69"/>
      <c r="AR18" s="70"/>
      <c r="AS18" s="69"/>
      <c r="AT18" s="70"/>
      <c r="AU18" s="69"/>
      <c r="AV18" s="70"/>
      <c r="AW18" s="69"/>
      <c r="AX18" s="70"/>
      <c r="AY18" s="69"/>
      <c r="AZ18" s="70"/>
      <c r="BA18" s="69"/>
      <c r="BB18" s="70"/>
      <c r="BC18" s="69"/>
      <c r="BD18" s="70"/>
      <c r="BE18" s="69"/>
      <c r="BF18" s="70"/>
      <c r="BG18" s="69"/>
      <c r="BH18" s="70"/>
      <c r="BI18" s="69"/>
      <c r="BJ18" s="70"/>
      <c r="BK18" s="69"/>
      <c r="BL18" s="70"/>
      <c r="BM18" s="69"/>
      <c r="BN18" s="71"/>
      <c r="BO18" s="182" t="str">
        <f t="shared" si="2"/>
        <v/>
      </c>
      <c r="BP18" s="70"/>
      <c r="BQ18" s="73"/>
    </row>
    <row r="19" spans="1:76" x14ac:dyDescent="0.35">
      <c r="A19" s="53" t="s">
        <v>69</v>
      </c>
      <c r="B19" s="54"/>
      <c r="C19" s="67"/>
      <c r="D19" s="68"/>
      <c r="E19" s="69"/>
      <c r="F19" s="70"/>
      <c r="G19" s="69"/>
      <c r="H19" s="70"/>
      <c r="I19" s="69"/>
      <c r="J19" s="70"/>
      <c r="K19" s="69"/>
      <c r="L19" s="70"/>
      <c r="M19" s="69"/>
      <c r="N19" s="70"/>
      <c r="O19" s="69"/>
      <c r="P19" s="70"/>
      <c r="Q19" s="69"/>
      <c r="R19" s="70"/>
      <c r="S19" s="69"/>
      <c r="T19" s="70"/>
      <c r="U19" s="69"/>
      <c r="V19" s="70"/>
      <c r="W19" s="69"/>
      <c r="X19" s="70"/>
      <c r="Y19" s="69"/>
      <c r="Z19" s="70"/>
      <c r="AA19" s="69"/>
      <c r="AB19" s="70"/>
      <c r="AC19" s="69"/>
      <c r="AD19" s="70"/>
      <c r="AE19" s="69"/>
      <c r="AF19" s="70"/>
      <c r="AG19" s="69"/>
      <c r="AH19" s="70"/>
      <c r="AI19" s="69"/>
      <c r="AJ19" s="70"/>
      <c r="AK19" s="69"/>
      <c r="AL19" s="70"/>
      <c r="AM19" s="69"/>
      <c r="AN19" s="70"/>
      <c r="AO19" s="69"/>
      <c r="AP19" s="70"/>
      <c r="AQ19" s="69"/>
      <c r="AR19" s="70"/>
      <c r="AS19" s="69"/>
      <c r="AT19" s="70"/>
      <c r="AU19" s="69"/>
      <c r="AV19" s="70"/>
      <c r="AW19" s="69"/>
      <c r="AX19" s="70"/>
      <c r="AY19" s="69"/>
      <c r="AZ19" s="70"/>
      <c r="BA19" s="69"/>
      <c r="BB19" s="70"/>
      <c r="BC19" s="69"/>
      <c r="BD19" s="70"/>
      <c r="BE19" s="69"/>
      <c r="BF19" s="70"/>
      <c r="BG19" s="69"/>
      <c r="BH19" s="70"/>
      <c r="BI19" s="69"/>
      <c r="BJ19" s="70"/>
      <c r="BK19" s="69"/>
      <c r="BL19" s="70"/>
      <c r="BM19" s="69"/>
      <c r="BN19" s="71"/>
      <c r="BO19" s="182" t="str">
        <f t="shared" si="2"/>
        <v/>
      </c>
      <c r="BP19" s="70"/>
      <c r="BQ19" s="73"/>
    </row>
    <row r="20" spans="1:76" x14ac:dyDescent="0.35">
      <c r="A20" s="83" t="s">
        <v>0</v>
      </c>
      <c r="B20" s="54"/>
      <c r="C20" s="84"/>
      <c r="D20" s="85"/>
      <c r="E20" s="86"/>
      <c r="F20" s="87"/>
      <c r="G20" s="86"/>
      <c r="H20" s="87"/>
      <c r="I20" s="86"/>
      <c r="J20" s="87"/>
      <c r="K20" s="86"/>
      <c r="L20" s="87"/>
      <c r="M20" s="86"/>
      <c r="N20" s="87"/>
      <c r="O20" s="86"/>
      <c r="P20" s="87"/>
      <c r="Q20" s="86"/>
      <c r="R20" s="87"/>
      <c r="S20" s="86"/>
      <c r="T20" s="87"/>
      <c r="U20" s="86"/>
      <c r="V20" s="87"/>
      <c r="W20" s="86"/>
      <c r="X20" s="87"/>
      <c r="Y20" s="86"/>
      <c r="Z20" s="87"/>
      <c r="AA20" s="86"/>
      <c r="AB20" s="87"/>
      <c r="AC20" s="86"/>
      <c r="AD20" s="87"/>
      <c r="AE20" s="86"/>
      <c r="AF20" s="87"/>
      <c r="AG20" s="86"/>
      <c r="AH20" s="87"/>
      <c r="AI20" s="86"/>
      <c r="AJ20" s="87"/>
      <c r="AK20" s="86"/>
      <c r="AL20" s="87"/>
      <c r="AM20" s="86"/>
      <c r="AN20" s="87"/>
      <c r="AO20" s="86"/>
      <c r="AP20" s="87"/>
      <c r="AQ20" s="86"/>
      <c r="AR20" s="87"/>
      <c r="AS20" s="86"/>
      <c r="AT20" s="87"/>
      <c r="AU20" s="86"/>
      <c r="AV20" s="87"/>
      <c r="AW20" s="86"/>
      <c r="AX20" s="87"/>
      <c r="AY20" s="86"/>
      <c r="AZ20" s="87"/>
      <c r="BA20" s="86"/>
      <c r="BB20" s="87"/>
      <c r="BC20" s="86"/>
      <c r="BD20" s="87"/>
      <c r="BE20" s="86"/>
      <c r="BF20" s="87"/>
      <c r="BG20" s="86"/>
      <c r="BH20" s="87"/>
      <c r="BI20" s="86"/>
      <c r="BJ20" s="87"/>
      <c r="BK20" s="86"/>
      <c r="BL20" s="87"/>
      <c r="BM20" s="86"/>
      <c r="BN20" s="50"/>
      <c r="BO20" s="170" t="str">
        <f t="shared" si="2"/>
        <v/>
      </c>
      <c r="BP20" s="87"/>
      <c r="BQ20" s="88"/>
    </row>
    <row r="21" spans="1:76" x14ac:dyDescent="0.35">
      <c r="A21" s="83" t="s">
        <v>1</v>
      </c>
      <c r="B21" s="54"/>
      <c r="C21" s="174" t="str">
        <f>IF('July 2027 Log'!BM21="","",'July 2027 Log'!BM21)</f>
        <v/>
      </c>
      <c r="D21" s="85"/>
      <c r="E21" s="86"/>
      <c r="F21" s="87"/>
      <c r="G21" s="86"/>
      <c r="H21" s="87"/>
      <c r="I21" s="86"/>
      <c r="J21" s="87"/>
      <c r="K21" s="86"/>
      <c r="L21" s="87"/>
      <c r="M21" s="86"/>
      <c r="N21" s="87"/>
      <c r="O21" s="86"/>
      <c r="P21" s="87"/>
      <c r="Q21" s="86"/>
      <c r="R21" s="87"/>
      <c r="S21" s="86"/>
      <c r="T21" s="87"/>
      <c r="U21" s="86"/>
      <c r="V21" s="87"/>
      <c r="W21" s="86"/>
      <c r="X21" s="87"/>
      <c r="Y21" s="86"/>
      <c r="Z21" s="87"/>
      <c r="AA21" s="86"/>
      <c r="AB21" s="87"/>
      <c r="AC21" s="86"/>
      <c r="AD21" s="87"/>
      <c r="AE21" s="86"/>
      <c r="AF21" s="87"/>
      <c r="AG21" s="86"/>
      <c r="AH21" s="87"/>
      <c r="AI21" s="86"/>
      <c r="AJ21" s="87"/>
      <c r="AK21" s="86"/>
      <c r="AL21" s="87"/>
      <c r="AM21" s="86"/>
      <c r="AN21" s="87"/>
      <c r="AO21" s="86"/>
      <c r="AP21" s="87"/>
      <c r="AQ21" s="86"/>
      <c r="AR21" s="87"/>
      <c r="AS21" s="86"/>
      <c r="AT21" s="87"/>
      <c r="AU21" s="86"/>
      <c r="AV21" s="87"/>
      <c r="AW21" s="86"/>
      <c r="AX21" s="87"/>
      <c r="AY21" s="86"/>
      <c r="AZ21" s="87"/>
      <c r="BA21" s="86"/>
      <c r="BB21" s="87"/>
      <c r="BC21" s="86"/>
      <c r="BD21" s="87"/>
      <c r="BE21" s="86"/>
      <c r="BF21" s="87"/>
      <c r="BG21" s="86"/>
      <c r="BH21" s="87"/>
      <c r="BI21" s="86"/>
      <c r="BJ21" s="87"/>
      <c r="BK21" s="86"/>
      <c r="BL21" s="87"/>
      <c r="BM21" s="86"/>
      <c r="BN21" s="50"/>
      <c r="BO21" s="170" t="str">
        <f t="shared" si="2"/>
        <v/>
      </c>
      <c r="BP21" s="87"/>
      <c r="BQ21" s="178" t="str">
        <f>IF(BM21="","",BM21)</f>
        <v/>
      </c>
    </row>
    <row r="22" spans="1:76" s="1" customFormat="1" ht="15" thickBot="1" x14ac:dyDescent="0.4">
      <c r="A22" s="89" t="s">
        <v>41</v>
      </c>
      <c r="B22" s="90"/>
      <c r="C22" s="175">
        <f>IF('July 2027 Log'!BM22="","",'July 2027 Log'!BM22)</f>
        <v>0</v>
      </c>
      <c r="D22" s="47"/>
      <c r="E22" s="177">
        <f t="shared" ref="E22" si="3">SUM(E20:E21)</f>
        <v>0</v>
      </c>
      <c r="F22" s="49"/>
      <c r="G22" s="177">
        <f t="shared" ref="G22" si="4">SUM(G20:G21)</f>
        <v>0</v>
      </c>
      <c r="H22" s="49"/>
      <c r="I22" s="177">
        <f t="shared" ref="I22" si="5">SUM(I20:I21)</f>
        <v>0</v>
      </c>
      <c r="J22" s="49"/>
      <c r="K22" s="177">
        <f t="shared" ref="K22" si="6">SUM(K20:K21)</f>
        <v>0</v>
      </c>
      <c r="L22" s="49"/>
      <c r="M22" s="177">
        <f t="shared" ref="M22" si="7">SUM(M20:M21)</f>
        <v>0</v>
      </c>
      <c r="N22" s="49"/>
      <c r="O22" s="177">
        <f t="shared" ref="O22" si="8">SUM(O20:O21)</f>
        <v>0</v>
      </c>
      <c r="P22" s="49"/>
      <c r="Q22" s="177">
        <f t="shared" ref="Q22" si="9">SUM(Q20:Q21)</f>
        <v>0</v>
      </c>
      <c r="R22" s="49"/>
      <c r="S22" s="177">
        <f t="shared" ref="S22" si="10">SUM(S20:S21)</f>
        <v>0</v>
      </c>
      <c r="T22" s="49"/>
      <c r="U22" s="177">
        <f t="shared" ref="U22" si="11">SUM(U20:U21)</f>
        <v>0</v>
      </c>
      <c r="V22" s="49"/>
      <c r="W22" s="177">
        <f t="shared" ref="W22" si="12">SUM(W20:W21)</f>
        <v>0</v>
      </c>
      <c r="X22" s="49"/>
      <c r="Y22" s="177">
        <f t="shared" ref="Y22" si="13">SUM(Y20:Y21)</f>
        <v>0</v>
      </c>
      <c r="Z22" s="49"/>
      <c r="AA22" s="177">
        <f t="shared" ref="AA22" si="14">SUM(AA20:AA21)</f>
        <v>0</v>
      </c>
      <c r="AB22" s="49"/>
      <c r="AC22" s="177">
        <f t="shared" ref="AC22" si="15">SUM(AC20:AC21)</f>
        <v>0</v>
      </c>
      <c r="AD22" s="49"/>
      <c r="AE22" s="177">
        <f t="shared" ref="AE22" si="16">SUM(AE20:AE21)</f>
        <v>0</v>
      </c>
      <c r="AF22" s="49"/>
      <c r="AG22" s="177">
        <f t="shared" ref="AG22" si="17">SUM(AG20:AG21)</f>
        <v>0</v>
      </c>
      <c r="AH22" s="49"/>
      <c r="AI22" s="177">
        <f t="shared" ref="AI22" si="18">SUM(AI20:AI21)</f>
        <v>0</v>
      </c>
      <c r="AJ22" s="49"/>
      <c r="AK22" s="177">
        <f t="shared" ref="AK22" si="19">SUM(AK20:AK21)</f>
        <v>0</v>
      </c>
      <c r="AL22" s="49"/>
      <c r="AM22" s="177">
        <f t="shared" ref="AM22" si="20">SUM(AM20:AM21)</f>
        <v>0</v>
      </c>
      <c r="AN22" s="49"/>
      <c r="AO22" s="177">
        <f t="shared" ref="AO22" si="21">SUM(AO20:AO21)</f>
        <v>0</v>
      </c>
      <c r="AP22" s="49"/>
      <c r="AQ22" s="177">
        <f t="shared" ref="AQ22" si="22">SUM(AQ20:AQ21)</f>
        <v>0</v>
      </c>
      <c r="AR22" s="49"/>
      <c r="AS22" s="177">
        <f t="shared" ref="AS22" si="23">SUM(AS20:AS21)</f>
        <v>0</v>
      </c>
      <c r="AT22" s="49"/>
      <c r="AU22" s="177">
        <f t="shared" ref="AU22" si="24">SUM(AU20:AU21)</f>
        <v>0</v>
      </c>
      <c r="AV22" s="49"/>
      <c r="AW22" s="177">
        <f t="shared" ref="AW22" si="25">SUM(AW20:AW21)</f>
        <v>0</v>
      </c>
      <c r="AX22" s="49"/>
      <c r="AY22" s="177">
        <f t="shared" ref="AY22" si="26">SUM(AY20:AY21)</f>
        <v>0</v>
      </c>
      <c r="AZ22" s="49"/>
      <c r="BA22" s="177">
        <f t="shared" ref="BA22" si="27">SUM(BA20:BA21)</f>
        <v>0</v>
      </c>
      <c r="BB22" s="49"/>
      <c r="BC22" s="177">
        <f t="shared" ref="BC22" si="28">SUM(BC20:BC21)</f>
        <v>0</v>
      </c>
      <c r="BD22" s="49"/>
      <c r="BE22" s="177">
        <f t="shared" ref="BE22" si="29">SUM(BE20:BE21)</f>
        <v>0</v>
      </c>
      <c r="BF22" s="49"/>
      <c r="BG22" s="177">
        <f t="shared" ref="BG22" si="30">SUM(BG20:BG21)</f>
        <v>0</v>
      </c>
      <c r="BH22" s="49"/>
      <c r="BI22" s="177">
        <f t="shared" ref="BI22" si="31">SUM(BI20:BI21)</f>
        <v>0</v>
      </c>
      <c r="BJ22" s="49"/>
      <c r="BK22" s="177">
        <f t="shared" ref="BK22" si="32">SUM(BK20:BK21)</f>
        <v>0</v>
      </c>
      <c r="BL22" s="49"/>
      <c r="BM22" s="177">
        <f t="shared" ref="BM22" si="33">SUM(BM20:BM21)</f>
        <v>0</v>
      </c>
      <c r="BN22" s="92"/>
      <c r="BO22" s="170">
        <f t="shared" si="2"/>
        <v>0</v>
      </c>
      <c r="BP22" s="49"/>
      <c r="BQ22" s="179">
        <f>IF(BM22="","",BM22)</f>
        <v>0</v>
      </c>
      <c r="BR22"/>
      <c r="BS22"/>
      <c r="BT22"/>
      <c r="BU22"/>
      <c r="BV22"/>
      <c r="BW22"/>
      <c r="BX22"/>
    </row>
    <row r="23" spans="1:76" ht="15" hidden="1" thickBot="1" x14ac:dyDescent="0.4">
      <c r="A23" s="83" t="s">
        <v>2</v>
      </c>
      <c r="B23" s="54"/>
      <c r="C23" s="84"/>
      <c r="D23" s="85"/>
      <c r="E23" s="86"/>
      <c r="F23" s="87"/>
      <c r="G23" s="86"/>
      <c r="H23" s="87"/>
      <c r="I23" s="86"/>
      <c r="J23" s="87"/>
      <c r="K23" s="86"/>
      <c r="L23" s="87"/>
      <c r="M23" s="86"/>
      <c r="N23" s="87"/>
      <c r="O23" s="86"/>
      <c r="P23" s="87"/>
      <c r="Q23" s="86"/>
      <c r="R23" s="87"/>
      <c r="S23" s="86"/>
      <c r="T23" s="87"/>
      <c r="U23" s="86"/>
      <c r="V23" s="87"/>
      <c r="W23" s="86"/>
      <c r="X23" s="87"/>
      <c r="Y23" s="86"/>
      <c r="Z23" s="87"/>
      <c r="AA23" s="86"/>
      <c r="AB23" s="87"/>
      <c r="AC23" s="86"/>
      <c r="AD23" s="87"/>
      <c r="AE23" s="86"/>
      <c r="AF23" s="87"/>
      <c r="AG23" s="86"/>
      <c r="AH23" s="87"/>
      <c r="AI23" s="86"/>
      <c r="AJ23" s="87"/>
      <c r="AK23" s="86"/>
      <c r="AL23" s="87"/>
      <c r="AM23" s="86"/>
      <c r="AN23" s="87"/>
      <c r="AO23" s="86"/>
      <c r="AP23" s="87"/>
      <c r="AQ23" s="86"/>
      <c r="AR23" s="87"/>
      <c r="AS23" s="86"/>
      <c r="AT23" s="87"/>
      <c r="AU23" s="86"/>
      <c r="AV23" s="87"/>
      <c r="AW23" s="86"/>
      <c r="AX23" s="87"/>
      <c r="AY23" s="86"/>
      <c r="AZ23" s="87"/>
      <c r="BA23" s="86"/>
      <c r="BB23" s="87"/>
      <c r="BC23" s="86"/>
      <c r="BD23" s="87"/>
      <c r="BE23" s="86"/>
      <c r="BF23" s="87"/>
      <c r="BG23" s="86"/>
      <c r="BH23" s="87"/>
      <c r="BI23" s="86"/>
      <c r="BJ23" s="87"/>
      <c r="BK23" s="86"/>
      <c r="BL23" s="87"/>
      <c r="BM23" s="86"/>
      <c r="BN23" s="50"/>
      <c r="BO23" s="170" t="str">
        <f t="shared" si="2"/>
        <v/>
      </c>
      <c r="BP23" s="87"/>
      <c r="BQ23" s="88"/>
    </row>
    <row r="24" spans="1:76" ht="15" hidden="1" thickBot="1" x14ac:dyDescent="0.4">
      <c r="A24" s="83" t="s">
        <v>3</v>
      </c>
      <c r="B24" s="54"/>
      <c r="C24" s="84"/>
      <c r="D24" s="85"/>
      <c r="E24" s="86"/>
      <c r="F24" s="87"/>
      <c r="G24" s="86"/>
      <c r="H24" s="87"/>
      <c r="I24" s="86"/>
      <c r="J24" s="87"/>
      <c r="K24" s="86"/>
      <c r="L24" s="87"/>
      <c r="M24" s="86"/>
      <c r="N24" s="87"/>
      <c r="O24" s="86"/>
      <c r="P24" s="87"/>
      <c r="Q24" s="86"/>
      <c r="R24" s="87"/>
      <c r="S24" s="86"/>
      <c r="T24" s="87"/>
      <c r="U24" s="86"/>
      <c r="V24" s="87"/>
      <c r="W24" s="86"/>
      <c r="X24" s="87"/>
      <c r="Y24" s="86"/>
      <c r="Z24" s="87"/>
      <c r="AA24" s="86"/>
      <c r="AB24" s="87"/>
      <c r="AC24" s="86"/>
      <c r="AD24" s="87"/>
      <c r="AE24" s="86"/>
      <c r="AF24" s="87"/>
      <c r="AG24" s="86"/>
      <c r="AH24" s="87"/>
      <c r="AI24" s="86"/>
      <c r="AJ24" s="87"/>
      <c r="AK24" s="86"/>
      <c r="AL24" s="87"/>
      <c r="AM24" s="86"/>
      <c r="AN24" s="87"/>
      <c r="AO24" s="86"/>
      <c r="AP24" s="87"/>
      <c r="AQ24" s="86"/>
      <c r="AR24" s="87"/>
      <c r="AS24" s="86"/>
      <c r="AT24" s="87"/>
      <c r="AU24" s="86"/>
      <c r="AV24" s="87"/>
      <c r="AW24" s="86"/>
      <c r="AX24" s="87"/>
      <c r="AY24" s="86"/>
      <c r="AZ24" s="87"/>
      <c r="BA24" s="86"/>
      <c r="BB24" s="87"/>
      <c r="BC24" s="86"/>
      <c r="BD24" s="87"/>
      <c r="BE24" s="86"/>
      <c r="BF24" s="87"/>
      <c r="BG24" s="86"/>
      <c r="BH24" s="87"/>
      <c r="BI24" s="86"/>
      <c r="BJ24" s="87"/>
      <c r="BK24" s="86"/>
      <c r="BL24" s="87"/>
      <c r="BM24" s="86"/>
      <c r="BN24" s="50"/>
      <c r="BO24" s="170" t="str">
        <f t="shared" si="2"/>
        <v/>
      </c>
      <c r="BP24" s="87"/>
      <c r="BQ24" s="88"/>
    </row>
    <row r="25" spans="1:76" s="7" customFormat="1" x14ac:dyDescent="0.35">
      <c r="A25" s="83" t="s">
        <v>37</v>
      </c>
      <c r="B25" s="54"/>
      <c r="C25" s="174" t="str">
        <f>IF('July 2027 Log'!BM25="","",'July 2027 Log'!BM25)</f>
        <v/>
      </c>
      <c r="D25" s="85"/>
      <c r="E25" s="86"/>
      <c r="F25" s="87"/>
      <c r="G25" s="86"/>
      <c r="H25" s="87"/>
      <c r="I25" s="86"/>
      <c r="J25" s="87"/>
      <c r="K25" s="86"/>
      <c r="L25" s="87"/>
      <c r="M25" s="86"/>
      <c r="N25" s="87"/>
      <c r="O25" s="86"/>
      <c r="P25" s="87"/>
      <c r="Q25" s="86"/>
      <c r="R25" s="87"/>
      <c r="S25" s="86"/>
      <c r="T25" s="87"/>
      <c r="U25" s="86"/>
      <c r="V25" s="87"/>
      <c r="W25" s="86"/>
      <c r="X25" s="87"/>
      <c r="Y25" s="86"/>
      <c r="Z25" s="87"/>
      <c r="AA25" s="86"/>
      <c r="AB25" s="87"/>
      <c r="AC25" s="86"/>
      <c r="AD25" s="87"/>
      <c r="AE25" s="86"/>
      <c r="AF25" s="87"/>
      <c r="AG25" s="86"/>
      <c r="AH25" s="87"/>
      <c r="AI25" s="86"/>
      <c r="AJ25" s="87"/>
      <c r="AK25" s="86"/>
      <c r="AL25" s="87"/>
      <c r="AM25" s="86"/>
      <c r="AN25" s="87"/>
      <c r="AO25" s="86"/>
      <c r="AP25" s="87"/>
      <c r="AQ25" s="86"/>
      <c r="AR25" s="87"/>
      <c r="AS25" s="86"/>
      <c r="AT25" s="87"/>
      <c r="AU25" s="86"/>
      <c r="AV25" s="87"/>
      <c r="AW25" s="86"/>
      <c r="AX25" s="87"/>
      <c r="AY25" s="86"/>
      <c r="AZ25" s="87"/>
      <c r="BA25" s="86"/>
      <c r="BB25" s="87"/>
      <c r="BC25" s="86"/>
      <c r="BD25" s="87"/>
      <c r="BE25" s="86"/>
      <c r="BF25" s="87"/>
      <c r="BG25" s="86"/>
      <c r="BH25" s="87"/>
      <c r="BI25" s="86"/>
      <c r="BJ25" s="87"/>
      <c r="BK25" s="86"/>
      <c r="BL25" s="87"/>
      <c r="BM25" s="86"/>
      <c r="BN25" s="50"/>
      <c r="BO25" s="170" t="str">
        <f t="shared" si="2"/>
        <v/>
      </c>
      <c r="BP25" s="87"/>
      <c r="BQ25" s="178" t="str">
        <f>IF(BM25="","",BM25)</f>
        <v/>
      </c>
      <c r="BR25"/>
      <c r="BS25"/>
      <c r="BT25"/>
      <c r="BU25"/>
      <c r="BV25"/>
      <c r="BW25"/>
      <c r="BX25"/>
    </row>
    <row r="26" spans="1:76" ht="15" thickBot="1" x14ac:dyDescent="0.4">
      <c r="A26" s="94" t="s">
        <v>4</v>
      </c>
      <c r="B26" s="95"/>
      <c r="C26" s="174" t="str">
        <f>IF('July 2027 Log'!BM26="","",'July 2027 Log'!BM26)</f>
        <v/>
      </c>
      <c r="D26" s="96"/>
      <c r="E26" s="86"/>
      <c r="F26" s="97"/>
      <c r="G26" s="86"/>
      <c r="H26" s="97"/>
      <c r="I26" s="86"/>
      <c r="J26" s="97"/>
      <c r="K26" s="86"/>
      <c r="L26" s="97"/>
      <c r="M26" s="86"/>
      <c r="N26" s="97"/>
      <c r="O26" s="86"/>
      <c r="P26" s="97"/>
      <c r="Q26" s="86"/>
      <c r="R26" s="97"/>
      <c r="S26" s="86"/>
      <c r="T26" s="97"/>
      <c r="U26" s="86"/>
      <c r="V26" s="97"/>
      <c r="W26" s="86"/>
      <c r="X26" s="97"/>
      <c r="Y26" s="86"/>
      <c r="Z26" s="97"/>
      <c r="AA26" s="86"/>
      <c r="AB26" s="97"/>
      <c r="AC26" s="86"/>
      <c r="AD26" s="97"/>
      <c r="AE26" s="86"/>
      <c r="AF26" s="97"/>
      <c r="AG26" s="86"/>
      <c r="AH26" s="97"/>
      <c r="AI26" s="86"/>
      <c r="AJ26" s="97"/>
      <c r="AK26" s="86"/>
      <c r="AL26" s="97"/>
      <c r="AM26" s="86"/>
      <c r="AN26" s="97"/>
      <c r="AO26" s="86"/>
      <c r="AP26" s="97"/>
      <c r="AQ26" s="86"/>
      <c r="AR26" s="97"/>
      <c r="AS26" s="86"/>
      <c r="AT26" s="97"/>
      <c r="AU26" s="86"/>
      <c r="AV26" s="97"/>
      <c r="AW26" s="86"/>
      <c r="AX26" s="97"/>
      <c r="AY26" s="86"/>
      <c r="AZ26" s="97"/>
      <c r="BA26" s="86"/>
      <c r="BB26" s="97"/>
      <c r="BC26" s="86"/>
      <c r="BD26" s="97"/>
      <c r="BE26" s="86"/>
      <c r="BF26" s="97"/>
      <c r="BG26" s="86"/>
      <c r="BH26" s="97"/>
      <c r="BI26" s="86"/>
      <c r="BJ26" s="97"/>
      <c r="BK26" s="86"/>
      <c r="BL26" s="97"/>
      <c r="BM26" s="86"/>
      <c r="BN26" s="50"/>
      <c r="BO26" s="170" t="str">
        <f t="shared" si="2"/>
        <v/>
      </c>
      <c r="BP26" s="97"/>
      <c r="BQ26" s="178" t="str">
        <f>IF(BM26="","",BM26)</f>
        <v/>
      </c>
    </row>
    <row r="27" spans="1:76" s="7" customFormat="1" x14ac:dyDescent="0.35">
      <c r="A27" s="53" t="s">
        <v>21</v>
      </c>
      <c r="B27" s="54"/>
      <c r="C27" s="174" t="str">
        <f>IF('July 2027 Log'!BM27="","",'July 2027 Log'!BM27)</f>
        <v/>
      </c>
      <c r="D27" s="85"/>
      <c r="E27" s="86"/>
      <c r="F27" s="87"/>
      <c r="G27" s="86"/>
      <c r="H27" s="87"/>
      <c r="I27" s="86"/>
      <c r="J27" s="87"/>
      <c r="K27" s="86"/>
      <c r="L27" s="87"/>
      <c r="M27" s="86"/>
      <c r="N27" s="87"/>
      <c r="O27" s="86"/>
      <c r="P27" s="87"/>
      <c r="Q27" s="86"/>
      <c r="R27" s="87"/>
      <c r="S27" s="86"/>
      <c r="T27" s="87"/>
      <c r="U27" s="86"/>
      <c r="V27" s="87"/>
      <c r="W27" s="86"/>
      <c r="X27" s="87"/>
      <c r="Y27" s="86"/>
      <c r="Z27" s="87"/>
      <c r="AA27" s="86"/>
      <c r="AB27" s="87"/>
      <c r="AC27" s="86"/>
      <c r="AD27" s="87"/>
      <c r="AE27" s="86"/>
      <c r="AF27" s="87"/>
      <c r="AG27" s="86"/>
      <c r="AH27" s="87"/>
      <c r="AI27" s="86"/>
      <c r="AJ27" s="87"/>
      <c r="AK27" s="86"/>
      <c r="AL27" s="87"/>
      <c r="AM27" s="86"/>
      <c r="AN27" s="87"/>
      <c r="AO27" s="86"/>
      <c r="AP27" s="87"/>
      <c r="AQ27" s="86"/>
      <c r="AR27" s="87"/>
      <c r="AS27" s="86"/>
      <c r="AT27" s="87"/>
      <c r="AU27" s="86"/>
      <c r="AV27" s="87"/>
      <c r="AW27" s="86"/>
      <c r="AX27" s="87"/>
      <c r="AY27" s="86"/>
      <c r="AZ27" s="87"/>
      <c r="BA27" s="86"/>
      <c r="BB27" s="87"/>
      <c r="BC27" s="86"/>
      <c r="BD27" s="87"/>
      <c r="BE27" s="86"/>
      <c r="BF27" s="87"/>
      <c r="BG27" s="86"/>
      <c r="BH27" s="87"/>
      <c r="BI27" s="86"/>
      <c r="BJ27" s="87"/>
      <c r="BK27" s="86"/>
      <c r="BL27" s="87"/>
      <c r="BM27" s="86"/>
      <c r="BN27" s="50"/>
      <c r="BO27" s="170" t="str">
        <f t="shared" si="2"/>
        <v/>
      </c>
      <c r="BP27" s="87"/>
      <c r="BQ27" s="178" t="str">
        <f>IF(BM27="","",BM27)</f>
        <v/>
      </c>
      <c r="BR27"/>
      <c r="BS27"/>
      <c r="BT27"/>
      <c r="BU27"/>
      <c r="BV27"/>
      <c r="BW27"/>
      <c r="BX27"/>
    </row>
    <row r="28" spans="1:76" x14ac:dyDescent="0.35">
      <c r="A28" s="53" t="s">
        <v>22</v>
      </c>
      <c r="B28" s="54"/>
      <c r="C28" s="174" t="str">
        <f>IF('July 2027 Log'!BM28="","",'July 2027 Log'!BM28)</f>
        <v/>
      </c>
      <c r="D28" s="85"/>
      <c r="E28" s="86"/>
      <c r="F28" s="87"/>
      <c r="G28" s="86"/>
      <c r="H28" s="87"/>
      <c r="I28" s="86"/>
      <c r="J28" s="87"/>
      <c r="K28" s="86"/>
      <c r="L28" s="87"/>
      <c r="M28" s="86"/>
      <c r="N28" s="87"/>
      <c r="O28" s="86"/>
      <c r="P28" s="87"/>
      <c r="Q28" s="86"/>
      <c r="R28" s="87"/>
      <c r="S28" s="86"/>
      <c r="T28" s="87"/>
      <c r="U28" s="86"/>
      <c r="V28" s="87"/>
      <c r="W28" s="86"/>
      <c r="X28" s="87"/>
      <c r="Y28" s="86"/>
      <c r="Z28" s="87"/>
      <c r="AA28" s="86"/>
      <c r="AB28" s="87"/>
      <c r="AC28" s="86"/>
      <c r="AD28" s="87"/>
      <c r="AE28" s="86"/>
      <c r="AF28" s="87"/>
      <c r="AG28" s="86"/>
      <c r="AH28" s="87"/>
      <c r="AI28" s="86"/>
      <c r="AJ28" s="87"/>
      <c r="AK28" s="86"/>
      <c r="AL28" s="87"/>
      <c r="AM28" s="86"/>
      <c r="AN28" s="87"/>
      <c r="AO28" s="86"/>
      <c r="AP28" s="87"/>
      <c r="AQ28" s="86"/>
      <c r="AR28" s="87"/>
      <c r="AS28" s="86"/>
      <c r="AT28" s="87"/>
      <c r="AU28" s="86"/>
      <c r="AV28" s="87"/>
      <c r="AW28" s="86"/>
      <c r="AX28" s="87"/>
      <c r="AY28" s="86"/>
      <c r="AZ28" s="87"/>
      <c r="BA28" s="86"/>
      <c r="BB28" s="87"/>
      <c r="BC28" s="86"/>
      <c r="BD28" s="87"/>
      <c r="BE28" s="86"/>
      <c r="BF28" s="87"/>
      <c r="BG28" s="86"/>
      <c r="BH28" s="87"/>
      <c r="BI28" s="86"/>
      <c r="BJ28" s="87"/>
      <c r="BK28" s="86"/>
      <c r="BL28" s="87"/>
      <c r="BM28" s="86"/>
      <c r="BN28" s="50"/>
      <c r="BO28" s="170" t="str">
        <f t="shared" si="2"/>
        <v/>
      </c>
      <c r="BP28" s="87"/>
      <c r="BQ28" s="178" t="str">
        <f>IF(BM28="","",BM28)</f>
        <v/>
      </c>
    </row>
    <row r="29" spans="1:76" s="4" customFormat="1" ht="15" thickBot="1" x14ac:dyDescent="0.4">
      <c r="A29" s="53" t="s">
        <v>23</v>
      </c>
      <c r="B29" s="54"/>
      <c r="C29" s="84"/>
      <c r="D29" s="85"/>
      <c r="E29" s="86"/>
      <c r="F29" s="87"/>
      <c r="G29" s="86"/>
      <c r="H29" s="87"/>
      <c r="I29" s="86"/>
      <c r="J29" s="87"/>
      <c r="K29" s="86"/>
      <c r="L29" s="87"/>
      <c r="M29" s="86"/>
      <c r="N29" s="87"/>
      <c r="O29" s="86"/>
      <c r="P29" s="87"/>
      <c r="Q29" s="86"/>
      <c r="R29" s="87"/>
      <c r="S29" s="86"/>
      <c r="T29" s="87"/>
      <c r="U29" s="86"/>
      <c r="V29" s="87"/>
      <c r="W29" s="86"/>
      <c r="X29" s="87"/>
      <c r="Y29" s="86"/>
      <c r="Z29" s="87"/>
      <c r="AA29" s="86"/>
      <c r="AB29" s="87"/>
      <c r="AC29" s="86"/>
      <c r="AD29" s="87"/>
      <c r="AE29" s="86"/>
      <c r="AF29" s="87"/>
      <c r="AG29" s="86"/>
      <c r="AH29" s="87"/>
      <c r="AI29" s="86"/>
      <c r="AJ29" s="87"/>
      <c r="AK29" s="86"/>
      <c r="AL29" s="87"/>
      <c r="AM29" s="86"/>
      <c r="AN29" s="87"/>
      <c r="AO29" s="86"/>
      <c r="AP29" s="87"/>
      <c r="AQ29" s="86"/>
      <c r="AR29" s="87"/>
      <c r="AS29" s="86"/>
      <c r="AT29" s="87"/>
      <c r="AU29" s="86"/>
      <c r="AV29" s="87"/>
      <c r="AW29" s="86"/>
      <c r="AX29" s="87"/>
      <c r="AY29" s="86"/>
      <c r="AZ29" s="87"/>
      <c r="BA29" s="86"/>
      <c r="BB29" s="87"/>
      <c r="BC29" s="86"/>
      <c r="BD29" s="87"/>
      <c r="BE29" s="86"/>
      <c r="BF29" s="87"/>
      <c r="BG29" s="86"/>
      <c r="BH29" s="87"/>
      <c r="BI29" s="86"/>
      <c r="BJ29" s="87"/>
      <c r="BK29" s="86"/>
      <c r="BL29" s="87"/>
      <c r="BM29" s="86"/>
      <c r="BN29" s="50"/>
      <c r="BO29" s="170" t="str">
        <f t="shared" si="2"/>
        <v/>
      </c>
      <c r="BP29" s="87"/>
      <c r="BQ29" s="88"/>
      <c r="BR29"/>
      <c r="BS29"/>
      <c r="BT29"/>
      <c r="BU29"/>
      <c r="BV29"/>
      <c r="BW29"/>
      <c r="BX29"/>
    </row>
    <row r="30" spans="1:76" s="5" customFormat="1" ht="15" thickBot="1" x14ac:dyDescent="0.4">
      <c r="A30" s="98"/>
      <c r="B30" s="90"/>
      <c r="C30" s="84"/>
      <c r="D30" s="47"/>
      <c r="E30" s="180" t="e">
        <f>E28-(C28-E25+E29)</f>
        <v>#VALUE!</v>
      </c>
      <c r="F30" s="49"/>
      <c r="G30" s="166">
        <f>G28-(E28-G25+G29)</f>
        <v>0</v>
      </c>
      <c r="H30" s="49"/>
      <c r="I30" s="166">
        <f>I28-(G28-I25+I29)</f>
        <v>0</v>
      </c>
      <c r="J30" s="49"/>
      <c r="K30" s="180">
        <f>K28-(I28-K25+K29)</f>
        <v>0</v>
      </c>
      <c r="L30" s="49"/>
      <c r="M30" s="166">
        <f>M28-(K28-M25+M29)</f>
        <v>0</v>
      </c>
      <c r="N30" s="49"/>
      <c r="O30" s="166">
        <f>O28-(M28-O25+O29)</f>
        <v>0</v>
      </c>
      <c r="P30" s="49"/>
      <c r="Q30" s="166">
        <f>Q28-(O28-Q25+Q29)</f>
        <v>0</v>
      </c>
      <c r="R30" s="49"/>
      <c r="S30" s="166">
        <f>S28-(Q28-S25+S29)</f>
        <v>0</v>
      </c>
      <c r="T30" s="49"/>
      <c r="U30" s="166">
        <f>U28-(S28-U25+U29)</f>
        <v>0</v>
      </c>
      <c r="V30" s="49"/>
      <c r="W30" s="166">
        <f>W28-(U28-W25+W29)</f>
        <v>0</v>
      </c>
      <c r="X30" s="49"/>
      <c r="Y30" s="166">
        <f>Y28-(W28-Y25+Y29)</f>
        <v>0</v>
      </c>
      <c r="Z30" s="49"/>
      <c r="AA30" s="166">
        <f>AA28-(Y28-AA25+AA29)</f>
        <v>0</v>
      </c>
      <c r="AB30" s="49"/>
      <c r="AC30" s="166">
        <f>AC28-(AA28-AC25+AC29)</f>
        <v>0</v>
      </c>
      <c r="AD30" s="49"/>
      <c r="AE30" s="166">
        <f>AE28-(AC28-AE25+AE29)</f>
        <v>0</v>
      </c>
      <c r="AF30" s="49"/>
      <c r="AG30" s="166">
        <f>AG28-(AE28-AG25+AG29)</f>
        <v>0</v>
      </c>
      <c r="AH30" s="49"/>
      <c r="AI30" s="166">
        <f>AI28-(AG28-AI25+AI29)</f>
        <v>0</v>
      </c>
      <c r="AJ30" s="49"/>
      <c r="AK30" s="166">
        <f>AK28-(AI28-AK25+AK29)</f>
        <v>0</v>
      </c>
      <c r="AL30" s="49"/>
      <c r="AM30" s="166">
        <f>AM28-(AK28-AM25+AM29)</f>
        <v>0</v>
      </c>
      <c r="AN30" s="49"/>
      <c r="AO30" s="166">
        <f>AO28-(AM28-AO25+AO29)</f>
        <v>0</v>
      </c>
      <c r="AP30" s="49"/>
      <c r="AQ30" s="166">
        <f>AQ28-(AO28-AQ25+AQ29)</f>
        <v>0</v>
      </c>
      <c r="AR30" s="49"/>
      <c r="AS30" s="166">
        <f>AS28-(AQ28-AS25+AS29)</f>
        <v>0</v>
      </c>
      <c r="AT30" s="49"/>
      <c r="AU30" s="166">
        <f>AU28-(AS28-AU25+AU29)</f>
        <v>0</v>
      </c>
      <c r="AV30" s="49"/>
      <c r="AW30" s="166">
        <f>AW28-(AU28-AW25+AW29)</f>
        <v>0</v>
      </c>
      <c r="AX30" s="49"/>
      <c r="AY30" s="166">
        <f>AY28-(AW28-AY25+AY29)</f>
        <v>0</v>
      </c>
      <c r="AZ30" s="49"/>
      <c r="BA30" s="166">
        <f>BA28-(AY28-BA25+BA29)</f>
        <v>0</v>
      </c>
      <c r="BB30" s="49"/>
      <c r="BC30" s="166">
        <f>BC28-(BA28-BC25+BC29)</f>
        <v>0</v>
      </c>
      <c r="BD30" s="49"/>
      <c r="BE30" s="166">
        <f>BE28-(BC28-BE25+BE29)</f>
        <v>0</v>
      </c>
      <c r="BF30" s="49"/>
      <c r="BG30" s="166">
        <f>BG28-(BE28-BG25+BG29)</f>
        <v>0</v>
      </c>
      <c r="BH30" s="49"/>
      <c r="BI30" s="166">
        <f>BI28-(BG28-BI25+BI29)</f>
        <v>0</v>
      </c>
      <c r="BJ30" s="49"/>
      <c r="BK30" s="166">
        <f>BK28-(BI28-BK25+BK29)</f>
        <v>0</v>
      </c>
      <c r="BL30" s="49"/>
      <c r="BM30" s="166">
        <f>BM28-(BK28-BM25+BM29)</f>
        <v>0</v>
      </c>
      <c r="BN30" s="50"/>
      <c r="BO30" s="170" t="e">
        <f t="shared" si="2"/>
        <v>#VALUE!</v>
      </c>
      <c r="BP30" s="49"/>
      <c r="BQ30" s="52"/>
      <c r="BR30"/>
      <c r="BS30"/>
      <c r="BT30"/>
      <c r="BU30"/>
      <c r="BV30"/>
      <c r="BW30"/>
      <c r="BX30"/>
    </row>
    <row r="31" spans="1:76" s="5" customFormat="1" ht="15" thickBot="1" x14ac:dyDescent="0.4">
      <c r="A31" s="98"/>
      <c r="B31" s="90"/>
      <c r="C31" s="84"/>
      <c r="D31" s="47"/>
      <c r="E31" s="166" t="str">
        <f>IF(E25=0,"",E30/E25*100)</f>
        <v/>
      </c>
      <c r="F31" s="49"/>
      <c r="G31" s="166" t="str">
        <f>IF(G25=0,"",G30/G25*100)</f>
        <v/>
      </c>
      <c r="H31" s="49"/>
      <c r="I31" s="166" t="str">
        <f>IF(I25=0,"",I30/I25*100)</f>
        <v/>
      </c>
      <c r="J31" s="49"/>
      <c r="K31" s="166" t="str">
        <f>IF(K25=0,"",K30/K25*100)</f>
        <v/>
      </c>
      <c r="L31" s="49"/>
      <c r="M31" s="166" t="str">
        <f>IF(M25=0,"",M30/M25*100)</f>
        <v/>
      </c>
      <c r="N31" s="49"/>
      <c r="O31" s="166" t="str">
        <f>IF(O25=0,"",O30/O25*100)</f>
        <v/>
      </c>
      <c r="P31" s="49"/>
      <c r="Q31" s="166" t="str">
        <f>IF(Q25=0,"",Q30/Q25*100)</f>
        <v/>
      </c>
      <c r="R31" s="49"/>
      <c r="S31" s="166" t="str">
        <f>IF(S25=0,"",S30/S25*100)</f>
        <v/>
      </c>
      <c r="T31" s="49"/>
      <c r="U31" s="166" t="str">
        <f>IF(U25=0,"",U30/U25*100)</f>
        <v/>
      </c>
      <c r="V31" s="49"/>
      <c r="W31" s="166" t="str">
        <f>IF(W25=0,"",W30/W25*100)</f>
        <v/>
      </c>
      <c r="X31" s="49"/>
      <c r="Y31" s="166" t="str">
        <f>IF(Y25=0,"",Y30/Y25*100)</f>
        <v/>
      </c>
      <c r="Z31" s="49"/>
      <c r="AA31" s="166" t="str">
        <f>IF(AA25=0,"",AA30/AA25*100)</f>
        <v/>
      </c>
      <c r="AB31" s="49"/>
      <c r="AC31" s="166" t="str">
        <f>IF(AC25=0,"",AC30/AC25*100)</f>
        <v/>
      </c>
      <c r="AD31" s="49"/>
      <c r="AE31" s="166" t="str">
        <f>IF(AE25=0,"",AE30/AE25*100)</f>
        <v/>
      </c>
      <c r="AF31" s="49"/>
      <c r="AG31" s="166" t="str">
        <f>IF(AG25=0,"",AG30/AG25*100)</f>
        <v/>
      </c>
      <c r="AH31" s="49"/>
      <c r="AI31" s="166" t="str">
        <f>IF(AI25=0,"",AI30/AI25*100)</f>
        <v/>
      </c>
      <c r="AJ31" s="49"/>
      <c r="AK31" s="166" t="str">
        <f>IF(AK25=0,"",AK30/AK25*100)</f>
        <v/>
      </c>
      <c r="AL31" s="49"/>
      <c r="AM31" s="166" t="str">
        <f>IF(AM25=0,"",AM30/AM25*100)</f>
        <v/>
      </c>
      <c r="AN31" s="49"/>
      <c r="AO31" s="166" t="str">
        <f>IF(AO25=0,"",AO30/AO25*100)</f>
        <v/>
      </c>
      <c r="AP31" s="49"/>
      <c r="AQ31" s="166" t="str">
        <f>IF(AQ25=0,"",AQ30/AQ25*100)</f>
        <v/>
      </c>
      <c r="AR31" s="49"/>
      <c r="AS31" s="166" t="str">
        <f>IF(AS25=0,"",AS30/AS25*100)</f>
        <v/>
      </c>
      <c r="AT31" s="49"/>
      <c r="AU31" s="166" t="str">
        <f>IF(AU25=0,"",AU30/AU25*100)</f>
        <v/>
      </c>
      <c r="AV31" s="49"/>
      <c r="AW31" s="166" t="str">
        <f>IF(AW25=0,"",AW30/AW25*100)</f>
        <v/>
      </c>
      <c r="AX31" s="49"/>
      <c r="AY31" s="166" t="str">
        <f>IF(AY25=0,"",AY30/AY25*100)</f>
        <v/>
      </c>
      <c r="AZ31" s="49"/>
      <c r="BA31" s="166" t="str">
        <f>IF(BA25=0,"",BA30/BA25*100)</f>
        <v/>
      </c>
      <c r="BB31" s="49"/>
      <c r="BC31" s="166" t="str">
        <f>IF(BC25=0,"",BC30/BC25*100)</f>
        <v/>
      </c>
      <c r="BD31" s="49"/>
      <c r="BE31" s="166" t="str">
        <f>IF(BE25=0,"",BE30/BE25*100)</f>
        <v/>
      </c>
      <c r="BF31" s="49"/>
      <c r="BG31" s="166" t="str">
        <f>IF(BG25=0,"",BG30/BG25*100)</f>
        <v/>
      </c>
      <c r="BH31" s="49"/>
      <c r="BI31" s="166" t="str">
        <f>IF(BI25=0,"",BI30/BI25*100)</f>
        <v/>
      </c>
      <c r="BJ31" s="49"/>
      <c r="BK31" s="166" t="str">
        <f>IF(BK25=0,"",BK30/BK25*100)</f>
        <v/>
      </c>
      <c r="BL31" s="49"/>
      <c r="BM31" s="166" t="str">
        <f>IF(BM25=0,"",BM30/BM25*100)</f>
        <v/>
      </c>
      <c r="BN31" s="50"/>
      <c r="BO31" s="170" t="str">
        <f t="shared" si="2"/>
        <v/>
      </c>
      <c r="BP31" s="49"/>
      <c r="BQ31" s="52"/>
      <c r="BR31"/>
      <c r="BS31"/>
      <c r="BT31"/>
      <c r="BU31"/>
      <c r="BV31"/>
      <c r="BW31"/>
      <c r="BX31"/>
    </row>
    <row r="32" spans="1:76" x14ac:dyDescent="0.35">
      <c r="A32" s="83" t="s">
        <v>5</v>
      </c>
      <c r="B32" s="54"/>
      <c r="C32" s="174" t="str">
        <f>IF('July 2027 Log'!BM32="","",'July 2027 Log'!BM32)</f>
        <v/>
      </c>
      <c r="D32" s="85"/>
      <c r="E32" s="86"/>
      <c r="F32" s="87"/>
      <c r="G32" s="86"/>
      <c r="H32" s="87"/>
      <c r="I32" s="86"/>
      <c r="J32" s="87"/>
      <c r="K32" s="86"/>
      <c r="L32" s="87"/>
      <c r="M32" s="86"/>
      <c r="N32" s="87"/>
      <c r="O32" s="86"/>
      <c r="P32" s="87"/>
      <c r="Q32" s="86"/>
      <c r="R32" s="87"/>
      <c r="S32" s="86"/>
      <c r="T32" s="87"/>
      <c r="U32" s="86"/>
      <c r="V32" s="87"/>
      <c r="W32" s="86"/>
      <c r="X32" s="87"/>
      <c r="Y32" s="86"/>
      <c r="Z32" s="87"/>
      <c r="AA32" s="86"/>
      <c r="AB32" s="87"/>
      <c r="AC32" s="86"/>
      <c r="AD32" s="87"/>
      <c r="AE32" s="86"/>
      <c r="AF32" s="87"/>
      <c r="AG32" s="86"/>
      <c r="AH32" s="87"/>
      <c r="AI32" s="86"/>
      <c r="AJ32" s="87"/>
      <c r="AK32" s="86"/>
      <c r="AL32" s="87"/>
      <c r="AM32" s="86"/>
      <c r="AN32" s="87"/>
      <c r="AO32" s="86"/>
      <c r="AP32" s="87"/>
      <c r="AQ32" s="86"/>
      <c r="AR32" s="87"/>
      <c r="AS32" s="86"/>
      <c r="AT32" s="87"/>
      <c r="AU32" s="86"/>
      <c r="AV32" s="87"/>
      <c r="AW32" s="86"/>
      <c r="AX32" s="87"/>
      <c r="AY32" s="86"/>
      <c r="AZ32" s="87"/>
      <c r="BA32" s="86"/>
      <c r="BB32" s="87"/>
      <c r="BC32" s="86"/>
      <c r="BD32" s="87"/>
      <c r="BE32" s="86"/>
      <c r="BF32" s="87"/>
      <c r="BG32" s="86"/>
      <c r="BH32" s="87"/>
      <c r="BI32" s="86"/>
      <c r="BJ32" s="87"/>
      <c r="BK32" s="86"/>
      <c r="BL32" s="87"/>
      <c r="BM32" s="86"/>
      <c r="BN32" s="50"/>
      <c r="BO32" s="170" t="str">
        <f t="shared" si="2"/>
        <v/>
      </c>
      <c r="BP32" s="87"/>
      <c r="BQ32" s="178" t="str">
        <f>IF(BM32="","",BM32)</f>
        <v/>
      </c>
    </row>
    <row r="33" spans="1:76" x14ac:dyDescent="0.35">
      <c r="A33" s="83" t="s">
        <v>6</v>
      </c>
      <c r="B33" s="54"/>
      <c r="C33" s="174" t="str">
        <f>IF('July 2027 Log'!BM33="","",'July 2027 Log'!BM33)</f>
        <v/>
      </c>
      <c r="D33" s="85"/>
      <c r="E33" s="86"/>
      <c r="F33" s="87"/>
      <c r="G33" s="86"/>
      <c r="H33" s="87"/>
      <c r="I33" s="86"/>
      <c r="J33" s="87"/>
      <c r="K33" s="86"/>
      <c r="L33" s="87"/>
      <c r="M33" s="86"/>
      <c r="N33" s="87"/>
      <c r="O33" s="86"/>
      <c r="P33" s="87"/>
      <c r="Q33" s="86"/>
      <c r="R33" s="87"/>
      <c r="S33" s="86"/>
      <c r="T33" s="87"/>
      <c r="U33" s="86"/>
      <c r="V33" s="87"/>
      <c r="W33" s="86"/>
      <c r="X33" s="87"/>
      <c r="Y33" s="86"/>
      <c r="Z33" s="87"/>
      <c r="AA33" s="86"/>
      <c r="AB33" s="87"/>
      <c r="AC33" s="86"/>
      <c r="AD33" s="87"/>
      <c r="AE33" s="86"/>
      <c r="AF33" s="87"/>
      <c r="AG33" s="86"/>
      <c r="AH33" s="87"/>
      <c r="AI33" s="86"/>
      <c r="AJ33" s="87"/>
      <c r="AK33" s="86"/>
      <c r="AL33" s="87"/>
      <c r="AM33" s="86"/>
      <c r="AN33" s="87"/>
      <c r="AO33" s="86"/>
      <c r="AP33" s="87"/>
      <c r="AQ33" s="86"/>
      <c r="AR33" s="87"/>
      <c r="AS33" s="86"/>
      <c r="AT33" s="87"/>
      <c r="AU33" s="86"/>
      <c r="AV33" s="87"/>
      <c r="AW33" s="86"/>
      <c r="AX33" s="87"/>
      <c r="AY33" s="86"/>
      <c r="AZ33" s="87"/>
      <c r="BA33" s="86"/>
      <c r="BB33" s="87"/>
      <c r="BC33" s="86"/>
      <c r="BD33" s="87"/>
      <c r="BE33" s="86"/>
      <c r="BF33" s="87"/>
      <c r="BG33" s="86"/>
      <c r="BH33" s="87"/>
      <c r="BI33" s="86"/>
      <c r="BJ33" s="87"/>
      <c r="BK33" s="86"/>
      <c r="BL33" s="87"/>
      <c r="BM33" s="86"/>
      <c r="BN33" s="50"/>
      <c r="BO33" s="170" t="str">
        <f t="shared" si="2"/>
        <v/>
      </c>
      <c r="BP33" s="87"/>
      <c r="BQ33" s="178" t="str">
        <f>IF(BM33="","",BM33)</f>
        <v/>
      </c>
    </row>
    <row r="34" spans="1:76" x14ac:dyDescent="0.35">
      <c r="A34" s="83" t="s">
        <v>7</v>
      </c>
      <c r="B34" s="54"/>
      <c r="C34" s="174" t="str">
        <f>IF('July 2027 Log'!BM34="","",'July 2027 Log'!BM34)</f>
        <v/>
      </c>
      <c r="D34" s="85"/>
      <c r="E34" s="86"/>
      <c r="F34" s="87"/>
      <c r="G34" s="86"/>
      <c r="H34" s="87"/>
      <c r="I34" s="86"/>
      <c r="J34" s="87"/>
      <c r="K34" s="86"/>
      <c r="L34" s="87"/>
      <c r="M34" s="86"/>
      <c r="N34" s="87"/>
      <c r="O34" s="86"/>
      <c r="P34" s="87"/>
      <c r="Q34" s="86"/>
      <c r="R34" s="87"/>
      <c r="S34" s="86"/>
      <c r="T34" s="87"/>
      <c r="U34" s="86"/>
      <c r="V34" s="87"/>
      <c r="W34" s="86"/>
      <c r="X34" s="87"/>
      <c r="Y34" s="86"/>
      <c r="Z34" s="87"/>
      <c r="AA34" s="86"/>
      <c r="AB34" s="87"/>
      <c r="AC34" s="86"/>
      <c r="AD34" s="87"/>
      <c r="AE34" s="86"/>
      <c r="AF34" s="87"/>
      <c r="AG34" s="86"/>
      <c r="AH34" s="87"/>
      <c r="AI34" s="86"/>
      <c r="AJ34" s="87"/>
      <c r="AK34" s="86"/>
      <c r="AL34" s="87"/>
      <c r="AM34" s="86"/>
      <c r="AN34" s="87"/>
      <c r="AO34" s="86"/>
      <c r="AP34" s="87"/>
      <c r="AQ34" s="86"/>
      <c r="AR34" s="87"/>
      <c r="AS34" s="86"/>
      <c r="AT34" s="99"/>
      <c r="AU34" s="86"/>
      <c r="AV34" s="87"/>
      <c r="AW34" s="86"/>
      <c r="AX34" s="87"/>
      <c r="AY34" s="86"/>
      <c r="AZ34" s="87"/>
      <c r="BA34" s="86"/>
      <c r="BB34" s="87"/>
      <c r="BC34" s="86"/>
      <c r="BD34" s="87"/>
      <c r="BE34" s="86"/>
      <c r="BF34" s="87"/>
      <c r="BG34" s="86"/>
      <c r="BH34" s="87"/>
      <c r="BI34" s="86"/>
      <c r="BJ34" s="87"/>
      <c r="BK34" s="86"/>
      <c r="BL34" s="87"/>
      <c r="BM34" s="86"/>
      <c r="BN34" s="50"/>
      <c r="BO34" s="170" t="str">
        <f t="shared" si="2"/>
        <v/>
      </c>
      <c r="BP34" s="87"/>
      <c r="BQ34" s="178" t="str">
        <f>IF(BM34="","",BM34)</f>
        <v/>
      </c>
    </row>
    <row r="35" spans="1:76" x14ac:dyDescent="0.35">
      <c r="A35" s="100"/>
      <c r="B35" s="75"/>
      <c r="C35" s="101"/>
      <c r="D35" s="102"/>
      <c r="E35" s="103"/>
      <c r="F35" s="104"/>
      <c r="G35" s="103"/>
      <c r="H35" s="104"/>
      <c r="I35" s="103"/>
      <c r="J35" s="104"/>
      <c r="K35" s="103"/>
      <c r="L35" s="104"/>
      <c r="M35" s="103"/>
      <c r="N35" s="104"/>
      <c r="O35" s="103"/>
      <c r="P35" s="104"/>
      <c r="Q35" s="103"/>
      <c r="R35" s="104"/>
      <c r="S35" s="103"/>
      <c r="T35" s="104"/>
      <c r="U35" s="103"/>
      <c r="V35" s="104"/>
      <c r="W35" s="103"/>
      <c r="X35" s="104"/>
      <c r="Y35" s="103"/>
      <c r="Z35" s="104"/>
      <c r="AA35" s="103"/>
      <c r="AB35" s="104"/>
      <c r="AC35" s="103"/>
      <c r="AD35" s="104"/>
      <c r="AE35" s="103"/>
      <c r="AF35" s="104"/>
      <c r="AG35" s="103"/>
      <c r="AH35" s="104"/>
      <c r="AI35" s="103"/>
      <c r="AJ35" s="104"/>
      <c r="AK35" s="103"/>
      <c r="AL35" s="104"/>
      <c r="AM35" s="103"/>
      <c r="AN35" s="104"/>
      <c r="AO35" s="103"/>
      <c r="AP35" s="104"/>
      <c r="AQ35" s="103"/>
      <c r="AR35" s="104"/>
      <c r="AS35" s="103"/>
      <c r="AT35" s="104"/>
      <c r="AU35" s="103"/>
      <c r="AV35" s="104"/>
      <c r="AW35" s="103"/>
      <c r="AX35" s="104"/>
      <c r="AY35" s="103"/>
      <c r="AZ35" s="104"/>
      <c r="BA35" s="103"/>
      <c r="BB35" s="104"/>
      <c r="BC35" s="103"/>
      <c r="BD35" s="104"/>
      <c r="BE35" s="103"/>
      <c r="BF35" s="104"/>
      <c r="BG35" s="103"/>
      <c r="BH35" s="104"/>
      <c r="BI35" s="103"/>
      <c r="BJ35" s="104"/>
      <c r="BK35" s="103"/>
      <c r="BL35" s="104"/>
      <c r="BM35" s="103"/>
      <c r="BN35" s="105"/>
      <c r="BO35" s="183" t="str">
        <f t="shared" si="2"/>
        <v/>
      </c>
      <c r="BP35" s="104"/>
      <c r="BQ35" s="107"/>
    </row>
    <row r="36" spans="1:76" x14ac:dyDescent="0.35">
      <c r="A36" s="83" t="s">
        <v>59</v>
      </c>
      <c r="B36" s="54" t="s">
        <v>58</v>
      </c>
      <c r="C36" s="174" t="str">
        <f>IF('July 2027 Log'!BM36="","",'July 2027 Log'!BM36)</f>
        <v/>
      </c>
      <c r="D36" s="85"/>
      <c r="E36" s="86"/>
      <c r="F36" s="87"/>
      <c r="G36" s="86"/>
      <c r="H36" s="87"/>
      <c r="I36" s="86"/>
      <c r="J36" s="87"/>
      <c r="K36" s="86"/>
      <c r="L36" s="87"/>
      <c r="M36" s="86"/>
      <c r="N36" s="87"/>
      <c r="O36" s="86"/>
      <c r="P36" s="87"/>
      <c r="Q36" s="86"/>
      <c r="R36" s="87"/>
      <c r="S36" s="86"/>
      <c r="T36" s="87"/>
      <c r="U36" s="86"/>
      <c r="V36" s="87"/>
      <c r="W36" s="86"/>
      <c r="X36" s="87"/>
      <c r="Y36" s="86"/>
      <c r="Z36" s="87"/>
      <c r="AA36" s="86"/>
      <c r="AB36" s="87"/>
      <c r="AC36" s="86"/>
      <c r="AD36" s="87"/>
      <c r="AE36" s="86"/>
      <c r="AF36" s="87"/>
      <c r="AG36" s="86"/>
      <c r="AH36" s="87"/>
      <c r="AI36" s="86"/>
      <c r="AJ36" s="87"/>
      <c r="AK36" s="86"/>
      <c r="AL36" s="87"/>
      <c r="AM36" s="86"/>
      <c r="AN36" s="87"/>
      <c r="AO36" s="86"/>
      <c r="AP36" s="87"/>
      <c r="AQ36" s="86"/>
      <c r="AR36" s="87"/>
      <c r="AS36" s="86"/>
      <c r="AT36" s="87"/>
      <c r="AU36" s="86"/>
      <c r="AV36" s="87"/>
      <c r="AW36" s="86"/>
      <c r="AX36" s="87"/>
      <c r="AY36" s="86"/>
      <c r="AZ36" s="87"/>
      <c r="BA36" s="86"/>
      <c r="BB36" s="87"/>
      <c r="BC36" s="86"/>
      <c r="BD36" s="87"/>
      <c r="BE36" s="86"/>
      <c r="BF36" s="87"/>
      <c r="BG36" s="86"/>
      <c r="BH36" s="87"/>
      <c r="BI36" s="86"/>
      <c r="BJ36" s="87"/>
      <c r="BK36" s="86"/>
      <c r="BL36" s="87"/>
      <c r="BM36" s="86"/>
      <c r="BN36" s="50"/>
      <c r="BO36" s="170" t="str">
        <f t="shared" si="2"/>
        <v/>
      </c>
      <c r="BP36" s="87"/>
      <c r="BQ36" s="178" t="str">
        <f>IF(BM36="","",BM36)</f>
        <v/>
      </c>
    </row>
    <row r="37" spans="1:76" x14ac:dyDescent="0.35">
      <c r="A37" s="83"/>
      <c r="B37" s="54"/>
      <c r="C37" s="84"/>
      <c r="D37" s="85"/>
      <c r="E37" s="86"/>
      <c r="F37" s="87"/>
      <c r="G37" s="86"/>
      <c r="H37" s="87"/>
      <c r="I37" s="86"/>
      <c r="J37" s="87"/>
      <c r="K37" s="86"/>
      <c r="L37" s="87"/>
      <c r="M37" s="86"/>
      <c r="N37" s="87"/>
      <c r="O37" s="86"/>
      <c r="P37" s="87"/>
      <c r="Q37" s="86"/>
      <c r="R37" s="87"/>
      <c r="S37" s="86"/>
      <c r="T37" s="87"/>
      <c r="U37" s="86"/>
      <c r="V37" s="87"/>
      <c r="W37" s="86"/>
      <c r="X37" s="87"/>
      <c r="Y37" s="86"/>
      <c r="Z37" s="87"/>
      <c r="AA37" s="86"/>
      <c r="AB37" s="87"/>
      <c r="AC37" s="86"/>
      <c r="AD37" s="87"/>
      <c r="AE37" s="86"/>
      <c r="AF37" s="87"/>
      <c r="AG37" s="86"/>
      <c r="AH37" s="87"/>
      <c r="AI37" s="86"/>
      <c r="AJ37" s="87"/>
      <c r="AK37" s="86"/>
      <c r="AL37" s="87"/>
      <c r="AM37" s="86"/>
      <c r="AN37" s="87"/>
      <c r="AO37" s="86"/>
      <c r="AP37" s="87"/>
      <c r="AQ37" s="86"/>
      <c r="AR37" s="87"/>
      <c r="AS37" s="86"/>
      <c r="AT37" s="87"/>
      <c r="AU37" s="86"/>
      <c r="AV37" s="87"/>
      <c r="AW37" s="86"/>
      <c r="AX37" s="87"/>
      <c r="AY37" s="86"/>
      <c r="AZ37" s="87"/>
      <c r="BA37" s="86"/>
      <c r="BB37" s="87"/>
      <c r="BC37" s="86"/>
      <c r="BD37" s="87"/>
      <c r="BE37" s="86"/>
      <c r="BF37" s="87"/>
      <c r="BG37" s="86"/>
      <c r="BH37" s="87"/>
      <c r="BI37" s="86"/>
      <c r="BJ37" s="87"/>
      <c r="BK37" s="86"/>
      <c r="BL37" s="87"/>
      <c r="BM37" s="86"/>
      <c r="BN37" s="50"/>
      <c r="BO37" s="170" t="str">
        <f t="shared" si="2"/>
        <v/>
      </c>
      <c r="BP37" s="87"/>
      <c r="BQ37" s="88"/>
    </row>
    <row r="38" spans="1:76" x14ac:dyDescent="0.35">
      <c r="A38" s="83" t="s">
        <v>62</v>
      </c>
      <c r="B38" s="54" t="s">
        <v>63</v>
      </c>
      <c r="C38" s="174" t="str">
        <f>IF('July 2027 Log'!BM38="","",'July 2027 Log'!BM38)</f>
        <v/>
      </c>
      <c r="D38" s="85"/>
      <c r="E38" s="86"/>
      <c r="F38" s="87"/>
      <c r="G38" s="86"/>
      <c r="H38" s="87"/>
      <c r="I38" s="86"/>
      <c r="J38" s="87"/>
      <c r="K38" s="86"/>
      <c r="L38" s="87"/>
      <c r="M38" s="86"/>
      <c r="N38" s="87"/>
      <c r="O38" s="86"/>
      <c r="P38" s="87"/>
      <c r="Q38" s="86"/>
      <c r="R38" s="87"/>
      <c r="S38" s="86"/>
      <c r="T38" s="87"/>
      <c r="U38" s="86"/>
      <c r="V38" s="87"/>
      <c r="W38" s="86"/>
      <c r="X38" s="87"/>
      <c r="Y38" s="86"/>
      <c r="Z38" s="87"/>
      <c r="AA38" s="86"/>
      <c r="AB38" s="87"/>
      <c r="AC38" s="86"/>
      <c r="AD38" s="87"/>
      <c r="AE38" s="86"/>
      <c r="AF38" s="87"/>
      <c r="AG38" s="86"/>
      <c r="AH38" s="87"/>
      <c r="AI38" s="86"/>
      <c r="AJ38" s="87"/>
      <c r="AK38" s="86"/>
      <c r="AL38" s="87"/>
      <c r="AM38" s="86"/>
      <c r="AN38" s="87"/>
      <c r="AO38" s="86"/>
      <c r="AP38" s="87"/>
      <c r="AQ38" s="86"/>
      <c r="AR38" s="87"/>
      <c r="AS38" s="86"/>
      <c r="AT38" s="87"/>
      <c r="AU38" s="86"/>
      <c r="AV38" s="87"/>
      <c r="AW38" s="86"/>
      <c r="AX38" s="87"/>
      <c r="AY38" s="86"/>
      <c r="AZ38" s="87"/>
      <c r="BA38" s="86"/>
      <c r="BB38" s="87"/>
      <c r="BC38" s="86"/>
      <c r="BD38" s="87"/>
      <c r="BE38" s="86"/>
      <c r="BF38" s="87"/>
      <c r="BG38" s="86"/>
      <c r="BH38" s="87"/>
      <c r="BI38" s="86"/>
      <c r="BJ38" s="87"/>
      <c r="BK38" s="86"/>
      <c r="BL38" s="87"/>
      <c r="BM38" s="86"/>
      <c r="BN38" s="50"/>
      <c r="BO38" s="170" t="str">
        <f t="shared" si="2"/>
        <v/>
      </c>
      <c r="BP38" s="87"/>
      <c r="BQ38" s="178" t="str">
        <f>IF(BM38="","",BM38)</f>
        <v/>
      </c>
    </row>
    <row r="39" spans="1:76" x14ac:dyDescent="0.35">
      <c r="A39" s="83" t="s">
        <v>64</v>
      </c>
      <c r="B39" s="54" t="s">
        <v>63</v>
      </c>
      <c r="C39" s="174" t="str">
        <f>IF('July 2027 Log'!BM39="","",'July 2027 Log'!BM39)</f>
        <v/>
      </c>
      <c r="D39" s="85"/>
      <c r="E39" s="86"/>
      <c r="F39" s="87"/>
      <c r="G39" s="86"/>
      <c r="H39" s="87"/>
      <c r="I39" s="86"/>
      <c r="J39" s="87"/>
      <c r="K39" s="86"/>
      <c r="L39" s="87"/>
      <c r="M39" s="86"/>
      <c r="N39" s="87"/>
      <c r="O39" s="86"/>
      <c r="P39" s="87"/>
      <c r="Q39" s="86"/>
      <c r="R39" s="87"/>
      <c r="S39" s="86"/>
      <c r="T39" s="87"/>
      <c r="U39" s="86"/>
      <c r="V39" s="87"/>
      <c r="W39" s="86"/>
      <c r="X39" s="87"/>
      <c r="Y39" s="86"/>
      <c r="Z39" s="87"/>
      <c r="AA39" s="86"/>
      <c r="AB39" s="87"/>
      <c r="AC39" s="86"/>
      <c r="AD39" s="87"/>
      <c r="AE39" s="86"/>
      <c r="AF39" s="87"/>
      <c r="AG39" s="86"/>
      <c r="AH39" s="87"/>
      <c r="AI39" s="86"/>
      <c r="AJ39" s="87"/>
      <c r="AK39" s="86"/>
      <c r="AL39" s="87"/>
      <c r="AM39" s="86"/>
      <c r="AN39" s="87"/>
      <c r="AO39" s="86"/>
      <c r="AP39" s="87"/>
      <c r="AQ39" s="86"/>
      <c r="AR39" s="87"/>
      <c r="AS39" s="86"/>
      <c r="AT39" s="87"/>
      <c r="AU39" s="86"/>
      <c r="AV39" s="87"/>
      <c r="AW39" s="86"/>
      <c r="AX39" s="87"/>
      <c r="AY39" s="86"/>
      <c r="AZ39" s="87"/>
      <c r="BA39" s="86"/>
      <c r="BB39" s="87"/>
      <c r="BC39" s="86"/>
      <c r="BD39" s="87"/>
      <c r="BE39" s="86"/>
      <c r="BF39" s="87"/>
      <c r="BG39" s="86"/>
      <c r="BH39" s="87"/>
      <c r="BI39" s="86"/>
      <c r="BJ39" s="87"/>
      <c r="BK39" s="86"/>
      <c r="BL39" s="87"/>
      <c r="BM39" s="86"/>
      <c r="BN39" s="50"/>
      <c r="BO39" s="170" t="str">
        <f t="shared" si="2"/>
        <v/>
      </c>
      <c r="BP39" s="87"/>
      <c r="BQ39" s="178" t="str">
        <f>IF(BM39="","",BM39)</f>
        <v/>
      </c>
    </row>
    <row r="40" spans="1:76" x14ac:dyDescent="0.35">
      <c r="A40" s="83" t="s">
        <v>44</v>
      </c>
      <c r="B40" s="54"/>
      <c r="C40" s="84"/>
      <c r="D40" s="85"/>
      <c r="E40" s="86"/>
      <c r="F40" s="87"/>
      <c r="G40" s="86"/>
      <c r="H40" s="87"/>
      <c r="I40" s="86"/>
      <c r="J40" s="87"/>
      <c r="K40" s="86"/>
      <c r="L40" s="87"/>
      <c r="M40" s="86"/>
      <c r="N40" s="87"/>
      <c r="O40" s="86"/>
      <c r="P40" s="87"/>
      <c r="Q40" s="86"/>
      <c r="R40" s="87"/>
      <c r="S40" s="86"/>
      <c r="T40" s="87"/>
      <c r="U40" s="86"/>
      <c r="V40" s="87"/>
      <c r="W40" s="86"/>
      <c r="X40" s="87"/>
      <c r="Y40" s="86"/>
      <c r="Z40" s="87"/>
      <c r="AA40" s="86"/>
      <c r="AB40" s="87"/>
      <c r="AC40" s="86"/>
      <c r="AD40" s="87"/>
      <c r="AE40" s="86"/>
      <c r="AF40" s="87"/>
      <c r="AG40" s="86"/>
      <c r="AH40" s="87"/>
      <c r="AI40" s="86"/>
      <c r="AJ40" s="87"/>
      <c r="AK40" s="86"/>
      <c r="AL40" s="87"/>
      <c r="AM40" s="86"/>
      <c r="AN40" s="87"/>
      <c r="AO40" s="86"/>
      <c r="AP40" s="87"/>
      <c r="AQ40" s="86"/>
      <c r="AR40" s="87"/>
      <c r="AS40" s="86"/>
      <c r="AT40" s="87"/>
      <c r="AU40" s="86"/>
      <c r="AV40" s="87"/>
      <c r="AW40" s="86"/>
      <c r="AX40" s="87"/>
      <c r="AY40" s="86"/>
      <c r="AZ40" s="87"/>
      <c r="BA40" s="86"/>
      <c r="BB40" s="87"/>
      <c r="BC40" s="86"/>
      <c r="BD40" s="87"/>
      <c r="BE40" s="86"/>
      <c r="BF40" s="87"/>
      <c r="BG40" s="86"/>
      <c r="BH40" s="87"/>
      <c r="BI40" s="86"/>
      <c r="BJ40" s="87"/>
      <c r="BK40" s="86"/>
      <c r="BL40" s="87"/>
      <c r="BM40" s="86"/>
      <c r="BN40" s="50"/>
      <c r="BO40" s="170" t="str">
        <f t="shared" si="2"/>
        <v/>
      </c>
      <c r="BP40" s="87"/>
      <c r="BQ40" s="88"/>
    </row>
    <row r="41" spans="1:76" x14ac:dyDescent="0.35">
      <c r="A41" s="83" t="s">
        <v>54</v>
      </c>
      <c r="B41" s="54"/>
      <c r="C41" s="84"/>
      <c r="D41" s="85"/>
      <c r="E41" s="86"/>
      <c r="F41" s="87"/>
      <c r="G41" s="86"/>
      <c r="H41" s="87"/>
      <c r="I41" s="86"/>
      <c r="J41" s="87"/>
      <c r="K41" s="86"/>
      <c r="L41" s="87"/>
      <c r="M41" s="86"/>
      <c r="N41" s="87"/>
      <c r="O41" s="86"/>
      <c r="P41" s="87"/>
      <c r="Q41" s="86"/>
      <c r="R41" s="87"/>
      <c r="S41" s="86"/>
      <c r="T41" s="87"/>
      <c r="U41" s="86"/>
      <c r="V41" s="87"/>
      <c r="W41" s="86"/>
      <c r="X41" s="87"/>
      <c r="Y41" s="86"/>
      <c r="Z41" s="87"/>
      <c r="AA41" s="86"/>
      <c r="AB41" s="87"/>
      <c r="AC41" s="86"/>
      <c r="AD41" s="87"/>
      <c r="AE41" s="86"/>
      <c r="AF41" s="87"/>
      <c r="AG41" s="86"/>
      <c r="AH41" s="87"/>
      <c r="AI41" s="86"/>
      <c r="AJ41" s="87"/>
      <c r="AK41" s="86"/>
      <c r="AL41" s="87"/>
      <c r="AM41" s="86"/>
      <c r="AN41" s="87"/>
      <c r="AO41" s="86"/>
      <c r="AP41" s="87"/>
      <c r="AQ41" s="86"/>
      <c r="AR41" s="87"/>
      <c r="AS41" s="86"/>
      <c r="AT41" s="87"/>
      <c r="AU41" s="86"/>
      <c r="AV41" s="87"/>
      <c r="AW41" s="86"/>
      <c r="AX41" s="87"/>
      <c r="AY41" s="86"/>
      <c r="AZ41" s="87"/>
      <c r="BA41" s="86"/>
      <c r="BB41" s="87"/>
      <c r="BC41" s="86"/>
      <c r="BD41" s="87"/>
      <c r="BE41" s="86"/>
      <c r="BF41" s="87"/>
      <c r="BG41" s="86"/>
      <c r="BH41" s="87"/>
      <c r="BI41" s="86"/>
      <c r="BJ41" s="87"/>
      <c r="BK41" s="86"/>
      <c r="BL41" s="87"/>
      <c r="BM41" s="86"/>
      <c r="BN41" s="50"/>
      <c r="BO41" s="170" t="str">
        <f t="shared" si="2"/>
        <v/>
      </c>
      <c r="BP41" s="87"/>
      <c r="BQ41" s="88"/>
    </row>
    <row r="42" spans="1:76" s="1" customFormat="1" x14ac:dyDescent="0.35">
      <c r="A42" s="89" t="s">
        <v>35</v>
      </c>
      <c r="B42" s="90"/>
      <c r="C42" s="174">
        <f>IF('July 2027 Log'!BM42="","",'July 2027 Log'!BM42)</f>
        <v>0</v>
      </c>
      <c r="D42" s="47"/>
      <c r="E42" s="166">
        <f>SUM(E36:E41)</f>
        <v>0</v>
      </c>
      <c r="F42" s="49"/>
      <c r="G42" s="166">
        <f>SUM(G36:G41)</f>
        <v>0</v>
      </c>
      <c r="H42" s="49"/>
      <c r="I42" s="166">
        <f>SUM(I36:I41)</f>
        <v>0</v>
      </c>
      <c r="J42" s="49"/>
      <c r="K42" s="166">
        <f>SUM(K36:K41)</f>
        <v>0</v>
      </c>
      <c r="L42" s="49"/>
      <c r="M42" s="166">
        <f>SUM(M36:M41)</f>
        <v>0</v>
      </c>
      <c r="N42" s="49"/>
      <c r="O42" s="166">
        <f>SUM(O36:O41)</f>
        <v>0</v>
      </c>
      <c r="P42" s="49"/>
      <c r="Q42" s="166">
        <f>SUM(Q36:Q41)</f>
        <v>0</v>
      </c>
      <c r="R42" s="49"/>
      <c r="S42" s="166">
        <f>SUM(S36:S41)</f>
        <v>0</v>
      </c>
      <c r="T42" s="49"/>
      <c r="U42" s="166">
        <f>SUM(U36:U41)</f>
        <v>0</v>
      </c>
      <c r="V42" s="49"/>
      <c r="W42" s="166">
        <f>SUM(W36:W41)</f>
        <v>0</v>
      </c>
      <c r="X42" s="49"/>
      <c r="Y42" s="166">
        <f>SUM(Y36:Y41)</f>
        <v>0</v>
      </c>
      <c r="Z42" s="49"/>
      <c r="AA42" s="166">
        <f>SUM(AA36:AA41)</f>
        <v>0</v>
      </c>
      <c r="AB42" s="49"/>
      <c r="AC42" s="166">
        <f>SUM(AC36:AC41)</f>
        <v>0</v>
      </c>
      <c r="AD42" s="49"/>
      <c r="AE42" s="166">
        <f>SUM(AE36:AE41)</f>
        <v>0</v>
      </c>
      <c r="AF42" s="49"/>
      <c r="AG42" s="166">
        <f>SUM(AG36:AG41)</f>
        <v>0</v>
      </c>
      <c r="AH42" s="49"/>
      <c r="AI42" s="166">
        <f>SUM(AI36:AI41)</f>
        <v>0</v>
      </c>
      <c r="AJ42" s="49"/>
      <c r="AK42" s="166">
        <f>SUM(AK36:AK41)</f>
        <v>0</v>
      </c>
      <c r="AL42" s="49"/>
      <c r="AM42" s="166">
        <f>SUM(AM36:AM41)</f>
        <v>0</v>
      </c>
      <c r="AN42" s="49"/>
      <c r="AO42" s="166">
        <f>SUM(AO36:AO41)</f>
        <v>0</v>
      </c>
      <c r="AP42" s="49"/>
      <c r="AQ42" s="166">
        <f>SUM(AQ36:AQ41)</f>
        <v>0</v>
      </c>
      <c r="AR42" s="49"/>
      <c r="AS42" s="166">
        <f>SUM(AS36:AS41)</f>
        <v>0</v>
      </c>
      <c r="AT42" s="49"/>
      <c r="AU42" s="166">
        <f>SUM(AU36:AU41)</f>
        <v>0</v>
      </c>
      <c r="AV42" s="49"/>
      <c r="AW42" s="166">
        <f>SUM(AW36:AW41)</f>
        <v>0</v>
      </c>
      <c r="AX42" s="49"/>
      <c r="AY42" s="166">
        <f>SUM(AY36:AY41)</f>
        <v>0</v>
      </c>
      <c r="AZ42" s="49"/>
      <c r="BA42" s="166">
        <f>SUM(BA36:BA41)</f>
        <v>0</v>
      </c>
      <c r="BB42" s="49"/>
      <c r="BC42" s="166">
        <f>SUM(BC36:BC41)</f>
        <v>0</v>
      </c>
      <c r="BD42" s="49"/>
      <c r="BE42" s="166">
        <f>SUM(BE36:BE41)</f>
        <v>0</v>
      </c>
      <c r="BF42" s="49"/>
      <c r="BG42" s="166">
        <f>SUM(BG36:BG41)</f>
        <v>0</v>
      </c>
      <c r="BH42" s="49"/>
      <c r="BI42" s="166">
        <f>SUM(BI36:BI41)</f>
        <v>0</v>
      </c>
      <c r="BJ42" s="49"/>
      <c r="BK42" s="166">
        <f>SUM(BK36:BK41)</f>
        <v>0</v>
      </c>
      <c r="BL42" s="49"/>
      <c r="BM42" s="166">
        <f>SUM(BM36:BM41)</f>
        <v>0</v>
      </c>
      <c r="BN42" s="50"/>
      <c r="BO42" s="170">
        <f t="shared" si="2"/>
        <v>0</v>
      </c>
      <c r="BP42" s="49"/>
      <c r="BQ42" s="172">
        <f>IF(BM42="","",BM42)</f>
        <v>0</v>
      </c>
      <c r="BR42"/>
      <c r="BS42"/>
      <c r="BT42"/>
      <c r="BU42"/>
      <c r="BV42"/>
      <c r="BW42"/>
      <c r="BX42"/>
    </row>
    <row r="43" spans="1:76" x14ac:dyDescent="0.35">
      <c r="A43" s="83" t="s">
        <v>61</v>
      </c>
      <c r="B43" s="54" t="s">
        <v>60</v>
      </c>
      <c r="C43" s="174" t="str">
        <f>IF('July 2027 Log'!BM43="","",'July 2027 Log'!BM43)</f>
        <v/>
      </c>
      <c r="D43" s="85"/>
      <c r="E43" s="86"/>
      <c r="F43" s="87"/>
      <c r="G43" s="86"/>
      <c r="H43" s="87"/>
      <c r="I43" s="86"/>
      <c r="J43" s="87"/>
      <c r="K43" s="86"/>
      <c r="L43" s="87"/>
      <c r="M43" s="86"/>
      <c r="N43" s="87"/>
      <c r="O43" s="86"/>
      <c r="P43" s="87"/>
      <c r="Q43" s="86"/>
      <c r="R43" s="87"/>
      <c r="S43" s="86"/>
      <c r="T43" s="87"/>
      <c r="U43" s="86"/>
      <c r="V43" s="87"/>
      <c r="W43" s="86"/>
      <c r="X43" s="87"/>
      <c r="Y43" s="86"/>
      <c r="Z43" s="87"/>
      <c r="AA43" s="86"/>
      <c r="AB43" s="87"/>
      <c r="AC43" s="86"/>
      <c r="AD43" s="87"/>
      <c r="AE43" s="86"/>
      <c r="AF43" s="87"/>
      <c r="AG43" s="86"/>
      <c r="AH43" s="87"/>
      <c r="AI43" s="86"/>
      <c r="AJ43" s="87"/>
      <c r="AK43" s="86"/>
      <c r="AL43" s="87"/>
      <c r="AM43" s="86"/>
      <c r="AN43" s="87"/>
      <c r="AO43" s="86"/>
      <c r="AP43" s="87"/>
      <c r="AQ43" s="86"/>
      <c r="AR43" s="87"/>
      <c r="AS43" s="86"/>
      <c r="AT43" s="87"/>
      <c r="AU43" s="86"/>
      <c r="AV43" s="87"/>
      <c r="AW43" s="86"/>
      <c r="AX43" s="87"/>
      <c r="AY43" s="86"/>
      <c r="AZ43" s="87"/>
      <c r="BA43" s="86"/>
      <c r="BB43" s="87"/>
      <c r="BC43" s="86"/>
      <c r="BD43" s="87"/>
      <c r="BE43" s="86"/>
      <c r="BF43" s="87"/>
      <c r="BG43" s="86"/>
      <c r="BH43" s="87"/>
      <c r="BI43" s="86"/>
      <c r="BJ43" s="87"/>
      <c r="BK43" s="86"/>
      <c r="BL43" s="87"/>
      <c r="BM43" s="86"/>
      <c r="BN43" s="50"/>
      <c r="BO43" s="170" t="str">
        <f t="shared" si="2"/>
        <v/>
      </c>
      <c r="BP43" s="87"/>
      <c r="BQ43" s="178" t="str">
        <f>IF(BM43="","",BM43)</f>
        <v/>
      </c>
    </row>
    <row r="44" spans="1:76" hidden="1" x14ac:dyDescent="0.35">
      <c r="A44" s="83" t="s">
        <v>8</v>
      </c>
      <c r="B44" s="54"/>
      <c r="C44" s="84"/>
      <c r="D44" s="85"/>
      <c r="E44" s="86"/>
      <c r="F44" s="87"/>
      <c r="G44" s="86"/>
      <c r="H44" s="87"/>
      <c r="I44" s="86"/>
      <c r="J44" s="87"/>
      <c r="K44" s="86"/>
      <c r="L44" s="87"/>
      <c r="M44" s="86"/>
      <c r="N44" s="87"/>
      <c r="O44" s="86"/>
      <c r="P44" s="87"/>
      <c r="Q44" s="86"/>
      <c r="R44" s="87"/>
      <c r="S44" s="86"/>
      <c r="T44" s="87"/>
      <c r="U44" s="86"/>
      <c r="V44" s="87"/>
      <c r="W44" s="86"/>
      <c r="X44" s="87"/>
      <c r="Y44" s="86"/>
      <c r="Z44" s="87"/>
      <c r="AA44" s="86"/>
      <c r="AB44" s="87"/>
      <c r="AC44" s="86"/>
      <c r="AD44" s="87"/>
      <c r="AE44" s="86"/>
      <c r="AF44" s="87"/>
      <c r="AG44" s="86"/>
      <c r="AH44" s="87"/>
      <c r="AI44" s="86"/>
      <c r="AJ44" s="87"/>
      <c r="AK44" s="86"/>
      <c r="AL44" s="87"/>
      <c r="AM44" s="86"/>
      <c r="AN44" s="87"/>
      <c r="AO44" s="86"/>
      <c r="AP44" s="87"/>
      <c r="AQ44" s="86"/>
      <c r="AR44" s="87"/>
      <c r="AS44" s="86"/>
      <c r="AT44" s="87"/>
      <c r="AU44" s="86"/>
      <c r="AV44" s="87"/>
      <c r="AW44" s="86"/>
      <c r="AX44" s="87"/>
      <c r="AY44" s="86"/>
      <c r="AZ44" s="87"/>
      <c r="BA44" s="86"/>
      <c r="BB44" s="87"/>
      <c r="BC44" s="86"/>
      <c r="BD44" s="87"/>
      <c r="BE44" s="86"/>
      <c r="BF44" s="87"/>
      <c r="BG44" s="86"/>
      <c r="BH44" s="87"/>
      <c r="BI44" s="86"/>
      <c r="BJ44" s="87"/>
      <c r="BK44" s="86"/>
      <c r="BL44" s="87"/>
      <c r="BM44" s="86"/>
      <c r="BN44" s="50"/>
      <c r="BO44" s="170" t="str">
        <f t="shared" si="2"/>
        <v/>
      </c>
      <c r="BP44" s="87"/>
      <c r="BQ44" s="88"/>
    </row>
    <row r="45" spans="1:76" hidden="1" x14ac:dyDescent="0.35">
      <c r="A45" s="83" t="s">
        <v>9</v>
      </c>
      <c r="B45" s="54"/>
      <c r="C45" s="84"/>
      <c r="D45" s="85"/>
      <c r="E45" s="86"/>
      <c r="F45" s="87"/>
      <c r="G45" s="86"/>
      <c r="H45" s="87"/>
      <c r="I45" s="86"/>
      <c r="J45" s="87"/>
      <c r="K45" s="86"/>
      <c r="L45" s="87"/>
      <c r="M45" s="86"/>
      <c r="N45" s="87"/>
      <c r="O45" s="86"/>
      <c r="P45" s="87"/>
      <c r="Q45" s="86"/>
      <c r="R45" s="87"/>
      <c r="S45" s="86"/>
      <c r="T45" s="87"/>
      <c r="U45" s="86"/>
      <c r="V45" s="87"/>
      <c r="W45" s="86"/>
      <c r="X45" s="87"/>
      <c r="Y45" s="86"/>
      <c r="Z45" s="87"/>
      <c r="AA45" s="86"/>
      <c r="AB45" s="87"/>
      <c r="AC45" s="86"/>
      <c r="AD45" s="87"/>
      <c r="AE45" s="86"/>
      <c r="AF45" s="87"/>
      <c r="AG45" s="86"/>
      <c r="AH45" s="87"/>
      <c r="AI45" s="86"/>
      <c r="AJ45" s="87"/>
      <c r="AK45" s="86"/>
      <c r="AL45" s="87"/>
      <c r="AM45" s="86"/>
      <c r="AN45" s="87"/>
      <c r="AO45" s="86"/>
      <c r="AP45" s="87"/>
      <c r="AQ45" s="86"/>
      <c r="AR45" s="87"/>
      <c r="AS45" s="86"/>
      <c r="AT45" s="87"/>
      <c r="AU45" s="86"/>
      <c r="AV45" s="87"/>
      <c r="AW45" s="86"/>
      <c r="AX45" s="87"/>
      <c r="AY45" s="86"/>
      <c r="AZ45" s="87"/>
      <c r="BA45" s="86"/>
      <c r="BB45" s="87"/>
      <c r="BC45" s="86"/>
      <c r="BD45" s="87"/>
      <c r="BE45" s="86"/>
      <c r="BF45" s="87"/>
      <c r="BG45" s="86"/>
      <c r="BH45" s="87"/>
      <c r="BI45" s="86"/>
      <c r="BJ45" s="87"/>
      <c r="BK45" s="86"/>
      <c r="BL45" s="87"/>
      <c r="BM45" s="86"/>
      <c r="BN45" s="50"/>
      <c r="BO45" s="170" t="str">
        <f t="shared" si="2"/>
        <v/>
      </c>
      <c r="BP45" s="87"/>
      <c r="BQ45" s="88"/>
    </row>
    <row r="46" spans="1:76" hidden="1" x14ac:dyDescent="0.35">
      <c r="A46" s="83" t="s">
        <v>43</v>
      </c>
      <c r="B46" s="54"/>
      <c r="C46" s="84"/>
      <c r="D46" s="85"/>
      <c r="E46" s="86"/>
      <c r="F46" s="87"/>
      <c r="G46" s="86"/>
      <c r="H46" s="87"/>
      <c r="I46" s="86"/>
      <c r="J46" s="87"/>
      <c r="K46" s="86"/>
      <c r="L46" s="87"/>
      <c r="M46" s="86"/>
      <c r="N46" s="87"/>
      <c r="O46" s="86"/>
      <c r="P46" s="87"/>
      <c r="Q46" s="86"/>
      <c r="R46" s="87"/>
      <c r="S46" s="86"/>
      <c r="T46" s="87"/>
      <c r="U46" s="86"/>
      <c r="V46" s="87"/>
      <c r="W46" s="86"/>
      <c r="X46" s="87"/>
      <c r="Y46" s="86"/>
      <c r="Z46" s="87"/>
      <c r="AA46" s="86"/>
      <c r="AB46" s="87"/>
      <c r="AC46" s="86"/>
      <c r="AD46" s="87"/>
      <c r="AE46" s="86"/>
      <c r="AF46" s="87"/>
      <c r="AG46" s="86"/>
      <c r="AH46" s="87"/>
      <c r="AI46" s="86"/>
      <c r="AJ46" s="87"/>
      <c r="AK46" s="86"/>
      <c r="AL46" s="87"/>
      <c r="AM46" s="86"/>
      <c r="AN46" s="87"/>
      <c r="AO46" s="86"/>
      <c r="AP46" s="87"/>
      <c r="AQ46" s="86"/>
      <c r="AR46" s="87"/>
      <c r="AS46" s="86"/>
      <c r="AT46" s="87"/>
      <c r="AU46" s="86"/>
      <c r="AV46" s="87"/>
      <c r="AW46" s="86"/>
      <c r="AX46" s="87"/>
      <c r="AY46" s="86"/>
      <c r="AZ46" s="87"/>
      <c r="BA46" s="86"/>
      <c r="BB46" s="87"/>
      <c r="BC46" s="86"/>
      <c r="BD46" s="87"/>
      <c r="BE46" s="86"/>
      <c r="BF46" s="87"/>
      <c r="BG46" s="86"/>
      <c r="BH46" s="87"/>
      <c r="BI46" s="86"/>
      <c r="BJ46" s="87"/>
      <c r="BK46" s="86"/>
      <c r="BL46" s="87"/>
      <c r="BM46" s="86"/>
      <c r="BN46" s="50"/>
      <c r="BO46" s="170" t="str">
        <f t="shared" si="2"/>
        <v/>
      </c>
      <c r="BP46" s="87"/>
      <c r="BQ46" s="88"/>
    </row>
    <row r="47" spans="1:76" hidden="1" x14ac:dyDescent="0.35">
      <c r="A47" s="83" t="s">
        <v>10</v>
      </c>
      <c r="B47" s="54"/>
      <c r="C47" s="84"/>
      <c r="D47" s="85"/>
      <c r="E47" s="86"/>
      <c r="F47" s="87"/>
      <c r="G47" s="86"/>
      <c r="H47" s="87"/>
      <c r="I47" s="86"/>
      <c r="J47" s="87"/>
      <c r="K47" s="86"/>
      <c r="L47" s="87"/>
      <c r="M47" s="86"/>
      <c r="N47" s="87"/>
      <c r="O47" s="86"/>
      <c r="P47" s="87"/>
      <c r="Q47" s="86"/>
      <c r="R47" s="87"/>
      <c r="S47" s="86"/>
      <c r="T47" s="87"/>
      <c r="U47" s="86"/>
      <c r="V47" s="87"/>
      <c r="W47" s="86"/>
      <c r="X47" s="87"/>
      <c r="Y47" s="86"/>
      <c r="Z47" s="87"/>
      <c r="AA47" s="86"/>
      <c r="AB47" s="87"/>
      <c r="AC47" s="86"/>
      <c r="AD47" s="87"/>
      <c r="AE47" s="86"/>
      <c r="AF47" s="87"/>
      <c r="AG47" s="86"/>
      <c r="AH47" s="87"/>
      <c r="AI47" s="86"/>
      <c r="AJ47" s="87"/>
      <c r="AK47" s="86"/>
      <c r="AL47" s="87"/>
      <c r="AM47" s="86"/>
      <c r="AN47" s="87"/>
      <c r="AO47" s="86"/>
      <c r="AP47" s="87"/>
      <c r="AQ47" s="86"/>
      <c r="AR47" s="87"/>
      <c r="AS47" s="86"/>
      <c r="AT47" s="87"/>
      <c r="AU47" s="86"/>
      <c r="AV47" s="87"/>
      <c r="AW47" s="86"/>
      <c r="AX47" s="87"/>
      <c r="AY47" s="86"/>
      <c r="AZ47" s="87"/>
      <c r="BA47" s="86"/>
      <c r="BB47" s="87"/>
      <c r="BC47" s="86"/>
      <c r="BD47" s="87"/>
      <c r="BE47" s="86"/>
      <c r="BF47" s="87"/>
      <c r="BG47" s="86"/>
      <c r="BH47" s="87"/>
      <c r="BI47" s="86"/>
      <c r="BJ47" s="87"/>
      <c r="BK47" s="86"/>
      <c r="BL47" s="87"/>
      <c r="BM47" s="86"/>
      <c r="BN47" s="50"/>
      <c r="BO47" s="170" t="str">
        <f t="shared" si="2"/>
        <v/>
      </c>
      <c r="BP47" s="87"/>
      <c r="BQ47" s="88"/>
    </row>
    <row r="48" spans="1:76" hidden="1" x14ac:dyDescent="0.35">
      <c r="A48" s="83" t="s">
        <v>11</v>
      </c>
      <c r="B48" s="54"/>
      <c r="C48" s="84"/>
      <c r="D48" s="85"/>
      <c r="E48" s="86"/>
      <c r="F48" s="87"/>
      <c r="G48" s="86"/>
      <c r="H48" s="87"/>
      <c r="I48" s="86"/>
      <c r="J48" s="87"/>
      <c r="K48" s="86"/>
      <c r="L48" s="87"/>
      <c r="M48" s="86"/>
      <c r="N48" s="87"/>
      <c r="O48" s="86"/>
      <c r="P48" s="87"/>
      <c r="Q48" s="86"/>
      <c r="R48" s="87"/>
      <c r="S48" s="86"/>
      <c r="T48" s="87"/>
      <c r="U48" s="86"/>
      <c r="V48" s="87"/>
      <c r="W48" s="86"/>
      <c r="X48" s="87"/>
      <c r="Y48" s="86"/>
      <c r="Z48" s="87"/>
      <c r="AA48" s="86"/>
      <c r="AB48" s="87"/>
      <c r="AC48" s="86"/>
      <c r="AD48" s="87"/>
      <c r="AE48" s="86"/>
      <c r="AF48" s="87"/>
      <c r="AG48" s="86"/>
      <c r="AH48" s="87"/>
      <c r="AI48" s="86"/>
      <c r="AJ48" s="87"/>
      <c r="AK48" s="86"/>
      <c r="AL48" s="87"/>
      <c r="AM48" s="86"/>
      <c r="AN48" s="87"/>
      <c r="AO48" s="86"/>
      <c r="AP48" s="87"/>
      <c r="AQ48" s="86"/>
      <c r="AR48" s="87"/>
      <c r="AS48" s="86"/>
      <c r="AT48" s="87"/>
      <c r="AU48" s="86"/>
      <c r="AV48" s="87"/>
      <c r="AW48" s="86"/>
      <c r="AX48" s="87"/>
      <c r="AY48" s="86"/>
      <c r="AZ48" s="87"/>
      <c r="BA48" s="86"/>
      <c r="BB48" s="87"/>
      <c r="BC48" s="86"/>
      <c r="BD48" s="87"/>
      <c r="BE48" s="86"/>
      <c r="BF48" s="87"/>
      <c r="BG48" s="86"/>
      <c r="BH48" s="87"/>
      <c r="BI48" s="86"/>
      <c r="BJ48" s="87"/>
      <c r="BK48" s="86"/>
      <c r="BL48" s="87"/>
      <c r="BM48" s="86"/>
      <c r="BN48" s="50"/>
      <c r="BO48" s="170" t="str">
        <f t="shared" si="2"/>
        <v/>
      </c>
      <c r="BP48" s="87"/>
      <c r="BQ48" s="88"/>
    </row>
    <row r="49" spans="1:76" s="1" customFormat="1" x14ac:dyDescent="0.35">
      <c r="A49" s="89" t="s">
        <v>36</v>
      </c>
      <c r="B49" s="90"/>
      <c r="C49" s="174">
        <f>IF('July 2027 Log'!BM49="","",'July 2027 Log'!BM49)</f>
        <v>0</v>
      </c>
      <c r="D49" s="47"/>
      <c r="E49" s="166">
        <f>SUM(E43:E48)</f>
        <v>0</v>
      </c>
      <c r="F49" s="49"/>
      <c r="G49" s="166">
        <f>SUM(G43:G48)</f>
        <v>0</v>
      </c>
      <c r="H49" s="49"/>
      <c r="I49" s="166">
        <f>SUM(I43:I48)</f>
        <v>0</v>
      </c>
      <c r="J49" s="49"/>
      <c r="K49" s="166">
        <f>SUM(K43:K48)</f>
        <v>0</v>
      </c>
      <c r="L49" s="49"/>
      <c r="M49" s="166">
        <f>SUM(M43:M48)</f>
        <v>0</v>
      </c>
      <c r="N49" s="49"/>
      <c r="O49" s="166">
        <f>SUM(O43:O48)</f>
        <v>0</v>
      </c>
      <c r="P49" s="49"/>
      <c r="Q49" s="166">
        <f>SUM(Q43:Q48)</f>
        <v>0</v>
      </c>
      <c r="R49" s="49"/>
      <c r="S49" s="166">
        <f>SUM(S43:S48)</f>
        <v>0</v>
      </c>
      <c r="T49" s="49"/>
      <c r="U49" s="166">
        <f>SUM(U43:U48)</f>
        <v>0</v>
      </c>
      <c r="V49" s="49"/>
      <c r="W49" s="166">
        <f>SUM(W43:W48)</f>
        <v>0</v>
      </c>
      <c r="X49" s="49"/>
      <c r="Y49" s="166">
        <f>SUM(Y43:Y48)</f>
        <v>0</v>
      </c>
      <c r="Z49" s="49"/>
      <c r="AA49" s="166">
        <f>SUM(AA43:AA48)</f>
        <v>0</v>
      </c>
      <c r="AB49" s="49"/>
      <c r="AC49" s="166">
        <f>SUM(AC43:AC48)</f>
        <v>0</v>
      </c>
      <c r="AD49" s="49"/>
      <c r="AE49" s="166">
        <f>SUM(AE43:AE48)</f>
        <v>0</v>
      </c>
      <c r="AF49" s="49"/>
      <c r="AG49" s="166">
        <f>SUM(AG43:AG48)</f>
        <v>0</v>
      </c>
      <c r="AH49" s="49"/>
      <c r="AI49" s="166">
        <f>SUM(AI43:AI48)</f>
        <v>0</v>
      </c>
      <c r="AJ49" s="49"/>
      <c r="AK49" s="166">
        <f>SUM(AK43:AK48)</f>
        <v>0</v>
      </c>
      <c r="AL49" s="49"/>
      <c r="AM49" s="166">
        <f>SUM(AM43:AM48)</f>
        <v>0</v>
      </c>
      <c r="AN49" s="49"/>
      <c r="AO49" s="166">
        <f>SUM(AO43:AO48)</f>
        <v>0</v>
      </c>
      <c r="AP49" s="49"/>
      <c r="AQ49" s="166">
        <f>SUM(AQ43:AQ48)</f>
        <v>0</v>
      </c>
      <c r="AR49" s="49"/>
      <c r="AS49" s="166">
        <f>SUM(AS43:AS48)</f>
        <v>0</v>
      </c>
      <c r="AT49" s="49"/>
      <c r="AU49" s="166">
        <f>SUM(AU43:AU48)</f>
        <v>0</v>
      </c>
      <c r="AV49" s="49"/>
      <c r="AW49" s="166">
        <f>SUM(AW43:AW48)</f>
        <v>0</v>
      </c>
      <c r="AX49" s="49"/>
      <c r="AY49" s="166">
        <f>SUM(AY43:AY48)</f>
        <v>0</v>
      </c>
      <c r="AZ49" s="49"/>
      <c r="BA49" s="166">
        <f>SUM(BA43:BA48)</f>
        <v>0</v>
      </c>
      <c r="BB49" s="49"/>
      <c r="BC49" s="166">
        <f>SUM(BC43:BC48)</f>
        <v>0</v>
      </c>
      <c r="BD49" s="49"/>
      <c r="BE49" s="166">
        <f>SUM(BE43:BE48)</f>
        <v>0</v>
      </c>
      <c r="BF49" s="49"/>
      <c r="BG49" s="166">
        <f>SUM(BG43:BG48)</f>
        <v>0</v>
      </c>
      <c r="BH49" s="49"/>
      <c r="BI49" s="166">
        <f>SUM(BI43:BI48)</f>
        <v>0</v>
      </c>
      <c r="BJ49" s="49"/>
      <c r="BK49" s="166">
        <f>SUM(BK43:BK48)</f>
        <v>0</v>
      </c>
      <c r="BL49" s="49"/>
      <c r="BM49" s="166">
        <f>SUM(BM43:BM48)</f>
        <v>0</v>
      </c>
      <c r="BN49" s="50"/>
      <c r="BO49" s="170">
        <f t="shared" si="2"/>
        <v>0</v>
      </c>
      <c r="BP49" s="49"/>
      <c r="BQ49" s="172">
        <f>IF(BM49="","",BM49)</f>
        <v>0</v>
      </c>
      <c r="BR49"/>
      <c r="BS49"/>
      <c r="BT49"/>
      <c r="BU49"/>
      <c r="BV49"/>
      <c r="BW49"/>
      <c r="BX49"/>
    </row>
    <row r="50" spans="1:76" s="1" customFormat="1" x14ac:dyDescent="0.35">
      <c r="A50" s="89" t="s">
        <v>12</v>
      </c>
      <c r="B50" s="90"/>
      <c r="C50" s="174">
        <f>IF('July 2027 Log'!BM50="","",'July 2027 Log'!BM50)</f>
        <v>0</v>
      </c>
      <c r="D50" s="47"/>
      <c r="E50" s="166">
        <f t="shared" ref="E50" si="34">+E42+E49</f>
        <v>0</v>
      </c>
      <c r="F50" s="49"/>
      <c r="G50" s="166">
        <f t="shared" ref="G50" si="35">+G42+G49</f>
        <v>0</v>
      </c>
      <c r="H50" s="49"/>
      <c r="I50" s="166">
        <f t="shared" ref="I50" si="36">+I42+I49</f>
        <v>0</v>
      </c>
      <c r="J50" s="49"/>
      <c r="K50" s="166">
        <f t="shared" ref="K50" si="37">+K42+K49</f>
        <v>0</v>
      </c>
      <c r="L50" s="49"/>
      <c r="M50" s="166">
        <f t="shared" ref="M50" si="38">+M42+M49</f>
        <v>0</v>
      </c>
      <c r="N50" s="49"/>
      <c r="O50" s="166">
        <f t="shared" ref="O50" si="39">+O42+O49</f>
        <v>0</v>
      </c>
      <c r="P50" s="49"/>
      <c r="Q50" s="166">
        <f t="shared" ref="Q50" si="40">+Q42+Q49</f>
        <v>0</v>
      </c>
      <c r="R50" s="49"/>
      <c r="S50" s="166">
        <f t="shared" ref="S50" si="41">+S42+S49</f>
        <v>0</v>
      </c>
      <c r="T50" s="49"/>
      <c r="U50" s="166">
        <f t="shared" ref="U50" si="42">+U42+U49</f>
        <v>0</v>
      </c>
      <c r="V50" s="49"/>
      <c r="W50" s="166">
        <f t="shared" ref="W50" si="43">+W42+W49</f>
        <v>0</v>
      </c>
      <c r="X50" s="49"/>
      <c r="Y50" s="166">
        <f t="shared" ref="Y50" si="44">+Y42+Y49</f>
        <v>0</v>
      </c>
      <c r="Z50" s="49"/>
      <c r="AA50" s="166">
        <f t="shared" ref="AA50" si="45">+AA42+AA49</f>
        <v>0</v>
      </c>
      <c r="AB50" s="49"/>
      <c r="AC50" s="166">
        <f t="shared" ref="AC50" si="46">+AC42+AC49</f>
        <v>0</v>
      </c>
      <c r="AD50" s="49"/>
      <c r="AE50" s="166">
        <f t="shared" ref="AE50" si="47">+AE42+AE49</f>
        <v>0</v>
      </c>
      <c r="AF50" s="49"/>
      <c r="AG50" s="166">
        <f t="shared" ref="AG50" si="48">+AG42+AG49</f>
        <v>0</v>
      </c>
      <c r="AH50" s="49"/>
      <c r="AI50" s="166">
        <f t="shared" ref="AI50" si="49">+AI42+AI49</f>
        <v>0</v>
      </c>
      <c r="AJ50" s="49"/>
      <c r="AK50" s="166">
        <f t="shared" ref="AK50" si="50">+AK42+AK49</f>
        <v>0</v>
      </c>
      <c r="AL50" s="49"/>
      <c r="AM50" s="166">
        <f t="shared" ref="AM50" si="51">+AM42+AM49</f>
        <v>0</v>
      </c>
      <c r="AN50" s="49"/>
      <c r="AO50" s="166">
        <f t="shared" ref="AO50" si="52">+AO42+AO49</f>
        <v>0</v>
      </c>
      <c r="AP50" s="49"/>
      <c r="AQ50" s="166">
        <f t="shared" ref="AQ50" si="53">+AQ42+AQ49</f>
        <v>0</v>
      </c>
      <c r="AR50" s="49"/>
      <c r="AS50" s="166">
        <f t="shared" ref="AS50" si="54">+AS42+AS49</f>
        <v>0</v>
      </c>
      <c r="AT50" s="49"/>
      <c r="AU50" s="166">
        <f t="shared" ref="AU50" si="55">+AU42+AU49</f>
        <v>0</v>
      </c>
      <c r="AV50" s="49"/>
      <c r="AW50" s="166">
        <f t="shared" ref="AW50" si="56">+AW42+AW49</f>
        <v>0</v>
      </c>
      <c r="AX50" s="49"/>
      <c r="AY50" s="166">
        <f t="shared" ref="AY50" si="57">+AY42+AY49</f>
        <v>0</v>
      </c>
      <c r="AZ50" s="49"/>
      <c r="BA50" s="166">
        <f t="shared" ref="BA50" si="58">+BA42+BA49</f>
        <v>0</v>
      </c>
      <c r="BB50" s="49"/>
      <c r="BC50" s="166">
        <f t="shared" ref="BC50" si="59">+BC42+BC49</f>
        <v>0</v>
      </c>
      <c r="BD50" s="49"/>
      <c r="BE50" s="166">
        <f t="shared" ref="BE50" si="60">+BE42+BE49</f>
        <v>0</v>
      </c>
      <c r="BF50" s="49"/>
      <c r="BG50" s="166">
        <f t="shared" ref="BG50" si="61">+BG42+BG49</f>
        <v>0</v>
      </c>
      <c r="BH50" s="49"/>
      <c r="BI50" s="166">
        <f t="shared" ref="BI50" si="62">+BI42+BI49</f>
        <v>0</v>
      </c>
      <c r="BJ50" s="49"/>
      <c r="BK50" s="166">
        <f t="shared" ref="BK50" si="63">+BK42+BK49</f>
        <v>0</v>
      </c>
      <c r="BL50" s="49"/>
      <c r="BM50" s="166">
        <f t="shared" ref="BM50" si="64">+BM42+BM49</f>
        <v>0</v>
      </c>
      <c r="BN50" s="50"/>
      <c r="BO50" s="170">
        <f t="shared" si="2"/>
        <v>0</v>
      </c>
      <c r="BP50" s="49"/>
      <c r="BQ50" s="172">
        <f>IF(BM50="","",BM50)</f>
        <v>0</v>
      </c>
      <c r="BR50"/>
      <c r="BS50"/>
      <c r="BT50"/>
      <c r="BU50"/>
      <c r="BV50"/>
      <c r="BW50"/>
      <c r="BX50"/>
    </row>
    <row r="51" spans="1:76" x14ac:dyDescent="0.35">
      <c r="A51" s="83" t="s">
        <v>13</v>
      </c>
      <c r="B51" s="54"/>
      <c r="C51" s="84"/>
      <c r="D51" s="85"/>
      <c r="E51" s="86"/>
      <c r="F51" s="87"/>
      <c r="G51" s="86"/>
      <c r="H51" s="87"/>
      <c r="I51" s="86"/>
      <c r="J51" s="87"/>
      <c r="K51" s="86"/>
      <c r="L51" s="87"/>
      <c r="M51" s="86"/>
      <c r="N51" s="87"/>
      <c r="O51" s="86"/>
      <c r="P51" s="87"/>
      <c r="Q51" s="86"/>
      <c r="R51" s="87"/>
      <c r="S51" s="86"/>
      <c r="T51" s="87"/>
      <c r="U51" s="86"/>
      <c r="V51" s="87"/>
      <c r="W51" s="86"/>
      <c r="X51" s="87"/>
      <c r="Y51" s="86"/>
      <c r="Z51" s="87"/>
      <c r="AA51" s="86"/>
      <c r="AB51" s="87"/>
      <c r="AC51" s="86"/>
      <c r="AD51" s="87"/>
      <c r="AE51" s="86"/>
      <c r="AF51" s="87"/>
      <c r="AG51" s="86"/>
      <c r="AH51" s="87"/>
      <c r="AI51" s="86"/>
      <c r="AJ51" s="87"/>
      <c r="AK51" s="86"/>
      <c r="AL51" s="87"/>
      <c r="AM51" s="86"/>
      <c r="AN51" s="87"/>
      <c r="AO51" s="86"/>
      <c r="AP51" s="87"/>
      <c r="AQ51" s="86"/>
      <c r="AR51" s="87"/>
      <c r="AS51" s="86"/>
      <c r="AT51" s="87"/>
      <c r="AU51" s="86"/>
      <c r="AV51" s="87"/>
      <c r="AW51" s="86"/>
      <c r="AX51" s="87"/>
      <c r="AY51" s="86"/>
      <c r="AZ51" s="87"/>
      <c r="BA51" s="86"/>
      <c r="BB51" s="87"/>
      <c r="BC51" s="86"/>
      <c r="BD51" s="87"/>
      <c r="BE51" s="86"/>
      <c r="BF51" s="87"/>
      <c r="BG51" s="86"/>
      <c r="BH51" s="87"/>
      <c r="BI51" s="86"/>
      <c r="BJ51" s="87"/>
      <c r="BK51" s="86"/>
      <c r="BL51" s="87"/>
      <c r="BM51" s="86"/>
      <c r="BN51" s="50"/>
      <c r="BO51" s="170" t="str">
        <f t="shared" si="2"/>
        <v/>
      </c>
      <c r="BP51" s="87"/>
      <c r="BQ51" s="88"/>
    </row>
    <row r="52" spans="1:76" x14ac:dyDescent="0.35">
      <c r="A52" s="83" t="s">
        <v>14</v>
      </c>
      <c r="B52" s="54"/>
      <c r="C52" s="84"/>
      <c r="D52" s="85"/>
      <c r="E52" s="86"/>
      <c r="F52" s="87"/>
      <c r="G52" s="86"/>
      <c r="H52" s="87"/>
      <c r="I52" s="86"/>
      <c r="J52" s="87"/>
      <c r="K52" s="86"/>
      <c r="L52" s="87"/>
      <c r="M52" s="86"/>
      <c r="N52" s="87"/>
      <c r="O52" s="86"/>
      <c r="P52" s="87"/>
      <c r="Q52" s="86"/>
      <c r="R52" s="87"/>
      <c r="S52" s="86"/>
      <c r="T52" s="87"/>
      <c r="U52" s="86"/>
      <c r="V52" s="87"/>
      <c r="W52" s="86"/>
      <c r="X52" s="87"/>
      <c r="Y52" s="86"/>
      <c r="Z52" s="87"/>
      <c r="AA52" s="86"/>
      <c r="AB52" s="87"/>
      <c r="AC52" s="86"/>
      <c r="AD52" s="87"/>
      <c r="AE52" s="86"/>
      <c r="AF52" s="87"/>
      <c r="AG52" s="86"/>
      <c r="AH52" s="87"/>
      <c r="AI52" s="86"/>
      <c r="AJ52" s="87"/>
      <c r="AK52" s="86"/>
      <c r="AL52" s="87"/>
      <c r="AM52" s="86"/>
      <c r="AN52" s="87"/>
      <c r="AO52" s="86"/>
      <c r="AP52" s="87"/>
      <c r="AQ52" s="86"/>
      <c r="AR52" s="87"/>
      <c r="AS52" s="86"/>
      <c r="AT52" s="87"/>
      <c r="AU52" s="86"/>
      <c r="AV52" s="87"/>
      <c r="AW52" s="86"/>
      <c r="AX52" s="87"/>
      <c r="AY52" s="86"/>
      <c r="AZ52" s="87"/>
      <c r="BA52" s="86"/>
      <c r="BB52" s="87"/>
      <c r="BC52" s="86"/>
      <c r="BD52" s="87"/>
      <c r="BE52" s="86"/>
      <c r="BF52" s="87"/>
      <c r="BG52" s="86"/>
      <c r="BH52" s="87"/>
      <c r="BI52" s="86"/>
      <c r="BJ52" s="87"/>
      <c r="BK52" s="86"/>
      <c r="BL52" s="87"/>
      <c r="BM52" s="86"/>
      <c r="BN52" s="50"/>
      <c r="BO52" s="170" t="str">
        <f t="shared" si="2"/>
        <v/>
      </c>
      <c r="BP52" s="87"/>
      <c r="BQ52" s="88"/>
    </row>
    <row r="53" spans="1:76" x14ac:dyDescent="0.35">
      <c r="A53" s="83" t="s">
        <v>42</v>
      </c>
      <c r="B53" s="54"/>
      <c r="C53" s="84"/>
      <c r="D53" s="85"/>
      <c r="E53" s="86"/>
      <c r="F53" s="87"/>
      <c r="G53" s="86"/>
      <c r="H53" s="87"/>
      <c r="I53" s="86"/>
      <c r="J53" s="87"/>
      <c r="K53" s="86"/>
      <c r="L53" s="87"/>
      <c r="M53" s="86"/>
      <c r="N53" s="87"/>
      <c r="O53" s="86"/>
      <c r="P53" s="87"/>
      <c r="Q53" s="86"/>
      <c r="R53" s="87"/>
      <c r="S53" s="86"/>
      <c r="T53" s="87"/>
      <c r="U53" s="86"/>
      <c r="V53" s="87"/>
      <c r="W53" s="86"/>
      <c r="X53" s="87"/>
      <c r="Y53" s="86"/>
      <c r="Z53" s="87"/>
      <c r="AA53" s="86"/>
      <c r="AB53" s="87"/>
      <c r="AC53" s="86"/>
      <c r="AD53" s="87"/>
      <c r="AE53" s="86"/>
      <c r="AF53" s="87"/>
      <c r="AG53" s="86"/>
      <c r="AH53" s="87"/>
      <c r="AI53" s="86"/>
      <c r="AJ53" s="87"/>
      <c r="AK53" s="86"/>
      <c r="AL53" s="87"/>
      <c r="AM53" s="86"/>
      <c r="AN53" s="87"/>
      <c r="AO53" s="86"/>
      <c r="AP53" s="87"/>
      <c r="AQ53" s="86"/>
      <c r="AR53" s="87"/>
      <c r="AS53" s="86"/>
      <c r="AT53" s="87"/>
      <c r="AU53" s="86"/>
      <c r="AV53" s="87"/>
      <c r="AW53" s="86"/>
      <c r="AX53" s="87"/>
      <c r="AY53" s="86"/>
      <c r="AZ53" s="87"/>
      <c r="BA53" s="86"/>
      <c r="BB53" s="87"/>
      <c r="BC53" s="86"/>
      <c r="BD53" s="87"/>
      <c r="BE53" s="86"/>
      <c r="BF53" s="87"/>
      <c r="BG53" s="86"/>
      <c r="BH53" s="87"/>
      <c r="BI53" s="86"/>
      <c r="BJ53" s="87"/>
      <c r="BK53" s="86"/>
      <c r="BL53" s="87"/>
      <c r="BM53" s="86"/>
      <c r="BN53" s="50"/>
      <c r="BO53" s="170" t="str">
        <f t="shared" si="2"/>
        <v/>
      </c>
      <c r="BP53" s="87"/>
      <c r="BQ53" s="88"/>
    </row>
    <row r="54" spans="1:76" x14ac:dyDescent="0.35">
      <c r="A54" s="89" t="s">
        <v>15</v>
      </c>
      <c r="B54" s="90"/>
      <c r="C54" s="174">
        <f>IF('July 2027 Log'!BM54="","",'July 2027 Log'!BM54)</f>
        <v>0</v>
      </c>
      <c r="D54" s="47"/>
      <c r="E54" s="166">
        <f>E22+E23+E32+E34+E50+E51+E52-E33+E24+E53+E112</f>
        <v>0</v>
      </c>
      <c r="F54" s="49"/>
      <c r="G54" s="166">
        <f>G22+G23+G32+G34+G50+G51+G52-G33+G24+G53+G112</f>
        <v>0</v>
      </c>
      <c r="H54" s="49"/>
      <c r="I54" s="166">
        <f>I22+I23+I32+I34+I50+I51+I52-I33+I24+I53+I112</f>
        <v>0</v>
      </c>
      <c r="J54" s="49"/>
      <c r="K54" s="166">
        <f>K22+K23+K32+K34+K50+K51+K52-K33+K24+K53+K112</f>
        <v>0</v>
      </c>
      <c r="L54" s="49"/>
      <c r="M54" s="166">
        <f>M22+M23+M32+M34+M50+M51+M52-M33+M24+M53+M112</f>
        <v>0</v>
      </c>
      <c r="N54" s="49"/>
      <c r="O54" s="166">
        <f>O22+O23+O32+O34+O50+O51+O52-O33+O24+O53+O112</f>
        <v>0</v>
      </c>
      <c r="P54" s="49"/>
      <c r="Q54" s="166">
        <f>Q22+Q23+Q32+Q34+Q50+Q51+Q52-Q33+Q24+Q53+Q112</f>
        <v>0</v>
      </c>
      <c r="R54" s="49"/>
      <c r="S54" s="166">
        <f>S22+S23+S32+S34+S50+S51+S52-S33+S24+S53+S112</f>
        <v>0</v>
      </c>
      <c r="T54" s="49"/>
      <c r="U54" s="166">
        <f>U22+U23+U32+U34+U50+U51+U52-U33+U24+U53+U112</f>
        <v>0</v>
      </c>
      <c r="V54" s="49"/>
      <c r="W54" s="166">
        <f>W22+W23+W32+W34+W50+W51+W52-W33+W24+W53+W112</f>
        <v>0</v>
      </c>
      <c r="X54" s="49"/>
      <c r="Y54" s="166">
        <f>Y22+Y23+Y32+Y34+Y50+Y51+Y52-Y33+Y24+Y53+Y112</f>
        <v>0</v>
      </c>
      <c r="Z54" s="49"/>
      <c r="AA54" s="166">
        <f>AA22+AA23+AA32+AA34+AA50+AA51+AA52-AA33+AA24+AA53+AA112</f>
        <v>0</v>
      </c>
      <c r="AB54" s="49"/>
      <c r="AC54" s="166">
        <f>AC22+AC23+AC32+AC34+AC50+AC51+AC52-AC33+AC24+AC53+AC112</f>
        <v>0</v>
      </c>
      <c r="AD54" s="49"/>
      <c r="AE54" s="166">
        <f>AE22+AE23+AE32+AE34+AE50+AE51+AE52-AE33+AE24+AE53+AE112</f>
        <v>0</v>
      </c>
      <c r="AF54" s="49"/>
      <c r="AG54" s="166">
        <f>AG22+AG23+AG32+AG34+AG50+AG51+AG52-AG33+AG24+AG53+AG112</f>
        <v>0</v>
      </c>
      <c r="AH54" s="49"/>
      <c r="AI54" s="166">
        <f>AI22+AI23+AI32+AI34+AI50+AI51+AI52-AI33+AI24+AI53+AI112</f>
        <v>0</v>
      </c>
      <c r="AJ54" s="49"/>
      <c r="AK54" s="166">
        <f>AK22+AK23+AK32+AK34+AK50+AK51+AK52-AK33+AK24+AK53+AK112</f>
        <v>0</v>
      </c>
      <c r="AL54" s="49"/>
      <c r="AM54" s="166">
        <f>AM22+AM23+AM32+AM34+AM50+AM51+AM52-AM33+AM24+AM53+AM112</f>
        <v>0</v>
      </c>
      <c r="AN54" s="49"/>
      <c r="AO54" s="166">
        <f>AO22+AO23+AO32+AO34+AO50+AO51+AO52-AO33+AO24+AO53+AO112</f>
        <v>0</v>
      </c>
      <c r="AP54" s="49"/>
      <c r="AQ54" s="166">
        <f>AQ22+AQ23+AQ32+AQ34+AQ50+AQ51+AQ52-AQ33+AQ24+AQ53+AQ112</f>
        <v>0</v>
      </c>
      <c r="AR54" s="49"/>
      <c r="AS54" s="166">
        <f>AS22+AS23+AS32+AS34+AS50+AS51+AS52-AS33+AS24+AS53+AS112</f>
        <v>0</v>
      </c>
      <c r="AT54" s="49"/>
      <c r="AU54" s="166">
        <f>AU22+AU23+AU32+AU34+AU50+AU51+AU52-AU33+AU24+AU53+AU112</f>
        <v>0</v>
      </c>
      <c r="AV54" s="49"/>
      <c r="AW54" s="166">
        <f>AW22+AW23+AW32+AW34+AW50+AW51+AW52-AW33+AW24+AW53+AW112</f>
        <v>0</v>
      </c>
      <c r="AX54" s="49"/>
      <c r="AY54" s="166">
        <f>AY22+AY23+AY32+AY34+AY50+AY51+AY52-AY33+AY24+AY53+AY112</f>
        <v>0</v>
      </c>
      <c r="AZ54" s="49"/>
      <c r="BA54" s="166">
        <f>BA22+BA23+BA32+BA34+BA50+BA51+BA52-BA33+BA24+BA53+BA112</f>
        <v>0</v>
      </c>
      <c r="BB54" s="49"/>
      <c r="BC54" s="166">
        <f>BC22+BC23+BC32+BC34+BC50+BC51+BC52-BC33+BC24+BC53+BC112</f>
        <v>0</v>
      </c>
      <c r="BD54" s="49"/>
      <c r="BE54" s="166">
        <f>BE22+BE23+BE32+BE34+BE50+BE51+BE52-BE33+BE24+BE53+BE112</f>
        <v>0</v>
      </c>
      <c r="BF54" s="49"/>
      <c r="BG54" s="166">
        <f>BG22+BG23+BG32+BG34+BG50+BG51+BG52-BG33+BG24+BG53+BG112</f>
        <v>0</v>
      </c>
      <c r="BH54" s="49"/>
      <c r="BI54" s="166">
        <f>BI22+BI23+BI32+BI34+BI50+BI51+BI52-BI33+BI24+BI53+BI112</f>
        <v>0</v>
      </c>
      <c r="BJ54" s="49"/>
      <c r="BK54" s="166">
        <f>BK22+BK23+BK32+BK34+BK50+BK51+BK52-BK33+BK24+BK53+BK112</f>
        <v>0</v>
      </c>
      <c r="BL54" s="49"/>
      <c r="BM54" s="166">
        <f>BM22+BM23+BM32+BM34+BM50+BM51+BM52-BM33+BM24+BM53+BM112</f>
        <v>0</v>
      </c>
      <c r="BN54" s="50"/>
      <c r="BO54" s="170">
        <f t="shared" si="2"/>
        <v>0</v>
      </c>
      <c r="BP54" s="49"/>
      <c r="BQ54" s="172">
        <f t="shared" ref="BQ54:BQ59" si="65">IF(BM54="","",BM54)</f>
        <v>0</v>
      </c>
    </row>
    <row r="55" spans="1:76" x14ac:dyDescent="0.35">
      <c r="A55" s="83" t="s">
        <v>16</v>
      </c>
      <c r="B55" s="54"/>
      <c r="C55" s="174" t="str">
        <f>IF('July 2027 Log'!BM55="","",'July 2027 Log'!BM55)</f>
        <v/>
      </c>
      <c r="D55" s="85"/>
      <c r="E55" s="86"/>
      <c r="F55" s="87"/>
      <c r="G55" s="86"/>
      <c r="H55" s="87"/>
      <c r="I55" s="86"/>
      <c r="J55" s="87"/>
      <c r="K55" s="86"/>
      <c r="L55" s="87"/>
      <c r="M55" s="86"/>
      <c r="N55" s="87"/>
      <c r="O55" s="86"/>
      <c r="P55" s="87"/>
      <c r="Q55" s="86"/>
      <c r="R55" s="87"/>
      <c r="S55" s="86"/>
      <c r="T55" s="87"/>
      <c r="U55" s="86"/>
      <c r="V55" s="87"/>
      <c r="W55" s="86"/>
      <c r="X55" s="87"/>
      <c r="Y55" s="86"/>
      <c r="Z55" s="87"/>
      <c r="AA55" s="86"/>
      <c r="AB55" s="87"/>
      <c r="AC55" s="86"/>
      <c r="AD55" s="87"/>
      <c r="AE55" s="86"/>
      <c r="AF55" s="87"/>
      <c r="AG55" s="86"/>
      <c r="AH55" s="87"/>
      <c r="AI55" s="86"/>
      <c r="AJ55" s="87"/>
      <c r="AK55" s="86"/>
      <c r="AL55" s="87"/>
      <c r="AM55" s="86"/>
      <c r="AN55" s="87"/>
      <c r="AO55" s="86"/>
      <c r="AP55" s="87"/>
      <c r="AQ55" s="86"/>
      <c r="AR55" s="87"/>
      <c r="AS55" s="86"/>
      <c r="AT55" s="87"/>
      <c r="AU55" s="86"/>
      <c r="AV55" s="87"/>
      <c r="AW55" s="86"/>
      <c r="AX55" s="87"/>
      <c r="AY55" s="86"/>
      <c r="AZ55" s="87"/>
      <c r="BA55" s="86"/>
      <c r="BB55" s="87"/>
      <c r="BC55" s="86"/>
      <c r="BD55" s="87"/>
      <c r="BE55" s="86"/>
      <c r="BF55" s="87"/>
      <c r="BG55" s="86"/>
      <c r="BH55" s="87"/>
      <c r="BI55" s="86"/>
      <c r="BJ55" s="87"/>
      <c r="BK55" s="86"/>
      <c r="BL55" s="87"/>
      <c r="BM55" s="86"/>
      <c r="BN55" s="50"/>
      <c r="BO55" s="170" t="str">
        <f t="shared" si="2"/>
        <v/>
      </c>
      <c r="BP55" s="87"/>
      <c r="BQ55" s="178" t="str">
        <f t="shared" si="65"/>
        <v/>
      </c>
    </row>
    <row r="56" spans="1:76" x14ac:dyDescent="0.35">
      <c r="A56" s="83" t="s">
        <v>17</v>
      </c>
      <c r="B56" s="54"/>
      <c r="C56" s="174" t="str">
        <f>IF('July 2027 Log'!BM56="","",'July 2027 Log'!BM56)</f>
        <v/>
      </c>
      <c r="D56" s="85"/>
      <c r="E56" s="86"/>
      <c r="F56" s="87"/>
      <c r="G56" s="86"/>
      <c r="H56" s="87"/>
      <c r="I56" s="86"/>
      <c r="J56" s="87"/>
      <c r="K56" s="86"/>
      <c r="L56" s="87"/>
      <c r="M56" s="86"/>
      <c r="N56" s="87"/>
      <c r="O56" s="86"/>
      <c r="P56" s="87"/>
      <c r="Q56" s="86"/>
      <c r="R56" s="87"/>
      <c r="S56" s="86"/>
      <c r="T56" s="87"/>
      <c r="U56" s="86"/>
      <c r="V56" s="87"/>
      <c r="W56" s="86"/>
      <c r="X56" s="87"/>
      <c r="Y56" s="86"/>
      <c r="Z56" s="87"/>
      <c r="AA56" s="86"/>
      <c r="AB56" s="87"/>
      <c r="AC56" s="86"/>
      <c r="AD56" s="87"/>
      <c r="AE56" s="86"/>
      <c r="AF56" s="87"/>
      <c r="AG56" s="86"/>
      <c r="AH56" s="87"/>
      <c r="AI56" s="86"/>
      <c r="AJ56" s="87"/>
      <c r="AK56" s="86"/>
      <c r="AL56" s="87"/>
      <c r="AM56" s="86"/>
      <c r="AN56" s="87"/>
      <c r="AO56" s="86"/>
      <c r="AP56" s="87"/>
      <c r="AQ56" s="86"/>
      <c r="AR56" s="87"/>
      <c r="AS56" s="86"/>
      <c r="AT56" s="87"/>
      <c r="AU56" s="86"/>
      <c r="AV56" s="87"/>
      <c r="AW56" s="86"/>
      <c r="AX56" s="87"/>
      <c r="AY56" s="86"/>
      <c r="AZ56" s="87"/>
      <c r="BA56" s="86"/>
      <c r="BB56" s="87"/>
      <c r="BC56" s="86"/>
      <c r="BD56" s="87"/>
      <c r="BE56" s="86"/>
      <c r="BF56" s="87"/>
      <c r="BG56" s="86"/>
      <c r="BH56" s="87"/>
      <c r="BI56" s="86"/>
      <c r="BJ56" s="87"/>
      <c r="BK56" s="86"/>
      <c r="BL56" s="87"/>
      <c r="BM56" s="86"/>
      <c r="BN56" s="50"/>
      <c r="BO56" s="170" t="str">
        <f t="shared" si="2"/>
        <v/>
      </c>
      <c r="BP56" s="87"/>
      <c r="BQ56" s="178" t="str">
        <f t="shared" si="65"/>
        <v/>
      </c>
    </row>
    <row r="57" spans="1:76" x14ac:dyDescent="0.35">
      <c r="A57" s="89" t="s">
        <v>18</v>
      </c>
      <c r="B57" s="90"/>
      <c r="C57" s="174">
        <f>IF('July 2027 Log'!BM57="","",'July 2027 Log'!BM57)</f>
        <v>0</v>
      </c>
      <c r="D57" s="47"/>
      <c r="E57" s="166">
        <f>SUM(E55:E56)</f>
        <v>0</v>
      </c>
      <c r="F57" s="49"/>
      <c r="G57" s="166">
        <f>SUM(G55:G56)</f>
        <v>0</v>
      </c>
      <c r="H57" s="49"/>
      <c r="I57" s="166">
        <f>SUM(I55:I56)</f>
        <v>0</v>
      </c>
      <c r="J57" s="49"/>
      <c r="K57" s="166">
        <f>SUM(K55:K56)</f>
        <v>0</v>
      </c>
      <c r="L57" s="49"/>
      <c r="M57" s="166">
        <f>SUM(M55:M56)</f>
        <v>0</v>
      </c>
      <c r="N57" s="49"/>
      <c r="O57" s="166">
        <f>SUM(O55:O56)</f>
        <v>0</v>
      </c>
      <c r="P57" s="49"/>
      <c r="Q57" s="166">
        <f>SUM(Q55:Q56)</f>
        <v>0</v>
      </c>
      <c r="R57" s="49"/>
      <c r="S57" s="166">
        <f>SUM(S55:S56)</f>
        <v>0</v>
      </c>
      <c r="T57" s="49"/>
      <c r="U57" s="166">
        <f>SUM(U55:U56)</f>
        <v>0</v>
      </c>
      <c r="V57" s="49"/>
      <c r="W57" s="166">
        <f>SUM(W55:W56)</f>
        <v>0</v>
      </c>
      <c r="X57" s="49"/>
      <c r="Y57" s="166">
        <f>SUM(Y55:Y56)</f>
        <v>0</v>
      </c>
      <c r="Z57" s="49"/>
      <c r="AA57" s="166">
        <f>SUM(AA55:AA56)</f>
        <v>0</v>
      </c>
      <c r="AB57" s="49"/>
      <c r="AC57" s="166">
        <f>SUM(AC55:AC56)</f>
        <v>0</v>
      </c>
      <c r="AD57" s="49"/>
      <c r="AE57" s="166">
        <f>SUM(AE55:AE56)</f>
        <v>0</v>
      </c>
      <c r="AF57" s="49"/>
      <c r="AG57" s="166">
        <f>SUM(AG55:AG56)</f>
        <v>0</v>
      </c>
      <c r="AH57" s="49"/>
      <c r="AI57" s="166">
        <f>SUM(AI55:AI56)</f>
        <v>0</v>
      </c>
      <c r="AJ57" s="49"/>
      <c r="AK57" s="166">
        <f>SUM(AK55:AK56)</f>
        <v>0</v>
      </c>
      <c r="AL57" s="49"/>
      <c r="AM57" s="166">
        <f>SUM(AM55:AM56)</f>
        <v>0</v>
      </c>
      <c r="AN57" s="49"/>
      <c r="AO57" s="166">
        <f>SUM(AO55:AO56)</f>
        <v>0</v>
      </c>
      <c r="AP57" s="49"/>
      <c r="AQ57" s="166">
        <f>SUM(AQ55:AQ56)</f>
        <v>0</v>
      </c>
      <c r="AR57" s="49"/>
      <c r="AS57" s="166">
        <f>SUM(AS55:AS56)</f>
        <v>0</v>
      </c>
      <c r="AT57" s="49"/>
      <c r="AU57" s="166">
        <f>SUM(AU55:AU56)</f>
        <v>0</v>
      </c>
      <c r="AV57" s="49"/>
      <c r="AW57" s="166">
        <f>SUM(AW55:AW56)</f>
        <v>0</v>
      </c>
      <c r="AX57" s="49"/>
      <c r="AY57" s="166">
        <f>SUM(AY55:AY56)</f>
        <v>0</v>
      </c>
      <c r="AZ57" s="49"/>
      <c r="BA57" s="166">
        <f>SUM(BA55:BA56)</f>
        <v>0</v>
      </c>
      <c r="BB57" s="49"/>
      <c r="BC57" s="166">
        <f>SUM(BC55:BC56)</f>
        <v>0</v>
      </c>
      <c r="BD57" s="49"/>
      <c r="BE57" s="166">
        <f>SUM(BE55:BE56)</f>
        <v>0</v>
      </c>
      <c r="BF57" s="49"/>
      <c r="BG57" s="166">
        <f>SUM(BG55:BG56)</f>
        <v>0</v>
      </c>
      <c r="BH57" s="49"/>
      <c r="BI57" s="166">
        <f>SUM(BI55:BI56)</f>
        <v>0</v>
      </c>
      <c r="BJ57" s="49"/>
      <c r="BK57" s="166">
        <f>SUM(BK55:BK56)</f>
        <v>0</v>
      </c>
      <c r="BL57" s="49"/>
      <c r="BM57" s="166">
        <f>SUM(BM55:BM56)</f>
        <v>0</v>
      </c>
      <c r="BN57" s="50"/>
      <c r="BO57" s="170">
        <f t="shared" si="2"/>
        <v>0</v>
      </c>
      <c r="BP57" s="49"/>
      <c r="BQ57" s="172">
        <f t="shared" si="65"/>
        <v>0</v>
      </c>
    </row>
    <row r="58" spans="1:76" x14ac:dyDescent="0.35">
      <c r="A58" s="108" t="s">
        <v>19</v>
      </c>
      <c r="B58" s="109"/>
      <c r="C58" s="174">
        <f>IF('July 2027 Log'!BM58="","",'July 2027 Log'!BM58)</f>
        <v>0</v>
      </c>
      <c r="D58" s="47"/>
      <c r="E58" s="166">
        <f>+E54-E57</f>
        <v>0</v>
      </c>
      <c r="F58" s="49"/>
      <c r="G58" s="166">
        <f>+G54-G57</f>
        <v>0</v>
      </c>
      <c r="H58" s="49"/>
      <c r="I58" s="166">
        <f>+I54-I57</f>
        <v>0</v>
      </c>
      <c r="J58" s="49"/>
      <c r="K58" s="166">
        <f>+K54-K57</f>
        <v>0</v>
      </c>
      <c r="L58" s="49"/>
      <c r="M58" s="166">
        <f>+M54-M57</f>
        <v>0</v>
      </c>
      <c r="N58" s="49"/>
      <c r="O58" s="166">
        <f>+O54-O57</f>
        <v>0</v>
      </c>
      <c r="P58" s="49"/>
      <c r="Q58" s="166">
        <f>+Q54-Q57</f>
        <v>0</v>
      </c>
      <c r="R58" s="49"/>
      <c r="S58" s="166">
        <f>+S54-S57</f>
        <v>0</v>
      </c>
      <c r="T58" s="49"/>
      <c r="U58" s="166">
        <f>+U54-U57</f>
        <v>0</v>
      </c>
      <c r="V58" s="49"/>
      <c r="W58" s="166">
        <f>+W54-W57</f>
        <v>0</v>
      </c>
      <c r="X58" s="49"/>
      <c r="Y58" s="166">
        <f>+Y54-Y57</f>
        <v>0</v>
      </c>
      <c r="Z58" s="49"/>
      <c r="AA58" s="166">
        <f>+AA54-AA57</f>
        <v>0</v>
      </c>
      <c r="AB58" s="49"/>
      <c r="AC58" s="166">
        <f>+AC54-AC57</f>
        <v>0</v>
      </c>
      <c r="AD58" s="49"/>
      <c r="AE58" s="166">
        <f>+AE54-AE57</f>
        <v>0</v>
      </c>
      <c r="AF58" s="49"/>
      <c r="AG58" s="166">
        <f>+AG54-AG57</f>
        <v>0</v>
      </c>
      <c r="AH58" s="49"/>
      <c r="AI58" s="166">
        <f>+AI54-AI57</f>
        <v>0</v>
      </c>
      <c r="AJ58" s="49"/>
      <c r="AK58" s="166">
        <f>+AK54-AK57</f>
        <v>0</v>
      </c>
      <c r="AL58" s="49"/>
      <c r="AM58" s="166">
        <f>+AM54-AM57</f>
        <v>0</v>
      </c>
      <c r="AN58" s="49"/>
      <c r="AO58" s="166">
        <f>+AO54-AO57</f>
        <v>0</v>
      </c>
      <c r="AP58" s="49"/>
      <c r="AQ58" s="166">
        <f>+AQ54-AQ57</f>
        <v>0</v>
      </c>
      <c r="AR58" s="49"/>
      <c r="AS58" s="166">
        <f>+AS54-AS57</f>
        <v>0</v>
      </c>
      <c r="AT58" s="49"/>
      <c r="AU58" s="166">
        <f>+AU54-AU57</f>
        <v>0</v>
      </c>
      <c r="AV58" s="49"/>
      <c r="AW58" s="166">
        <f>+AW54-AW57</f>
        <v>0</v>
      </c>
      <c r="AX58" s="49"/>
      <c r="AY58" s="166">
        <f>+AY54-AY57</f>
        <v>0</v>
      </c>
      <c r="AZ58" s="49"/>
      <c r="BA58" s="166">
        <f>+BA54-BA57</f>
        <v>0</v>
      </c>
      <c r="BB58" s="49"/>
      <c r="BC58" s="166">
        <f>+BC54-BC57</f>
        <v>0</v>
      </c>
      <c r="BD58" s="49"/>
      <c r="BE58" s="166">
        <f>+BE54-BE57</f>
        <v>0</v>
      </c>
      <c r="BF58" s="49"/>
      <c r="BG58" s="166">
        <f>+BG54-BG57</f>
        <v>0</v>
      </c>
      <c r="BH58" s="49"/>
      <c r="BI58" s="166">
        <f>+BI54-BI57</f>
        <v>0</v>
      </c>
      <c r="BJ58" s="49"/>
      <c r="BK58" s="166">
        <f>+BK54-BK57</f>
        <v>0</v>
      </c>
      <c r="BL58" s="49"/>
      <c r="BM58" s="166">
        <f>+BM54-BM57</f>
        <v>0</v>
      </c>
      <c r="BN58" s="50"/>
      <c r="BO58" s="170">
        <f t="shared" si="2"/>
        <v>0</v>
      </c>
      <c r="BP58" s="49"/>
      <c r="BQ58" s="172">
        <f t="shared" si="65"/>
        <v>0</v>
      </c>
    </row>
    <row r="59" spans="1:76" x14ac:dyDescent="0.35">
      <c r="A59" s="108" t="s">
        <v>20</v>
      </c>
      <c r="B59" s="109"/>
      <c r="C59" s="174">
        <f>IF('July 2027 Log'!BM59="","",'July 2027 Log'!BM59)</f>
        <v>0</v>
      </c>
      <c r="D59" s="47"/>
      <c r="E59" s="166">
        <f>-E25+E26</f>
        <v>0</v>
      </c>
      <c r="F59" s="49"/>
      <c r="G59" s="166">
        <f>-G25+G26</f>
        <v>0</v>
      </c>
      <c r="H59" s="49"/>
      <c r="I59" s="166">
        <f>-I25+I26</f>
        <v>0</v>
      </c>
      <c r="J59" s="49"/>
      <c r="K59" s="166">
        <f>-K25+K26</f>
        <v>0</v>
      </c>
      <c r="L59" s="49"/>
      <c r="M59" s="166">
        <f>-M25+M26</f>
        <v>0</v>
      </c>
      <c r="N59" s="49"/>
      <c r="O59" s="166">
        <f>-O25+O26</f>
        <v>0</v>
      </c>
      <c r="P59" s="49"/>
      <c r="Q59" s="166">
        <f>-Q25+Q26</f>
        <v>0</v>
      </c>
      <c r="R59" s="49"/>
      <c r="S59" s="166">
        <f>-S25+S26</f>
        <v>0</v>
      </c>
      <c r="T59" s="49"/>
      <c r="U59" s="166">
        <f>-U25+U26</f>
        <v>0</v>
      </c>
      <c r="V59" s="49"/>
      <c r="W59" s="166">
        <f>-W25+W26</f>
        <v>0</v>
      </c>
      <c r="X59" s="49"/>
      <c r="Y59" s="166">
        <f>-Y25+Y26</f>
        <v>0</v>
      </c>
      <c r="Z59" s="49"/>
      <c r="AA59" s="166">
        <f>-AA25+AA26</f>
        <v>0</v>
      </c>
      <c r="AB59" s="49"/>
      <c r="AC59" s="166">
        <f>-AC25+AC26</f>
        <v>0</v>
      </c>
      <c r="AD59" s="49"/>
      <c r="AE59" s="166">
        <f>-AE25+AE26</f>
        <v>0</v>
      </c>
      <c r="AF59" s="49"/>
      <c r="AG59" s="166">
        <f>-AG25+AG26</f>
        <v>0</v>
      </c>
      <c r="AH59" s="49"/>
      <c r="AI59" s="166">
        <f>-AI25+AI26</f>
        <v>0</v>
      </c>
      <c r="AJ59" s="49"/>
      <c r="AK59" s="166">
        <f>-AK25+AK26</f>
        <v>0</v>
      </c>
      <c r="AL59" s="49"/>
      <c r="AM59" s="166">
        <f>-AM25+AM26</f>
        <v>0</v>
      </c>
      <c r="AN59" s="49"/>
      <c r="AO59" s="166">
        <f>-AO25+AO26</f>
        <v>0</v>
      </c>
      <c r="AP59" s="49"/>
      <c r="AQ59" s="166">
        <f>-AQ25+AQ26</f>
        <v>0</v>
      </c>
      <c r="AR59" s="49"/>
      <c r="AS59" s="166">
        <f>-AS25+AS26</f>
        <v>0</v>
      </c>
      <c r="AT59" s="49"/>
      <c r="AU59" s="166">
        <f>-AU25+AU26</f>
        <v>0</v>
      </c>
      <c r="AV59" s="49"/>
      <c r="AW59" s="166">
        <f>-AW25+AW26</f>
        <v>0</v>
      </c>
      <c r="AX59" s="49"/>
      <c r="AY59" s="166">
        <f>-AY25+AY26</f>
        <v>0</v>
      </c>
      <c r="AZ59" s="49"/>
      <c r="BA59" s="166">
        <f>-BA25+BA26</f>
        <v>0</v>
      </c>
      <c r="BB59" s="49"/>
      <c r="BC59" s="166">
        <f>-BC25+BC26</f>
        <v>0</v>
      </c>
      <c r="BD59" s="49"/>
      <c r="BE59" s="166">
        <f>-BE25+BE26</f>
        <v>0</v>
      </c>
      <c r="BF59" s="49"/>
      <c r="BG59" s="166">
        <f>-BG25+BG26</f>
        <v>0</v>
      </c>
      <c r="BH59" s="49"/>
      <c r="BI59" s="166">
        <f>-BI25+BI26</f>
        <v>0</v>
      </c>
      <c r="BJ59" s="49"/>
      <c r="BK59" s="166">
        <f>-BK25+BK26</f>
        <v>0</v>
      </c>
      <c r="BL59" s="49"/>
      <c r="BM59" s="166">
        <f>-BM25+BM26</f>
        <v>0</v>
      </c>
      <c r="BN59" s="50"/>
      <c r="BO59" s="170">
        <f t="shared" si="2"/>
        <v>0</v>
      </c>
      <c r="BP59" s="49"/>
      <c r="BQ59" s="172">
        <f t="shared" si="65"/>
        <v>0</v>
      </c>
    </row>
    <row r="60" spans="1:76" x14ac:dyDescent="0.35">
      <c r="A60" s="74"/>
      <c r="B60" s="75"/>
      <c r="C60" s="141"/>
      <c r="D60" s="102"/>
      <c r="E60" s="142"/>
      <c r="F60" s="104"/>
      <c r="G60" s="142"/>
      <c r="H60" s="104"/>
      <c r="I60" s="142"/>
      <c r="J60" s="104"/>
      <c r="K60" s="142"/>
      <c r="L60" s="104"/>
      <c r="M60" s="142"/>
      <c r="N60" s="104"/>
      <c r="O60" s="142"/>
      <c r="P60" s="104"/>
      <c r="Q60" s="142"/>
      <c r="R60" s="104"/>
      <c r="S60" s="142"/>
      <c r="T60" s="104"/>
      <c r="U60" s="142"/>
      <c r="V60" s="104"/>
      <c r="W60" s="142"/>
      <c r="X60" s="104"/>
      <c r="Y60" s="142"/>
      <c r="Z60" s="104"/>
      <c r="AA60" s="142"/>
      <c r="AB60" s="104"/>
      <c r="AC60" s="142"/>
      <c r="AD60" s="104"/>
      <c r="AE60" s="142"/>
      <c r="AF60" s="104"/>
      <c r="AG60" s="142"/>
      <c r="AH60" s="104"/>
      <c r="AI60" s="142"/>
      <c r="AJ60" s="104"/>
      <c r="AK60" s="142"/>
      <c r="AL60" s="104"/>
      <c r="AM60" s="142"/>
      <c r="AN60" s="104"/>
      <c r="AO60" s="142"/>
      <c r="AP60" s="104"/>
      <c r="AQ60" s="142"/>
      <c r="AR60" s="104"/>
      <c r="AS60" s="142"/>
      <c r="AT60" s="104"/>
      <c r="AU60" s="142"/>
      <c r="AV60" s="104"/>
      <c r="AW60" s="142"/>
      <c r="AX60" s="104"/>
      <c r="AY60" s="142"/>
      <c r="AZ60" s="104"/>
      <c r="BA60" s="142"/>
      <c r="BB60" s="104"/>
      <c r="BC60" s="142"/>
      <c r="BD60" s="104"/>
      <c r="BE60" s="142"/>
      <c r="BF60" s="104"/>
      <c r="BG60" s="142"/>
      <c r="BH60" s="104"/>
      <c r="BI60" s="142"/>
      <c r="BJ60" s="104"/>
      <c r="BK60" s="142"/>
      <c r="BL60" s="104"/>
      <c r="BM60" s="142"/>
      <c r="BN60" s="105"/>
      <c r="BO60" s="106"/>
      <c r="BP60" s="104"/>
      <c r="BQ60" s="107"/>
    </row>
    <row r="61" spans="1:76" s="8" customFormat="1" x14ac:dyDescent="0.35">
      <c r="A61" s="213" t="s">
        <v>68</v>
      </c>
      <c r="B61" s="214"/>
      <c r="C61" s="215"/>
      <c r="D61" s="47"/>
      <c r="E61" s="166" t="e">
        <f t="shared" ref="E61" si="66">+E73-D67</f>
        <v>#VALUE!</v>
      </c>
      <c r="F61" s="49"/>
      <c r="G61" s="166">
        <f t="shared" ref="G61" si="67">+G73-F67</f>
        <v>0</v>
      </c>
      <c r="H61" s="49"/>
      <c r="I61" s="166">
        <f t="shared" ref="I61" si="68">+I73-H67</f>
        <v>0</v>
      </c>
      <c r="J61" s="49"/>
      <c r="K61" s="166">
        <f t="shared" ref="K61" si="69">+K73-J67</f>
        <v>0</v>
      </c>
      <c r="L61" s="49"/>
      <c r="M61" s="166">
        <f t="shared" ref="M61" si="70">+M73-L67</f>
        <v>0</v>
      </c>
      <c r="N61" s="49"/>
      <c r="O61" s="166">
        <f t="shared" ref="O61" si="71">+O73-N67</f>
        <v>0</v>
      </c>
      <c r="P61" s="49"/>
      <c r="Q61" s="166">
        <f t="shared" ref="Q61" si="72">+Q73-P67</f>
        <v>0</v>
      </c>
      <c r="R61" s="49"/>
      <c r="S61" s="166">
        <f t="shared" ref="S61" si="73">+S73-R67</f>
        <v>0</v>
      </c>
      <c r="T61" s="49"/>
      <c r="U61" s="166">
        <f t="shared" ref="U61" si="74">+U73-T67</f>
        <v>0</v>
      </c>
      <c r="V61" s="49"/>
      <c r="W61" s="166">
        <f t="shared" ref="W61" si="75">+W73-V67</f>
        <v>0</v>
      </c>
      <c r="X61" s="49"/>
      <c r="Y61" s="166">
        <f t="shared" ref="Y61" si="76">+Y73-X67</f>
        <v>0</v>
      </c>
      <c r="Z61" s="49"/>
      <c r="AA61" s="166">
        <f t="shared" ref="AA61" si="77">+AA73-Z67</f>
        <v>0</v>
      </c>
      <c r="AB61" s="49"/>
      <c r="AC61" s="166">
        <f t="shared" ref="AC61" si="78">+AC73-AB67</f>
        <v>0</v>
      </c>
      <c r="AD61" s="49"/>
      <c r="AE61" s="166">
        <f t="shared" ref="AE61" si="79">+AE73-AD67</f>
        <v>0</v>
      </c>
      <c r="AF61" s="49"/>
      <c r="AG61" s="166">
        <f t="shared" ref="AG61" si="80">+AG73-AF67</f>
        <v>0</v>
      </c>
      <c r="AH61" s="49"/>
      <c r="AI61" s="166">
        <f t="shared" ref="AI61" si="81">+AI73-AH67</f>
        <v>0</v>
      </c>
      <c r="AJ61" s="49"/>
      <c r="AK61" s="166">
        <f t="shared" ref="AK61" si="82">+AK73-AJ67</f>
        <v>0</v>
      </c>
      <c r="AL61" s="49"/>
      <c r="AM61" s="166">
        <f t="shared" ref="AM61" si="83">+AM73-AL67</f>
        <v>0</v>
      </c>
      <c r="AN61" s="49"/>
      <c r="AO61" s="166">
        <f t="shared" ref="AO61" si="84">+AO73-AN67</f>
        <v>0</v>
      </c>
      <c r="AP61" s="49"/>
      <c r="AQ61" s="166">
        <f t="shared" ref="AQ61" si="85">+AQ73-AP67</f>
        <v>0</v>
      </c>
      <c r="AR61" s="49"/>
      <c r="AS61" s="166">
        <f t="shared" ref="AS61" si="86">+AS73-AR67</f>
        <v>0</v>
      </c>
      <c r="AT61" s="49"/>
      <c r="AU61" s="166">
        <f t="shared" ref="AU61" si="87">+AU73-AT67</f>
        <v>0</v>
      </c>
      <c r="AV61" s="49"/>
      <c r="AW61" s="166">
        <f t="shared" ref="AW61" si="88">+AW73-AV67</f>
        <v>0</v>
      </c>
      <c r="AX61" s="49"/>
      <c r="AY61" s="166">
        <f t="shared" ref="AY61" si="89">+AY73-AX67</f>
        <v>0</v>
      </c>
      <c r="AZ61" s="49"/>
      <c r="BA61" s="166">
        <f t="shared" ref="BA61" si="90">+BA73-AZ67</f>
        <v>0</v>
      </c>
      <c r="BB61" s="49"/>
      <c r="BC61" s="166">
        <f t="shared" ref="BC61" si="91">+BC73-BB67</f>
        <v>0</v>
      </c>
      <c r="BD61" s="49"/>
      <c r="BE61" s="166">
        <f t="shared" ref="BE61" si="92">+BE73-BD67</f>
        <v>0</v>
      </c>
      <c r="BF61" s="49"/>
      <c r="BG61" s="166">
        <f>+BG73-BF67</f>
        <v>0</v>
      </c>
      <c r="BH61" s="49"/>
      <c r="BI61" s="166">
        <f>+BI73-BH67</f>
        <v>0</v>
      </c>
      <c r="BJ61" s="49"/>
      <c r="BK61" s="166">
        <f t="shared" ref="BK61" si="93">+BK73-BJ67</f>
        <v>0</v>
      </c>
      <c r="BL61" s="49"/>
      <c r="BM61" s="166">
        <f t="shared" ref="BM61" si="94">+BM73-BL67</f>
        <v>0</v>
      </c>
      <c r="BN61" s="50"/>
      <c r="BO61" s="170" t="e">
        <f>IF(COUNT(E61,G61,I61,K61,M61,O61,Q61,S61,U61,W61,Y61,AA61,AC61,AE61,AG61,AI61,AK61,AM61,AO61,AQ61,AS61,AU61,AW61,AY61,BA61,BC61,BE61,BG61,BI61,BK61,BM61)=0,"",SUM(E61,G61,I61,K61,M61,O61,Q61,S61,U61,W61,Y61,AA61,AC61,AE61,AG61,AI61,AK61,AM61,AO61,AQ61,AS61,AU61,AW61,AY61,BA61,BC61,BE61,BG61,BI61,BK61,BM61))</f>
        <v>#VALUE!</v>
      </c>
      <c r="BP61" s="49"/>
      <c r="BQ61" s="52"/>
      <c r="BR61"/>
      <c r="BS61"/>
      <c r="BT61"/>
      <c r="BU61"/>
      <c r="BV61"/>
      <c r="BW61"/>
      <c r="BX61"/>
    </row>
    <row r="62" spans="1:76" x14ac:dyDescent="0.35">
      <c r="A62" s="53" t="s">
        <v>24</v>
      </c>
      <c r="B62" s="187" t="e">
        <f>C62-C106</f>
        <v>#VALUE!</v>
      </c>
      <c r="C62" s="174" t="str">
        <f>IF('July 2027 Log'!BM62="","",'July 2027 Log'!BM62)</f>
        <v/>
      </c>
      <c r="D62" s="189" t="e">
        <f>+C62-E62+E106</f>
        <v>#VALUE!</v>
      </c>
      <c r="E62" s="48"/>
      <c r="F62" s="167">
        <f>+E62-G62+G106</f>
        <v>0</v>
      </c>
      <c r="G62" s="48"/>
      <c r="H62" s="167">
        <f>+G62-I62+I106</f>
        <v>0</v>
      </c>
      <c r="I62" s="48"/>
      <c r="J62" s="167">
        <f>+I62-K62+K106</f>
        <v>0</v>
      </c>
      <c r="K62" s="48"/>
      <c r="L62" s="167">
        <f>+K62-M62+M106</f>
        <v>0</v>
      </c>
      <c r="M62" s="48"/>
      <c r="N62" s="167">
        <f>+M62-O62+O106</f>
        <v>0</v>
      </c>
      <c r="O62" s="48"/>
      <c r="P62" s="167">
        <f>+O62-Q62+Q106</f>
        <v>0</v>
      </c>
      <c r="Q62" s="48"/>
      <c r="R62" s="167">
        <f>+Q62-S62+S106</f>
        <v>0</v>
      </c>
      <c r="S62" s="48"/>
      <c r="T62" s="167">
        <f>+S62-U62+U106</f>
        <v>0</v>
      </c>
      <c r="U62" s="48"/>
      <c r="V62" s="167">
        <f>+U62-W62+W106</f>
        <v>0</v>
      </c>
      <c r="W62" s="48"/>
      <c r="X62" s="167">
        <f>+W62-Y62+Y106</f>
        <v>0</v>
      </c>
      <c r="Y62" s="48"/>
      <c r="Z62" s="167">
        <f>+Y62-AA62+AA106</f>
        <v>0</v>
      </c>
      <c r="AA62" s="48"/>
      <c r="AB62" s="167">
        <f>+AA62-AC62+AC106</f>
        <v>0</v>
      </c>
      <c r="AC62" s="48"/>
      <c r="AD62" s="167">
        <f>+AC62-AE62+AE106</f>
        <v>0</v>
      </c>
      <c r="AE62" s="48"/>
      <c r="AF62" s="167">
        <f>+AE62-AG62+AG106</f>
        <v>0</v>
      </c>
      <c r="AG62" s="48"/>
      <c r="AH62" s="167">
        <f>+AG62-AI62+AI106</f>
        <v>0</v>
      </c>
      <c r="AI62" s="48"/>
      <c r="AJ62" s="167">
        <f>+AI62-AK62+AK106</f>
        <v>0</v>
      </c>
      <c r="AK62" s="48"/>
      <c r="AL62" s="167">
        <f>+AK62-AM62+AM106</f>
        <v>0</v>
      </c>
      <c r="AM62" s="48"/>
      <c r="AN62" s="167">
        <f>+AM62-AO62+AO106</f>
        <v>0</v>
      </c>
      <c r="AO62" s="48"/>
      <c r="AP62" s="167">
        <f>+AO62-AQ62+AQ106</f>
        <v>0</v>
      </c>
      <c r="AQ62" s="48"/>
      <c r="AR62" s="167">
        <f>+AQ62-AS62+AS106</f>
        <v>0</v>
      </c>
      <c r="AS62" s="48"/>
      <c r="AT62" s="167">
        <f>+AS62-AU62+AU106</f>
        <v>0</v>
      </c>
      <c r="AU62" s="48"/>
      <c r="AV62" s="167">
        <f>+AU62-AW62+AW106</f>
        <v>0</v>
      </c>
      <c r="AW62" s="48"/>
      <c r="AX62" s="167">
        <f>+AW62-AY62+AY106</f>
        <v>0</v>
      </c>
      <c r="AY62" s="48"/>
      <c r="AZ62" s="167">
        <f>+AY62-BA62+BA106</f>
        <v>0</v>
      </c>
      <c r="BA62" s="48"/>
      <c r="BB62" s="167">
        <f>+BA62-BC62+BC106</f>
        <v>0</v>
      </c>
      <c r="BC62" s="48"/>
      <c r="BD62" s="167">
        <f>+BC62-BE62+BE106</f>
        <v>0</v>
      </c>
      <c r="BE62" s="48"/>
      <c r="BF62" s="167">
        <f>+BE62-BG62+BG106</f>
        <v>0</v>
      </c>
      <c r="BG62" s="48"/>
      <c r="BH62" s="167">
        <f>+BG62-BI62+BI106</f>
        <v>0</v>
      </c>
      <c r="BI62" s="48"/>
      <c r="BJ62" s="167">
        <f>+BI62-BK62+BK106</f>
        <v>0</v>
      </c>
      <c r="BK62" s="48"/>
      <c r="BL62" s="167">
        <f>+BK62-BM62+BM106</f>
        <v>0</v>
      </c>
      <c r="BM62" s="48"/>
      <c r="BN62" s="50"/>
      <c r="BO62" s="170" t="e">
        <f>IF(COUNT(D62,F62,H62,J62,L62,N62,P62,R62,T62,V62,X62,Z62,AB62,AD62,AF62,AH62,AJ62,AL62,AN62,AP62,AR62,AT62,AV62,AX62,AZ62,BB62,BD62,BF62,BH62,BJ62,BL62)=0,"",SUM(D62,F62,H62,J62,L62,N62,P62,R62,T62,V62,X62,Z62,AB62,AD62,AF62,AH62,AJ62,AL62,AN62,AP62,AR62,AT62,AV62,AX62,AZ62,BB62,BD62,BF62,BH62,BJ62,BL62))</f>
        <v>#VALUE!</v>
      </c>
      <c r="BP62" s="167" t="e">
        <f>+BM62-BQ62+BQ106</f>
        <v>#VALUE!</v>
      </c>
      <c r="BQ62" s="178" t="str">
        <f>IF(BM62="","",BM62)</f>
        <v/>
      </c>
    </row>
    <row r="63" spans="1:76" x14ac:dyDescent="0.35">
      <c r="A63" s="53" t="s">
        <v>25</v>
      </c>
      <c r="B63" s="187" t="e">
        <f>C63-C107</f>
        <v>#VALUE!</v>
      </c>
      <c r="C63" s="174" t="str">
        <f>IF('July 2027 Log'!BM63="","",'July 2027 Log'!BM63)</f>
        <v/>
      </c>
      <c r="D63" s="189" t="e">
        <f>+C63-E63+E107</f>
        <v>#VALUE!</v>
      </c>
      <c r="E63" s="48"/>
      <c r="F63" s="167">
        <f>+E63-G63+G107</f>
        <v>0</v>
      </c>
      <c r="G63" s="48"/>
      <c r="H63" s="167">
        <f>+G63-I63+I107</f>
        <v>0</v>
      </c>
      <c r="I63" s="48"/>
      <c r="J63" s="167">
        <f>+I63-K63+K107</f>
        <v>0</v>
      </c>
      <c r="K63" s="48"/>
      <c r="L63" s="167">
        <f>+K63-M63+M107</f>
        <v>0</v>
      </c>
      <c r="M63" s="48"/>
      <c r="N63" s="167">
        <f>+M63-O63+O107</f>
        <v>0</v>
      </c>
      <c r="O63" s="48"/>
      <c r="P63" s="167">
        <f>+O63-Q63+Q107</f>
        <v>0</v>
      </c>
      <c r="Q63" s="48"/>
      <c r="R63" s="167">
        <f>+Q63-S63+S107</f>
        <v>0</v>
      </c>
      <c r="S63" s="48"/>
      <c r="T63" s="167">
        <f>+S63-U63+U107</f>
        <v>0</v>
      </c>
      <c r="U63" s="48"/>
      <c r="V63" s="167">
        <f>+U63-W63+W107</f>
        <v>0</v>
      </c>
      <c r="W63" s="48"/>
      <c r="X63" s="167">
        <f>+W63-Y63+Y107</f>
        <v>0</v>
      </c>
      <c r="Y63" s="48"/>
      <c r="Z63" s="167">
        <f>+Y63-AA63+AA107</f>
        <v>0</v>
      </c>
      <c r="AA63" s="48"/>
      <c r="AB63" s="167">
        <f>+AA63-AC63+AC107</f>
        <v>0</v>
      </c>
      <c r="AC63" s="48"/>
      <c r="AD63" s="167">
        <f>+AC63-AE63+AE107</f>
        <v>0</v>
      </c>
      <c r="AE63" s="48"/>
      <c r="AF63" s="167">
        <f>+AE63-AG63+AG107</f>
        <v>0</v>
      </c>
      <c r="AG63" s="48"/>
      <c r="AH63" s="167">
        <f>+AG63-AI63+AI107</f>
        <v>0</v>
      </c>
      <c r="AI63" s="48"/>
      <c r="AJ63" s="167">
        <f>+AI63-AK63+AK107</f>
        <v>0</v>
      </c>
      <c r="AK63" s="48"/>
      <c r="AL63" s="167">
        <f>+AK63-AM63+AM107</f>
        <v>0</v>
      </c>
      <c r="AM63" s="48"/>
      <c r="AN63" s="167">
        <f>+AM63-AO63+AO107</f>
        <v>0</v>
      </c>
      <c r="AO63" s="48"/>
      <c r="AP63" s="167">
        <f>+AO63-AQ63+AQ107</f>
        <v>0</v>
      </c>
      <c r="AQ63" s="48"/>
      <c r="AR63" s="167">
        <f>+AQ63-AS63+AS107</f>
        <v>0</v>
      </c>
      <c r="AS63" s="48"/>
      <c r="AT63" s="167">
        <f>+AS63-AU63+AU107</f>
        <v>0</v>
      </c>
      <c r="AU63" s="48"/>
      <c r="AV63" s="167">
        <f>+AU63-AW63+AW107</f>
        <v>0</v>
      </c>
      <c r="AW63" s="48"/>
      <c r="AX63" s="167">
        <f>+AW63-AY63+AY107</f>
        <v>0</v>
      </c>
      <c r="AY63" s="48"/>
      <c r="AZ63" s="167">
        <f>+AY63-BA63+BA107</f>
        <v>0</v>
      </c>
      <c r="BA63" s="48"/>
      <c r="BB63" s="167">
        <f>+BA63-BC63+BC107</f>
        <v>0</v>
      </c>
      <c r="BC63" s="48"/>
      <c r="BD63" s="167">
        <f>+BC63-BE63+BE107</f>
        <v>0</v>
      </c>
      <c r="BE63" s="48"/>
      <c r="BF63" s="167">
        <f>+BE63-BG63+BG107</f>
        <v>0</v>
      </c>
      <c r="BG63" s="48"/>
      <c r="BH63" s="167">
        <f>+BG63-BI63+BI107</f>
        <v>0</v>
      </c>
      <c r="BI63" s="48"/>
      <c r="BJ63" s="167">
        <f>+BI63-BK63+BK107</f>
        <v>0</v>
      </c>
      <c r="BK63" s="48"/>
      <c r="BL63" s="167">
        <f>+BK63-BM63+BM107</f>
        <v>0</v>
      </c>
      <c r="BM63" s="48"/>
      <c r="BN63" s="50"/>
      <c r="BO63" s="170" t="e">
        <f>IF(COUNT(D63,F63,H63,J63,L63,N63,P63,R63,T63,V63,X63,Z63,AB63,AD63,AF63,AH63,AJ63,AL63,AN63,AP63,AR63,AT63,AV63,AX63,AZ63,BB63,BD63,BF63,BH63,BJ63,BL63)=0,"",SUM(D63,F63,H63,J63,L63,N63,P63,R63,T63,V63,X63,Z63,AB63,AD63,AF63,AH63,AJ63,AL63,AN63,AP63,AR63,AT63,AV63,AX63,AZ63,BB63,BD63,BF63,BH63,BJ63,BL63))</f>
        <v>#VALUE!</v>
      </c>
      <c r="BP63" s="167" t="e">
        <f>+BM63-BQ63+BQ107</f>
        <v>#VALUE!</v>
      </c>
      <c r="BQ63" s="178" t="str">
        <f>IF(BM63="","",BM63)</f>
        <v/>
      </c>
    </row>
    <row r="64" spans="1:76" x14ac:dyDescent="0.35">
      <c r="A64" s="53" t="s">
        <v>25</v>
      </c>
      <c r="B64" s="187" t="e">
        <f>C64-C108</f>
        <v>#VALUE!</v>
      </c>
      <c r="C64" s="174" t="str">
        <f>IF('July 2027 Log'!BM64="","",'July 2027 Log'!BM64)</f>
        <v/>
      </c>
      <c r="D64" s="189" t="e">
        <f>+C64-E64+E108</f>
        <v>#VALUE!</v>
      </c>
      <c r="E64" s="48"/>
      <c r="F64" s="167">
        <f>+E64-G64+G108</f>
        <v>0</v>
      </c>
      <c r="G64" s="48"/>
      <c r="H64" s="167">
        <f>+G64-I64+I108</f>
        <v>0</v>
      </c>
      <c r="I64" s="48"/>
      <c r="J64" s="167">
        <f>+I64-K64+K108</f>
        <v>0</v>
      </c>
      <c r="K64" s="48"/>
      <c r="L64" s="167">
        <f>+K64-M64+M108</f>
        <v>0</v>
      </c>
      <c r="M64" s="48"/>
      <c r="N64" s="167">
        <f>+M64-O64+O108</f>
        <v>0</v>
      </c>
      <c r="O64" s="48"/>
      <c r="P64" s="167">
        <f>+O64-Q64+Q108</f>
        <v>0</v>
      </c>
      <c r="Q64" s="48"/>
      <c r="R64" s="167">
        <f>+Q64-S64+S108</f>
        <v>0</v>
      </c>
      <c r="S64" s="48"/>
      <c r="T64" s="167">
        <f>+S64-U64+U108</f>
        <v>0</v>
      </c>
      <c r="U64" s="48"/>
      <c r="V64" s="167">
        <f>+U64-W64+W108</f>
        <v>0</v>
      </c>
      <c r="W64" s="48"/>
      <c r="X64" s="167">
        <f>+W64-Y64+Y108</f>
        <v>0</v>
      </c>
      <c r="Y64" s="48"/>
      <c r="Z64" s="167">
        <f>+Y64-AA64+AA108</f>
        <v>0</v>
      </c>
      <c r="AA64" s="48"/>
      <c r="AB64" s="167">
        <f>+AA64-AC64+AC108</f>
        <v>0</v>
      </c>
      <c r="AC64" s="48"/>
      <c r="AD64" s="167">
        <f>+AC64-AE64+AE108</f>
        <v>0</v>
      </c>
      <c r="AE64" s="48"/>
      <c r="AF64" s="167">
        <f>+AE64-AG64+AG108</f>
        <v>0</v>
      </c>
      <c r="AG64" s="48"/>
      <c r="AH64" s="167">
        <f>+AG64-AI64+AI108</f>
        <v>0</v>
      </c>
      <c r="AI64" s="48"/>
      <c r="AJ64" s="167">
        <f>+AI64-AK64+AK108</f>
        <v>0</v>
      </c>
      <c r="AK64" s="48"/>
      <c r="AL64" s="167">
        <f>+AK64-AM64+AM108</f>
        <v>0</v>
      </c>
      <c r="AM64" s="48"/>
      <c r="AN64" s="167">
        <f>+AM64-AO64+AO108</f>
        <v>0</v>
      </c>
      <c r="AO64" s="48"/>
      <c r="AP64" s="167">
        <f>+AO64-AQ64+AQ108</f>
        <v>0</v>
      </c>
      <c r="AQ64" s="48"/>
      <c r="AR64" s="167">
        <f>+AQ64-AS64+AS108</f>
        <v>0</v>
      </c>
      <c r="AS64" s="48"/>
      <c r="AT64" s="167">
        <f>+AS64-AU64+AU108</f>
        <v>0</v>
      </c>
      <c r="AU64" s="48"/>
      <c r="AV64" s="167">
        <f>+AU64-AW64+AW108</f>
        <v>0</v>
      </c>
      <c r="AW64" s="48"/>
      <c r="AX64" s="167">
        <f>+AW64-AY64+AY108</f>
        <v>0</v>
      </c>
      <c r="AY64" s="48"/>
      <c r="AZ64" s="167">
        <f>+AY64-BA64+BA108</f>
        <v>0</v>
      </c>
      <c r="BA64" s="48"/>
      <c r="BB64" s="167">
        <f>+BA64-BC64+BC108</f>
        <v>0</v>
      </c>
      <c r="BC64" s="48"/>
      <c r="BD64" s="167">
        <f>+BC64-BE64+BE108</f>
        <v>0</v>
      </c>
      <c r="BE64" s="48"/>
      <c r="BF64" s="167">
        <f>+BE64-BG64+BG108</f>
        <v>0</v>
      </c>
      <c r="BG64" s="48"/>
      <c r="BH64" s="167">
        <f>+BG64-BI64+BI108</f>
        <v>0</v>
      </c>
      <c r="BI64" s="48"/>
      <c r="BJ64" s="167">
        <f>+BI64-BK64+BK108</f>
        <v>0</v>
      </c>
      <c r="BK64" s="48"/>
      <c r="BL64" s="167">
        <f>+BK64-BM64+BM108</f>
        <v>0</v>
      </c>
      <c r="BM64" s="48"/>
      <c r="BN64" s="50"/>
      <c r="BO64" s="170" t="e">
        <f>IF(COUNT(D64,F64,H64,J64,L64,N64,P64,R64,T64,V64,X64,Z64,AB64,AD64,AF64,AH64,AJ64,AL64,AN64,AP64,AR64,AT64,AV64,AX64,AZ64,BB64,BD64,BF64,BH64,BJ64,BL64)=0,"",SUM(D64,F64,H64,J64,L64,N64,P64,R64,T64,V64,X64,Z64,AB64,AD64,AF64,AH64,AJ64,AL64,AN64,AP64,AR64,AT64,AV64,AX64,AZ64,BB64,BD64,BF64,BH64,BJ64,BL64))</f>
        <v>#VALUE!</v>
      </c>
      <c r="BP64" s="167" t="e">
        <f>+BM64-BQ64+BQ108</f>
        <v>#VALUE!</v>
      </c>
      <c r="BQ64" s="178" t="str">
        <f>IF(BM64="","",BM64)</f>
        <v/>
      </c>
    </row>
    <row r="65" spans="1:69" x14ac:dyDescent="0.35">
      <c r="A65" s="53" t="s">
        <v>26</v>
      </c>
      <c r="B65" s="187" t="e">
        <f>C65-C109</f>
        <v>#VALUE!</v>
      </c>
      <c r="C65" s="174" t="str">
        <f>IF('July 2027 Log'!BM65="","",'July 2027 Log'!BM65)</f>
        <v/>
      </c>
      <c r="D65" s="189" t="e">
        <f>+C65-E65+E109</f>
        <v>#VALUE!</v>
      </c>
      <c r="E65" s="48"/>
      <c r="F65" s="167">
        <f>+E65-G65+G109</f>
        <v>0</v>
      </c>
      <c r="G65" s="48"/>
      <c r="H65" s="167">
        <f>+G65-I65+I109</f>
        <v>0</v>
      </c>
      <c r="I65" s="48"/>
      <c r="J65" s="167">
        <f>+I65-K65+K109</f>
        <v>0</v>
      </c>
      <c r="K65" s="48"/>
      <c r="L65" s="167">
        <f>+K65-M65+M109</f>
        <v>0</v>
      </c>
      <c r="M65" s="48"/>
      <c r="N65" s="167">
        <f>+M65-O65+O109</f>
        <v>0</v>
      </c>
      <c r="O65" s="48"/>
      <c r="P65" s="167">
        <f>+O65-Q65+Q109</f>
        <v>0</v>
      </c>
      <c r="Q65" s="48"/>
      <c r="R65" s="167">
        <f>+Q65-S65+S109</f>
        <v>0</v>
      </c>
      <c r="S65" s="48"/>
      <c r="T65" s="167">
        <f>+S65-U65+U109</f>
        <v>0</v>
      </c>
      <c r="U65" s="48"/>
      <c r="V65" s="167">
        <f>+U65-W65+W109</f>
        <v>0</v>
      </c>
      <c r="W65" s="48"/>
      <c r="X65" s="167">
        <f>+W65-Y65+Y109</f>
        <v>0</v>
      </c>
      <c r="Y65" s="48"/>
      <c r="Z65" s="167">
        <f>+Y65-AA65+AA109</f>
        <v>0</v>
      </c>
      <c r="AA65" s="48"/>
      <c r="AB65" s="167">
        <f>+AA65-AC65+AC109</f>
        <v>0</v>
      </c>
      <c r="AC65" s="48"/>
      <c r="AD65" s="167">
        <f>+AC65-AE65+AE109</f>
        <v>0</v>
      </c>
      <c r="AE65" s="48"/>
      <c r="AF65" s="167">
        <f>+AE65-AG65+AG109</f>
        <v>0</v>
      </c>
      <c r="AG65" s="48"/>
      <c r="AH65" s="167">
        <f>+AG65-AI65+AI109</f>
        <v>0</v>
      </c>
      <c r="AI65" s="48"/>
      <c r="AJ65" s="167">
        <f>+AI65-AK65+AK109</f>
        <v>0</v>
      </c>
      <c r="AK65" s="48"/>
      <c r="AL65" s="167">
        <f>+AK65-AM65+AM109</f>
        <v>0</v>
      </c>
      <c r="AM65" s="48"/>
      <c r="AN65" s="167">
        <f>+AM65-AO65+AO109</f>
        <v>0</v>
      </c>
      <c r="AO65" s="48"/>
      <c r="AP65" s="167">
        <f>+AO65-AQ65+AQ109</f>
        <v>0</v>
      </c>
      <c r="AQ65" s="48"/>
      <c r="AR65" s="167">
        <f>+AQ65-AS65+AS109</f>
        <v>0</v>
      </c>
      <c r="AS65" s="48"/>
      <c r="AT65" s="167">
        <f>+AS65-AU65+AU109</f>
        <v>0</v>
      </c>
      <c r="AU65" s="48"/>
      <c r="AV65" s="167">
        <f>+AU65-AW65+AW109</f>
        <v>0</v>
      </c>
      <c r="AW65" s="48"/>
      <c r="AX65" s="167">
        <f>+AW65-AY65+AY109</f>
        <v>0</v>
      </c>
      <c r="AY65" s="48"/>
      <c r="AZ65" s="167">
        <f>+AY65-BA65+BA109</f>
        <v>0</v>
      </c>
      <c r="BA65" s="48"/>
      <c r="BB65" s="167">
        <f>+BA65-BC65+BC109</f>
        <v>0</v>
      </c>
      <c r="BC65" s="48"/>
      <c r="BD65" s="167">
        <f>+BC65-BE65+BE109</f>
        <v>0</v>
      </c>
      <c r="BE65" s="48"/>
      <c r="BF65" s="167">
        <f>+BE65-BG65+BG109</f>
        <v>0</v>
      </c>
      <c r="BG65" s="48"/>
      <c r="BH65" s="167">
        <f>+BG65-BI65+BI109</f>
        <v>0</v>
      </c>
      <c r="BI65" s="48"/>
      <c r="BJ65" s="167">
        <f>+BI65-BK65+BK109</f>
        <v>0</v>
      </c>
      <c r="BK65" s="48"/>
      <c r="BL65" s="167">
        <f>+BK65-BM65+BM109</f>
        <v>0</v>
      </c>
      <c r="BM65" s="48"/>
      <c r="BN65" s="50"/>
      <c r="BO65" s="170" t="e">
        <f>IF(COUNT(D65,F65,H65,J65,L65,N65,P65,R65,T65,V65,X65,Z65,AB65,AD65,AF65,AH65,AJ65,AL65,AN65,AP65,AR65,AT65,AV65,AX65,AZ65,BB65,BD65,BF65,BH65,BJ65,BL65)=0,"",SUM(D65,F65,H65,J65,L65,N65,P65,R65,T65,V65,X65,Z65,AB65,AD65,AF65,AH65,AJ65,AL65,AN65,AP65,AR65,AT65,AV65,AX65,AZ65,BB65,BD65,BF65,BH65,BJ65,BL65))</f>
        <v>#VALUE!</v>
      </c>
      <c r="BP65" s="167" t="e">
        <f>+BM65-BQ65+BQ109</f>
        <v>#VALUE!</v>
      </c>
      <c r="BQ65" s="178" t="str">
        <f>IF(BM65="","",BM65)</f>
        <v/>
      </c>
    </row>
    <row r="66" spans="1:69" x14ac:dyDescent="0.35">
      <c r="A66" s="53" t="s">
        <v>26</v>
      </c>
      <c r="B66" s="187" t="e">
        <f>C66-C110</f>
        <v>#VALUE!</v>
      </c>
      <c r="C66" s="174" t="str">
        <f>IF('July 2027 Log'!BM66="","",'July 2027 Log'!BM66)</f>
        <v/>
      </c>
      <c r="D66" s="189" t="e">
        <f>+C66-E66+E110</f>
        <v>#VALUE!</v>
      </c>
      <c r="E66" s="48"/>
      <c r="F66" s="167">
        <f>+E66-G66+G110</f>
        <v>0</v>
      </c>
      <c r="G66" s="48"/>
      <c r="H66" s="167">
        <f>+G66-I66+I110</f>
        <v>0</v>
      </c>
      <c r="I66" s="48"/>
      <c r="J66" s="167">
        <f>+I66-K66+K110</f>
        <v>0</v>
      </c>
      <c r="K66" s="48"/>
      <c r="L66" s="167">
        <f>+K66-M66+M110</f>
        <v>0</v>
      </c>
      <c r="M66" s="48"/>
      <c r="N66" s="167">
        <f>+M66-O66+O110</f>
        <v>0</v>
      </c>
      <c r="O66" s="48"/>
      <c r="P66" s="167">
        <f>+O66-Q66+Q110</f>
        <v>0</v>
      </c>
      <c r="Q66" s="48"/>
      <c r="R66" s="167">
        <f>+Q66-S66+S110</f>
        <v>0</v>
      </c>
      <c r="S66" s="48"/>
      <c r="T66" s="167">
        <f>+S66-U66+U110</f>
        <v>0</v>
      </c>
      <c r="U66" s="48"/>
      <c r="V66" s="167">
        <f>+U66-W66+W110</f>
        <v>0</v>
      </c>
      <c r="W66" s="48"/>
      <c r="X66" s="167">
        <f>+W66-Y66+Y110</f>
        <v>0</v>
      </c>
      <c r="Y66" s="48"/>
      <c r="Z66" s="167">
        <f>+Y66-AA66+AA110</f>
        <v>0</v>
      </c>
      <c r="AA66" s="48"/>
      <c r="AB66" s="167">
        <f>+AA66-AC66+AC110</f>
        <v>0</v>
      </c>
      <c r="AC66" s="48"/>
      <c r="AD66" s="167">
        <f>+AC66-AE66+AE110</f>
        <v>0</v>
      </c>
      <c r="AE66" s="48"/>
      <c r="AF66" s="167">
        <f>+AE66-AG66+AG110</f>
        <v>0</v>
      </c>
      <c r="AG66" s="48"/>
      <c r="AH66" s="167">
        <f>+AG66-AI66+AI110</f>
        <v>0</v>
      </c>
      <c r="AI66" s="48"/>
      <c r="AJ66" s="167">
        <f>+AI66-AK66+AK110</f>
        <v>0</v>
      </c>
      <c r="AK66" s="48"/>
      <c r="AL66" s="167">
        <f>+AK66-AM66+AM110</f>
        <v>0</v>
      </c>
      <c r="AM66" s="48"/>
      <c r="AN66" s="167">
        <f>+AM66-AO66+AO110</f>
        <v>0</v>
      </c>
      <c r="AO66" s="48"/>
      <c r="AP66" s="167">
        <f>+AO66-AQ66+AQ110</f>
        <v>0</v>
      </c>
      <c r="AQ66" s="48"/>
      <c r="AR66" s="167">
        <f>+AQ66-AS66+AS110</f>
        <v>0</v>
      </c>
      <c r="AS66" s="48"/>
      <c r="AT66" s="167">
        <f>+AS66-AU66+AU110</f>
        <v>0</v>
      </c>
      <c r="AU66" s="48"/>
      <c r="AV66" s="167">
        <f>+AU66-AW66+AW110</f>
        <v>0</v>
      </c>
      <c r="AW66" s="48"/>
      <c r="AX66" s="167">
        <f>+AW66-AY66+AY110</f>
        <v>0</v>
      </c>
      <c r="AY66" s="48"/>
      <c r="AZ66" s="167">
        <f>+AY66-BA66+BA110</f>
        <v>0</v>
      </c>
      <c r="BA66" s="48"/>
      <c r="BB66" s="167">
        <f>+BA66-BC66+BC110</f>
        <v>0</v>
      </c>
      <c r="BC66" s="48"/>
      <c r="BD66" s="167">
        <f>+BC66-BE66+BE110</f>
        <v>0</v>
      </c>
      <c r="BE66" s="48"/>
      <c r="BF66" s="167">
        <f>+BE66-BG66+BG110</f>
        <v>0</v>
      </c>
      <c r="BG66" s="48"/>
      <c r="BH66" s="167">
        <f>+BG66-BI66+BI110</f>
        <v>0</v>
      </c>
      <c r="BI66" s="48"/>
      <c r="BJ66" s="167">
        <f>+BI66-BK66+BK110</f>
        <v>0</v>
      </c>
      <c r="BK66" s="48"/>
      <c r="BL66" s="167">
        <f>+BK66-BM66+BM110</f>
        <v>0</v>
      </c>
      <c r="BM66" s="48"/>
      <c r="BN66" s="50"/>
      <c r="BO66" s="170" t="e">
        <f>IF(COUNT(D66,F66,H66,J66,L66,N66,P66,R66,T66,V66,X66,Z66,AB66,AD66,AF66,AH66,AJ66,AL66,AN66,AP66,AR66,AT66,AV66,AX66,AZ66,BB66,BD66,BF66,BH66,BJ66,BL66)=0,"",SUM(D66,F66,H66,J66,L66,N66,P66,R66,T66,V66,X66,Z66,AB66,AD66,AF66,AH66,AJ66,AL66,AN66,AP66,AR66,AT66,AV66,AX66,AZ66,BB66,BD66,BF66,BH66,BJ66,BL66))</f>
        <v>#VALUE!</v>
      </c>
      <c r="BP66" s="167" t="e">
        <f>+BM66-BQ66+BQ110</f>
        <v>#VALUE!</v>
      </c>
      <c r="BQ66" s="178" t="str">
        <f>IF(BM66="","",BM66)</f>
        <v/>
      </c>
    </row>
    <row r="67" spans="1:69" x14ac:dyDescent="0.35">
      <c r="A67" s="98"/>
      <c r="B67" s="90"/>
      <c r="C67" s="131"/>
      <c r="D67" s="189" t="e">
        <f>SUM(D62:D66)</f>
        <v>#VALUE!</v>
      </c>
      <c r="E67" s="166" t="e">
        <f>+E73-D73</f>
        <v>#VALUE!</v>
      </c>
      <c r="F67" s="167">
        <f>SUM(F62:F66)</f>
        <v>0</v>
      </c>
      <c r="G67" s="166">
        <f>+G73-F73</f>
        <v>0</v>
      </c>
      <c r="H67" s="167">
        <f>SUM(H62:H66)</f>
        <v>0</v>
      </c>
      <c r="I67" s="166">
        <f>+I73-H73</f>
        <v>0</v>
      </c>
      <c r="J67" s="167">
        <f>SUM(J62:J66)</f>
        <v>0</v>
      </c>
      <c r="K67" s="166">
        <f>+K73-J73</f>
        <v>0</v>
      </c>
      <c r="L67" s="167">
        <f>SUM(L62:L66)</f>
        <v>0</v>
      </c>
      <c r="M67" s="166">
        <f>+M73-L73</f>
        <v>0</v>
      </c>
      <c r="N67" s="167">
        <f>SUM(N62:N66)</f>
        <v>0</v>
      </c>
      <c r="O67" s="166">
        <f>+O73-N73</f>
        <v>0</v>
      </c>
      <c r="P67" s="167">
        <f>SUM(P62:P66)</f>
        <v>0</v>
      </c>
      <c r="Q67" s="166">
        <f>+Q73-P73</f>
        <v>0</v>
      </c>
      <c r="R67" s="167">
        <f>SUM(R62:R66)</f>
        <v>0</v>
      </c>
      <c r="S67" s="166">
        <f>+S73-R73</f>
        <v>0</v>
      </c>
      <c r="T67" s="167">
        <f>SUM(T62:T66)</f>
        <v>0</v>
      </c>
      <c r="U67" s="166">
        <f>+U73-T73</f>
        <v>0</v>
      </c>
      <c r="V67" s="167">
        <f>SUM(V62:V66)</f>
        <v>0</v>
      </c>
      <c r="W67" s="166">
        <f>+W73-V73</f>
        <v>0</v>
      </c>
      <c r="X67" s="167">
        <f>SUM(X62:X66)</f>
        <v>0</v>
      </c>
      <c r="Y67" s="166">
        <f>+Y73-X73</f>
        <v>0</v>
      </c>
      <c r="Z67" s="167">
        <f>SUM(Z62:Z66)</f>
        <v>0</v>
      </c>
      <c r="AA67" s="166">
        <f>+AA73-Z73</f>
        <v>0</v>
      </c>
      <c r="AB67" s="167">
        <f>SUM(AB62:AB66)</f>
        <v>0</v>
      </c>
      <c r="AC67" s="166">
        <f>+AC73-AB73</f>
        <v>0</v>
      </c>
      <c r="AD67" s="167">
        <f>SUM(AD62:AD66)</f>
        <v>0</v>
      </c>
      <c r="AE67" s="166">
        <f>+AE73-AD73</f>
        <v>0</v>
      </c>
      <c r="AF67" s="167">
        <f>SUM(AF62:AF66)</f>
        <v>0</v>
      </c>
      <c r="AG67" s="166">
        <f>+AG73-AF73</f>
        <v>0</v>
      </c>
      <c r="AH67" s="167">
        <f>SUM(AH62:AH66)</f>
        <v>0</v>
      </c>
      <c r="AI67" s="166">
        <f>+AI73-AH73</f>
        <v>0</v>
      </c>
      <c r="AJ67" s="167">
        <f>SUM(AJ62:AJ66)</f>
        <v>0</v>
      </c>
      <c r="AK67" s="166">
        <f>+AK73-AJ73</f>
        <v>0</v>
      </c>
      <c r="AL67" s="167">
        <f>SUM(AL62:AL66)</f>
        <v>0</v>
      </c>
      <c r="AM67" s="166">
        <f>+AM73-AL73</f>
        <v>0</v>
      </c>
      <c r="AN67" s="167">
        <f>SUM(AN62:AN66)</f>
        <v>0</v>
      </c>
      <c r="AO67" s="166">
        <f>+AO73-AN73</f>
        <v>0</v>
      </c>
      <c r="AP67" s="167">
        <f>SUM(AP62:AP66)</f>
        <v>0</v>
      </c>
      <c r="AQ67" s="166">
        <f>+AQ73-AP73</f>
        <v>0</v>
      </c>
      <c r="AR67" s="167">
        <f>SUM(AR62:AR66)</f>
        <v>0</v>
      </c>
      <c r="AS67" s="166">
        <f>+AS73-AR73</f>
        <v>0</v>
      </c>
      <c r="AT67" s="167">
        <f>SUM(AT62:AT66)</f>
        <v>0</v>
      </c>
      <c r="AU67" s="166">
        <f>+AU73-AT73</f>
        <v>0</v>
      </c>
      <c r="AV67" s="167">
        <f>SUM(AV62:AV66)</f>
        <v>0</v>
      </c>
      <c r="AW67" s="166">
        <f>+AW73-AV73</f>
        <v>0</v>
      </c>
      <c r="AX67" s="167">
        <f>SUM(AX62:AX66)</f>
        <v>0</v>
      </c>
      <c r="AY67" s="166">
        <f>+AY73-AX73</f>
        <v>0</v>
      </c>
      <c r="AZ67" s="167">
        <f>SUM(AZ62:AZ66)</f>
        <v>0</v>
      </c>
      <c r="BA67" s="166">
        <f>+BA73-AZ73</f>
        <v>0</v>
      </c>
      <c r="BB67" s="167">
        <f>SUM(BB62:BB66)</f>
        <v>0</v>
      </c>
      <c r="BC67" s="166">
        <f>+BC73-BB73</f>
        <v>0</v>
      </c>
      <c r="BD67" s="167">
        <f>SUM(BD62:BD66)</f>
        <v>0</v>
      </c>
      <c r="BE67" s="166">
        <f>+BE73-BD73</f>
        <v>0</v>
      </c>
      <c r="BF67" s="167">
        <f>SUM(BF62:BF66)</f>
        <v>0</v>
      </c>
      <c r="BG67" s="166">
        <f>+BG73-BF73</f>
        <v>0</v>
      </c>
      <c r="BH67" s="167">
        <f>SUM(BH62:BH66)</f>
        <v>0</v>
      </c>
      <c r="BI67" s="166">
        <f>+BI73-BH73</f>
        <v>0</v>
      </c>
      <c r="BJ67" s="167">
        <f>SUM(BJ62:BJ66)</f>
        <v>0</v>
      </c>
      <c r="BK67" s="166">
        <f>+BK73-BJ73</f>
        <v>0</v>
      </c>
      <c r="BL67" s="167">
        <f>SUM(BL62:BL66)</f>
        <v>0</v>
      </c>
      <c r="BM67" s="166">
        <f>+BM73-BL73</f>
        <v>0</v>
      </c>
      <c r="BN67" s="50"/>
      <c r="BO67" s="170" t="e">
        <f t="shared" ref="BO67:BO75" si="95">IF(COUNT(E67,G67,I67,K67,M67,O67,Q67,S67,U67,W67,Y67,AA67,AC67,AE67,AG67,AI67,AK67,AM67,AO67,AQ67,AS67,AU67,AW67,AY67,BA67,BC67,BE67,BG67,BI67,BK67,BM67)=0,"",SUM(E67,G67,I67,K67,M67,O67,Q67,S67,U67,W67,Y67,AA67,AC67,AE67,AG67,AI67,AK67,AM67,AO67,AQ67,AS67,AU67,AW67,AY67,BA67,BC67,BE67,BG67,BI67,BK67,BM67))</f>
        <v>#VALUE!</v>
      </c>
      <c r="BP67" s="167" t="e">
        <f>SUM(BP62:BP66)</f>
        <v>#VALUE!</v>
      </c>
      <c r="BQ67" s="52"/>
    </row>
    <row r="68" spans="1:69" x14ac:dyDescent="0.35">
      <c r="A68" s="132" t="s">
        <v>87</v>
      </c>
      <c r="B68" s="133"/>
      <c r="C68" s="131"/>
      <c r="D68" s="189">
        <f>D91+D94</f>
        <v>0</v>
      </c>
      <c r="E68" s="166" t="e">
        <f>+E77-C77+E80-C80</f>
        <v>#VALUE!</v>
      </c>
      <c r="F68" s="167">
        <f>F91+F94</f>
        <v>0</v>
      </c>
      <c r="G68" s="166">
        <f>+G77-E77+G80-E80</f>
        <v>0</v>
      </c>
      <c r="H68" s="167">
        <f>H91+H94</f>
        <v>0</v>
      </c>
      <c r="I68" s="166">
        <f>+I77-G77+I80-G80</f>
        <v>0</v>
      </c>
      <c r="J68" s="167">
        <f>J91+J94</f>
        <v>0</v>
      </c>
      <c r="K68" s="166">
        <f>+K77-I77+K80-I80</f>
        <v>0</v>
      </c>
      <c r="L68" s="167">
        <f>L91+L94</f>
        <v>0</v>
      </c>
      <c r="M68" s="166">
        <f>+M77-K77+M80-K80</f>
        <v>0</v>
      </c>
      <c r="N68" s="167">
        <f>N91+N94</f>
        <v>0</v>
      </c>
      <c r="O68" s="166">
        <f>+O77-M77+O80-M80</f>
        <v>0</v>
      </c>
      <c r="P68" s="167">
        <f>P91+P94</f>
        <v>0</v>
      </c>
      <c r="Q68" s="166">
        <f>+Q77-O77+Q80-O80</f>
        <v>0</v>
      </c>
      <c r="R68" s="167">
        <f>R91+R94</f>
        <v>0</v>
      </c>
      <c r="S68" s="166">
        <f>+S77-Q77+S80-Q80</f>
        <v>0</v>
      </c>
      <c r="T68" s="167">
        <f>T91+T94</f>
        <v>0</v>
      </c>
      <c r="U68" s="166">
        <f>+U77-S77+U80-S80</f>
        <v>0</v>
      </c>
      <c r="V68" s="167">
        <f>V91+V94</f>
        <v>0</v>
      </c>
      <c r="W68" s="166">
        <f>+W77-U77+W80-U80</f>
        <v>0</v>
      </c>
      <c r="X68" s="167">
        <f>X91+X94</f>
        <v>0</v>
      </c>
      <c r="Y68" s="166">
        <f>+Y77-W77+Y80-W80</f>
        <v>0</v>
      </c>
      <c r="Z68" s="167">
        <f>Z91+Z94</f>
        <v>0</v>
      </c>
      <c r="AA68" s="166">
        <f>+AA77-Y77+AA80-Y80</f>
        <v>0</v>
      </c>
      <c r="AB68" s="167">
        <f>AB91+AB94</f>
        <v>0</v>
      </c>
      <c r="AC68" s="166">
        <f>+AC77-AA77+AC80-AA80</f>
        <v>0</v>
      </c>
      <c r="AD68" s="167">
        <f>AD91+AD94</f>
        <v>0</v>
      </c>
      <c r="AE68" s="166">
        <f>+AE77-AC77+AE80-AC80</f>
        <v>0</v>
      </c>
      <c r="AF68" s="167">
        <f>AF91+AF94</f>
        <v>0</v>
      </c>
      <c r="AG68" s="166">
        <f>+AG77-AE77+AG80-AE80</f>
        <v>0</v>
      </c>
      <c r="AH68" s="167">
        <f>AH91+AH94</f>
        <v>0</v>
      </c>
      <c r="AI68" s="166">
        <f>+AI77-AG77+AI80-AG80</f>
        <v>0</v>
      </c>
      <c r="AJ68" s="167">
        <f>AJ91+AJ94</f>
        <v>0</v>
      </c>
      <c r="AK68" s="166">
        <f>+AK77-AI77+AK80-AI80</f>
        <v>0</v>
      </c>
      <c r="AL68" s="167">
        <f>AL91+AL94</f>
        <v>0</v>
      </c>
      <c r="AM68" s="166">
        <f>+AM77-AK77+AM80-AK80</f>
        <v>0</v>
      </c>
      <c r="AN68" s="167">
        <f>AN91+AN94</f>
        <v>0</v>
      </c>
      <c r="AO68" s="166">
        <f>+AO77-AM77+AO80-AM80</f>
        <v>0</v>
      </c>
      <c r="AP68" s="167">
        <f>AP91+AP94</f>
        <v>0</v>
      </c>
      <c r="AQ68" s="166">
        <f>+AQ77-AO77+AQ80-AO80</f>
        <v>0</v>
      </c>
      <c r="AR68" s="167">
        <f>AR91+AR94</f>
        <v>0</v>
      </c>
      <c r="AS68" s="166">
        <f>+AS77-AQ77+AS80-AQ80</f>
        <v>0</v>
      </c>
      <c r="AT68" s="167">
        <f>AT91+AT94</f>
        <v>0</v>
      </c>
      <c r="AU68" s="166">
        <f>+AU77-AS77+AU80-AS80</f>
        <v>0</v>
      </c>
      <c r="AV68" s="167">
        <f>AV91+AV94</f>
        <v>0</v>
      </c>
      <c r="AW68" s="166">
        <f>+AW77-AU77+AW80-AU80</f>
        <v>0</v>
      </c>
      <c r="AX68" s="167">
        <f>AX91+AX94</f>
        <v>0</v>
      </c>
      <c r="AY68" s="166">
        <f>+AY77-AW77+AY80-AW80</f>
        <v>0</v>
      </c>
      <c r="AZ68" s="167">
        <f>AZ91+AZ94</f>
        <v>0</v>
      </c>
      <c r="BA68" s="166">
        <f>+BA77-AY77+BA80-AY80</f>
        <v>0</v>
      </c>
      <c r="BB68" s="167">
        <f>BB91+BB94</f>
        <v>0</v>
      </c>
      <c r="BC68" s="166">
        <f>+BC77-BA77+BC80-BA80</f>
        <v>0</v>
      </c>
      <c r="BD68" s="167">
        <f>BD91+BD94</f>
        <v>0</v>
      </c>
      <c r="BE68" s="166">
        <f>+BE77-BC77+BE80-BC80</f>
        <v>0</v>
      </c>
      <c r="BF68" s="167">
        <f>BF91+BF94</f>
        <v>0</v>
      </c>
      <c r="BG68" s="166">
        <f>+BG77-BE77+BG80-BE80</f>
        <v>0</v>
      </c>
      <c r="BH68" s="167">
        <f>BH91+BH94</f>
        <v>0</v>
      </c>
      <c r="BI68" s="166">
        <f>+BI77-BG77+BI80-BG80</f>
        <v>0</v>
      </c>
      <c r="BJ68" s="167">
        <f>BJ91+BJ94</f>
        <v>0</v>
      </c>
      <c r="BK68" s="166">
        <f>+BK77-BI77+BK80-BI80</f>
        <v>0</v>
      </c>
      <c r="BL68" s="167">
        <f>BL91+BL94</f>
        <v>0</v>
      </c>
      <c r="BM68" s="166">
        <f>+BM77-BK77+BM80-BK80</f>
        <v>0</v>
      </c>
      <c r="BN68" s="50"/>
      <c r="BO68" s="170" t="e">
        <f t="shared" si="95"/>
        <v>#VALUE!</v>
      </c>
      <c r="BP68" s="167">
        <f>BP91+BP94</f>
        <v>0</v>
      </c>
      <c r="BQ68" s="52"/>
    </row>
    <row r="69" spans="1:69" x14ac:dyDescent="0.35">
      <c r="A69" s="44" t="s">
        <v>88</v>
      </c>
      <c r="B69" s="133"/>
      <c r="C69" s="131"/>
      <c r="D69" s="189">
        <f>D99+D102</f>
        <v>0</v>
      </c>
      <c r="E69" s="166" t="e">
        <f>+E85-C85+E88-C88</f>
        <v>#VALUE!</v>
      </c>
      <c r="F69" s="167">
        <f>F99+F102</f>
        <v>0</v>
      </c>
      <c r="G69" s="166">
        <f>+G85-E85+G88-E88</f>
        <v>0</v>
      </c>
      <c r="H69" s="167">
        <f>H99+H102</f>
        <v>0</v>
      </c>
      <c r="I69" s="166">
        <f>+I85-G85+I88-G88</f>
        <v>0</v>
      </c>
      <c r="J69" s="167">
        <f>J99+J102</f>
        <v>0</v>
      </c>
      <c r="K69" s="166">
        <f>+K85-I85+K88-I88</f>
        <v>0</v>
      </c>
      <c r="L69" s="167">
        <f>L99+L102</f>
        <v>0</v>
      </c>
      <c r="M69" s="166">
        <f>+M85-K85+M88-K88</f>
        <v>0</v>
      </c>
      <c r="N69" s="167">
        <f>N99+N102</f>
        <v>0</v>
      </c>
      <c r="O69" s="166">
        <f>+O85-M85+O88-M88</f>
        <v>0</v>
      </c>
      <c r="P69" s="167">
        <f>P99+P102</f>
        <v>0</v>
      </c>
      <c r="Q69" s="166">
        <f>+Q85-O85+Q88-O88</f>
        <v>0</v>
      </c>
      <c r="R69" s="167">
        <f>R99+R102</f>
        <v>0</v>
      </c>
      <c r="S69" s="166">
        <f>+S85-Q85+S88-Q88</f>
        <v>0</v>
      </c>
      <c r="T69" s="167">
        <f>T99+T102</f>
        <v>0</v>
      </c>
      <c r="U69" s="166">
        <f>+U85-S85+U88-S88</f>
        <v>0</v>
      </c>
      <c r="V69" s="167">
        <f>V99+V102</f>
        <v>0</v>
      </c>
      <c r="W69" s="166">
        <f>+W85-U85+W88-U88</f>
        <v>0</v>
      </c>
      <c r="X69" s="167">
        <f>X99+X102</f>
        <v>0</v>
      </c>
      <c r="Y69" s="166">
        <f>+Y85-W85+Y88-W88</f>
        <v>0</v>
      </c>
      <c r="Z69" s="167">
        <f>Z99+Z102</f>
        <v>0</v>
      </c>
      <c r="AA69" s="166">
        <f>+AA85-Y85+AA88-Y88</f>
        <v>0</v>
      </c>
      <c r="AB69" s="167">
        <f>AB99+AB102</f>
        <v>0</v>
      </c>
      <c r="AC69" s="166">
        <f>+AC85-AA85+AC88-AA88</f>
        <v>0</v>
      </c>
      <c r="AD69" s="167">
        <f>AD99+AD102</f>
        <v>0</v>
      </c>
      <c r="AE69" s="166">
        <f>+AE85-AC85+AE88-AC88</f>
        <v>0</v>
      </c>
      <c r="AF69" s="167">
        <f>AF99+AF102</f>
        <v>0</v>
      </c>
      <c r="AG69" s="166">
        <f>+AG85-AE85+AG88-AE88</f>
        <v>0</v>
      </c>
      <c r="AH69" s="167">
        <f>AH99+AH102</f>
        <v>0</v>
      </c>
      <c r="AI69" s="166">
        <f>+AI85-AG85+AI88-AG88</f>
        <v>0</v>
      </c>
      <c r="AJ69" s="167">
        <f>AJ99+AJ102</f>
        <v>0</v>
      </c>
      <c r="AK69" s="166">
        <f>+AK85-AI85+AK88-AI88</f>
        <v>0</v>
      </c>
      <c r="AL69" s="167">
        <f>AL99+AL102</f>
        <v>0</v>
      </c>
      <c r="AM69" s="166">
        <f>+AM85-AK85+AM88-AK88</f>
        <v>0</v>
      </c>
      <c r="AN69" s="167">
        <f>AN99+AN102</f>
        <v>0</v>
      </c>
      <c r="AO69" s="166">
        <f>+AO85-AM85+AO88-AM88</f>
        <v>0</v>
      </c>
      <c r="AP69" s="167">
        <f>AP99+AP102</f>
        <v>0</v>
      </c>
      <c r="AQ69" s="166">
        <f>+AQ85-AO85+AQ88-AO88</f>
        <v>0</v>
      </c>
      <c r="AR69" s="167">
        <f>AR99+AR102</f>
        <v>0</v>
      </c>
      <c r="AS69" s="166">
        <f>+AS85-AQ85+AS88-AQ88</f>
        <v>0</v>
      </c>
      <c r="AT69" s="167">
        <f>AT99+AT102</f>
        <v>0</v>
      </c>
      <c r="AU69" s="166">
        <f>+AU85-AS85+AU88-AS88</f>
        <v>0</v>
      </c>
      <c r="AV69" s="167">
        <f>AV99+AV102</f>
        <v>0</v>
      </c>
      <c r="AW69" s="166">
        <f>+AW85-AU85+AW88-AU88</f>
        <v>0</v>
      </c>
      <c r="AX69" s="167">
        <f>AX99+AX102</f>
        <v>0</v>
      </c>
      <c r="AY69" s="166">
        <f>+AY85-AW85+AY88-AW88</f>
        <v>0</v>
      </c>
      <c r="AZ69" s="167">
        <f>AZ99+AZ102</f>
        <v>0</v>
      </c>
      <c r="BA69" s="166">
        <f>+BA85-AY85+BA88-AY88</f>
        <v>0</v>
      </c>
      <c r="BB69" s="167">
        <f>BB99+BB102</f>
        <v>0</v>
      </c>
      <c r="BC69" s="166">
        <f>+BC85-BA85+BC88-BA88</f>
        <v>0</v>
      </c>
      <c r="BD69" s="167">
        <f>BD99+BD102</f>
        <v>0</v>
      </c>
      <c r="BE69" s="166">
        <f>+BE85-BC85+BE88-BC88</f>
        <v>0</v>
      </c>
      <c r="BF69" s="167">
        <f>BF99+BF102</f>
        <v>0</v>
      </c>
      <c r="BG69" s="166">
        <f>+BG85-BE85+BG88-BE88</f>
        <v>0</v>
      </c>
      <c r="BH69" s="167">
        <f>BH99+BH102</f>
        <v>0</v>
      </c>
      <c r="BI69" s="166">
        <f>+BI85-BG85+BI88-BG88</f>
        <v>0</v>
      </c>
      <c r="BJ69" s="167">
        <f>BJ99+BJ102</f>
        <v>0</v>
      </c>
      <c r="BK69" s="166">
        <f>+BK85-BI85+BK88-BI88</f>
        <v>0</v>
      </c>
      <c r="BL69" s="167">
        <f>BL99+BL102</f>
        <v>0</v>
      </c>
      <c r="BM69" s="166">
        <f>+BM85-BK85+BM88-BK88</f>
        <v>0</v>
      </c>
      <c r="BN69" s="50"/>
      <c r="BO69" s="170" t="e">
        <f t="shared" si="95"/>
        <v>#VALUE!</v>
      </c>
      <c r="BP69" s="167">
        <f>BP99+BP102</f>
        <v>0</v>
      </c>
      <c r="BQ69" s="52"/>
    </row>
    <row r="70" spans="1:69" x14ac:dyDescent="0.35">
      <c r="A70" s="134" t="s">
        <v>89</v>
      </c>
      <c r="B70" s="133"/>
      <c r="C70" s="131"/>
      <c r="D70" s="189">
        <f>D93+D96</f>
        <v>0</v>
      </c>
      <c r="E70" s="166" t="e">
        <f>+E79-C79+E82-C82</f>
        <v>#VALUE!</v>
      </c>
      <c r="F70" s="167">
        <f>F93+F96</f>
        <v>0</v>
      </c>
      <c r="G70" s="166">
        <f>+G79-E79+G82-E82</f>
        <v>0</v>
      </c>
      <c r="H70" s="167">
        <f>H93+H96</f>
        <v>0</v>
      </c>
      <c r="I70" s="166">
        <f>+I79-G79+I82-G82</f>
        <v>0</v>
      </c>
      <c r="J70" s="167">
        <f>J93+J96</f>
        <v>0</v>
      </c>
      <c r="K70" s="166">
        <f>+K79-I79+K82-I82</f>
        <v>0</v>
      </c>
      <c r="L70" s="167">
        <f>L93+L96</f>
        <v>0</v>
      </c>
      <c r="M70" s="166">
        <f>+M79-K79+M82-K82</f>
        <v>0</v>
      </c>
      <c r="N70" s="167">
        <f>N93+N96</f>
        <v>0</v>
      </c>
      <c r="O70" s="166">
        <f>+O79-M79+O82-M82</f>
        <v>0</v>
      </c>
      <c r="P70" s="167">
        <f>P93+P96</f>
        <v>0</v>
      </c>
      <c r="Q70" s="166">
        <f>+Q79-O79+Q82-O82</f>
        <v>0</v>
      </c>
      <c r="R70" s="167">
        <f>R93+R96</f>
        <v>0</v>
      </c>
      <c r="S70" s="166">
        <f>+S79-Q79+S82-Q82</f>
        <v>0</v>
      </c>
      <c r="T70" s="167">
        <f>T93+T96</f>
        <v>0</v>
      </c>
      <c r="U70" s="166">
        <f>+U79-S79+U82-S82</f>
        <v>0</v>
      </c>
      <c r="V70" s="167">
        <f>V93+V96</f>
        <v>0</v>
      </c>
      <c r="W70" s="166">
        <f>+W79-U79+W82-U82</f>
        <v>0</v>
      </c>
      <c r="X70" s="167">
        <f>X93+X96</f>
        <v>0</v>
      </c>
      <c r="Y70" s="166">
        <f>+Y79-W79+Y82-W82</f>
        <v>0</v>
      </c>
      <c r="Z70" s="167">
        <f>Z93+Z96</f>
        <v>0</v>
      </c>
      <c r="AA70" s="166">
        <f>+AA79-Y79+AA82-Y82</f>
        <v>0</v>
      </c>
      <c r="AB70" s="167">
        <f>AB93+AB96</f>
        <v>0</v>
      </c>
      <c r="AC70" s="166">
        <f>+AC79-AA79+AC82-AA82</f>
        <v>0</v>
      </c>
      <c r="AD70" s="167">
        <f>AD93+AD96</f>
        <v>0</v>
      </c>
      <c r="AE70" s="166">
        <f>+AE79-AC79+AE82-AC82</f>
        <v>0</v>
      </c>
      <c r="AF70" s="167">
        <f>AF93+AF96</f>
        <v>0</v>
      </c>
      <c r="AG70" s="166">
        <f>+AG79-AE79+AG82-AE82</f>
        <v>0</v>
      </c>
      <c r="AH70" s="167">
        <f>AH93+AH96</f>
        <v>0</v>
      </c>
      <c r="AI70" s="166">
        <f>+AI79-AG79+AI82-AG82</f>
        <v>0</v>
      </c>
      <c r="AJ70" s="167">
        <f>AJ93+AJ96</f>
        <v>0</v>
      </c>
      <c r="AK70" s="166">
        <f>+AK79-AI79+AK82-AI82</f>
        <v>0</v>
      </c>
      <c r="AL70" s="167">
        <f>AL93+AL96</f>
        <v>0</v>
      </c>
      <c r="AM70" s="166">
        <f>+AM79-AK79+AM82-AK82</f>
        <v>0</v>
      </c>
      <c r="AN70" s="167">
        <f>AN93+AN96</f>
        <v>0</v>
      </c>
      <c r="AO70" s="166">
        <f>+AO79-AM79+AO82-AM82</f>
        <v>0</v>
      </c>
      <c r="AP70" s="167">
        <f>AP93+AP96</f>
        <v>0</v>
      </c>
      <c r="AQ70" s="166">
        <f>+AQ79-AO79+AQ82-AO82</f>
        <v>0</v>
      </c>
      <c r="AR70" s="167">
        <f>AR93+AR96</f>
        <v>0</v>
      </c>
      <c r="AS70" s="166">
        <f>+AS79-AQ79+AS82-AQ82</f>
        <v>0</v>
      </c>
      <c r="AT70" s="167">
        <f>AT93+AT96</f>
        <v>0</v>
      </c>
      <c r="AU70" s="166">
        <f>+AU79-AS79+AU82-AS82</f>
        <v>0</v>
      </c>
      <c r="AV70" s="167">
        <f>AV93+AV96</f>
        <v>0</v>
      </c>
      <c r="AW70" s="166">
        <f>+AW79-AU79+AW82-AU82</f>
        <v>0</v>
      </c>
      <c r="AX70" s="167">
        <f>AX93+AX96</f>
        <v>0</v>
      </c>
      <c r="AY70" s="166">
        <f>+AY79-AW79+AY82-AW82</f>
        <v>0</v>
      </c>
      <c r="AZ70" s="167">
        <f>AZ93+AZ96</f>
        <v>0</v>
      </c>
      <c r="BA70" s="166">
        <f>+BA79-AY79+BA82-AY82</f>
        <v>0</v>
      </c>
      <c r="BB70" s="167">
        <f>BB93+BB96</f>
        <v>0</v>
      </c>
      <c r="BC70" s="166">
        <f>+BC79-BA79+BC82-BA82</f>
        <v>0</v>
      </c>
      <c r="BD70" s="167">
        <f>BD93+BD96</f>
        <v>0</v>
      </c>
      <c r="BE70" s="166">
        <f>+BE79-BC79+BE82-BC82</f>
        <v>0</v>
      </c>
      <c r="BF70" s="167">
        <f>BF93+BF96</f>
        <v>0</v>
      </c>
      <c r="BG70" s="166">
        <f>+BG79-BE79+BG82-BE82</f>
        <v>0</v>
      </c>
      <c r="BH70" s="167">
        <f>BH93+BH96</f>
        <v>0</v>
      </c>
      <c r="BI70" s="166">
        <f>+BI79-BG79+BI82-BG82</f>
        <v>0</v>
      </c>
      <c r="BJ70" s="167">
        <f>BJ93+BJ96</f>
        <v>0</v>
      </c>
      <c r="BK70" s="166">
        <f>+BK79-BI79+BK82-BI82</f>
        <v>0</v>
      </c>
      <c r="BL70" s="167">
        <f>BL93+BL96</f>
        <v>0</v>
      </c>
      <c r="BM70" s="166">
        <f>+BM79-BK79+BM82-BK82</f>
        <v>0</v>
      </c>
      <c r="BN70" s="50"/>
      <c r="BO70" s="170" t="e">
        <f t="shared" si="95"/>
        <v>#VALUE!</v>
      </c>
      <c r="BP70" s="167">
        <f>BP93+BP96</f>
        <v>0</v>
      </c>
      <c r="BQ70" s="52"/>
    </row>
    <row r="71" spans="1:69" x14ac:dyDescent="0.35">
      <c r="A71" s="135" t="s">
        <v>90</v>
      </c>
      <c r="B71" s="133"/>
      <c r="C71" s="131"/>
      <c r="D71" s="189">
        <f>+D97+D100</f>
        <v>0</v>
      </c>
      <c r="E71" s="166" t="e">
        <f>+E83-C83+E86-C86</f>
        <v>#VALUE!</v>
      </c>
      <c r="F71" s="167">
        <f>+F97+F100</f>
        <v>0</v>
      </c>
      <c r="G71" s="166">
        <f>+G83-E83+G86-E86</f>
        <v>0</v>
      </c>
      <c r="H71" s="167">
        <f>+H97+H100</f>
        <v>0</v>
      </c>
      <c r="I71" s="166">
        <f>+I83-G83+I86-G86</f>
        <v>0</v>
      </c>
      <c r="J71" s="167">
        <f>+J97+J100</f>
        <v>0</v>
      </c>
      <c r="K71" s="166">
        <f>+K83-I83+K86-I86</f>
        <v>0</v>
      </c>
      <c r="L71" s="167">
        <f>+L97+L100</f>
        <v>0</v>
      </c>
      <c r="M71" s="166">
        <f>+M83-K83+M86-K86</f>
        <v>0</v>
      </c>
      <c r="N71" s="167">
        <f>+N97+N100</f>
        <v>0</v>
      </c>
      <c r="O71" s="166">
        <f>+O83-M83+O86-M86</f>
        <v>0</v>
      </c>
      <c r="P71" s="167">
        <f>+P97+P100</f>
        <v>0</v>
      </c>
      <c r="Q71" s="166">
        <f>+Q83-O83+Q86-O86</f>
        <v>0</v>
      </c>
      <c r="R71" s="167">
        <f>+R97+R100</f>
        <v>0</v>
      </c>
      <c r="S71" s="166">
        <f>+S83-Q83+S86-Q86</f>
        <v>0</v>
      </c>
      <c r="T71" s="167">
        <f>+T97+T100</f>
        <v>0</v>
      </c>
      <c r="U71" s="166">
        <f>+U83-S83+U86-S86</f>
        <v>0</v>
      </c>
      <c r="V71" s="167">
        <f>+V97+V100</f>
        <v>0</v>
      </c>
      <c r="W71" s="166">
        <f>+W83-U83+W86-U86</f>
        <v>0</v>
      </c>
      <c r="X71" s="167">
        <f>+X97+X100</f>
        <v>0</v>
      </c>
      <c r="Y71" s="166">
        <f>+Y83-W83+Y86-W86</f>
        <v>0</v>
      </c>
      <c r="Z71" s="167">
        <f>+Z97+Z100</f>
        <v>0</v>
      </c>
      <c r="AA71" s="166">
        <f>+AA83-Y83+AA86-Y86</f>
        <v>0</v>
      </c>
      <c r="AB71" s="167">
        <f>+AB97+AB100</f>
        <v>0</v>
      </c>
      <c r="AC71" s="166">
        <f>+AC83-AA83+AC86-AA86</f>
        <v>0</v>
      </c>
      <c r="AD71" s="167">
        <f>+AD97+AD100</f>
        <v>0</v>
      </c>
      <c r="AE71" s="166">
        <f>+AE83-AC83+AE86-AC86</f>
        <v>0</v>
      </c>
      <c r="AF71" s="167">
        <f>+AF97+AF100</f>
        <v>0</v>
      </c>
      <c r="AG71" s="166">
        <f>+AG83-AE83+AG86-AE86</f>
        <v>0</v>
      </c>
      <c r="AH71" s="167">
        <f>+AH97+AH100</f>
        <v>0</v>
      </c>
      <c r="AI71" s="166">
        <f>+AI83-AG83+AI86-AG86</f>
        <v>0</v>
      </c>
      <c r="AJ71" s="167">
        <f>+AJ97+AJ100</f>
        <v>0</v>
      </c>
      <c r="AK71" s="166">
        <f>+AK83-AI83+AK86-AI86</f>
        <v>0</v>
      </c>
      <c r="AL71" s="167">
        <f>+AL97+AL100</f>
        <v>0</v>
      </c>
      <c r="AM71" s="166">
        <f>+AM83-AK83+AM86-AK86</f>
        <v>0</v>
      </c>
      <c r="AN71" s="167">
        <f>+AN97+AN100</f>
        <v>0</v>
      </c>
      <c r="AO71" s="166">
        <f>+AO83-AM83+AO86-AM86</f>
        <v>0</v>
      </c>
      <c r="AP71" s="167">
        <f>+AP97+AP100</f>
        <v>0</v>
      </c>
      <c r="AQ71" s="166">
        <f>+AQ83-AO83+AQ86-AO86</f>
        <v>0</v>
      </c>
      <c r="AR71" s="167">
        <f>+AR97+AR100</f>
        <v>0</v>
      </c>
      <c r="AS71" s="166">
        <f>+AS83-AQ83+AS86-AQ86</f>
        <v>0</v>
      </c>
      <c r="AT71" s="167">
        <f>+AT97+AT100</f>
        <v>0</v>
      </c>
      <c r="AU71" s="166">
        <f>+AU83-AS83+AU86-AS86</f>
        <v>0</v>
      </c>
      <c r="AV71" s="167">
        <f>+AV97+AV100</f>
        <v>0</v>
      </c>
      <c r="AW71" s="166">
        <f>+AW83-AU83+AW86-AU86</f>
        <v>0</v>
      </c>
      <c r="AX71" s="167">
        <f>+AX97+AX100</f>
        <v>0</v>
      </c>
      <c r="AY71" s="166">
        <f>+AY83-AW83+AY86-AW86</f>
        <v>0</v>
      </c>
      <c r="AZ71" s="167">
        <f>+AZ97+AZ100</f>
        <v>0</v>
      </c>
      <c r="BA71" s="166">
        <f>+BA83-AY83+BA86-AY86</f>
        <v>0</v>
      </c>
      <c r="BB71" s="167">
        <f>+BB97+BB100</f>
        <v>0</v>
      </c>
      <c r="BC71" s="166">
        <f>+BC83-BA83+BC86-BA86</f>
        <v>0</v>
      </c>
      <c r="BD71" s="167">
        <f>+BD97+BD100</f>
        <v>0</v>
      </c>
      <c r="BE71" s="166">
        <f>+BE83-BC83+BE86-BC86</f>
        <v>0</v>
      </c>
      <c r="BF71" s="167">
        <f>+BF97+BF100</f>
        <v>0</v>
      </c>
      <c r="BG71" s="166">
        <f>+BG83-BE83+BG86-BE86</f>
        <v>0</v>
      </c>
      <c r="BH71" s="167">
        <f>+BH97+BH100</f>
        <v>0</v>
      </c>
      <c r="BI71" s="166">
        <f>+BI83-BG83+BI86-BG86</f>
        <v>0</v>
      </c>
      <c r="BJ71" s="167">
        <f>+BJ97+BJ100</f>
        <v>0</v>
      </c>
      <c r="BK71" s="166">
        <f>+BK83-BI83+BK86-BI86</f>
        <v>0</v>
      </c>
      <c r="BL71" s="167">
        <f>+BL97+BL100</f>
        <v>0</v>
      </c>
      <c r="BM71" s="166">
        <f>+BM83-BK83+BM86-BK86</f>
        <v>0</v>
      </c>
      <c r="BN71" s="50"/>
      <c r="BO71" s="170" t="e">
        <f t="shared" si="95"/>
        <v>#VALUE!</v>
      </c>
      <c r="BP71" s="167">
        <f>+BP97+BP100</f>
        <v>0</v>
      </c>
      <c r="BQ71" s="52"/>
    </row>
    <row r="72" spans="1:69" x14ac:dyDescent="0.35">
      <c r="A72" s="136" t="s">
        <v>91</v>
      </c>
      <c r="B72" s="133"/>
      <c r="C72" s="131"/>
      <c r="D72" s="189">
        <f>+D92+D95+D98+D101</f>
        <v>0</v>
      </c>
      <c r="E72" s="166" t="e">
        <f>+E78-C78+E81-C81+E84-C84+E87-C87</f>
        <v>#VALUE!</v>
      </c>
      <c r="F72" s="167">
        <f>+F92+F95+F98+F101</f>
        <v>0</v>
      </c>
      <c r="G72" s="166">
        <f>+G78-E78+G81-E81+G84-E84+G87-E87</f>
        <v>0</v>
      </c>
      <c r="H72" s="167">
        <f>+H92+H95+H98+H101</f>
        <v>0</v>
      </c>
      <c r="I72" s="166">
        <f>+I78-G78+I81-G81+I84-G84+I87-G87</f>
        <v>0</v>
      </c>
      <c r="J72" s="167">
        <f>+J92+J95+J98+J101</f>
        <v>0</v>
      </c>
      <c r="K72" s="166">
        <f>+K78-I78+K81-I81+K84-I84+K87-I87</f>
        <v>0</v>
      </c>
      <c r="L72" s="167">
        <f>+L92+L95+L98+L101</f>
        <v>0</v>
      </c>
      <c r="M72" s="166">
        <f>+M78-K78+M81-K81+M84-K84+M87-K87</f>
        <v>0</v>
      </c>
      <c r="N72" s="167">
        <f>+N92+N95+N98+N101</f>
        <v>0</v>
      </c>
      <c r="O72" s="166">
        <f>+O78-M78+O81-M81+O84-M84+O87-M87</f>
        <v>0</v>
      </c>
      <c r="P72" s="167">
        <f>+P92+P95+P98+P101</f>
        <v>0</v>
      </c>
      <c r="Q72" s="166">
        <f>+Q78-O78+Q81-O81+Q84-O84+Q87-O87</f>
        <v>0</v>
      </c>
      <c r="R72" s="167">
        <f>+R92+R95+R98+R101</f>
        <v>0</v>
      </c>
      <c r="S72" s="166">
        <f>+S78-Q78+S81-Q81+S84-Q84+S87-Q87</f>
        <v>0</v>
      </c>
      <c r="T72" s="167">
        <f>+T92+T95+T98+T101</f>
        <v>0</v>
      </c>
      <c r="U72" s="166">
        <f>+U78-S78+U81-S81+U84-S84+U87-S87</f>
        <v>0</v>
      </c>
      <c r="V72" s="167">
        <f>+V92+V95+V98+V101</f>
        <v>0</v>
      </c>
      <c r="W72" s="166">
        <f>+W78-U78+W81-U81+W84-U84+W87-U87</f>
        <v>0</v>
      </c>
      <c r="X72" s="167">
        <f>+X92+X95+X98+X101</f>
        <v>0</v>
      </c>
      <c r="Y72" s="166">
        <f>+Y78-W78+Y81-W81+Y84-W84+Y87-W87</f>
        <v>0</v>
      </c>
      <c r="Z72" s="167">
        <f>+Z92+Z95+Z98+Z101</f>
        <v>0</v>
      </c>
      <c r="AA72" s="166">
        <f>+AA78-Y78+AA81-Y81+AA84-Y84+AA87-Y87</f>
        <v>0</v>
      </c>
      <c r="AB72" s="167">
        <f>+AB92+AB95+AB98+AB101</f>
        <v>0</v>
      </c>
      <c r="AC72" s="166">
        <f>+AC78-AA78+AC81-AA81+AC84-AA84+AC87-AA87</f>
        <v>0</v>
      </c>
      <c r="AD72" s="167">
        <f>+AD92+AD95+AD98+AD101</f>
        <v>0</v>
      </c>
      <c r="AE72" s="166">
        <f>+AE78-AC78+AE81-AC81+AE84-AC84+AE87-AC87</f>
        <v>0</v>
      </c>
      <c r="AF72" s="167">
        <f>+AF92+AF95+AF98+AF101</f>
        <v>0</v>
      </c>
      <c r="AG72" s="166">
        <f>+AG78-AE78+AG81-AE81+AG84-AE84+AG87-AE87</f>
        <v>0</v>
      </c>
      <c r="AH72" s="167">
        <f>+AH92+AH95+AH98+AH101</f>
        <v>0</v>
      </c>
      <c r="AI72" s="166">
        <f>+AI78-AG78+AI81-AG81+AI84-AG84+AI87-AG87</f>
        <v>0</v>
      </c>
      <c r="AJ72" s="167">
        <f>+AJ92+AJ95+AJ98+AJ101</f>
        <v>0</v>
      </c>
      <c r="AK72" s="166">
        <f>+AK78-AI78+AK81-AI81+AK84-AI84+AK87-AI87</f>
        <v>0</v>
      </c>
      <c r="AL72" s="167">
        <f>+AL92+AL95+AL98+AL101</f>
        <v>0</v>
      </c>
      <c r="AM72" s="166">
        <f>+AM78-AK78+AM81-AK81+AM84-AK84+AM87-AK87</f>
        <v>0</v>
      </c>
      <c r="AN72" s="167">
        <f>+AN92+AN95+AN98+AN101</f>
        <v>0</v>
      </c>
      <c r="AO72" s="166">
        <f>+AO78-AM78+AO81-AM81+AO84-AM84+AO87-AM87</f>
        <v>0</v>
      </c>
      <c r="AP72" s="167">
        <f>+AP92+AP95+AP98+AP101</f>
        <v>0</v>
      </c>
      <c r="AQ72" s="166">
        <f>+AQ78-AO78+AQ81-AO81+AQ84-AO84+AQ87-AO87</f>
        <v>0</v>
      </c>
      <c r="AR72" s="167">
        <f>+AR92+AR95+AR98+AR101</f>
        <v>0</v>
      </c>
      <c r="AS72" s="166">
        <f>+AS78-AQ78+AS81-AQ81+AS84-AQ84+AS87-AQ87</f>
        <v>0</v>
      </c>
      <c r="AT72" s="167">
        <f>+AT92+AT95+AT98+AT101</f>
        <v>0</v>
      </c>
      <c r="AU72" s="166">
        <f>+AU78-AS78+AU81-AS81+AU84-AS84+AU87-AS87</f>
        <v>0</v>
      </c>
      <c r="AV72" s="167">
        <f>+AV92+AV95+AV98+AV101</f>
        <v>0</v>
      </c>
      <c r="AW72" s="166">
        <f>+AW78-AU78+AW81-AU81+AW84-AU84+AW87-AU87</f>
        <v>0</v>
      </c>
      <c r="AX72" s="167">
        <f>+AX92+AX95+AX98+AX101</f>
        <v>0</v>
      </c>
      <c r="AY72" s="166">
        <f>+AY78-AW78+AY81-AW81+AY84-AW84+AY87-AW87</f>
        <v>0</v>
      </c>
      <c r="AZ72" s="167">
        <f>+AZ92+AZ95+AZ98+AZ101</f>
        <v>0</v>
      </c>
      <c r="BA72" s="166">
        <f>+BA78-AY78+BA81-AY81+BA84-AY84+BA87-AY87</f>
        <v>0</v>
      </c>
      <c r="BB72" s="167">
        <f>+BB92+BB95+BB98+BB101</f>
        <v>0</v>
      </c>
      <c r="BC72" s="166">
        <f>+BC78-BA78+BC81-BA81+BC84-BA84+BC87-BA87</f>
        <v>0</v>
      </c>
      <c r="BD72" s="167">
        <f>+BD92+BD95+BD98+BD101</f>
        <v>0</v>
      </c>
      <c r="BE72" s="166">
        <f>+BE78-BC78+BE81-BC81+BE84-BC84+BE87-BC87</f>
        <v>0</v>
      </c>
      <c r="BF72" s="167">
        <f>+BF92+BF95+BF98+BF101</f>
        <v>0</v>
      </c>
      <c r="BG72" s="166">
        <f>+BG78-BE78+BG81-BE81+BG84-BE84+BG87-BE87</f>
        <v>0</v>
      </c>
      <c r="BH72" s="167">
        <f>+BH92+BH95+BH98+BH101</f>
        <v>0</v>
      </c>
      <c r="BI72" s="166">
        <f>+BI78-BG78+BI81-BG81+BI84-BG84+BI87-BG87</f>
        <v>0</v>
      </c>
      <c r="BJ72" s="167">
        <f>+BJ92+BJ95+BJ98+BJ101</f>
        <v>0</v>
      </c>
      <c r="BK72" s="166">
        <f>+BK78-BI78+BK81-BI81+BK84-BI84+BK87-BI87</f>
        <v>0</v>
      </c>
      <c r="BL72" s="167">
        <f>+BL92+BL95+BL98+BL101</f>
        <v>0</v>
      </c>
      <c r="BM72" s="166">
        <f>+BM78-BK78+BM81-BK81+BM84-BK84+BM87-BK87</f>
        <v>0</v>
      </c>
      <c r="BN72" s="50"/>
      <c r="BO72" s="170" t="e">
        <f t="shared" si="95"/>
        <v>#VALUE!</v>
      </c>
      <c r="BP72" s="167">
        <f>+BP92+BP95+BP98+BP101</f>
        <v>0</v>
      </c>
      <c r="BQ72" s="52"/>
    </row>
    <row r="73" spans="1:69" x14ac:dyDescent="0.35">
      <c r="A73" s="137"/>
      <c r="B73" s="138"/>
      <c r="C73" s="139"/>
      <c r="D73" s="189">
        <f t="shared" ref="D73:BM73" si="96">SUM(D68:D72)</f>
        <v>0</v>
      </c>
      <c r="E73" s="177" t="e">
        <f t="shared" si="96"/>
        <v>#VALUE!</v>
      </c>
      <c r="F73" s="167">
        <f t="shared" si="96"/>
        <v>0</v>
      </c>
      <c r="G73" s="177">
        <f t="shared" si="96"/>
        <v>0</v>
      </c>
      <c r="H73" s="167">
        <f t="shared" si="96"/>
        <v>0</v>
      </c>
      <c r="I73" s="177">
        <f t="shared" si="96"/>
        <v>0</v>
      </c>
      <c r="J73" s="167">
        <f t="shared" si="96"/>
        <v>0</v>
      </c>
      <c r="K73" s="177">
        <f t="shared" si="96"/>
        <v>0</v>
      </c>
      <c r="L73" s="167">
        <f t="shared" si="96"/>
        <v>0</v>
      </c>
      <c r="M73" s="177">
        <f t="shared" si="96"/>
        <v>0</v>
      </c>
      <c r="N73" s="167">
        <f t="shared" si="96"/>
        <v>0</v>
      </c>
      <c r="O73" s="177">
        <f t="shared" si="96"/>
        <v>0</v>
      </c>
      <c r="P73" s="167">
        <f t="shared" si="96"/>
        <v>0</v>
      </c>
      <c r="Q73" s="177">
        <f t="shared" si="96"/>
        <v>0</v>
      </c>
      <c r="R73" s="167">
        <f t="shared" si="96"/>
        <v>0</v>
      </c>
      <c r="S73" s="177">
        <f t="shared" si="96"/>
        <v>0</v>
      </c>
      <c r="T73" s="167">
        <f t="shared" si="96"/>
        <v>0</v>
      </c>
      <c r="U73" s="177">
        <f t="shared" si="96"/>
        <v>0</v>
      </c>
      <c r="V73" s="167">
        <f t="shared" si="96"/>
        <v>0</v>
      </c>
      <c r="W73" s="177">
        <f t="shared" si="96"/>
        <v>0</v>
      </c>
      <c r="X73" s="167">
        <f t="shared" si="96"/>
        <v>0</v>
      </c>
      <c r="Y73" s="177">
        <f t="shared" si="96"/>
        <v>0</v>
      </c>
      <c r="Z73" s="167">
        <f t="shared" si="96"/>
        <v>0</v>
      </c>
      <c r="AA73" s="177">
        <f t="shared" si="96"/>
        <v>0</v>
      </c>
      <c r="AB73" s="167">
        <f t="shared" si="96"/>
        <v>0</v>
      </c>
      <c r="AC73" s="177">
        <f t="shared" si="96"/>
        <v>0</v>
      </c>
      <c r="AD73" s="167">
        <f t="shared" si="96"/>
        <v>0</v>
      </c>
      <c r="AE73" s="177">
        <f t="shared" si="96"/>
        <v>0</v>
      </c>
      <c r="AF73" s="167">
        <f t="shared" si="96"/>
        <v>0</v>
      </c>
      <c r="AG73" s="177">
        <f t="shared" si="96"/>
        <v>0</v>
      </c>
      <c r="AH73" s="167">
        <f t="shared" si="96"/>
        <v>0</v>
      </c>
      <c r="AI73" s="177">
        <f t="shared" si="96"/>
        <v>0</v>
      </c>
      <c r="AJ73" s="167">
        <f t="shared" si="96"/>
        <v>0</v>
      </c>
      <c r="AK73" s="177">
        <f t="shared" si="96"/>
        <v>0</v>
      </c>
      <c r="AL73" s="167">
        <f t="shared" si="96"/>
        <v>0</v>
      </c>
      <c r="AM73" s="177">
        <f t="shared" si="96"/>
        <v>0</v>
      </c>
      <c r="AN73" s="167">
        <f t="shared" si="96"/>
        <v>0</v>
      </c>
      <c r="AO73" s="177">
        <f t="shared" si="96"/>
        <v>0</v>
      </c>
      <c r="AP73" s="167">
        <f t="shared" si="96"/>
        <v>0</v>
      </c>
      <c r="AQ73" s="177">
        <f t="shared" si="96"/>
        <v>0</v>
      </c>
      <c r="AR73" s="167">
        <f t="shared" si="96"/>
        <v>0</v>
      </c>
      <c r="AS73" s="177">
        <f t="shared" si="96"/>
        <v>0</v>
      </c>
      <c r="AT73" s="167">
        <f t="shared" si="96"/>
        <v>0</v>
      </c>
      <c r="AU73" s="177">
        <f t="shared" si="96"/>
        <v>0</v>
      </c>
      <c r="AV73" s="167">
        <f t="shared" si="96"/>
        <v>0</v>
      </c>
      <c r="AW73" s="177">
        <f t="shared" si="96"/>
        <v>0</v>
      </c>
      <c r="AX73" s="167">
        <f t="shared" si="96"/>
        <v>0</v>
      </c>
      <c r="AY73" s="177">
        <f t="shared" si="96"/>
        <v>0</v>
      </c>
      <c r="AZ73" s="167">
        <f t="shared" si="96"/>
        <v>0</v>
      </c>
      <c r="BA73" s="177">
        <f t="shared" si="96"/>
        <v>0</v>
      </c>
      <c r="BB73" s="167">
        <f t="shared" si="96"/>
        <v>0</v>
      </c>
      <c r="BC73" s="177">
        <f t="shared" si="96"/>
        <v>0</v>
      </c>
      <c r="BD73" s="167">
        <f t="shared" si="96"/>
        <v>0</v>
      </c>
      <c r="BE73" s="177">
        <f t="shared" si="96"/>
        <v>0</v>
      </c>
      <c r="BF73" s="167">
        <f t="shared" si="96"/>
        <v>0</v>
      </c>
      <c r="BG73" s="177">
        <f t="shared" si="96"/>
        <v>0</v>
      </c>
      <c r="BH73" s="167">
        <f t="shared" si="96"/>
        <v>0</v>
      </c>
      <c r="BI73" s="177">
        <f>SUM(BI68:BI72)</f>
        <v>0</v>
      </c>
      <c r="BJ73" s="167">
        <f t="shared" si="96"/>
        <v>0</v>
      </c>
      <c r="BK73" s="177">
        <f t="shared" si="96"/>
        <v>0</v>
      </c>
      <c r="BL73" s="167">
        <f t="shared" si="96"/>
        <v>0</v>
      </c>
      <c r="BM73" s="177">
        <f t="shared" si="96"/>
        <v>0</v>
      </c>
      <c r="BN73" s="92"/>
      <c r="BO73" s="170" t="e">
        <f t="shared" si="95"/>
        <v>#VALUE!</v>
      </c>
      <c r="BP73" s="167">
        <f t="shared" ref="BP73" si="97">SUM(BP68:BP72)</f>
        <v>0</v>
      </c>
      <c r="BQ73" s="93"/>
    </row>
    <row r="74" spans="1:69" x14ac:dyDescent="0.35">
      <c r="A74" s="53" t="s">
        <v>30</v>
      </c>
      <c r="B74" s="138"/>
      <c r="C74" s="210" t="str">
        <f>IF('July 2027 Log'!BM74="","",'July 2027 Log'!BM74)</f>
        <v/>
      </c>
      <c r="D74" s="47"/>
      <c r="E74" s="48"/>
      <c r="F74" s="49"/>
      <c r="G74" s="48"/>
      <c r="H74" s="49"/>
      <c r="I74" s="48"/>
      <c r="J74" s="49"/>
      <c r="K74" s="48"/>
      <c r="L74" s="49"/>
      <c r="M74" s="48"/>
      <c r="N74" s="49"/>
      <c r="O74" s="48"/>
      <c r="P74" s="49"/>
      <c r="Q74" s="48"/>
      <c r="R74" s="49"/>
      <c r="S74" s="48"/>
      <c r="T74" s="49"/>
      <c r="U74" s="48"/>
      <c r="V74" s="49"/>
      <c r="W74" s="48"/>
      <c r="X74" s="49"/>
      <c r="Y74" s="48"/>
      <c r="Z74" s="49"/>
      <c r="AA74" s="48"/>
      <c r="AB74" s="49"/>
      <c r="AC74" s="48"/>
      <c r="AD74" s="49"/>
      <c r="AE74" s="48"/>
      <c r="AF74" s="49"/>
      <c r="AG74" s="48"/>
      <c r="AH74" s="49"/>
      <c r="AI74" s="48"/>
      <c r="AJ74" s="49"/>
      <c r="AK74" s="48"/>
      <c r="AL74" s="49"/>
      <c r="AM74" s="48"/>
      <c r="AN74" s="49"/>
      <c r="AO74" s="48"/>
      <c r="AP74" s="49"/>
      <c r="AQ74" s="48"/>
      <c r="AR74" s="49"/>
      <c r="AS74" s="48"/>
      <c r="AT74" s="49"/>
      <c r="AU74" s="48"/>
      <c r="AV74" s="49"/>
      <c r="AW74" s="48"/>
      <c r="AX74" s="49"/>
      <c r="AY74" s="48"/>
      <c r="AZ74" s="49"/>
      <c r="BA74" s="48"/>
      <c r="BB74" s="49"/>
      <c r="BC74" s="48"/>
      <c r="BD74" s="49"/>
      <c r="BE74" s="48"/>
      <c r="BF74" s="49"/>
      <c r="BG74" s="48"/>
      <c r="BH74" s="49"/>
      <c r="BI74" s="48"/>
      <c r="BJ74" s="49"/>
      <c r="BK74" s="48"/>
      <c r="BL74" s="49"/>
      <c r="BM74" s="48"/>
      <c r="BN74" s="50"/>
      <c r="BO74" s="170" t="str">
        <f t="shared" si="95"/>
        <v/>
      </c>
      <c r="BP74" s="49"/>
      <c r="BQ74" s="178" t="str">
        <f>IF(BM74="","",BM74)</f>
        <v/>
      </c>
    </row>
    <row r="75" spans="1:69" x14ac:dyDescent="0.35">
      <c r="A75" s="98" t="s">
        <v>31</v>
      </c>
      <c r="B75" s="138"/>
      <c r="C75" s="211">
        <f>IF('July 2027 Log'!BM75="","",'July 2027 Log'!BM75)</f>
        <v>0</v>
      </c>
      <c r="D75" s="47"/>
      <c r="E75" s="177">
        <f>+E57-E74</f>
        <v>0</v>
      </c>
      <c r="F75" s="49"/>
      <c r="G75" s="177">
        <f>+G57-G74</f>
        <v>0</v>
      </c>
      <c r="H75" s="49"/>
      <c r="I75" s="177">
        <f>+I57-I74</f>
        <v>0</v>
      </c>
      <c r="J75" s="49"/>
      <c r="K75" s="177">
        <f>+K57-K74</f>
        <v>0</v>
      </c>
      <c r="L75" s="49"/>
      <c r="M75" s="177">
        <f>+M57-M74</f>
        <v>0</v>
      </c>
      <c r="N75" s="49"/>
      <c r="O75" s="177">
        <f>+O57-O74</f>
        <v>0</v>
      </c>
      <c r="P75" s="49"/>
      <c r="Q75" s="177">
        <f>+Q57-Q74</f>
        <v>0</v>
      </c>
      <c r="R75" s="49"/>
      <c r="S75" s="177">
        <f>+S57-S74</f>
        <v>0</v>
      </c>
      <c r="T75" s="49"/>
      <c r="U75" s="177">
        <f>+U57-U74</f>
        <v>0</v>
      </c>
      <c r="V75" s="49"/>
      <c r="W75" s="177">
        <f>+W57-W74</f>
        <v>0</v>
      </c>
      <c r="X75" s="49"/>
      <c r="Y75" s="177">
        <f>+Y57-Y74</f>
        <v>0</v>
      </c>
      <c r="Z75" s="49"/>
      <c r="AA75" s="177">
        <f>+AA57-AA74</f>
        <v>0</v>
      </c>
      <c r="AB75" s="49"/>
      <c r="AC75" s="177">
        <f>+AC57-AC74</f>
        <v>0</v>
      </c>
      <c r="AD75" s="49"/>
      <c r="AE75" s="177">
        <f>+AE57-AE74</f>
        <v>0</v>
      </c>
      <c r="AF75" s="49"/>
      <c r="AG75" s="177">
        <f>+AG57-AG74</f>
        <v>0</v>
      </c>
      <c r="AH75" s="49"/>
      <c r="AI75" s="177">
        <f>+AI57-AI74</f>
        <v>0</v>
      </c>
      <c r="AJ75" s="49"/>
      <c r="AK75" s="177">
        <f>+AK57-AK74</f>
        <v>0</v>
      </c>
      <c r="AL75" s="49"/>
      <c r="AM75" s="177">
        <f>+AM57-AM74</f>
        <v>0</v>
      </c>
      <c r="AN75" s="49"/>
      <c r="AO75" s="177">
        <f>+AO57-AO74</f>
        <v>0</v>
      </c>
      <c r="AP75" s="49"/>
      <c r="AQ75" s="177">
        <f>+AQ57-AQ74</f>
        <v>0</v>
      </c>
      <c r="AR75" s="49"/>
      <c r="AS75" s="177">
        <f>+AS57-AS74</f>
        <v>0</v>
      </c>
      <c r="AT75" s="49"/>
      <c r="AU75" s="177">
        <f>+AU57-AU74</f>
        <v>0</v>
      </c>
      <c r="AV75" s="49"/>
      <c r="AW75" s="177">
        <f>+AW57-AW74</f>
        <v>0</v>
      </c>
      <c r="AX75" s="49"/>
      <c r="AY75" s="177">
        <f>+AY57-AY74</f>
        <v>0</v>
      </c>
      <c r="AZ75" s="49"/>
      <c r="BA75" s="177">
        <f>+BA57-BA74</f>
        <v>0</v>
      </c>
      <c r="BB75" s="49"/>
      <c r="BC75" s="177">
        <f>+BC57-BC74</f>
        <v>0</v>
      </c>
      <c r="BD75" s="49"/>
      <c r="BE75" s="177">
        <f>+BE57-BE74</f>
        <v>0</v>
      </c>
      <c r="BF75" s="49"/>
      <c r="BG75" s="177">
        <f>+BG57-BG74</f>
        <v>0</v>
      </c>
      <c r="BH75" s="49"/>
      <c r="BI75" s="177">
        <f>+BI57-BI74</f>
        <v>0</v>
      </c>
      <c r="BJ75" s="49"/>
      <c r="BK75" s="177">
        <f>+BK57-BK74</f>
        <v>0</v>
      </c>
      <c r="BL75" s="49"/>
      <c r="BM75" s="177">
        <f>+BM57-BM74</f>
        <v>0</v>
      </c>
      <c r="BN75" s="92"/>
      <c r="BO75" s="170">
        <f t="shared" si="95"/>
        <v>0</v>
      </c>
      <c r="BP75" s="49"/>
      <c r="BQ75" s="179">
        <f>IF(BM75="","",BM75)</f>
        <v>0</v>
      </c>
    </row>
    <row r="76" spans="1:69" ht="28.9" customHeight="1" x14ac:dyDescent="0.35">
      <c r="A76" s="74" t="s">
        <v>92</v>
      </c>
      <c r="B76" s="75"/>
      <c r="C76" s="141"/>
      <c r="D76" s="102"/>
      <c r="E76" s="142"/>
      <c r="F76" s="104"/>
      <c r="G76" s="142"/>
      <c r="H76" s="104"/>
      <c r="I76" s="142"/>
      <c r="J76" s="104"/>
      <c r="K76" s="142"/>
      <c r="L76" s="104"/>
      <c r="M76" s="142"/>
      <c r="N76" s="104"/>
      <c r="O76" s="142"/>
      <c r="P76" s="104"/>
      <c r="Q76" s="142"/>
      <c r="R76" s="104"/>
      <c r="S76" s="142"/>
      <c r="T76" s="104"/>
      <c r="U76" s="142"/>
      <c r="V76" s="104"/>
      <c r="W76" s="142"/>
      <c r="X76" s="104"/>
      <c r="Y76" s="142"/>
      <c r="Z76" s="104"/>
      <c r="AA76" s="142"/>
      <c r="AB76" s="104"/>
      <c r="AC76" s="142"/>
      <c r="AD76" s="104"/>
      <c r="AE76" s="142"/>
      <c r="AF76" s="104"/>
      <c r="AG76" s="142"/>
      <c r="AH76" s="104"/>
      <c r="AI76" s="142"/>
      <c r="AJ76" s="104"/>
      <c r="AK76" s="142"/>
      <c r="AL76" s="104"/>
      <c r="AM76" s="142"/>
      <c r="AN76" s="104"/>
      <c r="AO76" s="142"/>
      <c r="AP76" s="104"/>
      <c r="AQ76" s="142"/>
      <c r="AR76" s="104"/>
      <c r="AS76" s="142"/>
      <c r="AT76" s="104"/>
      <c r="AU76" s="142"/>
      <c r="AV76" s="104"/>
      <c r="AW76" s="142"/>
      <c r="AX76" s="104"/>
      <c r="AY76" s="142"/>
      <c r="AZ76" s="104"/>
      <c r="BA76" s="142"/>
      <c r="BB76" s="104"/>
      <c r="BC76" s="142"/>
      <c r="BD76" s="104"/>
      <c r="BE76" s="142"/>
      <c r="BF76" s="104"/>
      <c r="BG76" s="142"/>
      <c r="BH76" s="104"/>
      <c r="BI76" s="142"/>
      <c r="BJ76" s="104"/>
      <c r="BK76" s="142"/>
      <c r="BL76" s="104"/>
      <c r="BM76" s="142"/>
      <c r="BN76" s="105"/>
      <c r="BO76" s="106"/>
      <c r="BP76" s="104"/>
      <c r="BQ76" s="107"/>
    </row>
    <row r="77" spans="1:69" x14ac:dyDescent="0.35">
      <c r="A77" s="132" t="s">
        <v>75</v>
      </c>
      <c r="B77" s="54" t="s">
        <v>65</v>
      </c>
      <c r="C77" s="174" t="str">
        <f>IF('July 2027 Log'!BM77="","",'July 2027 Log'!BM77)</f>
        <v/>
      </c>
      <c r="D77" s="189" t="e">
        <f t="shared" ref="D77:D104" si="98">+E77-C77</f>
        <v>#VALUE!</v>
      </c>
      <c r="E77" s="86"/>
      <c r="F77" s="167">
        <f t="shared" ref="F77:F104" si="99">+G77-E77</f>
        <v>0</v>
      </c>
      <c r="G77" s="86"/>
      <c r="H77" s="167">
        <f t="shared" ref="H77:H104" si="100">+I77-G77</f>
        <v>0</v>
      </c>
      <c r="I77" s="86"/>
      <c r="J77" s="167">
        <f t="shared" ref="J77:J104" si="101">+K77-I77</f>
        <v>0</v>
      </c>
      <c r="K77" s="86"/>
      <c r="L77" s="167">
        <f t="shared" ref="L77:L89" si="102">+M77-K77</f>
        <v>0</v>
      </c>
      <c r="M77" s="86"/>
      <c r="N77" s="167">
        <f t="shared" ref="N77:N89" si="103">+O77-M77</f>
        <v>0</v>
      </c>
      <c r="O77" s="86"/>
      <c r="P77" s="167">
        <f t="shared" ref="P77:P89" si="104">+Q77-O77</f>
        <v>0</v>
      </c>
      <c r="Q77" s="86"/>
      <c r="R77" s="167">
        <f t="shared" ref="R77:R89" si="105">+S77-Q77</f>
        <v>0</v>
      </c>
      <c r="S77" s="86"/>
      <c r="T77" s="167">
        <f t="shared" ref="T77:T89" si="106">+U77-S77</f>
        <v>0</v>
      </c>
      <c r="U77" s="86"/>
      <c r="V77" s="167">
        <f t="shared" ref="V77:V89" si="107">+W77-U77</f>
        <v>0</v>
      </c>
      <c r="W77" s="86"/>
      <c r="X77" s="167">
        <f t="shared" ref="X77:X89" si="108">+Y77-W77</f>
        <v>0</v>
      </c>
      <c r="Y77" s="86"/>
      <c r="Z77" s="167">
        <f t="shared" ref="Z77:Z89" si="109">+AA77-Y77</f>
        <v>0</v>
      </c>
      <c r="AA77" s="86"/>
      <c r="AB77" s="167">
        <f t="shared" ref="AB77:AB89" si="110">+AC77-AA77</f>
        <v>0</v>
      </c>
      <c r="AC77" s="86"/>
      <c r="AD77" s="167">
        <f t="shared" ref="AD77:AD89" si="111">+AE77-AC77</f>
        <v>0</v>
      </c>
      <c r="AE77" s="86"/>
      <c r="AF77" s="167">
        <f t="shared" ref="AF77:AF89" si="112">+AG77-AE77</f>
        <v>0</v>
      </c>
      <c r="AG77" s="86"/>
      <c r="AH77" s="167">
        <f t="shared" ref="AH77:AH89" si="113">+AI77-AG77</f>
        <v>0</v>
      </c>
      <c r="AI77" s="86"/>
      <c r="AJ77" s="167">
        <f t="shared" ref="AJ77:AJ89" si="114">+AK77-AI77</f>
        <v>0</v>
      </c>
      <c r="AK77" s="86"/>
      <c r="AL77" s="167">
        <f t="shared" ref="AL77:AL89" si="115">+AM77-AK77</f>
        <v>0</v>
      </c>
      <c r="AM77" s="86"/>
      <c r="AN77" s="167">
        <f t="shared" ref="AN77:AN89" si="116">+AO77-AM77</f>
        <v>0</v>
      </c>
      <c r="AO77" s="86"/>
      <c r="AP77" s="167">
        <f t="shared" ref="AP77:AP89" si="117">+AQ77-AO77</f>
        <v>0</v>
      </c>
      <c r="AQ77" s="86"/>
      <c r="AR77" s="167">
        <f t="shared" ref="AR77:AR89" si="118">+AS77-AQ77</f>
        <v>0</v>
      </c>
      <c r="AS77" s="86"/>
      <c r="AT77" s="167">
        <f t="shared" ref="AT77:AT89" si="119">+AU77-AS77</f>
        <v>0</v>
      </c>
      <c r="AU77" s="86"/>
      <c r="AV77" s="167">
        <f t="shared" ref="AV77:AV89" si="120">+AW77-AU77</f>
        <v>0</v>
      </c>
      <c r="AW77" s="86"/>
      <c r="AX77" s="167">
        <f t="shared" ref="AX77:AX89" si="121">+AY77-AW77</f>
        <v>0</v>
      </c>
      <c r="AY77" s="86"/>
      <c r="AZ77" s="167">
        <f t="shared" ref="AZ77:AZ89" si="122">+BA77-AY77</f>
        <v>0</v>
      </c>
      <c r="BA77" s="86"/>
      <c r="BB77" s="167">
        <f t="shared" ref="BB77:BB89" si="123">+BC77-BA77</f>
        <v>0</v>
      </c>
      <c r="BC77" s="86"/>
      <c r="BD77" s="167">
        <f t="shared" ref="BD77:BD89" si="124">+BE77-BC77</f>
        <v>0</v>
      </c>
      <c r="BE77" s="86"/>
      <c r="BF77" s="167">
        <f t="shared" ref="BF77:BF89" si="125">+BG77-BE77</f>
        <v>0</v>
      </c>
      <c r="BG77" s="86"/>
      <c r="BH77" s="167">
        <f t="shared" ref="BH77:BH89" si="126">+BI77-BG77</f>
        <v>0</v>
      </c>
      <c r="BI77" s="86"/>
      <c r="BJ77" s="167">
        <f t="shared" ref="BJ77:BJ89" si="127">+BK77-BI77</f>
        <v>0</v>
      </c>
      <c r="BK77" s="86"/>
      <c r="BL77" s="167">
        <f t="shared" ref="BL77:BL89" si="128">+BM77-BK77</f>
        <v>0</v>
      </c>
      <c r="BM77" s="86"/>
      <c r="BN77" s="50"/>
      <c r="BO77" s="170" t="e">
        <f t="shared" ref="BO77:BO88" si="129">IF(COUNT(D77,F77,H77,J77,L77,N77,P77,R77,T77,V77,X77,Z77,AB77,AD77,AF77,AH77,AJ77,AL77,AN77,AP77,AR77,AT77,AV77,AX77,AZ77,BB77,BD77,BF77,BH77,BJ77,BL77)=0,"",SUM(D77,F77,H77,J77,L77,N77,P77,R77,T77,V77,X77,Z77,AB77,AD77,AF77,AH77,AJ77,AL77,AN77,AP77,AR77,AT77,AV77,AX77,AZ77,BB77,BD77,BF77,BH77,BJ77,BL77))</f>
        <v>#VALUE!</v>
      </c>
      <c r="BP77" s="193" t="e">
        <f>+BQ77-BM77</f>
        <v>#VALUE!</v>
      </c>
      <c r="BQ77" s="212" t="str">
        <f t="shared" ref="BQ77:BQ88" si="130">IF(BM77="","",BM77)</f>
        <v/>
      </c>
    </row>
    <row r="78" spans="1:69" x14ac:dyDescent="0.35">
      <c r="A78" s="136" t="s">
        <v>76</v>
      </c>
      <c r="B78" s="54" t="s">
        <v>66</v>
      </c>
      <c r="C78" s="174" t="str">
        <f>IF('July 2027 Log'!BM78="","",'July 2027 Log'!BM78)</f>
        <v/>
      </c>
      <c r="D78" s="189" t="e">
        <f t="shared" si="98"/>
        <v>#VALUE!</v>
      </c>
      <c r="E78" s="86"/>
      <c r="F78" s="167">
        <f t="shared" si="99"/>
        <v>0</v>
      </c>
      <c r="G78" s="86"/>
      <c r="H78" s="167">
        <f t="shared" si="100"/>
        <v>0</v>
      </c>
      <c r="I78" s="86"/>
      <c r="J78" s="167">
        <f t="shared" si="101"/>
        <v>0</v>
      </c>
      <c r="K78" s="86"/>
      <c r="L78" s="167">
        <f t="shared" si="102"/>
        <v>0</v>
      </c>
      <c r="M78" s="86"/>
      <c r="N78" s="167">
        <f t="shared" si="103"/>
        <v>0</v>
      </c>
      <c r="O78" s="86"/>
      <c r="P78" s="167">
        <f t="shared" si="104"/>
        <v>0</v>
      </c>
      <c r="Q78" s="86"/>
      <c r="R78" s="167">
        <f t="shared" si="105"/>
        <v>0</v>
      </c>
      <c r="S78" s="86"/>
      <c r="T78" s="167">
        <f t="shared" si="106"/>
        <v>0</v>
      </c>
      <c r="U78" s="86"/>
      <c r="V78" s="167">
        <f t="shared" si="107"/>
        <v>0</v>
      </c>
      <c r="W78" s="86"/>
      <c r="X78" s="167">
        <f t="shared" si="108"/>
        <v>0</v>
      </c>
      <c r="Y78" s="86"/>
      <c r="Z78" s="167">
        <f t="shared" si="109"/>
        <v>0</v>
      </c>
      <c r="AA78" s="86"/>
      <c r="AB78" s="167">
        <f t="shared" si="110"/>
        <v>0</v>
      </c>
      <c r="AC78" s="86"/>
      <c r="AD78" s="167">
        <f t="shared" si="111"/>
        <v>0</v>
      </c>
      <c r="AE78" s="86"/>
      <c r="AF78" s="167">
        <f t="shared" si="112"/>
        <v>0</v>
      </c>
      <c r="AG78" s="86"/>
      <c r="AH78" s="167">
        <f t="shared" si="113"/>
        <v>0</v>
      </c>
      <c r="AI78" s="86"/>
      <c r="AJ78" s="167">
        <f t="shared" si="114"/>
        <v>0</v>
      </c>
      <c r="AK78" s="86"/>
      <c r="AL78" s="167">
        <f t="shared" si="115"/>
        <v>0</v>
      </c>
      <c r="AM78" s="86"/>
      <c r="AN78" s="167">
        <f t="shared" si="116"/>
        <v>0</v>
      </c>
      <c r="AO78" s="86"/>
      <c r="AP78" s="167">
        <f t="shared" si="117"/>
        <v>0</v>
      </c>
      <c r="AQ78" s="86"/>
      <c r="AR78" s="167">
        <f t="shared" si="118"/>
        <v>0</v>
      </c>
      <c r="AS78" s="86"/>
      <c r="AT78" s="167">
        <f t="shared" si="119"/>
        <v>0</v>
      </c>
      <c r="AU78" s="86"/>
      <c r="AV78" s="167">
        <f t="shared" si="120"/>
        <v>0</v>
      </c>
      <c r="AW78" s="86"/>
      <c r="AX78" s="167">
        <f t="shared" si="121"/>
        <v>0</v>
      </c>
      <c r="AY78" s="86"/>
      <c r="AZ78" s="167">
        <f t="shared" si="122"/>
        <v>0</v>
      </c>
      <c r="BA78" s="86"/>
      <c r="BB78" s="167">
        <f t="shared" si="123"/>
        <v>0</v>
      </c>
      <c r="BC78" s="86"/>
      <c r="BD78" s="167">
        <f t="shared" si="124"/>
        <v>0</v>
      </c>
      <c r="BE78" s="86"/>
      <c r="BF78" s="167">
        <f t="shared" si="125"/>
        <v>0</v>
      </c>
      <c r="BG78" s="86"/>
      <c r="BH78" s="167">
        <f t="shared" si="126"/>
        <v>0</v>
      </c>
      <c r="BI78" s="86"/>
      <c r="BJ78" s="167">
        <f t="shared" si="127"/>
        <v>0</v>
      </c>
      <c r="BK78" s="86"/>
      <c r="BL78" s="167">
        <f t="shared" si="128"/>
        <v>0</v>
      </c>
      <c r="BM78" s="86"/>
      <c r="BN78" s="50"/>
      <c r="BO78" s="170" t="e">
        <f t="shared" si="129"/>
        <v>#VALUE!</v>
      </c>
      <c r="BP78" s="167" t="e">
        <f t="shared" ref="BP78:BP89" si="131">+BQ78-BM78</f>
        <v>#VALUE!</v>
      </c>
      <c r="BQ78" s="178" t="str">
        <f t="shared" si="130"/>
        <v/>
      </c>
    </row>
    <row r="79" spans="1:69" x14ac:dyDescent="0.35">
      <c r="A79" s="134" t="s">
        <v>77</v>
      </c>
      <c r="B79" s="54" t="s">
        <v>67</v>
      </c>
      <c r="C79" s="174" t="str">
        <f>IF('July 2027 Log'!BM79="","",'July 2027 Log'!BM79)</f>
        <v/>
      </c>
      <c r="D79" s="189" t="e">
        <f t="shared" si="98"/>
        <v>#VALUE!</v>
      </c>
      <c r="E79" s="86"/>
      <c r="F79" s="167">
        <f t="shared" si="99"/>
        <v>0</v>
      </c>
      <c r="G79" s="86"/>
      <c r="H79" s="167">
        <f t="shared" si="100"/>
        <v>0</v>
      </c>
      <c r="I79" s="86"/>
      <c r="J79" s="167">
        <f t="shared" si="101"/>
        <v>0</v>
      </c>
      <c r="K79" s="86"/>
      <c r="L79" s="167">
        <f t="shared" si="102"/>
        <v>0</v>
      </c>
      <c r="M79" s="86"/>
      <c r="N79" s="167">
        <f t="shared" si="103"/>
        <v>0</v>
      </c>
      <c r="O79" s="86"/>
      <c r="P79" s="167">
        <f t="shared" si="104"/>
        <v>0</v>
      </c>
      <c r="Q79" s="86"/>
      <c r="R79" s="167">
        <f t="shared" si="105"/>
        <v>0</v>
      </c>
      <c r="S79" s="86"/>
      <c r="T79" s="167">
        <f t="shared" si="106"/>
        <v>0</v>
      </c>
      <c r="U79" s="86"/>
      <c r="V79" s="167">
        <f t="shared" si="107"/>
        <v>0</v>
      </c>
      <c r="W79" s="86"/>
      <c r="X79" s="167">
        <f t="shared" si="108"/>
        <v>0</v>
      </c>
      <c r="Y79" s="86"/>
      <c r="Z79" s="167">
        <f t="shared" si="109"/>
        <v>0</v>
      </c>
      <c r="AA79" s="86"/>
      <c r="AB79" s="167">
        <f t="shared" si="110"/>
        <v>0</v>
      </c>
      <c r="AC79" s="86"/>
      <c r="AD79" s="167">
        <f t="shared" si="111"/>
        <v>0</v>
      </c>
      <c r="AE79" s="86"/>
      <c r="AF79" s="167">
        <f t="shared" si="112"/>
        <v>0</v>
      </c>
      <c r="AG79" s="86"/>
      <c r="AH79" s="167">
        <f t="shared" si="113"/>
        <v>0</v>
      </c>
      <c r="AI79" s="86"/>
      <c r="AJ79" s="167">
        <f t="shared" si="114"/>
        <v>0</v>
      </c>
      <c r="AK79" s="86"/>
      <c r="AL79" s="167">
        <f t="shared" si="115"/>
        <v>0</v>
      </c>
      <c r="AM79" s="86"/>
      <c r="AN79" s="167">
        <f t="shared" si="116"/>
        <v>0</v>
      </c>
      <c r="AO79" s="86"/>
      <c r="AP79" s="167">
        <f t="shared" si="117"/>
        <v>0</v>
      </c>
      <c r="AQ79" s="86"/>
      <c r="AR79" s="167">
        <f t="shared" si="118"/>
        <v>0</v>
      </c>
      <c r="AS79" s="86"/>
      <c r="AT79" s="167">
        <f t="shared" si="119"/>
        <v>0</v>
      </c>
      <c r="AU79" s="86"/>
      <c r="AV79" s="167">
        <f t="shared" si="120"/>
        <v>0</v>
      </c>
      <c r="AW79" s="86"/>
      <c r="AX79" s="167">
        <f t="shared" si="121"/>
        <v>0</v>
      </c>
      <c r="AY79" s="86"/>
      <c r="AZ79" s="167">
        <f t="shared" si="122"/>
        <v>0</v>
      </c>
      <c r="BA79" s="86"/>
      <c r="BB79" s="167">
        <f t="shared" si="123"/>
        <v>0</v>
      </c>
      <c r="BC79" s="86"/>
      <c r="BD79" s="167">
        <f t="shared" si="124"/>
        <v>0</v>
      </c>
      <c r="BE79" s="86"/>
      <c r="BF79" s="167">
        <f t="shared" si="125"/>
        <v>0</v>
      </c>
      <c r="BG79" s="86"/>
      <c r="BH79" s="167">
        <f t="shared" si="126"/>
        <v>0</v>
      </c>
      <c r="BI79" s="86"/>
      <c r="BJ79" s="167">
        <f t="shared" si="127"/>
        <v>0</v>
      </c>
      <c r="BK79" s="86"/>
      <c r="BL79" s="167">
        <f t="shared" si="128"/>
        <v>0</v>
      </c>
      <c r="BM79" s="86"/>
      <c r="BN79" s="50"/>
      <c r="BO79" s="170" t="e">
        <f t="shared" si="129"/>
        <v>#VALUE!</v>
      </c>
      <c r="BP79" s="167" t="e">
        <f t="shared" si="131"/>
        <v>#VALUE!</v>
      </c>
      <c r="BQ79" s="178" t="str">
        <f t="shared" si="130"/>
        <v/>
      </c>
    </row>
    <row r="80" spans="1:69" x14ac:dyDescent="0.35">
      <c r="A80" s="132" t="s">
        <v>78</v>
      </c>
      <c r="B80" s="54" t="s">
        <v>65</v>
      </c>
      <c r="C80" s="174" t="str">
        <f>IF('July 2027 Log'!BM80="","",'July 2027 Log'!BM80)</f>
        <v/>
      </c>
      <c r="D80" s="189" t="e">
        <f t="shared" si="98"/>
        <v>#VALUE!</v>
      </c>
      <c r="E80" s="86"/>
      <c r="F80" s="167">
        <f t="shared" si="99"/>
        <v>0</v>
      </c>
      <c r="G80" s="86"/>
      <c r="H80" s="167">
        <f t="shared" si="100"/>
        <v>0</v>
      </c>
      <c r="I80" s="86"/>
      <c r="J80" s="167">
        <f t="shared" si="101"/>
        <v>0</v>
      </c>
      <c r="K80" s="86"/>
      <c r="L80" s="167">
        <f t="shared" si="102"/>
        <v>0</v>
      </c>
      <c r="M80" s="86"/>
      <c r="N80" s="167">
        <f t="shared" si="103"/>
        <v>0</v>
      </c>
      <c r="O80" s="86"/>
      <c r="P80" s="167">
        <f t="shared" si="104"/>
        <v>0</v>
      </c>
      <c r="Q80" s="86"/>
      <c r="R80" s="167">
        <f t="shared" si="105"/>
        <v>0</v>
      </c>
      <c r="S80" s="86"/>
      <c r="T80" s="167">
        <f t="shared" si="106"/>
        <v>0</v>
      </c>
      <c r="U80" s="86"/>
      <c r="V80" s="167">
        <f t="shared" si="107"/>
        <v>0</v>
      </c>
      <c r="W80" s="86"/>
      <c r="X80" s="167">
        <f t="shared" si="108"/>
        <v>0</v>
      </c>
      <c r="Y80" s="86"/>
      <c r="Z80" s="167">
        <f t="shared" si="109"/>
        <v>0</v>
      </c>
      <c r="AA80" s="86"/>
      <c r="AB80" s="167">
        <f t="shared" si="110"/>
        <v>0</v>
      </c>
      <c r="AC80" s="86"/>
      <c r="AD80" s="167">
        <f t="shared" si="111"/>
        <v>0</v>
      </c>
      <c r="AE80" s="86"/>
      <c r="AF80" s="167">
        <f t="shared" si="112"/>
        <v>0</v>
      </c>
      <c r="AG80" s="86"/>
      <c r="AH80" s="167">
        <f t="shared" si="113"/>
        <v>0</v>
      </c>
      <c r="AI80" s="86"/>
      <c r="AJ80" s="167">
        <f t="shared" si="114"/>
        <v>0</v>
      </c>
      <c r="AK80" s="86"/>
      <c r="AL80" s="167">
        <f t="shared" si="115"/>
        <v>0</v>
      </c>
      <c r="AM80" s="86"/>
      <c r="AN80" s="167">
        <f t="shared" si="116"/>
        <v>0</v>
      </c>
      <c r="AO80" s="86"/>
      <c r="AP80" s="167">
        <f t="shared" si="117"/>
        <v>0</v>
      </c>
      <c r="AQ80" s="86"/>
      <c r="AR80" s="167">
        <f t="shared" si="118"/>
        <v>0</v>
      </c>
      <c r="AS80" s="86"/>
      <c r="AT80" s="167">
        <f t="shared" si="119"/>
        <v>0</v>
      </c>
      <c r="AU80" s="86"/>
      <c r="AV80" s="167">
        <f t="shared" si="120"/>
        <v>0</v>
      </c>
      <c r="AW80" s="86"/>
      <c r="AX80" s="167">
        <f t="shared" si="121"/>
        <v>0</v>
      </c>
      <c r="AY80" s="86"/>
      <c r="AZ80" s="167">
        <f t="shared" si="122"/>
        <v>0</v>
      </c>
      <c r="BA80" s="86"/>
      <c r="BB80" s="167">
        <f t="shared" si="123"/>
        <v>0</v>
      </c>
      <c r="BC80" s="86"/>
      <c r="BD80" s="167">
        <f t="shared" si="124"/>
        <v>0</v>
      </c>
      <c r="BE80" s="86"/>
      <c r="BF80" s="167">
        <f t="shared" si="125"/>
        <v>0</v>
      </c>
      <c r="BG80" s="86"/>
      <c r="BH80" s="167">
        <f t="shared" si="126"/>
        <v>0</v>
      </c>
      <c r="BI80" s="86"/>
      <c r="BJ80" s="167">
        <f t="shared" si="127"/>
        <v>0</v>
      </c>
      <c r="BK80" s="86"/>
      <c r="BL80" s="167">
        <f t="shared" si="128"/>
        <v>0</v>
      </c>
      <c r="BM80" s="86"/>
      <c r="BN80" s="50"/>
      <c r="BO80" s="170" t="e">
        <f t="shared" si="129"/>
        <v>#VALUE!</v>
      </c>
      <c r="BP80" s="167" t="e">
        <f t="shared" si="131"/>
        <v>#VALUE!</v>
      </c>
      <c r="BQ80" s="178" t="str">
        <f t="shared" si="130"/>
        <v/>
      </c>
    </row>
    <row r="81" spans="1:69" x14ac:dyDescent="0.35">
      <c r="A81" s="136" t="s">
        <v>79</v>
      </c>
      <c r="B81" s="54" t="s">
        <v>66</v>
      </c>
      <c r="C81" s="174" t="str">
        <f>IF('July 2027 Log'!BM81="","",'July 2027 Log'!BM81)</f>
        <v/>
      </c>
      <c r="D81" s="189" t="e">
        <f t="shared" si="98"/>
        <v>#VALUE!</v>
      </c>
      <c r="E81" s="86"/>
      <c r="F81" s="167">
        <f t="shared" si="99"/>
        <v>0</v>
      </c>
      <c r="G81" s="86"/>
      <c r="H81" s="167">
        <f t="shared" si="100"/>
        <v>0</v>
      </c>
      <c r="I81" s="86"/>
      <c r="J81" s="167">
        <f t="shared" si="101"/>
        <v>0</v>
      </c>
      <c r="K81" s="86"/>
      <c r="L81" s="167">
        <f t="shared" si="102"/>
        <v>0</v>
      </c>
      <c r="M81" s="86"/>
      <c r="N81" s="167">
        <f t="shared" si="103"/>
        <v>0</v>
      </c>
      <c r="O81" s="86"/>
      <c r="P81" s="167">
        <f t="shared" si="104"/>
        <v>0</v>
      </c>
      <c r="Q81" s="86"/>
      <c r="R81" s="167">
        <f t="shared" si="105"/>
        <v>0</v>
      </c>
      <c r="S81" s="86"/>
      <c r="T81" s="167">
        <f t="shared" si="106"/>
        <v>0</v>
      </c>
      <c r="U81" s="86"/>
      <c r="V81" s="167">
        <f t="shared" si="107"/>
        <v>0</v>
      </c>
      <c r="W81" s="86"/>
      <c r="X81" s="167">
        <f t="shared" si="108"/>
        <v>0</v>
      </c>
      <c r="Y81" s="86"/>
      <c r="Z81" s="167">
        <f t="shared" si="109"/>
        <v>0</v>
      </c>
      <c r="AA81" s="86"/>
      <c r="AB81" s="167">
        <f t="shared" si="110"/>
        <v>0</v>
      </c>
      <c r="AC81" s="86"/>
      <c r="AD81" s="167">
        <f t="shared" si="111"/>
        <v>0</v>
      </c>
      <c r="AE81" s="86"/>
      <c r="AF81" s="167">
        <f t="shared" si="112"/>
        <v>0</v>
      </c>
      <c r="AG81" s="86"/>
      <c r="AH81" s="167">
        <f t="shared" si="113"/>
        <v>0</v>
      </c>
      <c r="AI81" s="86"/>
      <c r="AJ81" s="167">
        <f t="shared" si="114"/>
        <v>0</v>
      </c>
      <c r="AK81" s="86"/>
      <c r="AL81" s="167">
        <f t="shared" si="115"/>
        <v>0</v>
      </c>
      <c r="AM81" s="86"/>
      <c r="AN81" s="167">
        <f t="shared" si="116"/>
        <v>0</v>
      </c>
      <c r="AO81" s="86"/>
      <c r="AP81" s="167">
        <f t="shared" si="117"/>
        <v>0</v>
      </c>
      <c r="AQ81" s="86"/>
      <c r="AR81" s="167">
        <f t="shared" si="118"/>
        <v>0</v>
      </c>
      <c r="AS81" s="86"/>
      <c r="AT81" s="167">
        <f t="shared" si="119"/>
        <v>0</v>
      </c>
      <c r="AU81" s="86"/>
      <c r="AV81" s="167">
        <f t="shared" si="120"/>
        <v>0</v>
      </c>
      <c r="AW81" s="86"/>
      <c r="AX81" s="167">
        <f t="shared" si="121"/>
        <v>0</v>
      </c>
      <c r="AY81" s="86"/>
      <c r="AZ81" s="167">
        <f t="shared" si="122"/>
        <v>0</v>
      </c>
      <c r="BA81" s="86"/>
      <c r="BB81" s="167">
        <f t="shared" si="123"/>
        <v>0</v>
      </c>
      <c r="BC81" s="86"/>
      <c r="BD81" s="167">
        <f t="shared" si="124"/>
        <v>0</v>
      </c>
      <c r="BE81" s="86"/>
      <c r="BF81" s="167">
        <f t="shared" si="125"/>
        <v>0</v>
      </c>
      <c r="BG81" s="86"/>
      <c r="BH81" s="167">
        <f t="shared" si="126"/>
        <v>0</v>
      </c>
      <c r="BI81" s="86"/>
      <c r="BJ81" s="167">
        <f t="shared" si="127"/>
        <v>0</v>
      </c>
      <c r="BK81" s="86"/>
      <c r="BL81" s="167">
        <f t="shared" si="128"/>
        <v>0</v>
      </c>
      <c r="BM81" s="86"/>
      <c r="BN81" s="50"/>
      <c r="BO81" s="170" t="e">
        <f t="shared" si="129"/>
        <v>#VALUE!</v>
      </c>
      <c r="BP81" s="167" t="e">
        <f t="shared" si="131"/>
        <v>#VALUE!</v>
      </c>
      <c r="BQ81" s="178" t="str">
        <f t="shared" si="130"/>
        <v/>
      </c>
    </row>
    <row r="82" spans="1:69" x14ac:dyDescent="0.35">
      <c r="A82" s="134" t="s">
        <v>80</v>
      </c>
      <c r="B82" s="54" t="s">
        <v>67</v>
      </c>
      <c r="C82" s="174" t="str">
        <f>IF('July 2027 Log'!BM82="","",'July 2027 Log'!BM82)</f>
        <v/>
      </c>
      <c r="D82" s="189" t="e">
        <f t="shared" si="98"/>
        <v>#VALUE!</v>
      </c>
      <c r="E82" s="86"/>
      <c r="F82" s="167">
        <f t="shared" si="99"/>
        <v>0</v>
      </c>
      <c r="G82" s="86"/>
      <c r="H82" s="167">
        <f t="shared" si="100"/>
        <v>0</v>
      </c>
      <c r="I82" s="86"/>
      <c r="J82" s="167">
        <f t="shared" si="101"/>
        <v>0</v>
      </c>
      <c r="K82" s="86"/>
      <c r="L82" s="167">
        <f t="shared" si="102"/>
        <v>0</v>
      </c>
      <c r="M82" s="86"/>
      <c r="N82" s="167">
        <f t="shared" si="103"/>
        <v>0</v>
      </c>
      <c r="O82" s="86"/>
      <c r="P82" s="167">
        <f t="shared" si="104"/>
        <v>0</v>
      </c>
      <c r="Q82" s="86"/>
      <c r="R82" s="167">
        <f t="shared" si="105"/>
        <v>0</v>
      </c>
      <c r="S82" s="86"/>
      <c r="T82" s="167">
        <f t="shared" si="106"/>
        <v>0</v>
      </c>
      <c r="U82" s="86"/>
      <c r="V82" s="167">
        <f t="shared" si="107"/>
        <v>0</v>
      </c>
      <c r="W82" s="86"/>
      <c r="X82" s="167">
        <f t="shared" si="108"/>
        <v>0</v>
      </c>
      <c r="Y82" s="86"/>
      <c r="Z82" s="167">
        <f t="shared" si="109"/>
        <v>0</v>
      </c>
      <c r="AA82" s="86"/>
      <c r="AB82" s="167">
        <f t="shared" si="110"/>
        <v>0</v>
      </c>
      <c r="AC82" s="86"/>
      <c r="AD82" s="167">
        <f t="shared" si="111"/>
        <v>0</v>
      </c>
      <c r="AE82" s="86"/>
      <c r="AF82" s="167">
        <f t="shared" si="112"/>
        <v>0</v>
      </c>
      <c r="AG82" s="86"/>
      <c r="AH82" s="167">
        <f t="shared" si="113"/>
        <v>0</v>
      </c>
      <c r="AI82" s="86"/>
      <c r="AJ82" s="167">
        <f t="shared" si="114"/>
        <v>0</v>
      </c>
      <c r="AK82" s="86"/>
      <c r="AL82" s="167">
        <f t="shared" si="115"/>
        <v>0</v>
      </c>
      <c r="AM82" s="86"/>
      <c r="AN82" s="167">
        <f t="shared" si="116"/>
        <v>0</v>
      </c>
      <c r="AO82" s="86"/>
      <c r="AP82" s="167">
        <f t="shared" si="117"/>
        <v>0</v>
      </c>
      <c r="AQ82" s="86"/>
      <c r="AR82" s="167">
        <f t="shared" si="118"/>
        <v>0</v>
      </c>
      <c r="AS82" s="86"/>
      <c r="AT82" s="167">
        <f t="shared" si="119"/>
        <v>0</v>
      </c>
      <c r="AU82" s="86"/>
      <c r="AV82" s="167">
        <f t="shared" si="120"/>
        <v>0</v>
      </c>
      <c r="AW82" s="86"/>
      <c r="AX82" s="167">
        <f t="shared" si="121"/>
        <v>0</v>
      </c>
      <c r="AY82" s="86"/>
      <c r="AZ82" s="167">
        <f t="shared" si="122"/>
        <v>0</v>
      </c>
      <c r="BA82" s="86"/>
      <c r="BB82" s="167">
        <f t="shared" si="123"/>
        <v>0</v>
      </c>
      <c r="BC82" s="86"/>
      <c r="BD82" s="167">
        <f t="shared" si="124"/>
        <v>0</v>
      </c>
      <c r="BE82" s="86"/>
      <c r="BF82" s="167">
        <f t="shared" si="125"/>
        <v>0</v>
      </c>
      <c r="BG82" s="86"/>
      <c r="BH82" s="167">
        <f t="shared" si="126"/>
        <v>0</v>
      </c>
      <c r="BI82" s="86"/>
      <c r="BJ82" s="167">
        <f t="shared" si="127"/>
        <v>0</v>
      </c>
      <c r="BK82" s="86"/>
      <c r="BL82" s="167">
        <f t="shared" si="128"/>
        <v>0</v>
      </c>
      <c r="BM82" s="86"/>
      <c r="BN82" s="50"/>
      <c r="BO82" s="170" t="e">
        <f t="shared" si="129"/>
        <v>#VALUE!</v>
      </c>
      <c r="BP82" s="167" t="e">
        <f t="shared" si="131"/>
        <v>#VALUE!</v>
      </c>
      <c r="BQ82" s="178" t="str">
        <f t="shared" si="130"/>
        <v/>
      </c>
    </row>
    <row r="83" spans="1:69" x14ac:dyDescent="0.35">
      <c r="A83" s="135" t="s">
        <v>81</v>
      </c>
      <c r="B83" s="54" t="s">
        <v>67</v>
      </c>
      <c r="C83" s="174" t="str">
        <f>IF('July 2027 Log'!BM83="","",'July 2027 Log'!BM83)</f>
        <v/>
      </c>
      <c r="D83" s="189" t="e">
        <f t="shared" si="98"/>
        <v>#VALUE!</v>
      </c>
      <c r="E83" s="86"/>
      <c r="F83" s="167">
        <f t="shared" si="99"/>
        <v>0</v>
      </c>
      <c r="G83" s="86"/>
      <c r="H83" s="167">
        <f t="shared" si="100"/>
        <v>0</v>
      </c>
      <c r="I83" s="86"/>
      <c r="J83" s="167">
        <f t="shared" si="101"/>
        <v>0</v>
      </c>
      <c r="K83" s="86"/>
      <c r="L83" s="167">
        <f t="shared" si="102"/>
        <v>0</v>
      </c>
      <c r="M83" s="86"/>
      <c r="N83" s="167">
        <f t="shared" si="103"/>
        <v>0</v>
      </c>
      <c r="O83" s="86"/>
      <c r="P83" s="167">
        <f t="shared" si="104"/>
        <v>0</v>
      </c>
      <c r="Q83" s="86"/>
      <c r="R83" s="167">
        <f t="shared" si="105"/>
        <v>0</v>
      </c>
      <c r="S83" s="86"/>
      <c r="T83" s="167">
        <f t="shared" si="106"/>
        <v>0</v>
      </c>
      <c r="U83" s="86"/>
      <c r="V83" s="167">
        <f t="shared" si="107"/>
        <v>0</v>
      </c>
      <c r="W83" s="86"/>
      <c r="X83" s="167">
        <f t="shared" si="108"/>
        <v>0</v>
      </c>
      <c r="Y83" s="86"/>
      <c r="Z83" s="167">
        <f t="shared" si="109"/>
        <v>0</v>
      </c>
      <c r="AA83" s="86"/>
      <c r="AB83" s="167">
        <f t="shared" si="110"/>
        <v>0</v>
      </c>
      <c r="AC83" s="86"/>
      <c r="AD83" s="167">
        <f t="shared" si="111"/>
        <v>0</v>
      </c>
      <c r="AE83" s="86"/>
      <c r="AF83" s="167">
        <f t="shared" si="112"/>
        <v>0</v>
      </c>
      <c r="AG83" s="86"/>
      <c r="AH83" s="167">
        <f t="shared" si="113"/>
        <v>0</v>
      </c>
      <c r="AI83" s="86"/>
      <c r="AJ83" s="167">
        <f t="shared" si="114"/>
        <v>0</v>
      </c>
      <c r="AK83" s="86"/>
      <c r="AL83" s="167">
        <f t="shared" si="115"/>
        <v>0</v>
      </c>
      <c r="AM83" s="86"/>
      <c r="AN83" s="167">
        <f t="shared" si="116"/>
        <v>0</v>
      </c>
      <c r="AO83" s="86"/>
      <c r="AP83" s="167">
        <f t="shared" si="117"/>
        <v>0</v>
      </c>
      <c r="AQ83" s="86"/>
      <c r="AR83" s="167">
        <f t="shared" si="118"/>
        <v>0</v>
      </c>
      <c r="AS83" s="86"/>
      <c r="AT83" s="167">
        <f t="shared" si="119"/>
        <v>0</v>
      </c>
      <c r="AU83" s="86"/>
      <c r="AV83" s="167">
        <f t="shared" si="120"/>
        <v>0</v>
      </c>
      <c r="AW83" s="86"/>
      <c r="AX83" s="167">
        <f t="shared" si="121"/>
        <v>0</v>
      </c>
      <c r="AY83" s="86"/>
      <c r="AZ83" s="167">
        <f t="shared" si="122"/>
        <v>0</v>
      </c>
      <c r="BA83" s="86"/>
      <c r="BB83" s="167">
        <f t="shared" si="123"/>
        <v>0</v>
      </c>
      <c r="BC83" s="86"/>
      <c r="BD83" s="167">
        <f t="shared" si="124"/>
        <v>0</v>
      </c>
      <c r="BE83" s="86"/>
      <c r="BF83" s="167">
        <f t="shared" si="125"/>
        <v>0</v>
      </c>
      <c r="BG83" s="86"/>
      <c r="BH83" s="167">
        <f t="shared" si="126"/>
        <v>0</v>
      </c>
      <c r="BI83" s="86"/>
      <c r="BJ83" s="167">
        <f t="shared" si="127"/>
        <v>0</v>
      </c>
      <c r="BK83" s="86"/>
      <c r="BL83" s="167">
        <f t="shared" si="128"/>
        <v>0</v>
      </c>
      <c r="BM83" s="86"/>
      <c r="BN83" s="50"/>
      <c r="BO83" s="170" t="e">
        <f t="shared" si="129"/>
        <v>#VALUE!</v>
      </c>
      <c r="BP83" s="167" t="e">
        <f t="shared" si="131"/>
        <v>#VALUE!</v>
      </c>
      <c r="BQ83" s="178" t="str">
        <f t="shared" si="130"/>
        <v/>
      </c>
    </row>
    <row r="84" spans="1:69" x14ac:dyDescent="0.35">
      <c r="A84" s="136" t="s">
        <v>82</v>
      </c>
      <c r="B84" s="54" t="s">
        <v>66</v>
      </c>
      <c r="C84" s="174" t="str">
        <f>IF('July 2027 Log'!BM84="","",'July 2027 Log'!BM84)</f>
        <v/>
      </c>
      <c r="D84" s="189" t="e">
        <f t="shared" si="98"/>
        <v>#VALUE!</v>
      </c>
      <c r="E84" s="86"/>
      <c r="F84" s="167">
        <f t="shared" si="99"/>
        <v>0</v>
      </c>
      <c r="G84" s="86"/>
      <c r="H84" s="167">
        <f t="shared" si="100"/>
        <v>0</v>
      </c>
      <c r="I84" s="86"/>
      <c r="J84" s="167">
        <f t="shared" si="101"/>
        <v>0</v>
      </c>
      <c r="K84" s="86"/>
      <c r="L84" s="167">
        <f t="shared" si="102"/>
        <v>0</v>
      </c>
      <c r="M84" s="86"/>
      <c r="N84" s="167">
        <f t="shared" si="103"/>
        <v>0</v>
      </c>
      <c r="O84" s="86"/>
      <c r="P84" s="167">
        <f t="shared" si="104"/>
        <v>0</v>
      </c>
      <c r="Q84" s="86"/>
      <c r="R84" s="167">
        <f t="shared" si="105"/>
        <v>0</v>
      </c>
      <c r="S84" s="86"/>
      <c r="T84" s="167">
        <f t="shared" si="106"/>
        <v>0</v>
      </c>
      <c r="U84" s="86"/>
      <c r="V84" s="167">
        <f t="shared" si="107"/>
        <v>0</v>
      </c>
      <c r="W84" s="86"/>
      <c r="X84" s="167">
        <f t="shared" si="108"/>
        <v>0</v>
      </c>
      <c r="Y84" s="86"/>
      <c r="Z84" s="167">
        <f t="shared" si="109"/>
        <v>0</v>
      </c>
      <c r="AA84" s="86"/>
      <c r="AB84" s="167">
        <f t="shared" si="110"/>
        <v>0</v>
      </c>
      <c r="AC84" s="86"/>
      <c r="AD84" s="167">
        <f t="shared" si="111"/>
        <v>0</v>
      </c>
      <c r="AE84" s="86"/>
      <c r="AF84" s="167">
        <f t="shared" si="112"/>
        <v>0</v>
      </c>
      <c r="AG84" s="86"/>
      <c r="AH84" s="167">
        <f t="shared" si="113"/>
        <v>0</v>
      </c>
      <c r="AI84" s="86"/>
      <c r="AJ84" s="167">
        <f t="shared" si="114"/>
        <v>0</v>
      </c>
      <c r="AK84" s="86"/>
      <c r="AL84" s="167">
        <f t="shared" si="115"/>
        <v>0</v>
      </c>
      <c r="AM84" s="86"/>
      <c r="AN84" s="167">
        <f t="shared" si="116"/>
        <v>0</v>
      </c>
      <c r="AO84" s="86"/>
      <c r="AP84" s="167">
        <f t="shared" si="117"/>
        <v>0</v>
      </c>
      <c r="AQ84" s="86"/>
      <c r="AR84" s="167">
        <f t="shared" si="118"/>
        <v>0</v>
      </c>
      <c r="AS84" s="86"/>
      <c r="AT84" s="167">
        <f t="shared" si="119"/>
        <v>0</v>
      </c>
      <c r="AU84" s="86"/>
      <c r="AV84" s="167">
        <f t="shared" si="120"/>
        <v>0</v>
      </c>
      <c r="AW84" s="86"/>
      <c r="AX84" s="167">
        <f t="shared" si="121"/>
        <v>0</v>
      </c>
      <c r="AY84" s="86"/>
      <c r="AZ84" s="167">
        <f t="shared" si="122"/>
        <v>0</v>
      </c>
      <c r="BA84" s="86"/>
      <c r="BB84" s="167">
        <f t="shared" si="123"/>
        <v>0</v>
      </c>
      <c r="BC84" s="86"/>
      <c r="BD84" s="167">
        <f t="shared" si="124"/>
        <v>0</v>
      </c>
      <c r="BE84" s="86"/>
      <c r="BF84" s="167">
        <f t="shared" si="125"/>
        <v>0</v>
      </c>
      <c r="BG84" s="86"/>
      <c r="BH84" s="167">
        <f t="shared" si="126"/>
        <v>0</v>
      </c>
      <c r="BI84" s="86"/>
      <c r="BJ84" s="167">
        <f t="shared" si="127"/>
        <v>0</v>
      </c>
      <c r="BK84" s="86"/>
      <c r="BL84" s="167">
        <f t="shared" si="128"/>
        <v>0</v>
      </c>
      <c r="BM84" s="86"/>
      <c r="BN84" s="50"/>
      <c r="BO84" s="170" t="e">
        <f t="shared" si="129"/>
        <v>#VALUE!</v>
      </c>
      <c r="BP84" s="167" t="e">
        <f t="shared" si="131"/>
        <v>#VALUE!</v>
      </c>
      <c r="BQ84" s="178" t="str">
        <f t="shared" si="130"/>
        <v/>
      </c>
    </row>
    <row r="85" spans="1:69" x14ac:dyDescent="0.35">
      <c r="A85" s="44" t="s">
        <v>83</v>
      </c>
      <c r="B85" s="54" t="s">
        <v>65</v>
      </c>
      <c r="C85" s="174" t="str">
        <f>IF('July 2027 Log'!BM85="","",'July 2027 Log'!BM85)</f>
        <v/>
      </c>
      <c r="D85" s="189" t="e">
        <f t="shared" si="98"/>
        <v>#VALUE!</v>
      </c>
      <c r="E85" s="86"/>
      <c r="F85" s="167">
        <f t="shared" si="99"/>
        <v>0</v>
      </c>
      <c r="G85" s="86"/>
      <c r="H85" s="167">
        <f t="shared" si="100"/>
        <v>0</v>
      </c>
      <c r="I85" s="86"/>
      <c r="J85" s="167">
        <f t="shared" si="101"/>
        <v>0</v>
      </c>
      <c r="K85" s="86"/>
      <c r="L85" s="167">
        <f t="shared" si="102"/>
        <v>0</v>
      </c>
      <c r="M85" s="86"/>
      <c r="N85" s="167">
        <f t="shared" si="103"/>
        <v>0</v>
      </c>
      <c r="O85" s="86"/>
      <c r="P85" s="167">
        <f t="shared" si="104"/>
        <v>0</v>
      </c>
      <c r="Q85" s="86"/>
      <c r="R85" s="167">
        <f t="shared" si="105"/>
        <v>0</v>
      </c>
      <c r="S85" s="86"/>
      <c r="T85" s="167">
        <f t="shared" si="106"/>
        <v>0</v>
      </c>
      <c r="U85" s="86"/>
      <c r="V85" s="167">
        <f t="shared" si="107"/>
        <v>0</v>
      </c>
      <c r="W85" s="86"/>
      <c r="X85" s="167">
        <f t="shared" si="108"/>
        <v>0</v>
      </c>
      <c r="Y85" s="86"/>
      <c r="Z85" s="167">
        <f t="shared" si="109"/>
        <v>0</v>
      </c>
      <c r="AA85" s="86"/>
      <c r="AB85" s="167">
        <f t="shared" si="110"/>
        <v>0</v>
      </c>
      <c r="AC85" s="86"/>
      <c r="AD85" s="167">
        <f t="shared" si="111"/>
        <v>0</v>
      </c>
      <c r="AE85" s="86"/>
      <c r="AF85" s="167">
        <f t="shared" si="112"/>
        <v>0</v>
      </c>
      <c r="AG85" s="86"/>
      <c r="AH85" s="167">
        <f t="shared" si="113"/>
        <v>0</v>
      </c>
      <c r="AI85" s="86"/>
      <c r="AJ85" s="167">
        <f t="shared" si="114"/>
        <v>0</v>
      </c>
      <c r="AK85" s="86"/>
      <c r="AL85" s="167">
        <f t="shared" si="115"/>
        <v>0</v>
      </c>
      <c r="AM85" s="86"/>
      <c r="AN85" s="167">
        <f t="shared" si="116"/>
        <v>0</v>
      </c>
      <c r="AO85" s="86"/>
      <c r="AP85" s="167">
        <f t="shared" si="117"/>
        <v>0</v>
      </c>
      <c r="AQ85" s="86"/>
      <c r="AR85" s="167">
        <f t="shared" si="118"/>
        <v>0</v>
      </c>
      <c r="AS85" s="86"/>
      <c r="AT85" s="167">
        <f t="shared" si="119"/>
        <v>0</v>
      </c>
      <c r="AU85" s="86"/>
      <c r="AV85" s="167">
        <f t="shared" si="120"/>
        <v>0</v>
      </c>
      <c r="AW85" s="86"/>
      <c r="AX85" s="167">
        <f t="shared" si="121"/>
        <v>0</v>
      </c>
      <c r="AY85" s="86"/>
      <c r="AZ85" s="167">
        <f t="shared" si="122"/>
        <v>0</v>
      </c>
      <c r="BA85" s="86"/>
      <c r="BB85" s="167">
        <f t="shared" si="123"/>
        <v>0</v>
      </c>
      <c r="BC85" s="86"/>
      <c r="BD85" s="167">
        <f t="shared" si="124"/>
        <v>0</v>
      </c>
      <c r="BE85" s="86"/>
      <c r="BF85" s="167">
        <f t="shared" si="125"/>
        <v>0</v>
      </c>
      <c r="BG85" s="86"/>
      <c r="BH85" s="167">
        <f t="shared" si="126"/>
        <v>0</v>
      </c>
      <c r="BI85" s="86"/>
      <c r="BJ85" s="167">
        <f t="shared" si="127"/>
        <v>0</v>
      </c>
      <c r="BK85" s="86"/>
      <c r="BL85" s="167">
        <f t="shared" si="128"/>
        <v>0</v>
      </c>
      <c r="BM85" s="86"/>
      <c r="BN85" s="50"/>
      <c r="BO85" s="170" t="e">
        <f t="shared" si="129"/>
        <v>#VALUE!</v>
      </c>
      <c r="BP85" s="167" t="e">
        <f t="shared" si="131"/>
        <v>#VALUE!</v>
      </c>
      <c r="BQ85" s="178" t="str">
        <f t="shared" si="130"/>
        <v/>
      </c>
    </row>
    <row r="86" spans="1:69" x14ac:dyDescent="0.35">
      <c r="A86" s="135" t="s">
        <v>84</v>
      </c>
      <c r="B86" s="54" t="s">
        <v>67</v>
      </c>
      <c r="C86" s="174" t="str">
        <f>IF('July 2027 Log'!BM86="","",'July 2027 Log'!BM86)</f>
        <v/>
      </c>
      <c r="D86" s="189" t="e">
        <f t="shared" si="98"/>
        <v>#VALUE!</v>
      </c>
      <c r="E86" s="86"/>
      <c r="F86" s="167">
        <f t="shared" si="99"/>
        <v>0</v>
      </c>
      <c r="G86" s="86"/>
      <c r="H86" s="167">
        <f t="shared" si="100"/>
        <v>0</v>
      </c>
      <c r="I86" s="86"/>
      <c r="J86" s="167">
        <f t="shared" si="101"/>
        <v>0</v>
      </c>
      <c r="K86" s="86"/>
      <c r="L86" s="167">
        <f t="shared" si="102"/>
        <v>0</v>
      </c>
      <c r="M86" s="86"/>
      <c r="N86" s="167">
        <f t="shared" si="103"/>
        <v>0</v>
      </c>
      <c r="O86" s="86"/>
      <c r="P86" s="167">
        <f t="shared" si="104"/>
        <v>0</v>
      </c>
      <c r="Q86" s="86"/>
      <c r="R86" s="167">
        <f t="shared" si="105"/>
        <v>0</v>
      </c>
      <c r="S86" s="86"/>
      <c r="T86" s="167">
        <f t="shared" si="106"/>
        <v>0</v>
      </c>
      <c r="U86" s="86"/>
      <c r="V86" s="167">
        <f t="shared" si="107"/>
        <v>0</v>
      </c>
      <c r="W86" s="86"/>
      <c r="X86" s="167">
        <f t="shared" si="108"/>
        <v>0</v>
      </c>
      <c r="Y86" s="86"/>
      <c r="Z86" s="167">
        <f t="shared" si="109"/>
        <v>0</v>
      </c>
      <c r="AA86" s="86"/>
      <c r="AB86" s="167">
        <f t="shared" si="110"/>
        <v>0</v>
      </c>
      <c r="AC86" s="86"/>
      <c r="AD86" s="167">
        <f t="shared" si="111"/>
        <v>0</v>
      </c>
      <c r="AE86" s="86"/>
      <c r="AF86" s="167">
        <f t="shared" si="112"/>
        <v>0</v>
      </c>
      <c r="AG86" s="86"/>
      <c r="AH86" s="167">
        <f t="shared" si="113"/>
        <v>0</v>
      </c>
      <c r="AI86" s="86"/>
      <c r="AJ86" s="167">
        <f t="shared" si="114"/>
        <v>0</v>
      </c>
      <c r="AK86" s="86"/>
      <c r="AL86" s="167">
        <f t="shared" si="115"/>
        <v>0</v>
      </c>
      <c r="AM86" s="86"/>
      <c r="AN86" s="167">
        <f t="shared" si="116"/>
        <v>0</v>
      </c>
      <c r="AO86" s="86"/>
      <c r="AP86" s="167">
        <f t="shared" si="117"/>
        <v>0</v>
      </c>
      <c r="AQ86" s="86"/>
      <c r="AR86" s="167">
        <f t="shared" si="118"/>
        <v>0</v>
      </c>
      <c r="AS86" s="86"/>
      <c r="AT86" s="167">
        <f t="shared" si="119"/>
        <v>0</v>
      </c>
      <c r="AU86" s="86"/>
      <c r="AV86" s="167">
        <f t="shared" si="120"/>
        <v>0</v>
      </c>
      <c r="AW86" s="86"/>
      <c r="AX86" s="167">
        <f t="shared" si="121"/>
        <v>0</v>
      </c>
      <c r="AY86" s="86"/>
      <c r="AZ86" s="167">
        <f t="shared" si="122"/>
        <v>0</v>
      </c>
      <c r="BA86" s="86"/>
      <c r="BB86" s="167">
        <f t="shared" si="123"/>
        <v>0</v>
      </c>
      <c r="BC86" s="86"/>
      <c r="BD86" s="167">
        <f t="shared" si="124"/>
        <v>0</v>
      </c>
      <c r="BE86" s="86"/>
      <c r="BF86" s="167">
        <f t="shared" si="125"/>
        <v>0</v>
      </c>
      <c r="BG86" s="86"/>
      <c r="BH86" s="167">
        <f t="shared" si="126"/>
        <v>0</v>
      </c>
      <c r="BI86" s="86"/>
      <c r="BJ86" s="167">
        <f t="shared" si="127"/>
        <v>0</v>
      </c>
      <c r="BK86" s="86"/>
      <c r="BL86" s="167">
        <f t="shared" si="128"/>
        <v>0</v>
      </c>
      <c r="BM86" s="86"/>
      <c r="BN86" s="50"/>
      <c r="BO86" s="170" t="e">
        <f t="shared" si="129"/>
        <v>#VALUE!</v>
      </c>
      <c r="BP86" s="167" t="e">
        <f t="shared" si="131"/>
        <v>#VALUE!</v>
      </c>
      <c r="BQ86" s="178" t="str">
        <f t="shared" si="130"/>
        <v/>
      </c>
    </row>
    <row r="87" spans="1:69" x14ac:dyDescent="0.35">
      <c r="A87" s="136" t="s">
        <v>85</v>
      </c>
      <c r="B87" s="54" t="s">
        <v>66</v>
      </c>
      <c r="C87" s="174" t="str">
        <f>IF('July 2027 Log'!BM87="","",'July 2027 Log'!BM87)</f>
        <v/>
      </c>
      <c r="D87" s="189" t="e">
        <f t="shared" si="98"/>
        <v>#VALUE!</v>
      </c>
      <c r="E87" s="86"/>
      <c r="F87" s="167">
        <f t="shared" si="99"/>
        <v>0</v>
      </c>
      <c r="G87" s="86"/>
      <c r="H87" s="167">
        <f t="shared" si="100"/>
        <v>0</v>
      </c>
      <c r="I87" s="86"/>
      <c r="J87" s="167">
        <f t="shared" si="101"/>
        <v>0</v>
      </c>
      <c r="K87" s="86"/>
      <c r="L87" s="167">
        <f t="shared" si="102"/>
        <v>0</v>
      </c>
      <c r="M87" s="86"/>
      <c r="N87" s="167">
        <f t="shared" si="103"/>
        <v>0</v>
      </c>
      <c r="O87" s="86"/>
      <c r="P87" s="167">
        <f t="shared" si="104"/>
        <v>0</v>
      </c>
      <c r="Q87" s="86"/>
      <c r="R87" s="167">
        <f t="shared" si="105"/>
        <v>0</v>
      </c>
      <c r="S87" s="86"/>
      <c r="T87" s="167">
        <f t="shared" si="106"/>
        <v>0</v>
      </c>
      <c r="U87" s="86"/>
      <c r="V87" s="167">
        <f t="shared" si="107"/>
        <v>0</v>
      </c>
      <c r="W87" s="86"/>
      <c r="X87" s="167">
        <f t="shared" si="108"/>
        <v>0</v>
      </c>
      <c r="Y87" s="86"/>
      <c r="Z87" s="167">
        <f t="shared" si="109"/>
        <v>0</v>
      </c>
      <c r="AA87" s="86"/>
      <c r="AB87" s="167">
        <f t="shared" si="110"/>
        <v>0</v>
      </c>
      <c r="AC87" s="86"/>
      <c r="AD87" s="167">
        <f t="shared" si="111"/>
        <v>0</v>
      </c>
      <c r="AE87" s="86"/>
      <c r="AF87" s="167">
        <f t="shared" si="112"/>
        <v>0</v>
      </c>
      <c r="AG87" s="86"/>
      <c r="AH87" s="167">
        <f t="shared" si="113"/>
        <v>0</v>
      </c>
      <c r="AI87" s="86"/>
      <c r="AJ87" s="167">
        <f t="shared" si="114"/>
        <v>0</v>
      </c>
      <c r="AK87" s="86"/>
      <c r="AL87" s="167">
        <f t="shared" si="115"/>
        <v>0</v>
      </c>
      <c r="AM87" s="86"/>
      <c r="AN87" s="167">
        <f t="shared" si="116"/>
        <v>0</v>
      </c>
      <c r="AO87" s="86"/>
      <c r="AP87" s="167">
        <f t="shared" si="117"/>
        <v>0</v>
      </c>
      <c r="AQ87" s="86"/>
      <c r="AR87" s="167">
        <f t="shared" si="118"/>
        <v>0</v>
      </c>
      <c r="AS87" s="86"/>
      <c r="AT87" s="167">
        <f t="shared" si="119"/>
        <v>0</v>
      </c>
      <c r="AU87" s="86"/>
      <c r="AV87" s="167">
        <f t="shared" si="120"/>
        <v>0</v>
      </c>
      <c r="AW87" s="86"/>
      <c r="AX87" s="167">
        <f t="shared" si="121"/>
        <v>0</v>
      </c>
      <c r="AY87" s="86"/>
      <c r="AZ87" s="167">
        <f t="shared" si="122"/>
        <v>0</v>
      </c>
      <c r="BA87" s="86"/>
      <c r="BB87" s="167">
        <f t="shared" si="123"/>
        <v>0</v>
      </c>
      <c r="BC87" s="86"/>
      <c r="BD87" s="167">
        <f t="shared" si="124"/>
        <v>0</v>
      </c>
      <c r="BE87" s="86"/>
      <c r="BF87" s="167">
        <f t="shared" si="125"/>
        <v>0</v>
      </c>
      <c r="BG87" s="86"/>
      <c r="BH87" s="167">
        <f t="shared" si="126"/>
        <v>0</v>
      </c>
      <c r="BI87" s="86"/>
      <c r="BJ87" s="167">
        <f t="shared" si="127"/>
        <v>0</v>
      </c>
      <c r="BK87" s="86"/>
      <c r="BL87" s="167">
        <f t="shared" si="128"/>
        <v>0</v>
      </c>
      <c r="BM87" s="86"/>
      <c r="BN87" s="50"/>
      <c r="BO87" s="170" t="e">
        <f t="shared" si="129"/>
        <v>#VALUE!</v>
      </c>
      <c r="BP87" s="167" t="e">
        <f t="shared" si="131"/>
        <v>#VALUE!</v>
      </c>
      <c r="BQ87" s="178" t="str">
        <f t="shared" si="130"/>
        <v/>
      </c>
    </row>
    <row r="88" spans="1:69" x14ac:dyDescent="0.35">
      <c r="A88" s="44" t="s">
        <v>86</v>
      </c>
      <c r="B88" s="54" t="s">
        <v>65</v>
      </c>
      <c r="C88" s="174" t="str">
        <f>IF('July 2027 Log'!BM88="","",'July 2027 Log'!BM88)</f>
        <v/>
      </c>
      <c r="D88" s="189" t="e">
        <f t="shared" si="98"/>
        <v>#VALUE!</v>
      </c>
      <c r="E88" s="86"/>
      <c r="F88" s="167">
        <f t="shared" si="99"/>
        <v>0</v>
      </c>
      <c r="G88" s="86"/>
      <c r="H88" s="167">
        <f t="shared" si="100"/>
        <v>0</v>
      </c>
      <c r="I88" s="86"/>
      <c r="J88" s="167">
        <f t="shared" si="101"/>
        <v>0</v>
      </c>
      <c r="K88" s="86"/>
      <c r="L88" s="167">
        <f t="shared" si="102"/>
        <v>0</v>
      </c>
      <c r="M88" s="86"/>
      <c r="N88" s="167">
        <f t="shared" si="103"/>
        <v>0</v>
      </c>
      <c r="O88" s="86"/>
      <c r="P88" s="167">
        <f t="shared" si="104"/>
        <v>0</v>
      </c>
      <c r="Q88" s="86"/>
      <c r="R88" s="167">
        <f t="shared" si="105"/>
        <v>0</v>
      </c>
      <c r="S88" s="86"/>
      <c r="T88" s="167">
        <f t="shared" si="106"/>
        <v>0</v>
      </c>
      <c r="U88" s="86"/>
      <c r="V88" s="167">
        <f t="shared" si="107"/>
        <v>0</v>
      </c>
      <c r="W88" s="86"/>
      <c r="X88" s="167">
        <f t="shared" si="108"/>
        <v>0</v>
      </c>
      <c r="Y88" s="86"/>
      <c r="Z88" s="167">
        <f t="shared" si="109"/>
        <v>0</v>
      </c>
      <c r="AA88" s="86"/>
      <c r="AB88" s="167">
        <f t="shared" si="110"/>
        <v>0</v>
      </c>
      <c r="AC88" s="86"/>
      <c r="AD88" s="167">
        <f t="shared" si="111"/>
        <v>0</v>
      </c>
      <c r="AE88" s="86"/>
      <c r="AF88" s="167">
        <f t="shared" si="112"/>
        <v>0</v>
      </c>
      <c r="AG88" s="86"/>
      <c r="AH88" s="167">
        <f t="shared" si="113"/>
        <v>0</v>
      </c>
      <c r="AI88" s="86"/>
      <c r="AJ88" s="167">
        <f t="shared" si="114"/>
        <v>0</v>
      </c>
      <c r="AK88" s="86"/>
      <c r="AL88" s="167">
        <f t="shared" si="115"/>
        <v>0</v>
      </c>
      <c r="AM88" s="86"/>
      <c r="AN88" s="167">
        <f t="shared" si="116"/>
        <v>0</v>
      </c>
      <c r="AO88" s="86"/>
      <c r="AP88" s="167">
        <f t="shared" si="117"/>
        <v>0</v>
      </c>
      <c r="AQ88" s="86"/>
      <c r="AR88" s="167">
        <f t="shared" si="118"/>
        <v>0</v>
      </c>
      <c r="AS88" s="86"/>
      <c r="AT88" s="167">
        <f t="shared" si="119"/>
        <v>0</v>
      </c>
      <c r="AU88" s="86"/>
      <c r="AV88" s="167">
        <f t="shared" si="120"/>
        <v>0</v>
      </c>
      <c r="AW88" s="86"/>
      <c r="AX88" s="167">
        <f t="shared" si="121"/>
        <v>0</v>
      </c>
      <c r="AY88" s="86"/>
      <c r="AZ88" s="167">
        <f t="shared" si="122"/>
        <v>0</v>
      </c>
      <c r="BA88" s="86"/>
      <c r="BB88" s="167">
        <f t="shared" si="123"/>
        <v>0</v>
      </c>
      <c r="BC88" s="86"/>
      <c r="BD88" s="167">
        <f t="shared" si="124"/>
        <v>0</v>
      </c>
      <c r="BE88" s="86"/>
      <c r="BF88" s="167">
        <f t="shared" si="125"/>
        <v>0</v>
      </c>
      <c r="BG88" s="86"/>
      <c r="BH88" s="167">
        <f t="shared" si="126"/>
        <v>0</v>
      </c>
      <c r="BI88" s="86"/>
      <c r="BJ88" s="167">
        <f t="shared" si="127"/>
        <v>0</v>
      </c>
      <c r="BK88" s="86"/>
      <c r="BL88" s="167">
        <f t="shared" si="128"/>
        <v>0</v>
      </c>
      <c r="BM88" s="86"/>
      <c r="BN88" s="50"/>
      <c r="BO88" s="170" t="e">
        <f t="shared" si="129"/>
        <v>#VALUE!</v>
      </c>
      <c r="BP88" s="167" t="e">
        <f t="shared" si="131"/>
        <v>#VALUE!</v>
      </c>
      <c r="BQ88" s="178" t="str">
        <f t="shared" si="130"/>
        <v/>
      </c>
    </row>
    <row r="89" spans="1:69" x14ac:dyDescent="0.35">
      <c r="A89" s="53"/>
      <c r="B89" s="54"/>
      <c r="C89" s="144"/>
      <c r="D89" s="192">
        <f t="shared" si="98"/>
        <v>0</v>
      </c>
      <c r="E89" s="145"/>
      <c r="F89" s="173">
        <f t="shared" si="99"/>
        <v>0</v>
      </c>
      <c r="G89" s="145"/>
      <c r="H89" s="173">
        <f t="shared" si="100"/>
        <v>0</v>
      </c>
      <c r="I89" s="145"/>
      <c r="J89" s="173">
        <f t="shared" si="101"/>
        <v>0</v>
      </c>
      <c r="K89" s="145"/>
      <c r="L89" s="173">
        <f t="shared" si="102"/>
        <v>0</v>
      </c>
      <c r="M89" s="145"/>
      <c r="N89" s="173">
        <f t="shared" si="103"/>
        <v>0</v>
      </c>
      <c r="O89" s="145"/>
      <c r="P89" s="173">
        <f t="shared" si="104"/>
        <v>0</v>
      </c>
      <c r="Q89" s="145"/>
      <c r="R89" s="173">
        <f t="shared" si="105"/>
        <v>0</v>
      </c>
      <c r="S89" s="145"/>
      <c r="T89" s="173">
        <f t="shared" si="106"/>
        <v>0</v>
      </c>
      <c r="U89" s="145"/>
      <c r="V89" s="173">
        <f t="shared" si="107"/>
        <v>0</v>
      </c>
      <c r="W89" s="145"/>
      <c r="X89" s="173">
        <f t="shared" si="108"/>
        <v>0</v>
      </c>
      <c r="Y89" s="145"/>
      <c r="Z89" s="173">
        <f t="shared" si="109"/>
        <v>0</v>
      </c>
      <c r="AA89" s="145"/>
      <c r="AB89" s="173">
        <f t="shared" si="110"/>
        <v>0</v>
      </c>
      <c r="AC89" s="145"/>
      <c r="AD89" s="173">
        <f t="shared" si="111"/>
        <v>0</v>
      </c>
      <c r="AE89" s="145"/>
      <c r="AF89" s="173">
        <f t="shared" si="112"/>
        <v>0</v>
      </c>
      <c r="AG89" s="145"/>
      <c r="AH89" s="173">
        <f t="shared" si="113"/>
        <v>0</v>
      </c>
      <c r="AI89" s="145"/>
      <c r="AJ89" s="173">
        <f t="shared" si="114"/>
        <v>0</v>
      </c>
      <c r="AK89" s="145"/>
      <c r="AL89" s="173">
        <f t="shared" si="115"/>
        <v>0</v>
      </c>
      <c r="AM89" s="145"/>
      <c r="AN89" s="173">
        <f t="shared" si="116"/>
        <v>0</v>
      </c>
      <c r="AO89" s="145"/>
      <c r="AP89" s="173">
        <f t="shared" si="117"/>
        <v>0</v>
      </c>
      <c r="AQ89" s="145"/>
      <c r="AR89" s="173">
        <f t="shared" si="118"/>
        <v>0</v>
      </c>
      <c r="AS89" s="145"/>
      <c r="AT89" s="173">
        <f t="shared" si="119"/>
        <v>0</v>
      </c>
      <c r="AU89" s="145"/>
      <c r="AV89" s="173">
        <f t="shared" si="120"/>
        <v>0</v>
      </c>
      <c r="AW89" s="145"/>
      <c r="AX89" s="173">
        <f t="shared" si="121"/>
        <v>0</v>
      </c>
      <c r="AY89" s="145"/>
      <c r="AZ89" s="173">
        <f t="shared" si="122"/>
        <v>0</v>
      </c>
      <c r="BA89" s="145"/>
      <c r="BB89" s="173">
        <f t="shared" si="123"/>
        <v>0</v>
      </c>
      <c r="BC89" s="145"/>
      <c r="BD89" s="173">
        <f t="shared" si="124"/>
        <v>0</v>
      </c>
      <c r="BE89" s="145"/>
      <c r="BF89" s="173">
        <f t="shared" si="125"/>
        <v>0</v>
      </c>
      <c r="BG89" s="145"/>
      <c r="BH89" s="173">
        <f t="shared" si="126"/>
        <v>0</v>
      </c>
      <c r="BI89" s="145"/>
      <c r="BJ89" s="173">
        <f t="shared" si="127"/>
        <v>0</v>
      </c>
      <c r="BK89" s="145"/>
      <c r="BL89" s="173">
        <f t="shared" si="128"/>
        <v>0</v>
      </c>
      <c r="BM89" s="145"/>
      <c r="BN89" s="50"/>
      <c r="BO89" s="51"/>
      <c r="BP89" s="173">
        <f t="shared" si="131"/>
        <v>0</v>
      </c>
      <c r="BQ89" s="88"/>
    </row>
    <row r="90" spans="1:69" x14ac:dyDescent="0.35">
      <c r="A90" s="74" t="s">
        <v>93</v>
      </c>
      <c r="B90" s="75"/>
      <c r="C90" s="141"/>
      <c r="D90" s="102"/>
      <c r="E90" s="142"/>
      <c r="F90" s="104"/>
      <c r="G90" s="142"/>
      <c r="H90" s="104"/>
      <c r="I90" s="142"/>
      <c r="J90" s="104"/>
      <c r="K90" s="142"/>
      <c r="L90" s="104"/>
      <c r="M90" s="142"/>
      <c r="N90" s="104"/>
      <c r="O90" s="142"/>
      <c r="P90" s="104"/>
      <c r="Q90" s="142"/>
      <c r="R90" s="104"/>
      <c r="S90" s="142"/>
      <c r="T90" s="104"/>
      <c r="U90" s="142"/>
      <c r="V90" s="104"/>
      <c r="W90" s="142"/>
      <c r="X90" s="104"/>
      <c r="Y90" s="142"/>
      <c r="Z90" s="104"/>
      <c r="AA90" s="142"/>
      <c r="AB90" s="104"/>
      <c r="AC90" s="142"/>
      <c r="AD90" s="104"/>
      <c r="AE90" s="142"/>
      <c r="AF90" s="104"/>
      <c r="AG90" s="142"/>
      <c r="AH90" s="104"/>
      <c r="AI90" s="142"/>
      <c r="AJ90" s="104"/>
      <c r="AK90" s="142"/>
      <c r="AL90" s="104"/>
      <c r="AM90" s="142"/>
      <c r="AN90" s="104"/>
      <c r="AO90" s="142"/>
      <c r="AP90" s="104"/>
      <c r="AQ90" s="142"/>
      <c r="AR90" s="104"/>
      <c r="AS90" s="142"/>
      <c r="AT90" s="104"/>
      <c r="AU90" s="142"/>
      <c r="AV90" s="104"/>
      <c r="AW90" s="142"/>
      <c r="AX90" s="104"/>
      <c r="AY90" s="142"/>
      <c r="AZ90" s="104"/>
      <c r="BA90" s="142"/>
      <c r="BB90" s="104"/>
      <c r="BC90" s="142"/>
      <c r="BD90" s="104"/>
      <c r="BE90" s="142"/>
      <c r="BF90" s="104"/>
      <c r="BG90" s="142"/>
      <c r="BH90" s="104"/>
      <c r="BI90" s="142"/>
      <c r="BJ90" s="104"/>
      <c r="BK90" s="142"/>
      <c r="BL90" s="104"/>
      <c r="BM90" s="142"/>
      <c r="BN90" s="105"/>
      <c r="BO90" s="106"/>
      <c r="BP90" s="104"/>
      <c r="BQ90" s="107"/>
    </row>
    <row r="91" spans="1:69" x14ac:dyDescent="0.35">
      <c r="A91" s="132" t="s">
        <v>75</v>
      </c>
      <c r="B91" s="54" t="s">
        <v>65</v>
      </c>
      <c r="C91" s="144"/>
      <c r="D91" s="146"/>
      <c r="E91" s="166" t="e">
        <f>+D91-D77</f>
        <v>#VALUE!</v>
      </c>
      <c r="F91" s="147"/>
      <c r="G91" s="166">
        <f>+F91-F77</f>
        <v>0</v>
      </c>
      <c r="H91" s="147"/>
      <c r="I91" s="166">
        <f>+H91-H77</f>
        <v>0</v>
      </c>
      <c r="J91" s="147"/>
      <c r="K91" s="166">
        <f>+J91-J77</f>
        <v>0</v>
      </c>
      <c r="L91" s="147"/>
      <c r="M91" s="166">
        <f>+L91-L77</f>
        <v>0</v>
      </c>
      <c r="N91" s="147"/>
      <c r="O91" s="166">
        <f>+N91-N77</f>
        <v>0</v>
      </c>
      <c r="P91" s="147"/>
      <c r="Q91" s="166">
        <f>+P91-P77</f>
        <v>0</v>
      </c>
      <c r="R91" s="147"/>
      <c r="S91" s="166">
        <f>+R91-R77</f>
        <v>0</v>
      </c>
      <c r="T91" s="147"/>
      <c r="U91" s="166">
        <f>+T91-T77</f>
        <v>0</v>
      </c>
      <c r="V91" s="147"/>
      <c r="W91" s="166">
        <f>+V91-V77</f>
        <v>0</v>
      </c>
      <c r="X91" s="147"/>
      <c r="Y91" s="166">
        <f>+X91-X77</f>
        <v>0</v>
      </c>
      <c r="Z91" s="147"/>
      <c r="AA91" s="166">
        <f>+Z91-Z77</f>
        <v>0</v>
      </c>
      <c r="AB91" s="147"/>
      <c r="AC91" s="166">
        <f>+AB91-AB77</f>
        <v>0</v>
      </c>
      <c r="AD91" s="147"/>
      <c r="AE91" s="166">
        <f>+AD91-AD77</f>
        <v>0</v>
      </c>
      <c r="AF91" s="147"/>
      <c r="AG91" s="166">
        <f>+AF91-AF77</f>
        <v>0</v>
      </c>
      <c r="AH91" s="147"/>
      <c r="AI91" s="166">
        <f>+AH91-AH77</f>
        <v>0</v>
      </c>
      <c r="AJ91" s="147"/>
      <c r="AK91" s="166">
        <f>+AJ91-AJ77</f>
        <v>0</v>
      </c>
      <c r="AL91" s="147"/>
      <c r="AM91" s="166">
        <f>+AL91-AL77</f>
        <v>0</v>
      </c>
      <c r="AN91" s="147"/>
      <c r="AO91" s="166">
        <f>+AN91-AN77</f>
        <v>0</v>
      </c>
      <c r="AP91" s="147"/>
      <c r="AQ91" s="166">
        <f>+AP91-AP77</f>
        <v>0</v>
      </c>
      <c r="AR91" s="147"/>
      <c r="AS91" s="166">
        <f>+AR91-AR77</f>
        <v>0</v>
      </c>
      <c r="AT91" s="147"/>
      <c r="AU91" s="166">
        <f>+AT91-AT77</f>
        <v>0</v>
      </c>
      <c r="AV91" s="147"/>
      <c r="AW91" s="166">
        <f>+AV91-AV77</f>
        <v>0</v>
      </c>
      <c r="AX91" s="147"/>
      <c r="AY91" s="166">
        <f>+AX91-AX77</f>
        <v>0</v>
      </c>
      <c r="AZ91" s="147"/>
      <c r="BA91" s="166">
        <f>+AZ91-AZ77</f>
        <v>0</v>
      </c>
      <c r="BB91" s="147"/>
      <c r="BC91" s="166">
        <f>+BB91-BB77</f>
        <v>0</v>
      </c>
      <c r="BD91" s="147"/>
      <c r="BE91" s="166">
        <f>+BD91-BD77</f>
        <v>0</v>
      </c>
      <c r="BF91" s="147"/>
      <c r="BG91" s="166">
        <f>+BF91-BF77</f>
        <v>0</v>
      </c>
      <c r="BH91" s="147"/>
      <c r="BI91" s="166">
        <f>+BH91-BH77</f>
        <v>0</v>
      </c>
      <c r="BJ91" s="147"/>
      <c r="BK91" s="166">
        <f>+BJ91-BJ77</f>
        <v>0</v>
      </c>
      <c r="BL91" s="147"/>
      <c r="BM91" s="166">
        <f>+BL91-BL77</f>
        <v>0</v>
      </c>
      <c r="BN91" s="50"/>
      <c r="BO91" s="170" t="e">
        <f t="shared" ref="BO91:BO103" si="132">IF(COUNT(E91,G91,I91,K91,M91,O91,Q91,S91,U91,W91,Y91,AA91,AC91,AE91,AG91,AI91,AK91,AM91,AO91,AQ91,AS91,AU91,AW91,AY91,BA91,BC91,BE91,BG91,BI91,BK91,BM91)=0,"",SUM(E91,G91,I91,K91,M91,O91,Q91,S91,U91,W91,Y91,AA91,AC91,AE91,AG91,AI91,AK91,AM91,AO91,AQ91,AS91,AU91,AW91,AY91,BA91,BC91,BE91,BG91,BI91,BK91,BM91))</f>
        <v>#VALUE!</v>
      </c>
      <c r="BP91" s="87"/>
      <c r="BQ91" s="52"/>
    </row>
    <row r="92" spans="1:69" x14ac:dyDescent="0.35">
      <c r="A92" s="136"/>
      <c r="B92" s="54" t="s">
        <v>66</v>
      </c>
      <c r="C92" s="144"/>
      <c r="D92" s="146"/>
      <c r="E92" s="166" t="e">
        <f t="shared" ref="E92:K102" si="133">+D92-D78</f>
        <v>#VALUE!</v>
      </c>
      <c r="F92" s="147"/>
      <c r="G92" s="166">
        <f t="shared" si="133"/>
        <v>0</v>
      </c>
      <c r="H92" s="147"/>
      <c r="I92" s="166">
        <f t="shared" si="133"/>
        <v>0</v>
      </c>
      <c r="J92" s="147"/>
      <c r="K92" s="166">
        <f t="shared" si="133"/>
        <v>0</v>
      </c>
      <c r="L92" s="147"/>
      <c r="M92" s="166">
        <f t="shared" ref="M92:M102" si="134">+L92-L78</f>
        <v>0</v>
      </c>
      <c r="N92" s="147"/>
      <c r="O92" s="166">
        <f t="shared" ref="O92:O102" si="135">+N92-N78</f>
        <v>0</v>
      </c>
      <c r="P92" s="147"/>
      <c r="Q92" s="166">
        <f t="shared" ref="Q92:Q102" si="136">+P92-P78</f>
        <v>0</v>
      </c>
      <c r="R92" s="147"/>
      <c r="S92" s="166">
        <f t="shared" ref="S92:S102" si="137">+R92-R78</f>
        <v>0</v>
      </c>
      <c r="T92" s="147"/>
      <c r="U92" s="166">
        <f t="shared" ref="U92:U102" si="138">+T92-T78</f>
        <v>0</v>
      </c>
      <c r="V92" s="147"/>
      <c r="W92" s="166">
        <f t="shared" ref="W92:W102" si="139">+V92-V78</f>
        <v>0</v>
      </c>
      <c r="X92" s="147"/>
      <c r="Y92" s="166">
        <f t="shared" ref="Y92:Y102" si="140">+X92-X78</f>
        <v>0</v>
      </c>
      <c r="Z92" s="147"/>
      <c r="AA92" s="166">
        <f t="shared" ref="AA92:AA102" si="141">+Z92-Z78</f>
        <v>0</v>
      </c>
      <c r="AB92" s="147"/>
      <c r="AC92" s="166">
        <f t="shared" ref="AC92:AC102" si="142">+AB92-AB78</f>
        <v>0</v>
      </c>
      <c r="AD92" s="147"/>
      <c r="AE92" s="166">
        <f t="shared" ref="AE92:AE102" si="143">+AD92-AD78</f>
        <v>0</v>
      </c>
      <c r="AF92" s="147"/>
      <c r="AG92" s="166">
        <f t="shared" ref="AG92:AG102" si="144">+AF92-AF78</f>
        <v>0</v>
      </c>
      <c r="AH92" s="147"/>
      <c r="AI92" s="166">
        <f t="shared" ref="AI92:AI102" si="145">+AH92-AH78</f>
        <v>0</v>
      </c>
      <c r="AJ92" s="147"/>
      <c r="AK92" s="166">
        <f t="shared" ref="AK92:AK102" si="146">+AJ92-AJ78</f>
        <v>0</v>
      </c>
      <c r="AL92" s="147"/>
      <c r="AM92" s="166">
        <f t="shared" ref="AM92:AM102" si="147">+AL92-AL78</f>
        <v>0</v>
      </c>
      <c r="AN92" s="147"/>
      <c r="AO92" s="166">
        <f t="shared" ref="AO92:AO102" si="148">+AN92-AN78</f>
        <v>0</v>
      </c>
      <c r="AP92" s="147"/>
      <c r="AQ92" s="166">
        <f t="shared" ref="AQ92:AQ102" si="149">+AP92-AP78</f>
        <v>0</v>
      </c>
      <c r="AR92" s="147"/>
      <c r="AS92" s="166">
        <f t="shared" ref="AS92:AS102" si="150">+AR92-AR78</f>
        <v>0</v>
      </c>
      <c r="AT92" s="147"/>
      <c r="AU92" s="166">
        <f t="shared" ref="AU92:AU102" si="151">+AT92-AT78</f>
        <v>0</v>
      </c>
      <c r="AV92" s="147"/>
      <c r="AW92" s="166">
        <f t="shared" ref="AW92:AW102" si="152">+AV92-AV78</f>
        <v>0</v>
      </c>
      <c r="AX92" s="147"/>
      <c r="AY92" s="166">
        <f t="shared" ref="AY92:AY102" si="153">+AX92-AX78</f>
        <v>0</v>
      </c>
      <c r="AZ92" s="147"/>
      <c r="BA92" s="166">
        <f t="shared" ref="BA92:BA102" si="154">+AZ92-AZ78</f>
        <v>0</v>
      </c>
      <c r="BB92" s="147"/>
      <c r="BC92" s="166">
        <f t="shared" ref="BC92:BC102" si="155">+BB92-BB78</f>
        <v>0</v>
      </c>
      <c r="BD92" s="147"/>
      <c r="BE92" s="166">
        <f t="shared" ref="BE92:BE102" si="156">+BD92-BD78</f>
        <v>0</v>
      </c>
      <c r="BF92" s="147"/>
      <c r="BG92" s="166">
        <f t="shared" ref="BG92:BG102" si="157">+BF92-BF78</f>
        <v>0</v>
      </c>
      <c r="BH92" s="147"/>
      <c r="BI92" s="166">
        <f t="shared" ref="BI92:BI102" si="158">+BH92-BH78</f>
        <v>0</v>
      </c>
      <c r="BJ92" s="147"/>
      <c r="BK92" s="166">
        <f t="shared" ref="BK92:BK102" si="159">+BJ92-BJ78</f>
        <v>0</v>
      </c>
      <c r="BL92" s="147"/>
      <c r="BM92" s="166">
        <f t="shared" ref="BM92:BM102" si="160">+BL92-BL78</f>
        <v>0</v>
      </c>
      <c r="BN92" s="50"/>
      <c r="BO92" s="170" t="e">
        <f t="shared" si="132"/>
        <v>#VALUE!</v>
      </c>
      <c r="BP92" s="87"/>
      <c r="BQ92" s="52"/>
    </row>
    <row r="93" spans="1:69" x14ac:dyDescent="0.35">
      <c r="A93" s="134" t="s">
        <v>77</v>
      </c>
      <c r="B93" s="54" t="s">
        <v>67</v>
      </c>
      <c r="C93" s="144"/>
      <c r="D93" s="146"/>
      <c r="E93" s="166" t="e">
        <f t="shared" si="133"/>
        <v>#VALUE!</v>
      </c>
      <c r="F93" s="147"/>
      <c r="G93" s="166">
        <f t="shared" si="133"/>
        <v>0</v>
      </c>
      <c r="H93" s="147"/>
      <c r="I93" s="166">
        <f t="shared" si="133"/>
        <v>0</v>
      </c>
      <c r="J93" s="147"/>
      <c r="K93" s="166">
        <f t="shared" si="133"/>
        <v>0</v>
      </c>
      <c r="L93" s="147"/>
      <c r="M93" s="166">
        <f t="shared" si="134"/>
        <v>0</v>
      </c>
      <c r="N93" s="147"/>
      <c r="O93" s="166">
        <f t="shared" si="135"/>
        <v>0</v>
      </c>
      <c r="P93" s="147"/>
      <c r="Q93" s="166">
        <f t="shared" si="136"/>
        <v>0</v>
      </c>
      <c r="R93" s="147"/>
      <c r="S93" s="166">
        <f t="shared" si="137"/>
        <v>0</v>
      </c>
      <c r="T93" s="147"/>
      <c r="U93" s="166">
        <f t="shared" si="138"/>
        <v>0</v>
      </c>
      <c r="V93" s="147"/>
      <c r="W93" s="166">
        <f t="shared" si="139"/>
        <v>0</v>
      </c>
      <c r="X93" s="147"/>
      <c r="Y93" s="166">
        <f t="shared" si="140"/>
        <v>0</v>
      </c>
      <c r="Z93" s="147"/>
      <c r="AA93" s="166">
        <f t="shared" si="141"/>
        <v>0</v>
      </c>
      <c r="AB93" s="147"/>
      <c r="AC93" s="166">
        <f t="shared" si="142"/>
        <v>0</v>
      </c>
      <c r="AD93" s="147"/>
      <c r="AE93" s="166">
        <f t="shared" si="143"/>
        <v>0</v>
      </c>
      <c r="AF93" s="147"/>
      <c r="AG93" s="166">
        <f t="shared" si="144"/>
        <v>0</v>
      </c>
      <c r="AH93" s="147"/>
      <c r="AI93" s="166">
        <f t="shared" si="145"/>
        <v>0</v>
      </c>
      <c r="AJ93" s="147"/>
      <c r="AK93" s="166">
        <f t="shared" si="146"/>
        <v>0</v>
      </c>
      <c r="AL93" s="147"/>
      <c r="AM93" s="166">
        <f t="shared" si="147"/>
        <v>0</v>
      </c>
      <c r="AN93" s="147"/>
      <c r="AO93" s="48"/>
      <c r="AP93" s="147"/>
      <c r="AQ93" s="166">
        <f t="shared" si="149"/>
        <v>0</v>
      </c>
      <c r="AR93" s="147"/>
      <c r="AS93" s="166">
        <f t="shared" si="150"/>
        <v>0</v>
      </c>
      <c r="AT93" s="147"/>
      <c r="AU93" s="166">
        <f t="shared" si="151"/>
        <v>0</v>
      </c>
      <c r="AV93" s="147"/>
      <c r="AW93" s="166">
        <f t="shared" si="152"/>
        <v>0</v>
      </c>
      <c r="AX93" s="147"/>
      <c r="AY93" s="166">
        <f t="shared" si="153"/>
        <v>0</v>
      </c>
      <c r="AZ93" s="147"/>
      <c r="BA93" s="166">
        <f t="shared" si="154"/>
        <v>0</v>
      </c>
      <c r="BB93" s="147"/>
      <c r="BC93" s="166">
        <f t="shared" si="155"/>
        <v>0</v>
      </c>
      <c r="BD93" s="147"/>
      <c r="BE93" s="166">
        <f t="shared" si="156"/>
        <v>0</v>
      </c>
      <c r="BF93" s="147"/>
      <c r="BG93" s="166">
        <f t="shared" si="157"/>
        <v>0</v>
      </c>
      <c r="BH93" s="147"/>
      <c r="BI93" s="166">
        <f t="shared" si="158"/>
        <v>0</v>
      </c>
      <c r="BJ93" s="147"/>
      <c r="BK93" s="166">
        <f t="shared" si="159"/>
        <v>0</v>
      </c>
      <c r="BL93" s="147"/>
      <c r="BM93" s="166">
        <f t="shared" si="160"/>
        <v>0</v>
      </c>
      <c r="BN93" s="50"/>
      <c r="BO93" s="170" t="e">
        <f t="shared" si="132"/>
        <v>#VALUE!</v>
      </c>
      <c r="BP93" s="87"/>
      <c r="BQ93" s="52"/>
    </row>
    <row r="94" spans="1:69" x14ac:dyDescent="0.35">
      <c r="A94" s="132" t="s">
        <v>78</v>
      </c>
      <c r="B94" s="54" t="s">
        <v>65</v>
      </c>
      <c r="C94" s="144"/>
      <c r="D94" s="146"/>
      <c r="E94" s="166" t="e">
        <f t="shared" si="133"/>
        <v>#VALUE!</v>
      </c>
      <c r="F94" s="147"/>
      <c r="G94" s="166">
        <f t="shared" si="133"/>
        <v>0</v>
      </c>
      <c r="H94" s="147"/>
      <c r="I94" s="166">
        <f t="shared" si="133"/>
        <v>0</v>
      </c>
      <c r="J94" s="147"/>
      <c r="K94" s="166">
        <f t="shared" si="133"/>
        <v>0</v>
      </c>
      <c r="L94" s="147"/>
      <c r="M94" s="166">
        <f t="shared" si="134"/>
        <v>0</v>
      </c>
      <c r="N94" s="147"/>
      <c r="O94" s="166">
        <f t="shared" si="135"/>
        <v>0</v>
      </c>
      <c r="P94" s="147"/>
      <c r="Q94" s="166">
        <f t="shared" si="136"/>
        <v>0</v>
      </c>
      <c r="R94" s="147"/>
      <c r="S94" s="166">
        <f t="shared" si="137"/>
        <v>0</v>
      </c>
      <c r="T94" s="147"/>
      <c r="U94" s="166">
        <f t="shared" si="138"/>
        <v>0</v>
      </c>
      <c r="V94" s="147"/>
      <c r="W94" s="166">
        <f t="shared" si="139"/>
        <v>0</v>
      </c>
      <c r="X94" s="147"/>
      <c r="Y94" s="166">
        <f t="shared" si="140"/>
        <v>0</v>
      </c>
      <c r="Z94" s="147"/>
      <c r="AA94" s="166">
        <f t="shared" si="141"/>
        <v>0</v>
      </c>
      <c r="AB94" s="147"/>
      <c r="AC94" s="166">
        <f t="shared" si="142"/>
        <v>0</v>
      </c>
      <c r="AD94" s="147"/>
      <c r="AE94" s="166">
        <f t="shared" si="143"/>
        <v>0</v>
      </c>
      <c r="AF94" s="147"/>
      <c r="AG94" s="166">
        <f t="shared" si="144"/>
        <v>0</v>
      </c>
      <c r="AH94" s="147"/>
      <c r="AI94" s="166">
        <f t="shared" si="145"/>
        <v>0</v>
      </c>
      <c r="AJ94" s="147"/>
      <c r="AK94" s="166">
        <f t="shared" si="146"/>
        <v>0</v>
      </c>
      <c r="AL94" s="147"/>
      <c r="AM94" s="166">
        <f t="shared" si="147"/>
        <v>0</v>
      </c>
      <c r="AN94" s="147"/>
      <c r="AO94" s="166">
        <f t="shared" si="148"/>
        <v>0</v>
      </c>
      <c r="AP94" s="147"/>
      <c r="AQ94" s="166">
        <f t="shared" si="149"/>
        <v>0</v>
      </c>
      <c r="AR94" s="147"/>
      <c r="AS94" s="166">
        <f t="shared" si="150"/>
        <v>0</v>
      </c>
      <c r="AT94" s="147"/>
      <c r="AU94" s="166">
        <f t="shared" si="151"/>
        <v>0</v>
      </c>
      <c r="AV94" s="147"/>
      <c r="AW94" s="166">
        <f t="shared" si="152"/>
        <v>0</v>
      </c>
      <c r="AX94" s="147"/>
      <c r="AY94" s="166">
        <f t="shared" si="153"/>
        <v>0</v>
      </c>
      <c r="AZ94" s="147"/>
      <c r="BA94" s="166">
        <f t="shared" si="154"/>
        <v>0</v>
      </c>
      <c r="BB94" s="147"/>
      <c r="BC94" s="166">
        <f t="shared" si="155"/>
        <v>0</v>
      </c>
      <c r="BD94" s="147"/>
      <c r="BE94" s="166">
        <f t="shared" si="156"/>
        <v>0</v>
      </c>
      <c r="BF94" s="147"/>
      <c r="BG94" s="166">
        <f t="shared" si="157"/>
        <v>0</v>
      </c>
      <c r="BH94" s="147"/>
      <c r="BI94" s="166">
        <f t="shared" si="158"/>
        <v>0</v>
      </c>
      <c r="BJ94" s="147"/>
      <c r="BK94" s="166">
        <f t="shared" si="159"/>
        <v>0</v>
      </c>
      <c r="BL94" s="147"/>
      <c r="BM94" s="166">
        <f t="shared" si="160"/>
        <v>0</v>
      </c>
      <c r="BN94" s="50"/>
      <c r="BO94" s="170" t="e">
        <f t="shared" si="132"/>
        <v>#VALUE!</v>
      </c>
      <c r="BP94" s="87"/>
      <c r="BQ94" s="52"/>
    </row>
    <row r="95" spans="1:69" x14ac:dyDescent="0.35">
      <c r="A95" s="136"/>
      <c r="B95" s="54" t="s">
        <v>66</v>
      </c>
      <c r="C95" s="144"/>
      <c r="D95" s="146"/>
      <c r="E95" s="166" t="e">
        <f t="shared" si="133"/>
        <v>#VALUE!</v>
      </c>
      <c r="F95" s="147"/>
      <c r="G95" s="166">
        <f t="shared" si="133"/>
        <v>0</v>
      </c>
      <c r="H95" s="147"/>
      <c r="I95" s="166">
        <f t="shared" si="133"/>
        <v>0</v>
      </c>
      <c r="J95" s="147"/>
      <c r="K95" s="166">
        <f t="shared" si="133"/>
        <v>0</v>
      </c>
      <c r="L95" s="147"/>
      <c r="M95" s="166">
        <f t="shared" si="134"/>
        <v>0</v>
      </c>
      <c r="N95" s="147"/>
      <c r="O95" s="166">
        <f t="shared" si="135"/>
        <v>0</v>
      </c>
      <c r="P95" s="147"/>
      <c r="Q95" s="166">
        <f t="shared" si="136"/>
        <v>0</v>
      </c>
      <c r="R95" s="147"/>
      <c r="S95" s="166">
        <f t="shared" si="137"/>
        <v>0</v>
      </c>
      <c r="T95" s="147"/>
      <c r="U95" s="166">
        <f t="shared" si="138"/>
        <v>0</v>
      </c>
      <c r="V95" s="147"/>
      <c r="W95" s="166">
        <f t="shared" si="139"/>
        <v>0</v>
      </c>
      <c r="X95" s="147"/>
      <c r="Y95" s="166">
        <f t="shared" si="140"/>
        <v>0</v>
      </c>
      <c r="Z95" s="147"/>
      <c r="AA95" s="166">
        <f t="shared" si="141"/>
        <v>0</v>
      </c>
      <c r="AB95" s="147"/>
      <c r="AC95" s="166">
        <f t="shared" si="142"/>
        <v>0</v>
      </c>
      <c r="AD95" s="147"/>
      <c r="AE95" s="166">
        <f t="shared" si="143"/>
        <v>0</v>
      </c>
      <c r="AF95" s="147"/>
      <c r="AG95" s="166">
        <f t="shared" si="144"/>
        <v>0</v>
      </c>
      <c r="AH95" s="147"/>
      <c r="AI95" s="166">
        <f t="shared" si="145"/>
        <v>0</v>
      </c>
      <c r="AJ95" s="147"/>
      <c r="AK95" s="166">
        <f t="shared" si="146"/>
        <v>0</v>
      </c>
      <c r="AL95" s="147"/>
      <c r="AM95" s="166">
        <f t="shared" si="147"/>
        <v>0</v>
      </c>
      <c r="AN95" s="147"/>
      <c r="AO95" s="166">
        <f t="shared" si="148"/>
        <v>0</v>
      </c>
      <c r="AP95" s="147"/>
      <c r="AQ95" s="166">
        <f t="shared" si="149"/>
        <v>0</v>
      </c>
      <c r="AR95" s="147"/>
      <c r="AS95" s="166">
        <f t="shared" si="150"/>
        <v>0</v>
      </c>
      <c r="AT95" s="147"/>
      <c r="AU95" s="166">
        <f t="shared" si="151"/>
        <v>0</v>
      </c>
      <c r="AV95" s="147"/>
      <c r="AW95" s="166">
        <f t="shared" si="152"/>
        <v>0</v>
      </c>
      <c r="AX95" s="147"/>
      <c r="AY95" s="166">
        <f t="shared" si="153"/>
        <v>0</v>
      </c>
      <c r="AZ95" s="147"/>
      <c r="BA95" s="166">
        <f t="shared" si="154"/>
        <v>0</v>
      </c>
      <c r="BB95" s="147"/>
      <c r="BC95" s="166">
        <f t="shared" si="155"/>
        <v>0</v>
      </c>
      <c r="BD95" s="147"/>
      <c r="BE95" s="166">
        <f t="shared" si="156"/>
        <v>0</v>
      </c>
      <c r="BF95" s="147"/>
      <c r="BG95" s="166">
        <f t="shared" si="157"/>
        <v>0</v>
      </c>
      <c r="BH95" s="147"/>
      <c r="BI95" s="166">
        <f t="shared" si="158"/>
        <v>0</v>
      </c>
      <c r="BJ95" s="147"/>
      <c r="BK95" s="166">
        <f t="shared" si="159"/>
        <v>0</v>
      </c>
      <c r="BL95" s="147"/>
      <c r="BM95" s="166">
        <f t="shared" si="160"/>
        <v>0</v>
      </c>
      <c r="BN95" s="50"/>
      <c r="BO95" s="170" t="e">
        <f t="shared" si="132"/>
        <v>#VALUE!</v>
      </c>
      <c r="BP95" s="87"/>
      <c r="BQ95" s="52"/>
    </row>
    <row r="96" spans="1:69" x14ac:dyDescent="0.35">
      <c r="A96" s="134" t="s">
        <v>80</v>
      </c>
      <c r="B96" s="54" t="s">
        <v>67</v>
      </c>
      <c r="C96" s="144"/>
      <c r="D96" s="146"/>
      <c r="E96" s="166" t="e">
        <f t="shared" si="133"/>
        <v>#VALUE!</v>
      </c>
      <c r="F96" s="147"/>
      <c r="G96" s="166">
        <f t="shared" si="133"/>
        <v>0</v>
      </c>
      <c r="H96" s="147"/>
      <c r="I96" s="166">
        <f t="shared" si="133"/>
        <v>0</v>
      </c>
      <c r="J96" s="147"/>
      <c r="K96" s="166">
        <f t="shared" si="133"/>
        <v>0</v>
      </c>
      <c r="L96" s="147"/>
      <c r="M96" s="166">
        <f t="shared" si="134"/>
        <v>0</v>
      </c>
      <c r="N96" s="147"/>
      <c r="O96" s="166">
        <f t="shared" si="135"/>
        <v>0</v>
      </c>
      <c r="P96" s="147"/>
      <c r="Q96" s="166">
        <f t="shared" si="136"/>
        <v>0</v>
      </c>
      <c r="R96" s="147"/>
      <c r="S96" s="166">
        <f t="shared" si="137"/>
        <v>0</v>
      </c>
      <c r="T96" s="147"/>
      <c r="U96" s="166">
        <f t="shared" si="138"/>
        <v>0</v>
      </c>
      <c r="V96" s="147"/>
      <c r="W96" s="166">
        <f t="shared" si="139"/>
        <v>0</v>
      </c>
      <c r="X96" s="147"/>
      <c r="Y96" s="166">
        <f t="shared" si="140"/>
        <v>0</v>
      </c>
      <c r="Z96" s="147"/>
      <c r="AA96" s="166">
        <f t="shared" si="141"/>
        <v>0</v>
      </c>
      <c r="AB96" s="147"/>
      <c r="AC96" s="166">
        <f t="shared" si="142"/>
        <v>0</v>
      </c>
      <c r="AD96" s="147"/>
      <c r="AE96" s="166">
        <f t="shared" si="143"/>
        <v>0</v>
      </c>
      <c r="AF96" s="147"/>
      <c r="AG96" s="166">
        <f t="shared" si="144"/>
        <v>0</v>
      </c>
      <c r="AH96" s="147"/>
      <c r="AI96" s="166">
        <f t="shared" si="145"/>
        <v>0</v>
      </c>
      <c r="AJ96" s="147"/>
      <c r="AK96" s="166">
        <f t="shared" si="146"/>
        <v>0</v>
      </c>
      <c r="AL96" s="147"/>
      <c r="AM96" s="166">
        <f t="shared" si="147"/>
        <v>0</v>
      </c>
      <c r="AN96" s="147"/>
      <c r="AO96" s="166">
        <f t="shared" si="148"/>
        <v>0</v>
      </c>
      <c r="AP96" s="147"/>
      <c r="AQ96" s="166">
        <f t="shared" si="149"/>
        <v>0</v>
      </c>
      <c r="AR96" s="147"/>
      <c r="AS96" s="166">
        <f t="shared" si="150"/>
        <v>0</v>
      </c>
      <c r="AT96" s="147"/>
      <c r="AU96" s="166">
        <f t="shared" si="151"/>
        <v>0</v>
      </c>
      <c r="AV96" s="147"/>
      <c r="AW96" s="166">
        <f t="shared" si="152"/>
        <v>0</v>
      </c>
      <c r="AX96" s="147"/>
      <c r="AY96" s="166">
        <f t="shared" si="153"/>
        <v>0</v>
      </c>
      <c r="AZ96" s="147"/>
      <c r="BA96" s="166">
        <f t="shared" si="154"/>
        <v>0</v>
      </c>
      <c r="BB96" s="147"/>
      <c r="BC96" s="166">
        <f t="shared" si="155"/>
        <v>0</v>
      </c>
      <c r="BD96" s="147"/>
      <c r="BE96" s="166">
        <f t="shared" si="156"/>
        <v>0</v>
      </c>
      <c r="BF96" s="147"/>
      <c r="BG96" s="166">
        <f t="shared" si="157"/>
        <v>0</v>
      </c>
      <c r="BH96" s="147"/>
      <c r="BI96" s="166">
        <f t="shared" si="158"/>
        <v>0</v>
      </c>
      <c r="BJ96" s="147"/>
      <c r="BK96" s="166">
        <f t="shared" si="159"/>
        <v>0</v>
      </c>
      <c r="BL96" s="147"/>
      <c r="BM96" s="166">
        <f t="shared" si="160"/>
        <v>0</v>
      </c>
      <c r="BN96" s="50"/>
      <c r="BO96" s="170" t="e">
        <f t="shared" si="132"/>
        <v>#VALUE!</v>
      </c>
      <c r="BP96" s="87"/>
      <c r="BQ96" s="52"/>
    </row>
    <row r="97" spans="1:76" x14ac:dyDescent="0.35">
      <c r="A97" s="135"/>
      <c r="B97" s="54" t="s">
        <v>67</v>
      </c>
      <c r="C97" s="144"/>
      <c r="D97" s="146"/>
      <c r="E97" s="166" t="e">
        <f t="shared" si="133"/>
        <v>#VALUE!</v>
      </c>
      <c r="F97" s="147"/>
      <c r="G97" s="166">
        <f t="shared" si="133"/>
        <v>0</v>
      </c>
      <c r="H97" s="147"/>
      <c r="I97" s="166">
        <f t="shared" si="133"/>
        <v>0</v>
      </c>
      <c r="J97" s="147"/>
      <c r="K97" s="166">
        <f t="shared" si="133"/>
        <v>0</v>
      </c>
      <c r="L97" s="147"/>
      <c r="M97" s="166">
        <f t="shared" si="134"/>
        <v>0</v>
      </c>
      <c r="N97" s="147"/>
      <c r="O97" s="166">
        <f t="shared" si="135"/>
        <v>0</v>
      </c>
      <c r="P97" s="147"/>
      <c r="Q97" s="166">
        <f t="shared" si="136"/>
        <v>0</v>
      </c>
      <c r="R97" s="147"/>
      <c r="S97" s="166">
        <f t="shared" si="137"/>
        <v>0</v>
      </c>
      <c r="T97" s="147"/>
      <c r="U97" s="166">
        <f t="shared" si="138"/>
        <v>0</v>
      </c>
      <c r="V97" s="147"/>
      <c r="W97" s="166">
        <f t="shared" si="139"/>
        <v>0</v>
      </c>
      <c r="X97" s="147"/>
      <c r="Y97" s="166">
        <f t="shared" si="140"/>
        <v>0</v>
      </c>
      <c r="Z97" s="147"/>
      <c r="AA97" s="166">
        <f t="shared" si="141"/>
        <v>0</v>
      </c>
      <c r="AB97" s="147"/>
      <c r="AC97" s="166">
        <f t="shared" si="142"/>
        <v>0</v>
      </c>
      <c r="AD97" s="147"/>
      <c r="AE97" s="166">
        <f t="shared" si="143"/>
        <v>0</v>
      </c>
      <c r="AF97" s="147"/>
      <c r="AG97" s="166">
        <f t="shared" si="144"/>
        <v>0</v>
      </c>
      <c r="AH97" s="147"/>
      <c r="AI97" s="166">
        <f t="shared" si="145"/>
        <v>0</v>
      </c>
      <c r="AJ97" s="147"/>
      <c r="AK97" s="166">
        <f t="shared" si="146"/>
        <v>0</v>
      </c>
      <c r="AL97" s="147"/>
      <c r="AM97" s="166">
        <f t="shared" si="147"/>
        <v>0</v>
      </c>
      <c r="AN97" s="147"/>
      <c r="AO97" s="166">
        <f t="shared" si="148"/>
        <v>0</v>
      </c>
      <c r="AP97" s="147"/>
      <c r="AQ97" s="166">
        <f t="shared" si="149"/>
        <v>0</v>
      </c>
      <c r="AR97" s="147"/>
      <c r="AS97" s="166">
        <f t="shared" si="150"/>
        <v>0</v>
      </c>
      <c r="AT97" s="147"/>
      <c r="AU97" s="166">
        <f t="shared" si="151"/>
        <v>0</v>
      </c>
      <c r="AV97" s="147"/>
      <c r="AW97" s="166">
        <f t="shared" si="152"/>
        <v>0</v>
      </c>
      <c r="AX97" s="147"/>
      <c r="AY97" s="166">
        <f t="shared" si="153"/>
        <v>0</v>
      </c>
      <c r="AZ97" s="147"/>
      <c r="BA97" s="166">
        <f t="shared" si="154"/>
        <v>0</v>
      </c>
      <c r="BB97" s="147"/>
      <c r="BC97" s="166">
        <f t="shared" si="155"/>
        <v>0</v>
      </c>
      <c r="BD97" s="147"/>
      <c r="BE97" s="166">
        <f t="shared" si="156"/>
        <v>0</v>
      </c>
      <c r="BF97" s="147"/>
      <c r="BG97" s="166">
        <f t="shared" si="157"/>
        <v>0</v>
      </c>
      <c r="BH97" s="147"/>
      <c r="BI97" s="166">
        <f t="shared" si="158"/>
        <v>0</v>
      </c>
      <c r="BJ97" s="147"/>
      <c r="BK97" s="166">
        <f t="shared" si="159"/>
        <v>0</v>
      </c>
      <c r="BL97" s="147"/>
      <c r="BM97" s="166">
        <f t="shared" si="160"/>
        <v>0</v>
      </c>
      <c r="BN97" s="50"/>
      <c r="BO97" s="170" t="e">
        <f t="shared" si="132"/>
        <v>#VALUE!</v>
      </c>
      <c r="BP97" s="87"/>
      <c r="BQ97" s="52"/>
    </row>
    <row r="98" spans="1:76" x14ac:dyDescent="0.35">
      <c r="A98" s="136" t="s">
        <v>82</v>
      </c>
      <c r="B98" s="54" t="s">
        <v>66</v>
      </c>
      <c r="C98" s="144"/>
      <c r="D98" s="146"/>
      <c r="E98" s="166" t="e">
        <f t="shared" si="133"/>
        <v>#VALUE!</v>
      </c>
      <c r="F98" s="147"/>
      <c r="G98" s="166">
        <f t="shared" si="133"/>
        <v>0</v>
      </c>
      <c r="H98" s="147"/>
      <c r="I98" s="166">
        <f t="shared" si="133"/>
        <v>0</v>
      </c>
      <c r="J98" s="147"/>
      <c r="K98" s="166">
        <f t="shared" si="133"/>
        <v>0</v>
      </c>
      <c r="L98" s="147"/>
      <c r="M98" s="166">
        <f t="shared" si="134"/>
        <v>0</v>
      </c>
      <c r="N98" s="147"/>
      <c r="O98" s="166">
        <f t="shared" si="135"/>
        <v>0</v>
      </c>
      <c r="P98" s="147"/>
      <c r="Q98" s="166">
        <f t="shared" si="136"/>
        <v>0</v>
      </c>
      <c r="R98" s="147"/>
      <c r="S98" s="166">
        <f t="shared" si="137"/>
        <v>0</v>
      </c>
      <c r="T98" s="147"/>
      <c r="U98" s="166">
        <f t="shared" si="138"/>
        <v>0</v>
      </c>
      <c r="V98" s="147"/>
      <c r="W98" s="166">
        <f t="shared" si="139"/>
        <v>0</v>
      </c>
      <c r="X98" s="147"/>
      <c r="Y98" s="166">
        <f t="shared" si="140"/>
        <v>0</v>
      </c>
      <c r="Z98" s="147"/>
      <c r="AA98" s="166">
        <f t="shared" si="141"/>
        <v>0</v>
      </c>
      <c r="AB98" s="147"/>
      <c r="AC98" s="166">
        <f t="shared" si="142"/>
        <v>0</v>
      </c>
      <c r="AD98" s="147"/>
      <c r="AE98" s="166">
        <f t="shared" si="143"/>
        <v>0</v>
      </c>
      <c r="AF98" s="147"/>
      <c r="AG98" s="166">
        <f t="shared" si="144"/>
        <v>0</v>
      </c>
      <c r="AH98" s="147"/>
      <c r="AI98" s="166">
        <f t="shared" si="145"/>
        <v>0</v>
      </c>
      <c r="AJ98" s="147"/>
      <c r="AK98" s="166">
        <f t="shared" si="146"/>
        <v>0</v>
      </c>
      <c r="AL98" s="147"/>
      <c r="AM98" s="166">
        <f t="shared" si="147"/>
        <v>0</v>
      </c>
      <c r="AN98" s="147"/>
      <c r="AO98" s="166">
        <f t="shared" si="148"/>
        <v>0</v>
      </c>
      <c r="AP98" s="147"/>
      <c r="AQ98" s="166">
        <f t="shared" si="149"/>
        <v>0</v>
      </c>
      <c r="AR98" s="147"/>
      <c r="AS98" s="166">
        <f t="shared" si="150"/>
        <v>0</v>
      </c>
      <c r="AT98" s="147"/>
      <c r="AU98" s="166">
        <f t="shared" si="151"/>
        <v>0</v>
      </c>
      <c r="AV98" s="147"/>
      <c r="AW98" s="166">
        <f t="shared" si="152"/>
        <v>0</v>
      </c>
      <c r="AX98" s="147"/>
      <c r="AY98" s="166">
        <f t="shared" si="153"/>
        <v>0</v>
      </c>
      <c r="AZ98" s="147"/>
      <c r="BA98" s="166">
        <f t="shared" si="154"/>
        <v>0</v>
      </c>
      <c r="BB98" s="147"/>
      <c r="BC98" s="166">
        <f t="shared" si="155"/>
        <v>0</v>
      </c>
      <c r="BD98" s="147"/>
      <c r="BE98" s="166">
        <f t="shared" si="156"/>
        <v>0</v>
      </c>
      <c r="BF98" s="147"/>
      <c r="BG98" s="166">
        <f t="shared" si="157"/>
        <v>0</v>
      </c>
      <c r="BH98" s="147"/>
      <c r="BI98" s="166">
        <f t="shared" si="158"/>
        <v>0</v>
      </c>
      <c r="BJ98" s="147"/>
      <c r="BK98" s="166">
        <f t="shared" si="159"/>
        <v>0</v>
      </c>
      <c r="BL98" s="147"/>
      <c r="BM98" s="166">
        <f t="shared" si="160"/>
        <v>0</v>
      </c>
      <c r="BN98" s="50"/>
      <c r="BO98" s="170" t="e">
        <f t="shared" si="132"/>
        <v>#VALUE!</v>
      </c>
      <c r="BP98" s="87"/>
      <c r="BQ98" s="52"/>
    </row>
    <row r="99" spans="1:76" x14ac:dyDescent="0.35">
      <c r="A99" s="44"/>
      <c r="B99" s="54" t="s">
        <v>65</v>
      </c>
      <c r="C99" s="144"/>
      <c r="D99" s="146"/>
      <c r="E99" s="166" t="e">
        <f t="shared" si="133"/>
        <v>#VALUE!</v>
      </c>
      <c r="F99" s="147"/>
      <c r="G99" s="166">
        <f t="shared" si="133"/>
        <v>0</v>
      </c>
      <c r="H99" s="147"/>
      <c r="I99" s="166">
        <f t="shared" si="133"/>
        <v>0</v>
      </c>
      <c r="J99" s="147"/>
      <c r="K99" s="166">
        <f t="shared" si="133"/>
        <v>0</v>
      </c>
      <c r="L99" s="147"/>
      <c r="M99" s="166">
        <f t="shared" si="134"/>
        <v>0</v>
      </c>
      <c r="N99" s="147"/>
      <c r="O99" s="166">
        <f t="shared" si="135"/>
        <v>0</v>
      </c>
      <c r="P99" s="147"/>
      <c r="Q99" s="166">
        <f t="shared" si="136"/>
        <v>0</v>
      </c>
      <c r="R99" s="147"/>
      <c r="S99" s="166">
        <f t="shared" si="137"/>
        <v>0</v>
      </c>
      <c r="T99" s="147"/>
      <c r="U99" s="166">
        <f t="shared" si="138"/>
        <v>0</v>
      </c>
      <c r="V99" s="147"/>
      <c r="W99" s="166">
        <f t="shared" si="139"/>
        <v>0</v>
      </c>
      <c r="X99" s="147"/>
      <c r="Y99" s="166">
        <f t="shared" si="140"/>
        <v>0</v>
      </c>
      <c r="Z99" s="147"/>
      <c r="AA99" s="166">
        <f t="shared" si="141"/>
        <v>0</v>
      </c>
      <c r="AB99" s="147"/>
      <c r="AC99" s="166">
        <f t="shared" si="142"/>
        <v>0</v>
      </c>
      <c r="AD99" s="147"/>
      <c r="AE99" s="166">
        <f t="shared" si="143"/>
        <v>0</v>
      </c>
      <c r="AF99" s="147"/>
      <c r="AG99" s="166">
        <f t="shared" si="144"/>
        <v>0</v>
      </c>
      <c r="AH99" s="147"/>
      <c r="AI99" s="166">
        <f t="shared" si="145"/>
        <v>0</v>
      </c>
      <c r="AJ99" s="147"/>
      <c r="AK99" s="166">
        <f t="shared" si="146"/>
        <v>0</v>
      </c>
      <c r="AL99" s="147"/>
      <c r="AM99" s="166">
        <f t="shared" si="147"/>
        <v>0</v>
      </c>
      <c r="AN99" s="147"/>
      <c r="AO99" s="166">
        <f t="shared" si="148"/>
        <v>0</v>
      </c>
      <c r="AP99" s="147"/>
      <c r="AQ99" s="166">
        <f t="shared" si="149"/>
        <v>0</v>
      </c>
      <c r="AR99" s="147"/>
      <c r="AS99" s="166">
        <f t="shared" si="150"/>
        <v>0</v>
      </c>
      <c r="AT99" s="147"/>
      <c r="AU99" s="166">
        <f t="shared" si="151"/>
        <v>0</v>
      </c>
      <c r="AV99" s="147"/>
      <c r="AW99" s="166">
        <f t="shared" si="152"/>
        <v>0</v>
      </c>
      <c r="AX99" s="147"/>
      <c r="AY99" s="166">
        <f t="shared" si="153"/>
        <v>0</v>
      </c>
      <c r="AZ99" s="147"/>
      <c r="BA99" s="166">
        <f t="shared" si="154"/>
        <v>0</v>
      </c>
      <c r="BB99" s="147"/>
      <c r="BC99" s="166">
        <f t="shared" si="155"/>
        <v>0</v>
      </c>
      <c r="BD99" s="147"/>
      <c r="BE99" s="166">
        <f t="shared" si="156"/>
        <v>0</v>
      </c>
      <c r="BF99" s="147"/>
      <c r="BG99" s="166">
        <f t="shared" si="157"/>
        <v>0</v>
      </c>
      <c r="BH99" s="147"/>
      <c r="BI99" s="166">
        <f t="shared" si="158"/>
        <v>0</v>
      </c>
      <c r="BJ99" s="147"/>
      <c r="BK99" s="166">
        <f t="shared" si="159"/>
        <v>0</v>
      </c>
      <c r="BL99" s="147"/>
      <c r="BM99" s="166">
        <f t="shared" si="160"/>
        <v>0</v>
      </c>
      <c r="BN99" s="50"/>
      <c r="BO99" s="170" t="e">
        <f t="shared" si="132"/>
        <v>#VALUE!</v>
      </c>
      <c r="BP99" s="87"/>
      <c r="BQ99" s="52"/>
    </row>
    <row r="100" spans="1:76" x14ac:dyDescent="0.35">
      <c r="A100" s="135" t="s">
        <v>84</v>
      </c>
      <c r="B100" s="54" t="s">
        <v>67</v>
      </c>
      <c r="C100" s="144"/>
      <c r="D100" s="146"/>
      <c r="E100" s="166" t="e">
        <f t="shared" si="133"/>
        <v>#VALUE!</v>
      </c>
      <c r="F100" s="147"/>
      <c r="G100" s="166">
        <f t="shared" si="133"/>
        <v>0</v>
      </c>
      <c r="H100" s="147"/>
      <c r="I100" s="166">
        <f t="shared" si="133"/>
        <v>0</v>
      </c>
      <c r="J100" s="147"/>
      <c r="K100" s="166">
        <f t="shared" si="133"/>
        <v>0</v>
      </c>
      <c r="L100" s="147"/>
      <c r="M100" s="166">
        <f t="shared" si="134"/>
        <v>0</v>
      </c>
      <c r="N100" s="147"/>
      <c r="O100" s="166">
        <f t="shared" si="135"/>
        <v>0</v>
      </c>
      <c r="P100" s="147"/>
      <c r="Q100" s="166">
        <f t="shared" si="136"/>
        <v>0</v>
      </c>
      <c r="R100" s="147"/>
      <c r="S100" s="166">
        <f t="shared" si="137"/>
        <v>0</v>
      </c>
      <c r="T100" s="147"/>
      <c r="U100" s="166">
        <f t="shared" si="138"/>
        <v>0</v>
      </c>
      <c r="V100" s="147"/>
      <c r="W100" s="166">
        <f t="shared" si="139"/>
        <v>0</v>
      </c>
      <c r="X100" s="147"/>
      <c r="Y100" s="166">
        <f t="shared" si="140"/>
        <v>0</v>
      </c>
      <c r="Z100" s="147"/>
      <c r="AA100" s="166">
        <f t="shared" si="141"/>
        <v>0</v>
      </c>
      <c r="AB100" s="147"/>
      <c r="AC100" s="166">
        <f t="shared" si="142"/>
        <v>0</v>
      </c>
      <c r="AD100" s="147"/>
      <c r="AE100" s="166">
        <f t="shared" si="143"/>
        <v>0</v>
      </c>
      <c r="AF100" s="147"/>
      <c r="AG100" s="166">
        <f t="shared" si="144"/>
        <v>0</v>
      </c>
      <c r="AH100" s="147"/>
      <c r="AI100" s="166">
        <f t="shared" si="145"/>
        <v>0</v>
      </c>
      <c r="AJ100" s="147"/>
      <c r="AK100" s="166">
        <f t="shared" si="146"/>
        <v>0</v>
      </c>
      <c r="AL100" s="147"/>
      <c r="AM100" s="166">
        <f t="shared" si="147"/>
        <v>0</v>
      </c>
      <c r="AN100" s="147"/>
      <c r="AO100" s="166">
        <f t="shared" si="148"/>
        <v>0</v>
      </c>
      <c r="AP100" s="147"/>
      <c r="AQ100" s="166">
        <f t="shared" si="149"/>
        <v>0</v>
      </c>
      <c r="AR100" s="147"/>
      <c r="AS100" s="166">
        <f t="shared" si="150"/>
        <v>0</v>
      </c>
      <c r="AT100" s="147"/>
      <c r="AU100" s="166">
        <f t="shared" si="151"/>
        <v>0</v>
      </c>
      <c r="AV100" s="147"/>
      <c r="AW100" s="166">
        <f t="shared" si="152"/>
        <v>0</v>
      </c>
      <c r="AX100" s="147"/>
      <c r="AY100" s="166">
        <f t="shared" si="153"/>
        <v>0</v>
      </c>
      <c r="AZ100" s="147"/>
      <c r="BA100" s="166">
        <f t="shared" si="154"/>
        <v>0</v>
      </c>
      <c r="BB100" s="147"/>
      <c r="BC100" s="166">
        <f t="shared" si="155"/>
        <v>0</v>
      </c>
      <c r="BD100" s="147"/>
      <c r="BE100" s="166">
        <f t="shared" si="156"/>
        <v>0</v>
      </c>
      <c r="BF100" s="147"/>
      <c r="BG100" s="166">
        <f t="shared" si="157"/>
        <v>0</v>
      </c>
      <c r="BH100" s="147"/>
      <c r="BI100" s="166">
        <f t="shared" si="158"/>
        <v>0</v>
      </c>
      <c r="BJ100" s="147"/>
      <c r="BK100" s="166">
        <f t="shared" si="159"/>
        <v>0</v>
      </c>
      <c r="BL100" s="147"/>
      <c r="BM100" s="166">
        <f t="shared" si="160"/>
        <v>0</v>
      </c>
      <c r="BN100" s="50"/>
      <c r="BO100" s="170" t="e">
        <f t="shared" si="132"/>
        <v>#VALUE!</v>
      </c>
      <c r="BP100" s="87"/>
      <c r="BQ100" s="52"/>
    </row>
    <row r="101" spans="1:76" x14ac:dyDescent="0.35">
      <c r="A101" s="136" t="s">
        <v>85</v>
      </c>
      <c r="B101" s="54" t="s">
        <v>66</v>
      </c>
      <c r="C101" s="144"/>
      <c r="D101" s="146"/>
      <c r="E101" s="166" t="e">
        <f t="shared" si="133"/>
        <v>#VALUE!</v>
      </c>
      <c r="F101" s="147"/>
      <c r="G101" s="166">
        <f t="shared" si="133"/>
        <v>0</v>
      </c>
      <c r="H101" s="147"/>
      <c r="I101" s="166">
        <f t="shared" si="133"/>
        <v>0</v>
      </c>
      <c r="J101" s="147"/>
      <c r="K101" s="166">
        <f t="shared" si="133"/>
        <v>0</v>
      </c>
      <c r="L101" s="147"/>
      <c r="M101" s="166">
        <f t="shared" si="134"/>
        <v>0</v>
      </c>
      <c r="N101" s="147"/>
      <c r="O101" s="166">
        <f t="shared" si="135"/>
        <v>0</v>
      </c>
      <c r="P101" s="147"/>
      <c r="Q101" s="166">
        <f t="shared" si="136"/>
        <v>0</v>
      </c>
      <c r="R101" s="147"/>
      <c r="S101" s="166">
        <f t="shared" si="137"/>
        <v>0</v>
      </c>
      <c r="T101" s="147"/>
      <c r="U101" s="166">
        <f t="shared" si="138"/>
        <v>0</v>
      </c>
      <c r="V101" s="147"/>
      <c r="W101" s="166">
        <f t="shared" si="139"/>
        <v>0</v>
      </c>
      <c r="X101" s="147"/>
      <c r="Y101" s="166">
        <f t="shared" si="140"/>
        <v>0</v>
      </c>
      <c r="Z101" s="147"/>
      <c r="AA101" s="166">
        <f t="shared" si="141"/>
        <v>0</v>
      </c>
      <c r="AB101" s="147"/>
      <c r="AC101" s="166">
        <f t="shared" si="142"/>
        <v>0</v>
      </c>
      <c r="AD101" s="147"/>
      <c r="AE101" s="166">
        <f t="shared" si="143"/>
        <v>0</v>
      </c>
      <c r="AF101" s="147"/>
      <c r="AG101" s="166">
        <f t="shared" si="144"/>
        <v>0</v>
      </c>
      <c r="AH101" s="147"/>
      <c r="AI101" s="166">
        <f t="shared" si="145"/>
        <v>0</v>
      </c>
      <c r="AJ101" s="147"/>
      <c r="AK101" s="166">
        <f t="shared" si="146"/>
        <v>0</v>
      </c>
      <c r="AL101" s="147"/>
      <c r="AM101" s="166">
        <f t="shared" si="147"/>
        <v>0</v>
      </c>
      <c r="AN101" s="147"/>
      <c r="AO101" s="166">
        <f t="shared" si="148"/>
        <v>0</v>
      </c>
      <c r="AP101" s="147"/>
      <c r="AQ101" s="166">
        <f t="shared" si="149"/>
        <v>0</v>
      </c>
      <c r="AR101" s="147"/>
      <c r="AS101" s="166">
        <f t="shared" si="150"/>
        <v>0</v>
      </c>
      <c r="AT101" s="147"/>
      <c r="AU101" s="166">
        <f t="shared" si="151"/>
        <v>0</v>
      </c>
      <c r="AV101" s="147"/>
      <c r="AW101" s="166">
        <f t="shared" si="152"/>
        <v>0</v>
      </c>
      <c r="AX101" s="147"/>
      <c r="AY101" s="166">
        <f t="shared" si="153"/>
        <v>0</v>
      </c>
      <c r="AZ101" s="147"/>
      <c r="BA101" s="166">
        <f t="shared" si="154"/>
        <v>0</v>
      </c>
      <c r="BB101" s="147"/>
      <c r="BC101" s="166">
        <f t="shared" si="155"/>
        <v>0</v>
      </c>
      <c r="BD101" s="147"/>
      <c r="BE101" s="166">
        <f t="shared" si="156"/>
        <v>0</v>
      </c>
      <c r="BF101" s="147"/>
      <c r="BG101" s="166">
        <f t="shared" si="157"/>
        <v>0</v>
      </c>
      <c r="BH101" s="147"/>
      <c r="BI101" s="166">
        <f t="shared" si="158"/>
        <v>0</v>
      </c>
      <c r="BJ101" s="147"/>
      <c r="BK101" s="166">
        <f t="shared" si="159"/>
        <v>0</v>
      </c>
      <c r="BL101" s="147"/>
      <c r="BM101" s="166">
        <f t="shared" si="160"/>
        <v>0</v>
      </c>
      <c r="BN101" s="50"/>
      <c r="BO101" s="170" t="e">
        <f t="shared" si="132"/>
        <v>#VALUE!</v>
      </c>
      <c r="BP101" s="87"/>
      <c r="BQ101" s="52"/>
    </row>
    <row r="102" spans="1:76" x14ac:dyDescent="0.35">
      <c r="A102" s="44" t="s">
        <v>86</v>
      </c>
      <c r="B102" s="54" t="s">
        <v>65</v>
      </c>
      <c r="C102" s="144"/>
      <c r="D102" s="146"/>
      <c r="E102" s="166" t="e">
        <f t="shared" si="133"/>
        <v>#VALUE!</v>
      </c>
      <c r="F102" s="147"/>
      <c r="G102" s="166">
        <f t="shared" si="133"/>
        <v>0</v>
      </c>
      <c r="H102" s="147"/>
      <c r="I102" s="166">
        <f t="shared" si="133"/>
        <v>0</v>
      </c>
      <c r="J102" s="147"/>
      <c r="K102" s="166">
        <f t="shared" si="133"/>
        <v>0</v>
      </c>
      <c r="L102" s="147"/>
      <c r="M102" s="166">
        <f t="shared" si="134"/>
        <v>0</v>
      </c>
      <c r="N102" s="147"/>
      <c r="O102" s="166">
        <f t="shared" si="135"/>
        <v>0</v>
      </c>
      <c r="P102" s="147"/>
      <c r="Q102" s="166">
        <f t="shared" si="136"/>
        <v>0</v>
      </c>
      <c r="R102" s="147"/>
      <c r="S102" s="166">
        <f t="shared" si="137"/>
        <v>0</v>
      </c>
      <c r="T102" s="147"/>
      <c r="U102" s="166">
        <f t="shared" si="138"/>
        <v>0</v>
      </c>
      <c r="V102" s="147"/>
      <c r="W102" s="166">
        <f t="shared" si="139"/>
        <v>0</v>
      </c>
      <c r="X102" s="147"/>
      <c r="Y102" s="166">
        <f t="shared" si="140"/>
        <v>0</v>
      </c>
      <c r="Z102" s="147"/>
      <c r="AA102" s="166">
        <f t="shared" si="141"/>
        <v>0</v>
      </c>
      <c r="AB102" s="147"/>
      <c r="AC102" s="166">
        <f t="shared" si="142"/>
        <v>0</v>
      </c>
      <c r="AD102" s="147"/>
      <c r="AE102" s="166">
        <f t="shared" si="143"/>
        <v>0</v>
      </c>
      <c r="AF102" s="147"/>
      <c r="AG102" s="166">
        <f t="shared" si="144"/>
        <v>0</v>
      </c>
      <c r="AH102" s="147"/>
      <c r="AI102" s="166">
        <f t="shared" si="145"/>
        <v>0</v>
      </c>
      <c r="AJ102" s="147"/>
      <c r="AK102" s="166">
        <f t="shared" si="146"/>
        <v>0</v>
      </c>
      <c r="AL102" s="147"/>
      <c r="AM102" s="166">
        <f t="shared" si="147"/>
        <v>0</v>
      </c>
      <c r="AN102" s="147"/>
      <c r="AO102" s="166">
        <f t="shared" si="148"/>
        <v>0</v>
      </c>
      <c r="AP102" s="147"/>
      <c r="AQ102" s="166">
        <f t="shared" si="149"/>
        <v>0</v>
      </c>
      <c r="AR102" s="147"/>
      <c r="AS102" s="166">
        <f t="shared" si="150"/>
        <v>0</v>
      </c>
      <c r="AT102" s="147"/>
      <c r="AU102" s="166">
        <f t="shared" si="151"/>
        <v>0</v>
      </c>
      <c r="AV102" s="147"/>
      <c r="AW102" s="166">
        <f t="shared" si="152"/>
        <v>0</v>
      </c>
      <c r="AX102" s="147"/>
      <c r="AY102" s="166">
        <f t="shared" si="153"/>
        <v>0</v>
      </c>
      <c r="AZ102" s="147"/>
      <c r="BA102" s="166">
        <f t="shared" si="154"/>
        <v>0</v>
      </c>
      <c r="BB102" s="147"/>
      <c r="BC102" s="166">
        <f t="shared" si="155"/>
        <v>0</v>
      </c>
      <c r="BD102" s="147"/>
      <c r="BE102" s="166">
        <f t="shared" si="156"/>
        <v>0</v>
      </c>
      <c r="BF102" s="147"/>
      <c r="BG102" s="166">
        <f t="shared" si="157"/>
        <v>0</v>
      </c>
      <c r="BH102" s="147"/>
      <c r="BI102" s="166">
        <f t="shared" si="158"/>
        <v>0</v>
      </c>
      <c r="BJ102" s="147"/>
      <c r="BK102" s="166">
        <f t="shared" si="159"/>
        <v>0</v>
      </c>
      <c r="BL102" s="147"/>
      <c r="BM102" s="166">
        <f t="shared" si="160"/>
        <v>0</v>
      </c>
      <c r="BN102" s="50"/>
      <c r="BO102" s="170" t="e">
        <f t="shared" si="132"/>
        <v>#VALUE!</v>
      </c>
      <c r="BP102" s="87"/>
      <c r="BQ102" s="52"/>
    </row>
    <row r="103" spans="1:76" x14ac:dyDescent="0.35">
      <c r="A103" s="53"/>
      <c r="B103" s="54"/>
      <c r="C103" s="144"/>
      <c r="D103" s="189">
        <f>SUM(D91:D102)</f>
        <v>0</v>
      </c>
      <c r="E103" s="166" t="e">
        <f t="shared" ref="E103:BP103" si="161">SUM(E91:E102)</f>
        <v>#VALUE!</v>
      </c>
      <c r="F103" s="167">
        <f t="shared" si="161"/>
        <v>0</v>
      </c>
      <c r="G103" s="166">
        <f t="shared" si="161"/>
        <v>0</v>
      </c>
      <c r="H103" s="167">
        <f t="shared" si="161"/>
        <v>0</v>
      </c>
      <c r="I103" s="166">
        <f t="shared" si="161"/>
        <v>0</v>
      </c>
      <c r="J103" s="167">
        <f t="shared" si="161"/>
        <v>0</v>
      </c>
      <c r="K103" s="166">
        <f t="shared" si="161"/>
        <v>0</v>
      </c>
      <c r="L103" s="167">
        <f t="shared" si="161"/>
        <v>0</v>
      </c>
      <c r="M103" s="166">
        <f t="shared" si="161"/>
        <v>0</v>
      </c>
      <c r="N103" s="167">
        <f t="shared" si="161"/>
        <v>0</v>
      </c>
      <c r="O103" s="166">
        <f t="shared" si="161"/>
        <v>0</v>
      </c>
      <c r="P103" s="167">
        <f t="shared" si="161"/>
        <v>0</v>
      </c>
      <c r="Q103" s="166">
        <f t="shared" si="161"/>
        <v>0</v>
      </c>
      <c r="R103" s="167">
        <f t="shared" si="161"/>
        <v>0</v>
      </c>
      <c r="S103" s="166">
        <f t="shared" si="161"/>
        <v>0</v>
      </c>
      <c r="T103" s="167">
        <f t="shared" si="161"/>
        <v>0</v>
      </c>
      <c r="U103" s="166">
        <f t="shared" si="161"/>
        <v>0</v>
      </c>
      <c r="V103" s="167">
        <f t="shared" si="161"/>
        <v>0</v>
      </c>
      <c r="W103" s="166">
        <f t="shared" si="161"/>
        <v>0</v>
      </c>
      <c r="X103" s="167">
        <f t="shared" si="161"/>
        <v>0</v>
      </c>
      <c r="Y103" s="166">
        <f t="shared" si="161"/>
        <v>0</v>
      </c>
      <c r="Z103" s="167">
        <f t="shared" si="161"/>
        <v>0</v>
      </c>
      <c r="AA103" s="166">
        <f t="shared" si="161"/>
        <v>0</v>
      </c>
      <c r="AB103" s="167">
        <f t="shared" si="161"/>
        <v>0</v>
      </c>
      <c r="AC103" s="166">
        <f t="shared" si="161"/>
        <v>0</v>
      </c>
      <c r="AD103" s="167">
        <f t="shared" si="161"/>
        <v>0</v>
      </c>
      <c r="AE103" s="166">
        <f t="shared" si="161"/>
        <v>0</v>
      </c>
      <c r="AF103" s="167">
        <f t="shared" si="161"/>
        <v>0</v>
      </c>
      <c r="AG103" s="166">
        <f t="shared" si="161"/>
        <v>0</v>
      </c>
      <c r="AH103" s="167">
        <f t="shared" si="161"/>
        <v>0</v>
      </c>
      <c r="AI103" s="166">
        <f t="shared" si="161"/>
        <v>0</v>
      </c>
      <c r="AJ103" s="167">
        <f t="shared" si="161"/>
        <v>0</v>
      </c>
      <c r="AK103" s="166">
        <f t="shared" si="161"/>
        <v>0</v>
      </c>
      <c r="AL103" s="167">
        <f t="shared" si="161"/>
        <v>0</v>
      </c>
      <c r="AM103" s="166">
        <f t="shared" si="161"/>
        <v>0</v>
      </c>
      <c r="AN103" s="167">
        <f t="shared" si="161"/>
        <v>0</v>
      </c>
      <c r="AO103" s="166">
        <f t="shared" si="161"/>
        <v>0</v>
      </c>
      <c r="AP103" s="167">
        <f t="shared" si="161"/>
        <v>0</v>
      </c>
      <c r="AQ103" s="194">
        <f t="shared" si="161"/>
        <v>0</v>
      </c>
      <c r="AR103" s="167">
        <f t="shared" si="161"/>
        <v>0</v>
      </c>
      <c r="AS103" s="166">
        <f t="shared" si="161"/>
        <v>0</v>
      </c>
      <c r="AT103" s="167">
        <f t="shared" si="161"/>
        <v>0</v>
      </c>
      <c r="AU103" s="166">
        <f t="shared" si="161"/>
        <v>0</v>
      </c>
      <c r="AV103" s="167">
        <f t="shared" si="161"/>
        <v>0</v>
      </c>
      <c r="AW103" s="166">
        <f t="shared" si="161"/>
        <v>0</v>
      </c>
      <c r="AX103" s="167">
        <f t="shared" si="161"/>
        <v>0</v>
      </c>
      <c r="AY103" s="166">
        <f t="shared" si="161"/>
        <v>0</v>
      </c>
      <c r="AZ103" s="167">
        <f t="shared" si="161"/>
        <v>0</v>
      </c>
      <c r="BA103" s="166">
        <f t="shared" si="161"/>
        <v>0</v>
      </c>
      <c r="BB103" s="167">
        <f t="shared" si="161"/>
        <v>0</v>
      </c>
      <c r="BC103" s="166">
        <f t="shared" si="161"/>
        <v>0</v>
      </c>
      <c r="BD103" s="167">
        <f t="shared" si="161"/>
        <v>0</v>
      </c>
      <c r="BE103" s="166">
        <f t="shared" si="161"/>
        <v>0</v>
      </c>
      <c r="BF103" s="167">
        <f t="shared" si="161"/>
        <v>0</v>
      </c>
      <c r="BG103" s="166">
        <f t="shared" si="161"/>
        <v>0</v>
      </c>
      <c r="BH103" s="167">
        <f t="shared" si="161"/>
        <v>0</v>
      </c>
      <c r="BI103" s="166">
        <f t="shared" si="161"/>
        <v>0</v>
      </c>
      <c r="BJ103" s="167">
        <f t="shared" si="161"/>
        <v>0</v>
      </c>
      <c r="BK103" s="166">
        <f t="shared" si="161"/>
        <v>0</v>
      </c>
      <c r="BL103" s="167">
        <f t="shared" si="161"/>
        <v>0</v>
      </c>
      <c r="BM103" s="166">
        <f t="shared" si="161"/>
        <v>0</v>
      </c>
      <c r="BN103" s="50"/>
      <c r="BO103" s="170" t="e">
        <f t="shared" si="132"/>
        <v>#VALUE!</v>
      </c>
      <c r="BP103" s="173">
        <f t="shared" si="161"/>
        <v>0</v>
      </c>
      <c r="BQ103" s="52"/>
    </row>
    <row r="104" spans="1:76" x14ac:dyDescent="0.35">
      <c r="A104" s="53"/>
      <c r="B104" s="54"/>
      <c r="C104" s="144"/>
      <c r="D104" s="189">
        <f t="shared" si="98"/>
        <v>0</v>
      </c>
      <c r="E104" s="48"/>
      <c r="F104" s="167">
        <f t="shared" si="99"/>
        <v>0</v>
      </c>
      <c r="G104" s="48"/>
      <c r="H104" s="167">
        <f t="shared" si="100"/>
        <v>0</v>
      </c>
      <c r="I104" s="48"/>
      <c r="J104" s="167">
        <f t="shared" si="101"/>
        <v>0</v>
      </c>
      <c r="K104" s="48"/>
      <c r="L104" s="167">
        <f t="shared" ref="L104" si="162">+M104-K104</f>
        <v>0</v>
      </c>
      <c r="M104" s="48"/>
      <c r="N104" s="167">
        <f t="shared" ref="N104" si="163">+O104-M104</f>
        <v>0</v>
      </c>
      <c r="O104" s="48"/>
      <c r="P104" s="167">
        <f t="shared" ref="P104" si="164">+Q104-O104</f>
        <v>0</v>
      </c>
      <c r="Q104" s="48"/>
      <c r="R104" s="167">
        <f t="shared" ref="R104" si="165">+S104-Q104</f>
        <v>0</v>
      </c>
      <c r="S104" s="48"/>
      <c r="T104" s="167">
        <f t="shared" ref="T104" si="166">+U104-S104</f>
        <v>0</v>
      </c>
      <c r="U104" s="48"/>
      <c r="V104" s="167">
        <f t="shared" ref="V104" si="167">+W104-U104</f>
        <v>0</v>
      </c>
      <c r="W104" s="48"/>
      <c r="X104" s="167">
        <f t="shared" ref="X104" si="168">+Y104-W104</f>
        <v>0</v>
      </c>
      <c r="Y104" s="48"/>
      <c r="Z104" s="167">
        <f t="shared" ref="Z104" si="169">+AA104-Y104</f>
        <v>0</v>
      </c>
      <c r="AA104" s="48"/>
      <c r="AB104" s="167">
        <f t="shared" ref="AB104" si="170">+AC104-AA104</f>
        <v>0</v>
      </c>
      <c r="AC104" s="48"/>
      <c r="AD104" s="167">
        <f t="shared" ref="AD104" si="171">+AE104-AC104</f>
        <v>0</v>
      </c>
      <c r="AE104" s="48"/>
      <c r="AF104" s="167">
        <f t="shared" ref="AF104" si="172">+AG104-AE104</f>
        <v>0</v>
      </c>
      <c r="AG104" s="48"/>
      <c r="AH104" s="167">
        <f t="shared" ref="AH104" si="173">+AI104-AG104</f>
        <v>0</v>
      </c>
      <c r="AI104" s="48"/>
      <c r="AJ104" s="167">
        <f t="shared" ref="AJ104" si="174">+AK104-AI104</f>
        <v>0</v>
      </c>
      <c r="AK104" s="48"/>
      <c r="AL104" s="167">
        <f t="shared" ref="AL104" si="175">+AM104-AK104</f>
        <v>0</v>
      </c>
      <c r="AM104" s="48"/>
      <c r="AN104" s="167">
        <f t="shared" ref="AN104" si="176">+AO104-AM104</f>
        <v>0</v>
      </c>
      <c r="AO104" s="48"/>
      <c r="AP104" s="167">
        <f t="shared" ref="AP104" si="177">+AQ104-AO104</f>
        <v>0</v>
      </c>
      <c r="AQ104" s="48"/>
      <c r="AR104" s="167">
        <f t="shared" ref="AR104" si="178">+AS104-AQ104</f>
        <v>0</v>
      </c>
      <c r="AS104" s="48"/>
      <c r="AT104" s="167">
        <f t="shared" ref="AT104" si="179">+AU104-AS104</f>
        <v>0</v>
      </c>
      <c r="AU104" s="48"/>
      <c r="AV104" s="167">
        <f t="shared" ref="AV104" si="180">+AW104-AU104</f>
        <v>0</v>
      </c>
      <c r="AW104" s="48"/>
      <c r="AX104" s="167">
        <f t="shared" ref="AX104" si="181">+AY104-AW104</f>
        <v>0</v>
      </c>
      <c r="AY104" s="48"/>
      <c r="AZ104" s="167">
        <f t="shared" ref="AZ104" si="182">+BA104-AY104</f>
        <v>0</v>
      </c>
      <c r="BA104" s="48"/>
      <c r="BB104" s="167">
        <f t="shared" ref="BB104" si="183">+BC104-BA104</f>
        <v>0</v>
      </c>
      <c r="BC104" s="48"/>
      <c r="BD104" s="167">
        <f t="shared" ref="BD104" si="184">+BE104-BC104</f>
        <v>0</v>
      </c>
      <c r="BE104" s="48"/>
      <c r="BF104" s="167">
        <f t="shared" ref="BF104" si="185">+BG104-BE104</f>
        <v>0</v>
      </c>
      <c r="BG104" s="48"/>
      <c r="BH104" s="167">
        <f t="shared" ref="BH104" si="186">+BI104-BG104</f>
        <v>0</v>
      </c>
      <c r="BI104" s="48"/>
      <c r="BJ104" s="167">
        <f t="shared" ref="BJ104" si="187">+BK104-BI104</f>
        <v>0</v>
      </c>
      <c r="BK104" s="48"/>
      <c r="BL104" s="167">
        <f t="shared" ref="BL104" si="188">+BM104-BK104</f>
        <v>0</v>
      </c>
      <c r="BM104" s="48"/>
      <c r="BN104" s="50"/>
      <c r="BO104" s="51"/>
      <c r="BP104" s="173">
        <f t="shared" ref="BP104" si="189">+BQ104-BM104</f>
        <v>0</v>
      </c>
      <c r="BQ104" s="52"/>
    </row>
    <row r="105" spans="1:76" x14ac:dyDescent="0.35">
      <c r="A105" s="74"/>
      <c r="B105" s="75"/>
      <c r="C105" s="76"/>
      <c r="D105" s="77"/>
      <c r="E105" s="148"/>
      <c r="F105" s="79"/>
      <c r="G105" s="148"/>
      <c r="H105" s="79"/>
      <c r="I105" s="148"/>
      <c r="J105" s="79"/>
      <c r="K105" s="148"/>
      <c r="L105" s="79"/>
      <c r="M105" s="148"/>
      <c r="N105" s="79"/>
      <c r="O105" s="148"/>
      <c r="P105" s="79"/>
      <c r="Q105" s="148"/>
      <c r="R105" s="79"/>
      <c r="S105" s="148"/>
      <c r="T105" s="79"/>
      <c r="U105" s="148"/>
      <c r="V105" s="79"/>
      <c r="W105" s="148"/>
      <c r="X105" s="79"/>
      <c r="Y105" s="148"/>
      <c r="Z105" s="79"/>
      <c r="AA105" s="148"/>
      <c r="AB105" s="79"/>
      <c r="AC105" s="148"/>
      <c r="AD105" s="79"/>
      <c r="AE105" s="148"/>
      <c r="AF105" s="79"/>
      <c r="AG105" s="148"/>
      <c r="AH105" s="79"/>
      <c r="AI105" s="148"/>
      <c r="AJ105" s="79"/>
      <c r="AK105" s="148"/>
      <c r="AL105" s="79"/>
      <c r="AM105" s="148"/>
      <c r="AN105" s="79"/>
      <c r="AO105" s="148"/>
      <c r="AP105" s="79"/>
      <c r="AQ105" s="148"/>
      <c r="AR105" s="79"/>
      <c r="AS105" s="148"/>
      <c r="AT105" s="79"/>
      <c r="AU105" s="148"/>
      <c r="AV105" s="79"/>
      <c r="AW105" s="148"/>
      <c r="AX105" s="79"/>
      <c r="AY105" s="148"/>
      <c r="AZ105" s="79"/>
      <c r="BA105" s="148"/>
      <c r="BB105" s="79"/>
      <c r="BC105" s="148"/>
      <c r="BD105" s="79"/>
      <c r="BE105" s="148"/>
      <c r="BF105" s="79"/>
      <c r="BG105" s="148"/>
      <c r="BH105" s="79"/>
      <c r="BI105" s="148"/>
      <c r="BJ105" s="79"/>
      <c r="BK105" s="148"/>
      <c r="BL105" s="79"/>
      <c r="BM105" s="148"/>
      <c r="BN105" s="80"/>
      <c r="BO105" s="81"/>
      <c r="BP105" s="79"/>
      <c r="BQ105" s="82"/>
    </row>
    <row r="106" spans="1:76" x14ac:dyDescent="0.35">
      <c r="A106" s="53" t="s">
        <v>32</v>
      </c>
      <c r="B106" s="54"/>
      <c r="C106" s="67"/>
      <c r="D106" s="68"/>
      <c r="E106" s="69"/>
      <c r="F106" s="70"/>
      <c r="G106" s="69"/>
      <c r="H106" s="70"/>
      <c r="I106" s="69"/>
      <c r="J106" s="70"/>
      <c r="K106" s="69"/>
      <c r="L106" s="70"/>
      <c r="M106" s="69"/>
      <c r="N106" s="70"/>
      <c r="O106" s="69"/>
      <c r="P106" s="70"/>
      <c r="Q106" s="69"/>
      <c r="R106" s="70"/>
      <c r="S106" s="69"/>
      <c r="T106" s="70"/>
      <c r="U106" s="69"/>
      <c r="V106" s="70"/>
      <c r="W106" s="69"/>
      <c r="X106" s="70"/>
      <c r="Y106" s="69"/>
      <c r="Z106" s="70"/>
      <c r="AA106" s="69"/>
      <c r="AB106" s="70"/>
      <c r="AC106" s="69"/>
      <c r="AD106" s="70"/>
      <c r="AE106" s="69"/>
      <c r="AF106" s="70"/>
      <c r="AG106" s="69"/>
      <c r="AH106" s="70"/>
      <c r="AI106" s="69"/>
      <c r="AJ106" s="70"/>
      <c r="AK106" s="69"/>
      <c r="AL106" s="70"/>
      <c r="AM106" s="69"/>
      <c r="AN106" s="70"/>
      <c r="AO106" s="69"/>
      <c r="AP106" s="70"/>
      <c r="AQ106" s="69"/>
      <c r="AR106" s="70"/>
      <c r="AS106" s="69"/>
      <c r="AT106" s="70"/>
      <c r="AU106" s="69"/>
      <c r="AV106" s="70"/>
      <c r="AW106" s="69"/>
      <c r="AX106" s="70"/>
      <c r="AY106" s="69"/>
      <c r="AZ106" s="70"/>
      <c r="BA106" s="69"/>
      <c r="BB106" s="70"/>
      <c r="BC106" s="69"/>
      <c r="BD106" s="70"/>
      <c r="BE106" s="69"/>
      <c r="BF106" s="70"/>
      <c r="BG106" s="69"/>
      <c r="BH106" s="70"/>
      <c r="BI106" s="69"/>
      <c r="BJ106" s="70"/>
      <c r="BK106" s="69"/>
      <c r="BL106" s="70"/>
      <c r="BM106" s="69"/>
      <c r="BN106" s="71"/>
      <c r="BO106" s="182" t="str">
        <f t="shared" ref="BO106:BO120" si="190">IF(COUNT(E106,G106,I106,K106,M106,O106,Q106,S106,U106,W106,Y106,AA106,AC106,AE106,AG106,AI106,AK106,AM106,AO106,AQ106,AS106,AU106,AW106,AY106,BA106,BC106,BE106,BG106,BI106,BK106,BM106)=0,"",SUM(E106,G106,I106,K106,M106,O106,Q106,S106,U106,W106,Y106,AA106,AC106,AE106,AG106,AI106,AK106,AM106,AO106,AQ106,AS106,AU106,AW106,AY106,BA106,BC106,BE106,BG106,BI106,BK106,BM106))</f>
        <v/>
      </c>
      <c r="BP106" s="70"/>
      <c r="BQ106" s="73"/>
    </row>
    <row r="107" spans="1:76" x14ac:dyDescent="0.35">
      <c r="A107" s="53" t="s">
        <v>33</v>
      </c>
      <c r="B107" s="54"/>
      <c r="C107" s="67"/>
      <c r="D107" s="68"/>
      <c r="E107" s="69"/>
      <c r="F107" s="70"/>
      <c r="G107" s="69"/>
      <c r="H107" s="70"/>
      <c r="I107" s="69"/>
      <c r="J107" s="70"/>
      <c r="K107" s="69"/>
      <c r="L107" s="70"/>
      <c r="M107" s="69"/>
      <c r="N107" s="70"/>
      <c r="O107" s="69"/>
      <c r="P107" s="70"/>
      <c r="Q107" s="69"/>
      <c r="R107" s="70"/>
      <c r="S107" s="69"/>
      <c r="T107" s="70"/>
      <c r="U107" s="69"/>
      <c r="V107" s="70"/>
      <c r="W107" s="69"/>
      <c r="X107" s="70"/>
      <c r="Y107" s="69"/>
      <c r="Z107" s="70"/>
      <c r="AA107" s="69"/>
      <c r="AB107" s="70"/>
      <c r="AC107" s="69"/>
      <c r="AD107" s="70"/>
      <c r="AE107" s="69"/>
      <c r="AF107" s="70"/>
      <c r="AG107" s="69"/>
      <c r="AH107" s="70"/>
      <c r="AI107" s="69"/>
      <c r="AJ107" s="70"/>
      <c r="AK107" s="69"/>
      <c r="AL107" s="70"/>
      <c r="AM107" s="69"/>
      <c r="AN107" s="70"/>
      <c r="AO107" s="69"/>
      <c r="AP107" s="70"/>
      <c r="AQ107" s="69"/>
      <c r="AR107" s="70"/>
      <c r="AS107" s="69"/>
      <c r="AT107" s="70"/>
      <c r="AU107" s="69"/>
      <c r="AV107" s="70"/>
      <c r="AW107" s="69"/>
      <c r="AX107" s="70"/>
      <c r="AY107" s="69"/>
      <c r="AZ107" s="70"/>
      <c r="BA107" s="69"/>
      <c r="BB107" s="70"/>
      <c r="BC107" s="69"/>
      <c r="BD107" s="70"/>
      <c r="BE107" s="69"/>
      <c r="BF107" s="70"/>
      <c r="BG107" s="69"/>
      <c r="BH107" s="70"/>
      <c r="BI107" s="69"/>
      <c r="BJ107" s="70"/>
      <c r="BK107" s="69"/>
      <c r="BL107" s="70"/>
      <c r="BM107" s="69"/>
      <c r="BN107" s="71"/>
      <c r="BO107" s="182" t="str">
        <f t="shared" si="190"/>
        <v/>
      </c>
      <c r="BP107" s="70"/>
      <c r="BQ107" s="73"/>
    </row>
    <row r="108" spans="1:76" x14ac:dyDescent="0.35">
      <c r="A108" s="53" t="s">
        <v>33</v>
      </c>
      <c r="B108" s="54"/>
      <c r="C108" s="67"/>
      <c r="D108" s="68"/>
      <c r="E108" s="69"/>
      <c r="F108" s="70"/>
      <c r="G108" s="69"/>
      <c r="H108" s="70"/>
      <c r="I108" s="69"/>
      <c r="J108" s="70"/>
      <c r="K108" s="69"/>
      <c r="L108" s="70"/>
      <c r="M108" s="69"/>
      <c r="N108" s="70"/>
      <c r="O108" s="69"/>
      <c r="P108" s="70"/>
      <c r="Q108" s="69"/>
      <c r="R108" s="70"/>
      <c r="S108" s="69"/>
      <c r="T108" s="70"/>
      <c r="U108" s="69"/>
      <c r="V108" s="70"/>
      <c r="W108" s="69"/>
      <c r="X108" s="70"/>
      <c r="Y108" s="69"/>
      <c r="Z108" s="70"/>
      <c r="AA108" s="69"/>
      <c r="AB108" s="70"/>
      <c r="AC108" s="69"/>
      <c r="AD108" s="70"/>
      <c r="AE108" s="69"/>
      <c r="AF108" s="70"/>
      <c r="AG108" s="69"/>
      <c r="AH108" s="70"/>
      <c r="AI108" s="69"/>
      <c r="AJ108" s="70"/>
      <c r="AK108" s="69"/>
      <c r="AL108" s="70"/>
      <c r="AM108" s="69"/>
      <c r="AN108" s="70"/>
      <c r="AO108" s="69"/>
      <c r="AP108" s="70"/>
      <c r="AQ108" s="69"/>
      <c r="AR108" s="70"/>
      <c r="AS108" s="69"/>
      <c r="AT108" s="70"/>
      <c r="AU108" s="69"/>
      <c r="AV108" s="70"/>
      <c r="AW108" s="69"/>
      <c r="AX108" s="70"/>
      <c r="AY108" s="69"/>
      <c r="AZ108" s="70"/>
      <c r="BA108" s="69"/>
      <c r="BB108" s="70"/>
      <c r="BC108" s="69"/>
      <c r="BD108" s="70"/>
      <c r="BE108" s="69"/>
      <c r="BF108" s="70"/>
      <c r="BG108" s="69"/>
      <c r="BH108" s="70"/>
      <c r="BI108" s="69"/>
      <c r="BJ108" s="70"/>
      <c r="BK108" s="69"/>
      <c r="BL108" s="70"/>
      <c r="BM108" s="69"/>
      <c r="BN108" s="71"/>
      <c r="BO108" s="182" t="str">
        <f t="shared" si="190"/>
        <v/>
      </c>
      <c r="BP108" s="70"/>
      <c r="BQ108" s="73"/>
    </row>
    <row r="109" spans="1:76" x14ac:dyDescent="0.35">
      <c r="A109" s="53" t="s">
        <v>34</v>
      </c>
      <c r="B109" s="54"/>
      <c r="C109" s="67"/>
      <c r="D109" s="68"/>
      <c r="E109" s="69"/>
      <c r="F109" s="70"/>
      <c r="G109" s="69"/>
      <c r="H109" s="70"/>
      <c r="I109" s="69"/>
      <c r="J109" s="70"/>
      <c r="K109" s="69"/>
      <c r="L109" s="70"/>
      <c r="M109" s="69"/>
      <c r="N109" s="70"/>
      <c r="O109" s="69"/>
      <c r="P109" s="70"/>
      <c r="Q109" s="69"/>
      <c r="R109" s="70"/>
      <c r="S109" s="69"/>
      <c r="T109" s="70"/>
      <c r="U109" s="69"/>
      <c r="V109" s="70"/>
      <c r="W109" s="69"/>
      <c r="X109" s="70"/>
      <c r="Y109" s="69"/>
      <c r="Z109" s="70"/>
      <c r="AA109" s="69"/>
      <c r="AB109" s="70"/>
      <c r="AC109" s="69"/>
      <c r="AD109" s="70"/>
      <c r="AE109" s="69"/>
      <c r="AF109" s="70"/>
      <c r="AG109" s="69"/>
      <c r="AH109" s="70"/>
      <c r="AI109" s="69"/>
      <c r="AJ109" s="70"/>
      <c r="AK109" s="69"/>
      <c r="AL109" s="70"/>
      <c r="AM109" s="69"/>
      <c r="AN109" s="70"/>
      <c r="AO109" s="69"/>
      <c r="AP109" s="70"/>
      <c r="AQ109" s="69"/>
      <c r="AR109" s="70"/>
      <c r="AS109" s="69"/>
      <c r="AT109" s="70"/>
      <c r="AU109" s="69"/>
      <c r="AV109" s="70"/>
      <c r="AW109" s="69"/>
      <c r="AX109" s="70"/>
      <c r="AY109" s="69"/>
      <c r="AZ109" s="70"/>
      <c r="BA109" s="69"/>
      <c r="BB109" s="70"/>
      <c r="BC109" s="69"/>
      <c r="BD109" s="70"/>
      <c r="BE109" s="69"/>
      <c r="BF109" s="70"/>
      <c r="BG109" s="69"/>
      <c r="BH109" s="70"/>
      <c r="BI109" s="69"/>
      <c r="BJ109" s="70"/>
      <c r="BK109" s="69"/>
      <c r="BL109" s="70"/>
      <c r="BM109" s="69"/>
      <c r="BN109" s="71"/>
      <c r="BO109" s="182" t="str">
        <f t="shared" si="190"/>
        <v/>
      </c>
      <c r="BP109" s="70"/>
      <c r="BQ109" s="73"/>
    </row>
    <row r="110" spans="1:76" x14ac:dyDescent="0.35">
      <c r="A110" s="53" t="s">
        <v>34</v>
      </c>
      <c r="B110" s="54"/>
      <c r="C110" s="67"/>
      <c r="D110" s="68"/>
      <c r="E110" s="69"/>
      <c r="F110" s="70"/>
      <c r="G110" s="69"/>
      <c r="H110" s="70"/>
      <c r="I110" s="69"/>
      <c r="J110" s="70"/>
      <c r="K110" s="69"/>
      <c r="L110" s="70"/>
      <c r="M110" s="69"/>
      <c r="N110" s="70"/>
      <c r="O110" s="69"/>
      <c r="P110" s="70"/>
      <c r="Q110" s="69"/>
      <c r="R110" s="70"/>
      <c r="S110" s="69"/>
      <c r="T110" s="70"/>
      <c r="U110" s="69"/>
      <c r="V110" s="70"/>
      <c r="W110" s="69"/>
      <c r="X110" s="70"/>
      <c r="Y110" s="69"/>
      <c r="Z110" s="70"/>
      <c r="AA110" s="69"/>
      <c r="AB110" s="70"/>
      <c r="AC110" s="69"/>
      <c r="AD110" s="70"/>
      <c r="AE110" s="69"/>
      <c r="AF110" s="70"/>
      <c r="AG110" s="69"/>
      <c r="AH110" s="70"/>
      <c r="AI110" s="69"/>
      <c r="AJ110" s="70"/>
      <c r="AK110" s="69"/>
      <c r="AL110" s="70"/>
      <c r="AM110" s="69"/>
      <c r="AN110" s="70"/>
      <c r="AO110" s="69"/>
      <c r="AP110" s="70"/>
      <c r="AQ110" s="69"/>
      <c r="AR110" s="70"/>
      <c r="AS110" s="69"/>
      <c r="AT110" s="70"/>
      <c r="AU110" s="69"/>
      <c r="AV110" s="70"/>
      <c r="AW110" s="69"/>
      <c r="AX110" s="70"/>
      <c r="AY110" s="69"/>
      <c r="AZ110" s="70"/>
      <c r="BA110" s="69"/>
      <c r="BB110" s="70"/>
      <c r="BC110" s="69"/>
      <c r="BD110" s="70"/>
      <c r="BE110" s="69"/>
      <c r="BF110" s="70"/>
      <c r="BG110" s="69"/>
      <c r="BH110" s="70"/>
      <c r="BI110" s="69"/>
      <c r="BJ110" s="70"/>
      <c r="BK110" s="69"/>
      <c r="BL110" s="70"/>
      <c r="BM110" s="69"/>
      <c r="BN110" s="71"/>
      <c r="BO110" s="182" t="str">
        <f t="shared" si="190"/>
        <v/>
      </c>
      <c r="BP110" s="70"/>
      <c r="BQ110" s="73"/>
    </row>
    <row r="111" spans="1:76" s="6" customFormat="1" x14ac:dyDescent="0.35">
      <c r="A111" s="149" t="s">
        <v>71</v>
      </c>
      <c r="B111" s="150"/>
      <c r="C111" s="67"/>
      <c r="D111" s="151"/>
      <c r="E111" s="69"/>
      <c r="F111" s="152"/>
      <c r="G111" s="69"/>
      <c r="H111" s="152"/>
      <c r="I111" s="69"/>
      <c r="J111" s="152"/>
      <c r="K111" s="69"/>
      <c r="L111" s="152"/>
      <c r="M111" s="69"/>
      <c r="N111" s="152"/>
      <c r="O111" s="69"/>
      <c r="P111" s="152"/>
      <c r="Q111" s="69"/>
      <c r="R111" s="152"/>
      <c r="S111" s="69"/>
      <c r="T111" s="152"/>
      <c r="U111" s="69"/>
      <c r="V111" s="152"/>
      <c r="W111" s="69"/>
      <c r="X111" s="152"/>
      <c r="Y111" s="69"/>
      <c r="Z111" s="152"/>
      <c r="AA111" s="69"/>
      <c r="AB111" s="152"/>
      <c r="AC111" s="69"/>
      <c r="AD111" s="152"/>
      <c r="AE111" s="69"/>
      <c r="AF111" s="152"/>
      <c r="AG111" s="69"/>
      <c r="AH111" s="152"/>
      <c r="AI111" s="69"/>
      <c r="AJ111" s="152"/>
      <c r="AK111" s="69"/>
      <c r="AL111" s="152"/>
      <c r="AM111" s="69"/>
      <c r="AN111" s="152"/>
      <c r="AO111" s="69"/>
      <c r="AP111" s="152"/>
      <c r="AQ111" s="69"/>
      <c r="AR111" s="152"/>
      <c r="AS111" s="69"/>
      <c r="AT111" s="152"/>
      <c r="AU111" s="69"/>
      <c r="AV111" s="152"/>
      <c r="AW111" s="69"/>
      <c r="AX111" s="152"/>
      <c r="AY111" s="69"/>
      <c r="AZ111" s="152"/>
      <c r="BA111" s="69"/>
      <c r="BB111" s="152"/>
      <c r="BC111" s="69"/>
      <c r="BD111" s="152"/>
      <c r="BE111" s="69"/>
      <c r="BF111" s="152"/>
      <c r="BG111" s="69"/>
      <c r="BH111" s="152"/>
      <c r="BI111" s="69"/>
      <c r="BJ111" s="152"/>
      <c r="BK111" s="69"/>
      <c r="BL111" s="152"/>
      <c r="BM111" s="69"/>
      <c r="BN111" s="71"/>
      <c r="BO111" s="182" t="str">
        <f t="shared" si="190"/>
        <v/>
      </c>
      <c r="BP111" s="152"/>
      <c r="BQ111" s="73"/>
      <c r="BR111"/>
      <c r="BS111"/>
      <c r="BT111"/>
      <c r="BU111"/>
      <c r="BV111"/>
      <c r="BW111"/>
      <c r="BX111"/>
    </row>
    <row r="112" spans="1:76" x14ac:dyDescent="0.35">
      <c r="A112" s="53" t="s">
        <v>72</v>
      </c>
      <c r="B112" s="54"/>
      <c r="C112" s="67"/>
      <c r="D112" s="68"/>
      <c r="E112" s="69"/>
      <c r="F112" s="70"/>
      <c r="G112" s="69"/>
      <c r="H112" s="70"/>
      <c r="I112" s="69"/>
      <c r="J112" s="70"/>
      <c r="K112" s="69"/>
      <c r="L112" s="70"/>
      <c r="M112" s="69"/>
      <c r="N112" s="70"/>
      <c r="O112" s="69"/>
      <c r="P112" s="70"/>
      <c r="Q112" s="69"/>
      <c r="R112" s="70"/>
      <c r="S112" s="69"/>
      <c r="T112" s="70"/>
      <c r="U112" s="69"/>
      <c r="V112" s="70"/>
      <c r="W112" s="69"/>
      <c r="X112" s="70"/>
      <c r="Y112" s="69"/>
      <c r="Z112" s="70"/>
      <c r="AA112" s="69"/>
      <c r="AB112" s="70"/>
      <c r="AC112" s="69"/>
      <c r="AD112" s="70"/>
      <c r="AE112" s="69"/>
      <c r="AF112" s="70"/>
      <c r="AG112" s="69"/>
      <c r="AH112" s="70"/>
      <c r="AI112" s="69"/>
      <c r="AJ112" s="70"/>
      <c r="AK112" s="69"/>
      <c r="AL112" s="70"/>
      <c r="AM112" s="69"/>
      <c r="AN112" s="70"/>
      <c r="AO112" s="69"/>
      <c r="AP112" s="70"/>
      <c r="AQ112" s="69"/>
      <c r="AR112" s="70"/>
      <c r="AS112" s="69"/>
      <c r="AT112" s="70"/>
      <c r="AU112" s="69"/>
      <c r="AV112" s="70"/>
      <c r="AW112" s="69"/>
      <c r="AX112" s="70"/>
      <c r="AY112" s="69"/>
      <c r="AZ112" s="70"/>
      <c r="BA112" s="69"/>
      <c r="BB112" s="70"/>
      <c r="BC112" s="69"/>
      <c r="BD112" s="70"/>
      <c r="BE112" s="69"/>
      <c r="BF112" s="70"/>
      <c r="BG112" s="69"/>
      <c r="BH112" s="70"/>
      <c r="BI112" s="69"/>
      <c r="BJ112" s="70"/>
      <c r="BK112" s="69"/>
      <c r="BL112" s="70"/>
      <c r="BM112" s="69"/>
      <c r="BN112" s="71"/>
      <c r="BO112" s="182" t="str">
        <f t="shared" si="190"/>
        <v/>
      </c>
      <c r="BP112" s="70"/>
      <c r="BQ112" s="73"/>
    </row>
    <row r="113" spans="1:69" x14ac:dyDescent="0.35">
      <c r="A113" s="53" t="s">
        <v>73</v>
      </c>
      <c r="B113" s="54"/>
      <c r="C113" s="67"/>
      <c r="D113" s="68"/>
      <c r="E113" s="69"/>
      <c r="F113" s="70"/>
      <c r="G113" s="69"/>
      <c r="H113" s="70"/>
      <c r="I113" s="69"/>
      <c r="J113" s="70"/>
      <c r="K113" s="69"/>
      <c r="L113" s="70"/>
      <c r="M113" s="69"/>
      <c r="N113" s="70"/>
      <c r="O113" s="69"/>
      <c r="P113" s="70"/>
      <c r="Q113" s="69"/>
      <c r="R113" s="70"/>
      <c r="S113" s="69"/>
      <c r="T113" s="70"/>
      <c r="U113" s="69"/>
      <c r="V113" s="70"/>
      <c r="W113" s="69"/>
      <c r="X113" s="70"/>
      <c r="Y113" s="69"/>
      <c r="Z113" s="70"/>
      <c r="AA113" s="69"/>
      <c r="AB113" s="70"/>
      <c r="AC113" s="69"/>
      <c r="AD113" s="70"/>
      <c r="AE113" s="69"/>
      <c r="AF113" s="70"/>
      <c r="AG113" s="69"/>
      <c r="AH113" s="70"/>
      <c r="AI113" s="69"/>
      <c r="AJ113" s="70"/>
      <c r="AK113" s="69"/>
      <c r="AL113" s="70"/>
      <c r="AM113" s="69"/>
      <c r="AN113" s="70"/>
      <c r="AO113" s="69"/>
      <c r="AP113" s="70"/>
      <c r="AQ113" s="69"/>
      <c r="AR113" s="70"/>
      <c r="AS113" s="69"/>
      <c r="AT113" s="70"/>
      <c r="AU113" s="69"/>
      <c r="AV113" s="70"/>
      <c r="AW113" s="69"/>
      <c r="AX113" s="70"/>
      <c r="AY113" s="69"/>
      <c r="AZ113" s="70"/>
      <c r="BA113" s="69"/>
      <c r="BB113" s="70"/>
      <c r="BC113" s="69"/>
      <c r="BD113" s="70"/>
      <c r="BE113" s="69"/>
      <c r="BF113" s="70"/>
      <c r="BG113" s="69"/>
      <c r="BH113" s="70"/>
      <c r="BI113" s="69"/>
      <c r="BJ113" s="70"/>
      <c r="BK113" s="69"/>
      <c r="BL113" s="70"/>
      <c r="BM113" s="69"/>
      <c r="BN113" s="71"/>
      <c r="BO113" s="182" t="str">
        <f t="shared" si="190"/>
        <v/>
      </c>
      <c r="BP113" s="70"/>
      <c r="BQ113" s="73"/>
    </row>
    <row r="114" spans="1:69" x14ac:dyDescent="0.35">
      <c r="A114" s="53" t="s">
        <v>70</v>
      </c>
      <c r="B114" s="54"/>
      <c r="C114" s="67"/>
      <c r="D114" s="68"/>
      <c r="E114" s="69"/>
      <c r="F114" s="70"/>
      <c r="G114" s="69"/>
      <c r="H114" s="70"/>
      <c r="I114" s="69"/>
      <c r="J114" s="70"/>
      <c r="K114" s="69"/>
      <c r="L114" s="70"/>
      <c r="M114" s="69"/>
      <c r="N114" s="70"/>
      <c r="O114" s="69"/>
      <c r="P114" s="70"/>
      <c r="Q114" s="69"/>
      <c r="R114" s="70"/>
      <c r="S114" s="69"/>
      <c r="T114" s="70"/>
      <c r="U114" s="69"/>
      <c r="V114" s="70"/>
      <c r="W114" s="69"/>
      <c r="X114" s="70"/>
      <c r="Y114" s="69"/>
      <c r="Z114" s="70"/>
      <c r="AA114" s="69"/>
      <c r="AB114" s="70"/>
      <c r="AC114" s="69"/>
      <c r="AD114" s="70"/>
      <c r="AE114" s="69"/>
      <c r="AF114" s="70"/>
      <c r="AG114" s="69"/>
      <c r="AH114" s="70"/>
      <c r="AI114" s="69"/>
      <c r="AJ114" s="70"/>
      <c r="AK114" s="69"/>
      <c r="AL114" s="70"/>
      <c r="AM114" s="69"/>
      <c r="AN114" s="70"/>
      <c r="AO114" s="69"/>
      <c r="AP114" s="70"/>
      <c r="AQ114" s="69"/>
      <c r="AR114" s="70"/>
      <c r="AS114" s="69"/>
      <c r="AT114" s="70"/>
      <c r="AU114" s="69"/>
      <c r="AV114" s="70"/>
      <c r="AW114" s="69"/>
      <c r="AX114" s="70"/>
      <c r="AY114" s="69"/>
      <c r="AZ114" s="70"/>
      <c r="BA114" s="69"/>
      <c r="BB114" s="70"/>
      <c r="BC114" s="69"/>
      <c r="BD114" s="70"/>
      <c r="BE114" s="69"/>
      <c r="BF114" s="70"/>
      <c r="BG114" s="69"/>
      <c r="BH114" s="70"/>
      <c r="BI114" s="69"/>
      <c r="BJ114" s="70"/>
      <c r="BK114" s="69"/>
      <c r="BL114" s="70"/>
      <c r="BM114" s="69"/>
      <c r="BN114" s="71"/>
      <c r="BO114" s="182" t="str">
        <f t="shared" si="190"/>
        <v/>
      </c>
      <c r="BP114" s="70"/>
      <c r="BQ114" s="73"/>
    </row>
    <row r="115" spans="1:69" x14ac:dyDescent="0.35">
      <c r="A115" s="53" t="s">
        <v>27</v>
      </c>
      <c r="B115" s="54"/>
      <c r="C115" s="67"/>
      <c r="D115" s="68"/>
      <c r="E115" s="69"/>
      <c r="F115" s="70"/>
      <c r="G115" s="69"/>
      <c r="H115" s="70"/>
      <c r="I115" s="69"/>
      <c r="J115" s="70"/>
      <c r="K115" s="69"/>
      <c r="L115" s="70"/>
      <c r="M115" s="69"/>
      <c r="N115" s="70"/>
      <c r="O115" s="69"/>
      <c r="P115" s="70"/>
      <c r="Q115" s="69"/>
      <c r="R115" s="70"/>
      <c r="S115" s="69"/>
      <c r="T115" s="70"/>
      <c r="U115" s="69"/>
      <c r="V115" s="70"/>
      <c r="W115" s="69"/>
      <c r="X115" s="70"/>
      <c r="Y115" s="69"/>
      <c r="Z115" s="70"/>
      <c r="AA115" s="69"/>
      <c r="AB115" s="70"/>
      <c r="AC115" s="69"/>
      <c r="AD115" s="70"/>
      <c r="AE115" s="69"/>
      <c r="AF115" s="70"/>
      <c r="AG115" s="69"/>
      <c r="AH115" s="70"/>
      <c r="AI115" s="69"/>
      <c r="AJ115" s="70"/>
      <c r="AK115" s="69"/>
      <c r="AL115" s="70"/>
      <c r="AM115" s="69"/>
      <c r="AN115" s="70"/>
      <c r="AO115" s="69"/>
      <c r="AP115" s="70"/>
      <c r="AQ115" s="69"/>
      <c r="AR115" s="70"/>
      <c r="AS115" s="69"/>
      <c r="AT115" s="70"/>
      <c r="AU115" s="69"/>
      <c r="AV115" s="70"/>
      <c r="AW115" s="69"/>
      <c r="AX115" s="70"/>
      <c r="AY115" s="69"/>
      <c r="AZ115" s="70"/>
      <c r="BA115" s="69"/>
      <c r="BB115" s="70"/>
      <c r="BC115" s="69"/>
      <c r="BD115" s="70"/>
      <c r="BE115" s="69"/>
      <c r="BF115" s="70"/>
      <c r="BG115" s="69"/>
      <c r="BH115" s="70"/>
      <c r="BI115" s="69"/>
      <c r="BJ115" s="70"/>
      <c r="BK115" s="69"/>
      <c r="BL115" s="70"/>
      <c r="BM115" s="69"/>
      <c r="BN115" s="71"/>
      <c r="BO115" s="182" t="str">
        <f t="shared" si="190"/>
        <v/>
      </c>
      <c r="BP115" s="70"/>
      <c r="BQ115" s="73"/>
    </row>
    <row r="116" spans="1:69" x14ac:dyDescent="0.35">
      <c r="A116" s="53" t="s">
        <v>28</v>
      </c>
      <c r="B116" s="54"/>
      <c r="C116" s="67"/>
      <c r="D116" s="68"/>
      <c r="E116" s="69"/>
      <c r="F116" s="70"/>
      <c r="G116" s="69"/>
      <c r="H116" s="70"/>
      <c r="I116" s="69"/>
      <c r="J116" s="70"/>
      <c r="K116" s="69"/>
      <c r="L116" s="70"/>
      <c r="M116" s="69"/>
      <c r="N116" s="70"/>
      <c r="O116" s="69"/>
      <c r="P116" s="70"/>
      <c r="Q116" s="69"/>
      <c r="R116" s="70"/>
      <c r="S116" s="69"/>
      <c r="T116" s="70"/>
      <c r="U116" s="69"/>
      <c r="V116" s="70"/>
      <c r="W116" s="69"/>
      <c r="X116" s="70"/>
      <c r="Y116" s="69"/>
      <c r="Z116" s="70"/>
      <c r="AA116" s="69"/>
      <c r="AB116" s="70"/>
      <c r="AC116" s="69"/>
      <c r="AD116" s="70"/>
      <c r="AE116" s="69"/>
      <c r="AF116" s="70"/>
      <c r="AG116" s="69"/>
      <c r="AH116" s="70"/>
      <c r="AI116" s="69"/>
      <c r="AJ116" s="70"/>
      <c r="AK116" s="69"/>
      <c r="AL116" s="70"/>
      <c r="AM116" s="69"/>
      <c r="AN116" s="70"/>
      <c r="AO116" s="69"/>
      <c r="AP116" s="70"/>
      <c r="AQ116" s="69"/>
      <c r="AR116" s="70"/>
      <c r="AS116" s="69"/>
      <c r="AT116" s="70"/>
      <c r="AU116" s="69"/>
      <c r="AV116" s="70"/>
      <c r="AW116" s="69"/>
      <c r="AX116" s="70"/>
      <c r="AY116" s="69"/>
      <c r="AZ116" s="70"/>
      <c r="BA116" s="69"/>
      <c r="BB116" s="70"/>
      <c r="BC116" s="69"/>
      <c r="BD116" s="70"/>
      <c r="BE116" s="69"/>
      <c r="BF116" s="70"/>
      <c r="BG116" s="69"/>
      <c r="BH116" s="70"/>
      <c r="BI116" s="69"/>
      <c r="BJ116" s="70"/>
      <c r="BK116" s="69"/>
      <c r="BL116" s="70"/>
      <c r="BM116" s="69"/>
      <c r="BN116" s="71"/>
      <c r="BO116" s="182" t="str">
        <f t="shared" si="190"/>
        <v/>
      </c>
      <c r="BP116" s="70"/>
      <c r="BQ116" s="73"/>
    </row>
    <row r="117" spans="1:69" x14ac:dyDescent="0.35">
      <c r="A117" s="53" t="s">
        <v>29</v>
      </c>
      <c r="B117" s="54"/>
      <c r="C117" s="67"/>
      <c r="D117" s="68"/>
      <c r="E117" s="69"/>
      <c r="F117" s="70"/>
      <c r="G117" s="69"/>
      <c r="H117" s="70"/>
      <c r="I117" s="69"/>
      <c r="J117" s="70"/>
      <c r="K117" s="69"/>
      <c r="L117" s="70"/>
      <c r="M117" s="69"/>
      <c r="N117" s="70"/>
      <c r="O117" s="69"/>
      <c r="P117" s="70"/>
      <c r="Q117" s="69"/>
      <c r="R117" s="70"/>
      <c r="S117" s="69"/>
      <c r="T117" s="70"/>
      <c r="U117" s="69"/>
      <c r="V117" s="70"/>
      <c r="W117" s="69"/>
      <c r="X117" s="70"/>
      <c r="Y117" s="69"/>
      <c r="Z117" s="70"/>
      <c r="AA117" s="69"/>
      <c r="AB117" s="70"/>
      <c r="AC117" s="69"/>
      <c r="AD117" s="70"/>
      <c r="AE117" s="69"/>
      <c r="AF117" s="70"/>
      <c r="AG117" s="69"/>
      <c r="AH117" s="70"/>
      <c r="AI117" s="69"/>
      <c r="AJ117" s="70"/>
      <c r="AK117" s="69"/>
      <c r="AL117" s="70"/>
      <c r="AM117" s="69"/>
      <c r="AN117" s="70"/>
      <c r="AO117" s="69"/>
      <c r="AP117" s="70"/>
      <c r="AQ117" s="69"/>
      <c r="AR117" s="70"/>
      <c r="AS117" s="69"/>
      <c r="AT117" s="70"/>
      <c r="AU117" s="69"/>
      <c r="AV117" s="70"/>
      <c r="AW117" s="69"/>
      <c r="AX117" s="70"/>
      <c r="AY117" s="69"/>
      <c r="AZ117" s="70"/>
      <c r="BA117" s="69"/>
      <c r="BB117" s="70"/>
      <c r="BC117" s="69"/>
      <c r="BD117" s="70"/>
      <c r="BE117" s="69"/>
      <c r="BF117" s="70"/>
      <c r="BG117" s="69"/>
      <c r="BH117" s="70"/>
      <c r="BI117" s="69"/>
      <c r="BJ117" s="70"/>
      <c r="BK117" s="69"/>
      <c r="BL117" s="70"/>
      <c r="BM117" s="69"/>
      <c r="BN117" s="71"/>
      <c r="BO117" s="182" t="str">
        <f t="shared" si="190"/>
        <v/>
      </c>
      <c r="BP117" s="70"/>
      <c r="BQ117" s="73"/>
    </row>
    <row r="118" spans="1:69" x14ac:dyDescent="0.35">
      <c r="A118" s="74"/>
      <c r="B118" s="75"/>
      <c r="C118" s="153"/>
      <c r="D118" s="77"/>
      <c r="E118" s="78"/>
      <c r="F118" s="79"/>
      <c r="G118" s="78"/>
      <c r="H118" s="79"/>
      <c r="I118" s="78"/>
      <c r="J118" s="79"/>
      <c r="K118" s="78"/>
      <c r="L118" s="79"/>
      <c r="M118" s="78"/>
      <c r="N118" s="79"/>
      <c r="O118" s="78"/>
      <c r="P118" s="79"/>
      <c r="Q118" s="78"/>
      <c r="R118" s="79"/>
      <c r="S118" s="78"/>
      <c r="T118" s="79"/>
      <c r="U118" s="78"/>
      <c r="V118" s="79"/>
      <c r="W118" s="78"/>
      <c r="X118" s="79"/>
      <c r="Y118" s="78"/>
      <c r="Z118" s="79"/>
      <c r="AA118" s="78"/>
      <c r="AB118" s="79"/>
      <c r="AC118" s="78"/>
      <c r="AD118" s="79"/>
      <c r="AE118" s="78"/>
      <c r="AF118" s="79"/>
      <c r="AG118" s="78"/>
      <c r="AH118" s="79"/>
      <c r="AI118" s="78"/>
      <c r="AJ118" s="79"/>
      <c r="AK118" s="78"/>
      <c r="AL118" s="79"/>
      <c r="AM118" s="78"/>
      <c r="AN118" s="79"/>
      <c r="AO118" s="78"/>
      <c r="AP118" s="79"/>
      <c r="AQ118" s="78"/>
      <c r="AR118" s="79"/>
      <c r="AS118" s="78"/>
      <c r="AT118" s="79"/>
      <c r="AU118" s="78"/>
      <c r="AV118" s="79"/>
      <c r="AW118" s="78"/>
      <c r="AX118" s="79"/>
      <c r="AY118" s="78"/>
      <c r="AZ118" s="79"/>
      <c r="BA118" s="78"/>
      <c r="BB118" s="79"/>
      <c r="BC118" s="78"/>
      <c r="BD118" s="79"/>
      <c r="BE118" s="78"/>
      <c r="BF118" s="79"/>
      <c r="BG118" s="78"/>
      <c r="BH118" s="79"/>
      <c r="BI118" s="78"/>
      <c r="BJ118" s="79"/>
      <c r="BK118" s="78"/>
      <c r="BL118" s="79"/>
      <c r="BM118" s="78"/>
      <c r="BN118" s="80"/>
      <c r="BO118" s="195" t="str">
        <f t="shared" si="190"/>
        <v/>
      </c>
      <c r="BP118" s="79"/>
      <c r="BQ118" s="82"/>
    </row>
    <row r="119" spans="1:69" x14ac:dyDescent="0.35">
      <c r="A119" s="53" t="s">
        <v>55</v>
      </c>
      <c r="B119" s="54"/>
      <c r="C119" s="67"/>
      <c r="D119" s="68"/>
      <c r="E119" s="69"/>
      <c r="F119" s="70"/>
      <c r="G119" s="69"/>
      <c r="H119" s="70"/>
      <c r="I119" s="69"/>
      <c r="J119" s="70"/>
      <c r="K119" s="69"/>
      <c r="L119" s="70"/>
      <c r="M119" s="69"/>
      <c r="N119" s="70"/>
      <c r="O119" s="69"/>
      <c r="P119" s="70"/>
      <c r="Q119" s="69"/>
      <c r="R119" s="70"/>
      <c r="S119" s="69"/>
      <c r="T119" s="70"/>
      <c r="U119" s="69"/>
      <c r="V119" s="70"/>
      <c r="W119" s="69"/>
      <c r="X119" s="70"/>
      <c r="Y119" s="69"/>
      <c r="Z119" s="70"/>
      <c r="AA119" s="69"/>
      <c r="AB119" s="70"/>
      <c r="AC119" s="69"/>
      <c r="AD119" s="70"/>
      <c r="AE119" s="69"/>
      <c r="AF119" s="70"/>
      <c r="AG119" s="69"/>
      <c r="AH119" s="70"/>
      <c r="AI119" s="69"/>
      <c r="AJ119" s="70"/>
      <c r="AK119" s="69"/>
      <c r="AL119" s="70"/>
      <c r="AM119" s="69"/>
      <c r="AN119" s="70"/>
      <c r="AO119" s="69"/>
      <c r="AP119" s="70"/>
      <c r="AQ119" s="69"/>
      <c r="AR119" s="70"/>
      <c r="AS119" s="69"/>
      <c r="AT119" s="70"/>
      <c r="AU119" s="69"/>
      <c r="AV119" s="70"/>
      <c r="AW119" s="69"/>
      <c r="AX119" s="70"/>
      <c r="AY119" s="69"/>
      <c r="AZ119" s="70"/>
      <c r="BA119" s="69"/>
      <c r="BB119" s="70"/>
      <c r="BC119" s="69"/>
      <c r="BD119" s="70"/>
      <c r="BE119" s="69"/>
      <c r="BF119" s="70"/>
      <c r="BG119" s="69"/>
      <c r="BH119" s="70"/>
      <c r="BI119" s="69"/>
      <c r="BJ119" s="70"/>
      <c r="BK119" s="69"/>
      <c r="BL119" s="70"/>
      <c r="BM119" s="69"/>
      <c r="BN119" s="71"/>
      <c r="BO119" s="182" t="str">
        <f t="shared" si="190"/>
        <v/>
      </c>
      <c r="BP119" s="70"/>
      <c r="BQ119" s="73"/>
    </row>
    <row r="120" spans="1:69" ht="15" thickBot="1" x14ac:dyDescent="0.4">
      <c r="A120" s="154" t="s">
        <v>56</v>
      </c>
      <c r="B120" s="155"/>
      <c r="C120" s="156"/>
      <c r="D120" s="157"/>
      <c r="E120" s="158"/>
      <c r="F120" s="159"/>
      <c r="G120" s="158"/>
      <c r="H120" s="159"/>
      <c r="I120" s="158"/>
      <c r="J120" s="159"/>
      <c r="K120" s="158"/>
      <c r="L120" s="159"/>
      <c r="M120" s="158"/>
      <c r="N120" s="159"/>
      <c r="O120" s="158"/>
      <c r="P120" s="159"/>
      <c r="Q120" s="158"/>
      <c r="R120" s="159"/>
      <c r="S120" s="158"/>
      <c r="T120" s="159"/>
      <c r="U120" s="158"/>
      <c r="V120" s="159"/>
      <c r="W120" s="158"/>
      <c r="X120" s="159"/>
      <c r="Y120" s="158"/>
      <c r="Z120" s="159"/>
      <c r="AA120" s="158"/>
      <c r="AB120" s="159"/>
      <c r="AC120" s="158"/>
      <c r="AD120" s="159"/>
      <c r="AE120" s="158"/>
      <c r="AF120" s="159"/>
      <c r="AG120" s="158"/>
      <c r="AH120" s="159"/>
      <c r="AI120" s="158"/>
      <c r="AJ120" s="159"/>
      <c r="AK120" s="158"/>
      <c r="AL120" s="159"/>
      <c r="AM120" s="158"/>
      <c r="AN120" s="159"/>
      <c r="AO120" s="158"/>
      <c r="AP120" s="159"/>
      <c r="AQ120" s="158"/>
      <c r="AR120" s="159"/>
      <c r="AS120" s="158"/>
      <c r="AT120" s="159"/>
      <c r="AU120" s="158"/>
      <c r="AV120" s="159"/>
      <c r="AW120" s="158"/>
      <c r="AX120" s="159"/>
      <c r="AY120" s="158"/>
      <c r="AZ120" s="159"/>
      <c r="BA120" s="158"/>
      <c r="BB120" s="159"/>
      <c r="BC120" s="158"/>
      <c r="BD120" s="159"/>
      <c r="BE120" s="158"/>
      <c r="BF120" s="159"/>
      <c r="BG120" s="158"/>
      <c r="BH120" s="159"/>
      <c r="BI120" s="158"/>
      <c r="BJ120" s="159"/>
      <c r="BK120" s="158"/>
      <c r="BL120" s="159"/>
      <c r="BM120" s="158"/>
      <c r="BN120" s="160"/>
      <c r="BO120" s="196" t="str">
        <f t="shared" si="190"/>
        <v/>
      </c>
      <c r="BP120" s="159"/>
      <c r="BQ120" s="161"/>
    </row>
    <row r="121" spans="1:69" x14ac:dyDescent="0.35">
      <c r="AT121"/>
      <c r="AU121"/>
      <c r="AW121"/>
      <c r="BA121"/>
    </row>
    <row r="122" spans="1:69" x14ac:dyDescent="0.35">
      <c r="AT122"/>
      <c r="AU122"/>
      <c r="AW122"/>
      <c r="BA122"/>
    </row>
    <row r="123" spans="1:69" x14ac:dyDescent="0.35">
      <c r="AT123"/>
      <c r="AU123"/>
      <c r="AW123"/>
      <c r="BA123"/>
    </row>
    <row r="124" spans="1:69" x14ac:dyDescent="0.35">
      <c r="AT124"/>
      <c r="AU124"/>
      <c r="AW124"/>
      <c r="BA124"/>
    </row>
    <row r="125" spans="1:69" x14ac:dyDescent="0.35">
      <c r="AT125"/>
      <c r="AU125"/>
      <c r="AW125"/>
      <c r="BA125"/>
    </row>
    <row r="126" spans="1:69" x14ac:dyDescent="0.35">
      <c r="AT126"/>
      <c r="AU126"/>
      <c r="AW126"/>
      <c r="BA126"/>
    </row>
    <row r="127" spans="1:69" x14ac:dyDescent="0.35">
      <c r="AT127"/>
      <c r="AU127"/>
      <c r="AW127"/>
      <c r="BA127"/>
    </row>
    <row r="128" spans="1:69" x14ac:dyDescent="0.35">
      <c r="AT128"/>
      <c r="AU128"/>
      <c r="AW128"/>
      <c r="BA128"/>
    </row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</sheetData>
  <sheetProtection sheet="1" objects="1" scenarios="1"/>
  <mergeCells count="100">
    <mergeCell ref="AD5:AE5"/>
    <mergeCell ref="A1:BQ1"/>
    <mergeCell ref="A2:BQ2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BB5:BC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P5:BQ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BD5:BE5"/>
    <mergeCell ref="BF5:BG5"/>
    <mergeCell ref="BH5:BI5"/>
    <mergeCell ref="BJ5:BK5"/>
    <mergeCell ref="BL5:BM5"/>
    <mergeCell ref="BN5:BO5"/>
    <mergeCell ref="AR6:AS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BP6:BQ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Z12:AA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AX12:AY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BL12:BM12"/>
    <mergeCell ref="BP12:BQ12"/>
    <mergeCell ref="AZ12:BA12"/>
    <mergeCell ref="BB12:BC12"/>
    <mergeCell ref="BD12:BE12"/>
    <mergeCell ref="BF12:BG12"/>
    <mergeCell ref="BH12:BI12"/>
    <mergeCell ref="BJ12:BK12"/>
  </mergeCells>
  <conditionalFormatting sqref="D77:BL88">
    <cfRule type="cellIs" dxfId="9" priority="9" operator="lessThan">
      <formula>0</formula>
    </cfRule>
  </conditionalFormatting>
  <conditionalFormatting sqref="D7:BM11 BP7:BQ104 BO7:BO120">
    <cfRule type="cellIs" dxfId="8" priority="1" operator="lessThan">
      <formula>0</formula>
    </cfRule>
  </conditionalFormatting>
  <conditionalFormatting sqref="D22:BM22">
    <cfRule type="cellIs" dxfId="7" priority="2" operator="lessThan">
      <formula>0</formula>
    </cfRule>
  </conditionalFormatting>
  <conditionalFormatting sqref="D30:BM31">
    <cfRule type="cellIs" dxfId="6" priority="3" operator="lessThan">
      <formula>0</formula>
    </cfRule>
  </conditionalFormatting>
  <conditionalFormatting sqref="D42:BM42">
    <cfRule type="cellIs" dxfId="5" priority="4" operator="lessThan">
      <formula>0</formula>
    </cfRule>
  </conditionalFormatting>
  <conditionalFormatting sqref="D49:BM50">
    <cfRule type="cellIs" dxfId="4" priority="5" operator="lessThan">
      <formula>0</formula>
    </cfRule>
  </conditionalFormatting>
  <conditionalFormatting sqref="D54:BM54">
    <cfRule type="cellIs" dxfId="3" priority="6" operator="lessThan">
      <formula>0</formula>
    </cfRule>
  </conditionalFormatting>
  <conditionalFormatting sqref="D57:BM59">
    <cfRule type="cellIs" dxfId="2" priority="7" operator="lessThan">
      <formula>0</formula>
    </cfRule>
  </conditionalFormatting>
  <conditionalFormatting sqref="D61:BM75">
    <cfRule type="cellIs" dxfId="1" priority="8" operator="lessThan">
      <formula>0</formula>
    </cfRule>
  </conditionalFormatting>
  <conditionalFormatting sqref="E91:BM104">
    <cfRule type="cellIs" dxfId="0" priority="10" operator="lessThan">
      <formula>0</formula>
    </cfRule>
  </conditionalFormatting>
  <pageMargins left="0.25" right="0.25" top="0.75" bottom="0.75" header="0.3" footer="0.3"/>
  <pageSetup scale="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5393f1-e524-4610-9811-849909cbc7c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D8F008D70ED149937EEA7DD192E8DF" ma:contentTypeVersion="11" ma:contentTypeDescription="Create a new document." ma:contentTypeScope="" ma:versionID="a91a0cd274205fe37447f0c65408c5ed">
  <xsd:schema xmlns:xsd="http://www.w3.org/2001/XMLSchema" xmlns:xs="http://www.w3.org/2001/XMLSchema" xmlns:p="http://schemas.microsoft.com/office/2006/metadata/properties" xmlns:ns3="065393f1-e524-4610-9811-849909cbc7cb" targetNamespace="http://schemas.microsoft.com/office/2006/metadata/properties" ma:root="true" ma:fieldsID="7b2790eaa90984c2b514d8435e506099" ns3:_="">
    <xsd:import namespace="065393f1-e524-4610-9811-849909cbc7c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5393f1-e524-4610-9811-849909cbc7c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E12E9E-809F-4EA0-96E9-5913422B3BCA}">
  <ds:schemaRefs>
    <ds:schemaRef ds:uri="065393f1-e524-4610-9811-849909cbc7cb"/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6CA7BB0-45EC-47C3-B6B8-8C61B21083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42F351-80BA-4053-9C35-31CC343AF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5393f1-e524-4610-9811-849909cbc7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</vt:lpstr>
      <vt:lpstr>Totals</vt:lpstr>
      <vt:lpstr>August 2026 Log</vt:lpstr>
      <vt:lpstr>September 2026 Log</vt:lpstr>
      <vt:lpstr>October 2026 Log</vt:lpstr>
      <vt:lpstr>November 2026 Log</vt:lpstr>
      <vt:lpstr>December 2026 Log</vt:lpstr>
      <vt:lpstr>January 2027 Log</vt:lpstr>
      <vt:lpstr>February 2027 Log</vt:lpstr>
      <vt:lpstr>March 2027 Log</vt:lpstr>
      <vt:lpstr>April 2027 Log</vt:lpstr>
      <vt:lpstr>May 2027 Log</vt:lpstr>
      <vt:lpstr>June 2027 Log</vt:lpstr>
      <vt:lpstr>July 2027 Log</vt:lpstr>
      <vt:lpstr>August 2027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Kabot</dc:creator>
  <cp:lastModifiedBy>Henry Erasmus</cp:lastModifiedBy>
  <cp:lastPrinted>2026-07-26T03:52:07Z</cp:lastPrinted>
  <dcterms:created xsi:type="dcterms:W3CDTF">2025-03-03T07:08:55Z</dcterms:created>
  <dcterms:modified xsi:type="dcterms:W3CDTF">2026-09-29T07:30:36Z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0x010100E4D8F008D70ED149937EEA7DD192E8DF</vt:lpwstr>
  </property>
</Properties>
</file>